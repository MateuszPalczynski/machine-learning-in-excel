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PAD\"/>
    </mc:Choice>
  </mc:AlternateContent>
  <xr:revisionPtr revIDLastSave="0" documentId="13_ncr:1_{CDAB65D9-F2C3-442E-BD67-BB7AE2000024}" xr6:coauthVersionLast="47" xr6:coauthVersionMax="47" xr10:uidLastSave="{00000000-0000-0000-0000-000000000000}"/>
  <bookViews>
    <workbookView xWindow="-108" yWindow="-108" windowWidth="23256" windowHeight="12576" activeTab="5" xr2:uid="{6D9CCBC8-30F2-4B31-8687-AE863F97373B}"/>
  </bookViews>
  <sheets>
    <sheet name="Arkusz5" sheetId="5" r:id="rId1"/>
    <sheet name="Arkusz3" sheetId="6" r:id="rId2"/>
    <sheet name="Arkusz1" sheetId="1" r:id="rId3"/>
    <sheet name="Arkusz2" sheetId="2" r:id="rId4"/>
    <sheet name="Arkusz6" sheetId="3" r:id="rId5"/>
    <sheet name="Arkusz4" sheetId="4" r:id="rId6"/>
  </sheets>
  <functionGroups builtInGroupCount="19"/>
  <externalReferences>
    <externalReference r:id="rId7"/>
  </externalReferences>
  <definedNames>
    <definedName name="__k">Arkusz5!$H$19</definedName>
    <definedName name="_dystr_Phi" localSheetId="2">OFFSET(Arkusz1!$Q$2,0,0,_k+1,1)</definedName>
    <definedName name="_dystr_x" localSheetId="2">OFFSET(Arkusz1!$P$2,0,0,_k+1,1)</definedName>
    <definedName name="_Fi">OFFSET([1]Arkusz1!$P$3,0,0,Arkusz3!_k,1)</definedName>
    <definedName name="_h" localSheetId="1">[1]Arkusz1!$E$13</definedName>
    <definedName name="_h">Arkusz1!$F$17</definedName>
    <definedName name="_k" localSheetId="1">[1]Arkusz1!$E$12</definedName>
    <definedName name="_k">Arkusz1!$F$16</definedName>
    <definedName name="_mi">[1]Arkusz1!$E$2</definedName>
    <definedName name="_mu">Arkusz1!$F$1</definedName>
    <definedName name="_n">Arkusz1!$F$6</definedName>
    <definedName name="_phi" localSheetId="2">OFFSET(Arkusz1!$O$3,0,0,_k,1)</definedName>
    <definedName name="_sigma" localSheetId="1">[1]Arkusz1!$E$3</definedName>
    <definedName name="_sigma">Arkusz1!$F$2</definedName>
    <definedName name="_skalm" localSheetId="2">OFFSET(Arkusz1!$N$3,0,0,_k,1)</definedName>
    <definedName name="_skalow">OFFSET([1]Arkusz1!$O$3,0,0,Arkusz3!_k,1)</definedName>
    <definedName name="_srodki" localSheetId="2">OFFSET(Arkusz1!$J$3,0,0,_k,1)</definedName>
    <definedName name="_srodki">OFFSET([1]Arkusz1!$K$3,0,0,Arkusz3!_k,1)</definedName>
    <definedName name="dystr_Fi">OFFSET([1]Arkusz1!$R$2,0,0,Arkusz3!_k+1,1)</definedName>
    <definedName name="n">[1]Arkusz1!$E$7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6" l="1"/>
  <c r="G2" i="6"/>
  <c r="I2" i="6"/>
  <c r="N2" i="6"/>
  <c r="B3" i="6"/>
  <c r="B4" i="6"/>
  <c r="B5" i="6"/>
  <c r="B6" i="6"/>
  <c r="B7" i="6"/>
  <c r="B8" i="6"/>
  <c r="B9" i="6"/>
  <c r="B10" i="6"/>
  <c r="B11" i="6"/>
  <c r="B12" i="6"/>
  <c r="B13" i="6"/>
  <c r="B14" i="6"/>
  <c r="D14" i="6"/>
  <c r="B15" i="6"/>
  <c r="B16" i="6"/>
  <c r="B17" i="6"/>
  <c r="D17" i="6"/>
  <c r="B18" i="6" l="1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G60" i="6" s="1"/>
  <c r="B41" i="6"/>
  <c r="G55" i="6"/>
  <c r="G57" i="6"/>
  <c r="G59" i="6"/>
  <c r="G61" i="6"/>
  <c r="G63" i="6"/>
  <c r="G65" i="6"/>
  <c r="G67" i="6"/>
  <c r="G69" i="6"/>
  <c r="G71" i="6"/>
  <c r="G73" i="6"/>
  <c r="G75" i="6"/>
  <c r="G77" i="6"/>
  <c r="G79" i="6"/>
  <c r="G80" i="6"/>
  <c r="N80" i="6" s="1"/>
  <c r="G81" i="6"/>
  <c r="G83" i="6"/>
  <c r="I60" i="6" l="1"/>
  <c r="N60" i="6"/>
  <c r="I69" i="6"/>
  <c r="I61" i="6"/>
  <c r="I55" i="6"/>
  <c r="G7" i="6"/>
  <c r="G39" i="6"/>
  <c r="G4" i="6"/>
  <c r="G31" i="6"/>
  <c r="I83" i="6"/>
  <c r="I81" i="6"/>
  <c r="I77" i="6"/>
  <c r="I73" i="6"/>
  <c r="I67" i="6"/>
  <c r="I63" i="6"/>
  <c r="I57" i="6"/>
  <c r="G82" i="6"/>
  <c r="G76" i="6"/>
  <c r="G72" i="6"/>
  <c r="G68" i="6"/>
  <c r="G64" i="6"/>
  <c r="G62" i="6"/>
  <c r="G58" i="6"/>
  <c r="G56" i="6"/>
  <c r="G54" i="6"/>
  <c r="I79" i="6"/>
  <c r="I75" i="6"/>
  <c r="I71" i="6"/>
  <c r="I65" i="6"/>
  <c r="I59" i="6"/>
  <c r="I80" i="6"/>
  <c r="G78" i="6"/>
  <c r="G74" i="6"/>
  <c r="G70" i="6"/>
  <c r="G66" i="6"/>
  <c r="N83" i="6"/>
  <c r="N81" i="6"/>
  <c r="N79" i="6"/>
  <c r="N77" i="6"/>
  <c r="N75" i="6"/>
  <c r="N73" i="6"/>
  <c r="N71" i="6"/>
  <c r="N69" i="6"/>
  <c r="N67" i="6"/>
  <c r="N65" i="6"/>
  <c r="N63" i="6"/>
  <c r="N61" i="6"/>
  <c r="N59" i="6"/>
  <c r="N57" i="6"/>
  <c r="N55" i="6"/>
  <c r="G40" i="6"/>
  <c r="G37" i="6"/>
  <c r="G29" i="6"/>
  <c r="D5" i="6"/>
  <c r="G36" i="6"/>
  <c r="G28" i="6"/>
  <c r="G24" i="6"/>
  <c r="G20" i="6"/>
  <c r="D4" i="6"/>
  <c r="G11" i="6"/>
  <c r="G3" i="6"/>
  <c r="G35" i="6"/>
  <c r="G9" i="6"/>
  <c r="G15" i="6"/>
  <c r="G34" i="6"/>
  <c r="G27" i="6"/>
  <c r="G23" i="6"/>
  <c r="G19" i="6"/>
  <c r="G14" i="6"/>
  <c r="D1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33" i="6"/>
  <c r="G5" i="6"/>
  <c r="G32" i="6"/>
  <c r="G26" i="6"/>
  <c r="G22" i="6"/>
  <c r="G18" i="6"/>
  <c r="G8" i="6"/>
  <c r="G12" i="6"/>
  <c r="G16" i="6"/>
  <c r="D7" i="6"/>
  <c r="H67" i="6" s="1"/>
  <c r="P67" i="6" s="1"/>
  <c r="D2" i="6"/>
  <c r="G17" i="6"/>
  <c r="G38" i="6"/>
  <c r="G30" i="6"/>
  <c r="G25" i="6"/>
  <c r="G21" i="6"/>
  <c r="G13" i="6"/>
  <c r="G10" i="6"/>
  <c r="G6" i="6"/>
  <c r="K38" i="6" l="1"/>
  <c r="L38" i="6" s="1"/>
  <c r="M38" i="6" s="1"/>
  <c r="N38" i="6"/>
  <c r="H38" i="6"/>
  <c r="P38" i="6" s="1"/>
  <c r="I38" i="6"/>
  <c r="K5" i="6"/>
  <c r="L5" i="6" s="1"/>
  <c r="M5" i="6" s="1"/>
  <c r="I5" i="6"/>
  <c r="H5" i="6"/>
  <c r="N5" i="6"/>
  <c r="H46" i="6"/>
  <c r="P46" i="6" s="1"/>
  <c r="I46" i="6"/>
  <c r="K46" i="6"/>
  <c r="L46" i="6" s="1"/>
  <c r="M46" i="6" s="1"/>
  <c r="N46" i="6"/>
  <c r="K35" i="6"/>
  <c r="L35" i="6" s="1"/>
  <c r="M35" i="6" s="1"/>
  <c r="N35" i="6"/>
  <c r="H35" i="6"/>
  <c r="I35" i="6"/>
  <c r="K71" i="6"/>
  <c r="L71" i="6" s="1"/>
  <c r="M71" i="6" s="1"/>
  <c r="H79" i="6"/>
  <c r="P79" i="6" s="1"/>
  <c r="H76" i="6"/>
  <c r="P76" i="6" s="1"/>
  <c r="I76" i="6"/>
  <c r="K76" i="6"/>
  <c r="L76" i="6" s="1"/>
  <c r="M76" i="6" s="1"/>
  <c r="N76" i="6"/>
  <c r="K67" i="6"/>
  <c r="L67" i="6" s="1"/>
  <c r="M67" i="6" s="1"/>
  <c r="H77" i="6"/>
  <c r="P77" i="6" s="1"/>
  <c r="N4" i="6"/>
  <c r="I4" i="6"/>
  <c r="K4" i="6"/>
  <c r="L4" i="6" s="1"/>
  <c r="M4" i="6" s="1"/>
  <c r="H4" i="6"/>
  <c r="H61" i="6"/>
  <c r="P61" i="6" s="1"/>
  <c r="N13" i="6"/>
  <c r="I13" i="6"/>
  <c r="H13" i="6"/>
  <c r="P13" i="6" s="1"/>
  <c r="K13" i="6"/>
  <c r="L13" i="6" s="1"/>
  <c r="M13" i="6" s="1"/>
  <c r="I16" i="6"/>
  <c r="K16" i="6"/>
  <c r="L16" i="6" s="1"/>
  <c r="M16" i="6" s="1"/>
  <c r="H16" i="6"/>
  <c r="N16" i="6"/>
  <c r="H2" i="6"/>
  <c r="P2" i="6" s="1"/>
  <c r="H47" i="6"/>
  <c r="I47" i="6"/>
  <c r="K47" i="6"/>
  <c r="L47" i="6" s="1"/>
  <c r="M47" i="6" s="1"/>
  <c r="N47" i="6"/>
  <c r="N14" i="6"/>
  <c r="K14" i="6"/>
  <c r="L14" i="6" s="1"/>
  <c r="M14" i="6" s="1"/>
  <c r="H14" i="6"/>
  <c r="I14" i="6"/>
  <c r="H3" i="6"/>
  <c r="N3" i="6"/>
  <c r="K2" i="6"/>
  <c r="L2" i="6" s="1"/>
  <c r="M2" i="6" s="1"/>
  <c r="I3" i="6"/>
  <c r="K3" i="6"/>
  <c r="L3" i="6" s="1"/>
  <c r="M3" i="6" s="1"/>
  <c r="H29" i="6"/>
  <c r="K29" i="6"/>
  <c r="L29" i="6" s="1"/>
  <c r="M29" i="6" s="1"/>
  <c r="N29" i="6"/>
  <c r="I29" i="6"/>
  <c r="H80" i="6"/>
  <c r="P80" i="6" s="1"/>
  <c r="H54" i="6"/>
  <c r="P54" i="6" s="1"/>
  <c r="I54" i="6"/>
  <c r="K54" i="6"/>
  <c r="L54" i="6" s="1"/>
  <c r="M54" i="6" s="1"/>
  <c r="N54" i="6"/>
  <c r="H82" i="6"/>
  <c r="I82" i="6"/>
  <c r="K82" i="6"/>
  <c r="L82" i="6" s="1"/>
  <c r="M82" i="6" s="1"/>
  <c r="N82" i="6"/>
  <c r="K81" i="6"/>
  <c r="L81" i="6" s="1"/>
  <c r="M81" i="6" s="1"/>
  <c r="I39" i="6"/>
  <c r="K39" i="6"/>
  <c r="L39" i="6" s="1"/>
  <c r="M39" i="6" s="1"/>
  <c r="N39" i="6"/>
  <c r="H39" i="6"/>
  <c r="K69" i="6"/>
  <c r="L69" i="6" s="1"/>
  <c r="M69" i="6" s="1"/>
  <c r="H43" i="6"/>
  <c r="I43" i="6"/>
  <c r="K43" i="6"/>
  <c r="L43" i="6" s="1"/>
  <c r="M43" i="6" s="1"/>
  <c r="N43" i="6"/>
  <c r="I21" i="6"/>
  <c r="K21" i="6"/>
  <c r="L21" i="6" s="1"/>
  <c r="M21" i="6" s="1"/>
  <c r="N21" i="6"/>
  <c r="H21" i="6"/>
  <c r="H48" i="6"/>
  <c r="I48" i="6"/>
  <c r="K48" i="6"/>
  <c r="L48" i="6" s="1"/>
  <c r="M48" i="6" s="1"/>
  <c r="N48" i="6"/>
  <c r="N11" i="6"/>
  <c r="I11" i="6"/>
  <c r="K11" i="6"/>
  <c r="L11" i="6" s="1"/>
  <c r="M11" i="6" s="1"/>
  <c r="H11" i="6"/>
  <c r="P11" i="6" s="1"/>
  <c r="H37" i="6"/>
  <c r="K37" i="6"/>
  <c r="L37" i="6" s="1"/>
  <c r="M37" i="6" s="1"/>
  <c r="N37" i="6"/>
  <c r="I37" i="6"/>
  <c r="K59" i="6"/>
  <c r="L59" i="6" s="1"/>
  <c r="M59" i="6" s="1"/>
  <c r="H71" i="6"/>
  <c r="P71" i="6" s="1"/>
  <c r="H56" i="6"/>
  <c r="I56" i="6"/>
  <c r="K56" i="6"/>
  <c r="L56" i="6" s="1"/>
  <c r="M56" i="6" s="1"/>
  <c r="N56" i="6"/>
  <c r="K57" i="6"/>
  <c r="L57" i="6" s="1"/>
  <c r="M57" i="6" s="1"/>
  <c r="H7" i="6"/>
  <c r="I7" i="6"/>
  <c r="N7" i="6"/>
  <c r="K7" i="6"/>
  <c r="L7" i="6" s="1"/>
  <c r="M7" i="6" s="1"/>
  <c r="H17" i="6"/>
  <c r="P17" i="6" s="1"/>
  <c r="I17" i="6"/>
  <c r="K17" i="6"/>
  <c r="L17" i="6" s="1"/>
  <c r="M17" i="6" s="1"/>
  <c r="N17" i="6"/>
  <c r="H33" i="6"/>
  <c r="P33" i="6" s="1"/>
  <c r="I33" i="6"/>
  <c r="K33" i="6"/>
  <c r="L33" i="6" s="1"/>
  <c r="M33" i="6" s="1"/>
  <c r="N33" i="6"/>
  <c r="I25" i="6"/>
  <c r="K25" i="6"/>
  <c r="L25" i="6" s="1"/>
  <c r="M25" i="6" s="1"/>
  <c r="N25" i="6"/>
  <c r="H25" i="6"/>
  <c r="P25" i="6" s="1"/>
  <c r="H41" i="6"/>
  <c r="P41" i="6" s="1"/>
  <c r="I41" i="6"/>
  <c r="K41" i="6"/>
  <c r="L41" i="6" s="1"/>
  <c r="M41" i="6" s="1"/>
  <c r="N41" i="6"/>
  <c r="N23" i="6"/>
  <c r="H23" i="6"/>
  <c r="P23" i="6" s="1"/>
  <c r="K23" i="6"/>
  <c r="L23" i="6" s="1"/>
  <c r="M23" i="6" s="1"/>
  <c r="I23" i="6"/>
  <c r="H66" i="6"/>
  <c r="P66" i="6" s="1"/>
  <c r="I66" i="6"/>
  <c r="K66" i="6"/>
  <c r="L66" i="6" s="1"/>
  <c r="M66" i="6" s="1"/>
  <c r="N66" i="6"/>
  <c r="K75" i="6"/>
  <c r="L75" i="6" s="1"/>
  <c r="M75" i="6" s="1"/>
  <c r="H58" i="6"/>
  <c r="P58" i="6" s="1"/>
  <c r="I58" i="6"/>
  <c r="K58" i="6"/>
  <c r="L58" i="6" s="1"/>
  <c r="M58" i="6" s="1"/>
  <c r="N58" i="6"/>
  <c r="K73" i="6"/>
  <c r="L73" i="6" s="1"/>
  <c r="M73" i="6" s="1"/>
  <c r="H81" i="6"/>
  <c r="P81" i="6" s="1"/>
  <c r="K55" i="6"/>
  <c r="L55" i="6" s="1"/>
  <c r="M55" i="6" s="1"/>
  <c r="H69" i="6"/>
  <c r="P69" i="6" s="1"/>
  <c r="N22" i="6"/>
  <c r="H22" i="6"/>
  <c r="P22" i="6" s="1"/>
  <c r="I22" i="6"/>
  <c r="K22" i="6"/>
  <c r="L22" i="6" s="1"/>
  <c r="M22" i="6" s="1"/>
  <c r="N10" i="6"/>
  <c r="I10" i="6"/>
  <c r="K10" i="6"/>
  <c r="L10" i="6" s="1"/>
  <c r="M10" i="6" s="1"/>
  <c r="H10" i="6"/>
  <c r="P10" i="6" s="1"/>
  <c r="H12" i="6"/>
  <c r="P12" i="6" s="1"/>
  <c r="I12" i="6"/>
  <c r="K12" i="6"/>
  <c r="L12" i="6" s="1"/>
  <c r="M12" i="6" s="1"/>
  <c r="N12" i="6"/>
  <c r="N19" i="6"/>
  <c r="H19" i="6"/>
  <c r="K19" i="6"/>
  <c r="L19" i="6" s="1"/>
  <c r="M19" i="6" s="1"/>
  <c r="I19" i="6"/>
  <c r="H8" i="6"/>
  <c r="P8" i="6" s="1"/>
  <c r="N8" i="6"/>
  <c r="I8" i="6"/>
  <c r="K8" i="6"/>
  <c r="L8" i="6" s="1"/>
  <c r="M8" i="6" s="1"/>
  <c r="H49" i="6"/>
  <c r="I49" i="6"/>
  <c r="K49" i="6"/>
  <c r="L49" i="6" s="1"/>
  <c r="M49" i="6" s="1"/>
  <c r="N49" i="6"/>
  <c r="N40" i="6"/>
  <c r="H40" i="6"/>
  <c r="P40" i="6" s="1"/>
  <c r="I40" i="6"/>
  <c r="K40" i="6"/>
  <c r="L40" i="6" s="1"/>
  <c r="M40" i="6" s="1"/>
  <c r="I30" i="6"/>
  <c r="K30" i="6"/>
  <c r="L30" i="6" s="1"/>
  <c r="M30" i="6" s="1"/>
  <c r="N30" i="6"/>
  <c r="H30" i="6"/>
  <c r="P30" i="6" s="1"/>
  <c r="N18" i="6"/>
  <c r="H18" i="6"/>
  <c r="P18" i="6" s="1"/>
  <c r="I18" i="6"/>
  <c r="K18" i="6"/>
  <c r="L18" i="6" s="1"/>
  <c r="M18" i="6" s="1"/>
  <c r="H42" i="6"/>
  <c r="I42" i="6"/>
  <c r="K42" i="6"/>
  <c r="L42" i="6" s="1"/>
  <c r="M42" i="6" s="1"/>
  <c r="N42" i="6"/>
  <c r="H50" i="6"/>
  <c r="P50" i="6" s="1"/>
  <c r="I50" i="6"/>
  <c r="K50" i="6"/>
  <c r="L50" i="6" s="1"/>
  <c r="M50" i="6" s="1"/>
  <c r="N50" i="6"/>
  <c r="N27" i="6"/>
  <c r="H27" i="6"/>
  <c r="I27" i="6"/>
  <c r="K27" i="6"/>
  <c r="L27" i="6" s="1"/>
  <c r="M27" i="6" s="1"/>
  <c r="I20" i="6"/>
  <c r="N20" i="6"/>
  <c r="H20" i="6"/>
  <c r="K20" i="6"/>
  <c r="L20" i="6" s="1"/>
  <c r="M20" i="6" s="1"/>
  <c r="H70" i="6"/>
  <c r="I70" i="6"/>
  <c r="K70" i="6"/>
  <c r="L70" i="6" s="1"/>
  <c r="M70" i="6" s="1"/>
  <c r="N70" i="6"/>
  <c r="H59" i="6"/>
  <c r="P59" i="6" s="1"/>
  <c r="H62" i="6"/>
  <c r="P62" i="6" s="1"/>
  <c r="I62" i="6"/>
  <c r="K62" i="6"/>
  <c r="L62" i="6" s="1"/>
  <c r="M62" i="6" s="1"/>
  <c r="N62" i="6"/>
  <c r="H57" i="6"/>
  <c r="P57" i="6" s="1"/>
  <c r="K83" i="6"/>
  <c r="L83" i="6" s="1"/>
  <c r="M83" i="6" s="1"/>
  <c r="N34" i="6"/>
  <c r="H34" i="6"/>
  <c r="P34" i="6" s="1"/>
  <c r="I34" i="6"/>
  <c r="K34" i="6"/>
  <c r="L34" i="6" s="1"/>
  <c r="M34" i="6" s="1"/>
  <c r="I24" i="6"/>
  <c r="N24" i="6"/>
  <c r="H24" i="6"/>
  <c r="K24" i="6"/>
  <c r="L24" i="6" s="1"/>
  <c r="M24" i="6" s="1"/>
  <c r="H74" i="6"/>
  <c r="I74" i="6"/>
  <c r="K74" i="6"/>
  <c r="L74" i="6" s="1"/>
  <c r="M74" i="6" s="1"/>
  <c r="N74" i="6"/>
  <c r="K65" i="6"/>
  <c r="L65" i="6" s="1"/>
  <c r="M65" i="6" s="1"/>
  <c r="H75" i="6"/>
  <c r="P75" i="6" s="1"/>
  <c r="H64" i="6"/>
  <c r="I64" i="6"/>
  <c r="K64" i="6"/>
  <c r="L64" i="6" s="1"/>
  <c r="M64" i="6" s="1"/>
  <c r="N64" i="6"/>
  <c r="K63" i="6"/>
  <c r="L63" i="6" s="1"/>
  <c r="M63" i="6" s="1"/>
  <c r="H73" i="6"/>
  <c r="P73" i="6" s="1"/>
  <c r="H55" i="6"/>
  <c r="P55" i="6" s="1"/>
  <c r="K60" i="6"/>
  <c r="L60" i="6" s="1"/>
  <c r="M60" i="6" s="1"/>
  <c r="H51" i="6"/>
  <c r="I51" i="6"/>
  <c r="K51" i="6"/>
  <c r="L51" i="6" s="1"/>
  <c r="M51" i="6" s="1"/>
  <c r="N51" i="6"/>
  <c r="N26" i="6"/>
  <c r="H26" i="6"/>
  <c r="I26" i="6"/>
  <c r="K26" i="6"/>
  <c r="L26" i="6" s="1"/>
  <c r="M26" i="6" s="1"/>
  <c r="H44" i="6"/>
  <c r="I44" i="6"/>
  <c r="K44" i="6"/>
  <c r="L44" i="6" s="1"/>
  <c r="M44" i="6" s="1"/>
  <c r="N44" i="6"/>
  <c r="H52" i="6"/>
  <c r="P52" i="6" s="1"/>
  <c r="I52" i="6"/>
  <c r="K52" i="6"/>
  <c r="L52" i="6" s="1"/>
  <c r="M52" i="6" s="1"/>
  <c r="N52" i="6"/>
  <c r="N15" i="6"/>
  <c r="H15" i="6"/>
  <c r="K15" i="6"/>
  <c r="L15" i="6" s="1"/>
  <c r="M15" i="6" s="1"/>
  <c r="I15" i="6"/>
  <c r="I28" i="6"/>
  <c r="N28" i="6"/>
  <c r="H28" i="6"/>
  <c r="P28" i="6" s="1"/>
  <c r="K28" i="6"/>
  <c r="L28" i="6" s="1"/>
  <c r="M28" i="6" s="1"/>
  <c r="H78" i="6"/>
  <c r="I78" i="6"/>
  <c r="K78" i="6"/>
  <c r="L78" i="6" s="1"/>
  <c r="M78" i="6" s="1"/>
  <c r="N78" i="6"/>
  <c r="K79" i="6"/>
  <c r="L79" i="6" s="1"/>
  <c r="M79" i="6" s="1"/>
  <c r="H68" i="6"/>
  <c r="I68" i="6"/>
  <c r="K68" i="6"/>
  <c r="L68" i="6" s="1"/>
  <c r="M68" i="6" s="1"/>
  <c r="N68" i="6"/>
  <c r="K77" i="6"/>
  <c r="L77" i="6" s="1"/>
  <c r="M77" i="6" s="1"/>
  <c r="H83" i="6"/>
  <c r="P83" i="6" s="1"/>
  <c r="K61" i="6"/>
  <c r="L61" i="6" s="1"/>
  <c r="M61" i="6" s="1"/>
  <c r="I6" i="6"/>
  <c r="K6" i="6"/>
  <c r="L6" i="6" s="1"/>
  <c r="M6" i="6" s="1"/>
  <c r="H6" i="6"/>
  <c r="P6" i="6" s="1"/>
  <c r="N6" i="6"/>
  <c r="N32" i="6"/>
  <c r="H32" i="6"/>
  <c r="P32" i="6" s="1"/>
  <c r="I32" i="6"/>
  <c r="K32" i="6"/>
  <c r="L32" i="6" s="1"/>
  <c r="M32" i="6" s="1"/>
  <c r="H45" i="6"/>
  <c r="P45" i="6" s="1"/>
  <c r="I45" i="6"/>
  <c r="K45" i="6"/>
  <c r="L45" i="6" s="1"/>
  <c r="M45" i="6" s="1"/>
  <c r="N45" i="6"/>
  <c r="H53" i="6"/>
  <c r="I53" i="6"/>
  <c r="K53" i="6"/>
  <c r="L53" i="6" s="1"/>
  <c r="M53" i="6" s="1"/>
  <c r="N53" i="6"/>
  <c r="N9" i="6"/>
  <c r="K9" i="6"/>
  <c r="L9" i="6" s="1"/>
  <c r="M9" i="6" s="1"/>
  <c r="H9" i="6"/>
  <c r="P9" i="6" s="1"/>
  <c r="I9" i="6"/>
  <c r="I36" i="6"/>
  <c r="N36" i="6"/>
  <c r="H36" i="6"/>
  <c r="P36" i="6" s="1"/>
  <c r="K36" i="6"/>
  <c r="L36" i="6" s="1"/>
  <c r="M36" i="6" s="1"/>
  <c r="K80" i="6"/>
  <c r="L80" i="6" s="1"/>
  <c r="M80" i="6" s="1"/>
  <c r="H65" i="6"/>
  <c r="P65" i="6" s="1"/>
  <c r="H72" i="6"/>
  <c r="P72" i="6" s="1"/>
  <c r="I72" i="6"/>
  <c r="K72" i="6"/>
  <c r="L72" i="6" s="1"/>
  <c r="M72" i="6" s="1"/>
  <c r="N72" i="6"/>
  <c r="H63" i="6"/>
  <c r="P63" i="6" s="1"/>
  <c r="H31" i="6"/>
  <c r="I31" i="6"/>
  <c r="K31" i="6"/>
  <c r="L31" i="6" s="1"/>
  <c r="M31" i="6" s="1"/>
  <c r="N31" i="6"/>
  <c r="H60" i="6"/>
  <c r="P60" i="6" s="1"/>
  <c r="P31" i="6" l="1"/>
  <c r="P74" i="6"/>
  <c r="P37" i="6"/>
  <c r="P48" i="6"/>
  <c r="P43" i="6"/>
  <c r="P3" i="6"/>
  <c r="D12" i="6" s="1"/>
  <c r="D13" i="6" s="1"/>
  <c r="P47" i="6"/>
  <c r="P35" i="6"/>
  <c r="P5" i="6"/>
  <c r="P21" i="6"/>
  <c r="P53" i="6"/>
  <c r="P44" i="6"/>
  <c r="P51" i="6"/>
  <c r="P64" i="6"/>
  <c r="P24" i="6"/>
  <c r="P27" i="6"/>
  <c r="P19" i="6"/>
  <c r="P56" i="6"/>
  <c r="P39" i="6"/>
  <c r="P82" i="6"/>
  <c r="P14" i="6"/>
  <c r="P15" i="6"/>
  <c r="P78" i="6"/>
  <c r="P70" i="6"/>
  <c r="P42" i="6"/>
  <c r="P49" i="6"/>
  <c r="P29" i="6"/>
  <c r="P16" i="6"/>
  <c r="P4" i="6"/>
  <c r="P68" i="6"/>
  <c r="P26" i="6"/>
  <c r="P20" i="6"/>
  <c r="P7" i="6"/>
  <c r="D19" i="6" l="1"/>
  <c r="D23" i="6"/>
  <c r="D27" i="6"/>
  <c r="D20" i="6"/>
  <c r="D24" i="6"/>
  <c r="D28" i="6"/>
  <c r="D21" i="6"/>
  <c r="D25" i="6"/>
  <c r="D26" i="6"/>
  <c r="D22" i="6"/>
  <c r="D15" i="6" l="1"/>
  <c r="D16" i="6" s="1"/>
  <c r="V94" i="5" l="1"/>
  <c r="X3" i="5" a="1"/>
  <c r="X7" i="5" a="1"/>
  <c r="X11" i="5" a="1"/>
  <c r="X15" i="5" a="1"/>
  <c r="X19" i="5" a="1"/>
  <c r="X23" i="5" a="1"/>
  <c r="X27" i="5" a="1"/>
  <c r="X31" i="5" a="1"/>
  <c r="X35" i="5" a="1"/>
  <c r="X39" i="5" a="1"/>
  <c r="X43" i="5" a="1"/>
  <c r="X47" i="5" a="1"/>
  <c r="X51" i="5" a="1"/>
  <c r="X55" i="5" a="1"/>
  <c r="X59" i="5" a="1"/>
  <c r="X63" i="5" a="1"/>
  <c r="X67" i="5" a="1"/>
  <c r="X71" i="5" a="1"/>
  <c r="X75" i="5" a="1"/>
  <c r="X79" i="5" a="1"/>
  <c r="X83" i="5" a="1"/>
  <c r="X87" i="5" a="1"/>
  <c r="X91" i="5" a="1"/>
  <c r="X95" i="5" a="1"/>
  <c r="X99" i="5" a="1"/>
  <c r="X103" i="5" a="1"/>
  <c r="X107" i="5" a="1"/>
  <c r="X111" i="5" a="1"/>
  <c r="X115" i="5" a="1"/>
  <c r="X119" i="5" a="1"/>
  <c r="X123" i="5" a="1"/>
  <c r="X127" i="5" a="1"/>
  <c r="X131" i="5" a="1"/>
  <c r="X135" i="5" a="1"/>
  <c r="X139" i="5" a="1"/>
  <c r="X143" i="5" a="1"/>
  <c r="X147" i="5" a="1"/>
  <c r="X151" i="5" a="1"/>
  <c r="X155" i="5" a="1"/>
  <c r="X159" i="5" a="1"/>
  <c r="X163" i="5" a="1"/>
  <c r="X167" i="5" a="1"/>
  <c r="X171" i="5" a="1"/>
  <c r="X175" i="5" a="1"/>
  <c r="X179" i="5" a="1"/>
  <c r="X183" i="5" a="1"/>
  <c r="X187" i="5" a="1"/>
  <c r="X191" i="5" a="1"/>
  <c r="X195" i="5" a="1"/>
  <c r="X199" i="5" a="1"/>
  <c r="X203" i="5" a="1"/>
  <c r="X207" i="5" a="1"/>
  <c r="X211" i="5" a="1"/>
  <c r="X215" i="5" a="1"/>
  <c r="X219" i="5" a="1"/>
  <c r="X223" i="5" a="1"/>
  <c r="X227" i="5" a="1"/>
  <c r="X231" i="5" a="1"/>
  <c r="X235" i="5" a="1"/>
  <c r="X239" i="5" a="1"/>
  <c r="X243" i="5" a="1"/>
  <c r="X247" i="5" a="1"/>
  <c r="X251" i="5" a="1"/>
  <c r="X255" i="5" a="1"/>
  <c r="X259" i="5" a="1"/>
  <c r="X263" i="5" a="1"/>
  <c r="X267" i="5" a="1"/>
  <c r="X271" i="5" a="1"/>
  <c r="X275" i="5" a="1"/>
  <c r="X279" i="5" a="1"/>
  <c r="X283" i="5" a="1"/>
  <c r="X4" i="5" a="1"/>
  <c r="X8" i="5" a="1"/>
  <c r="X12" i="5" a="1"/>
  <c r="X16" i="5" a="1"/>
  <c r="X20" i="5" a="1"/>
  <c r="X24" i="5" a="1"/>
  <c r="X28" i="5" a="1"/>
  <c r="X32" i="5" a="1"/>
  <c r="X36" i="5" a="1"/>
  <c r="X40" i="5" a="1"/>
  <c r="X44" i="5" a="1"/>
  <c r="X48" i="5" a="1"/>
  <c r="X52" i="5" a="1"/>
  <c r="X56" i="5" a="1"/>
  <c r="X60" i="5" a="1"/>
  <c r="X64" i="5" a="1"/>
  <c r="X68" i="5" a="1"/>
  <c r="X72" i="5" a="1"/>
  <c r="X76" i="5" a="1"/>
  <c r="X80" i="5" a="1"/>
  <c r="X84" i="5" a="1"/>
  <c r="X88" i="5" a="1"/>
  <c r="X92" i="5" a="1"/>
  <c r="X96" i="5" a="1"/>
  <c r="X100" i="5" a="1"/>
  <c r="X104" i="5" a="1"/>
  <c r="X108" i="5" a="1"/>
  <c r="X112" i="5" a="1"/>
  <c r="X116" i="5" a="1"/>
  <c r="X120" i="5" a="1"/>
  <c r="X124" i="5" a="1"/>
  <c r="X128" i="5" a="1"/>
  <c r="X132" i="5" a="1"/>
  <c r="X136" i="5" a="1"/>
  <c r="X140" i="5" a="1"/>
  <c r="X144" i="5" a="1"/>
  <c r="X148" i="5" a="1"/>
  <c r="X152" i="5" a="1"/>
  <c r="X156" i="5" a="1"/>
  <c r="X160" i="5" a="1"/>
  <c r="X164" i="5" a="1"/>
  <c r="X168" i="5" a="1"/>
  <c r="X172" i="5" a="1"/>
  <c r="X176" i="5" a="1"/>
  <c r="X180" i="5" a="1"/>
  <c r="X184" i="5" a="1"/>
  <c r="X188" i="5" a="1"/>
  <c r="X192" i="5" a="1"/>
  <c r="X196" i="5" a="1"/>
  <c r="X200" i="5" a="1"/>
  <c r="X204" i="5" a="1"/>
  <c r="X208" i="5" a="1"/>
  <c r="X212" i="5" a="1"/>
  <c r="X216" i="5" a="1"/>
  <c r="X220" i="5" a="1"/>
  <c r="X224" i="5" a="1"/>
  <c r="X228" i="5" a="1"/>
  <c r="X232" i="5" a="1"/>
  <c r="X236" i="5" a="1"/>
  <c r="X240" i="5" a="1"/>
  <c r="X244" i="5" a="1"/>
  <c r="X248" i="5" a="1"/>
  <c r="X252" i="5" a="1"/>
  <c r="X256" i="5" a="1"/>
  <c r="X260" i="5" a="1"/>
  <c r="X264" i="5" a="1"/>
  <c r="X268" i="5" a="1"/>
  <c r="X272" i="5" a="1"/>
  <c r="X276" i="5" a="1"/>
  <c r="X33" i="5" a="1"/>
  <c r="X81" i="5" a="1"/>
  <c r="X101" i="5" a="1"/>
  <c r="X121" i="5" a="1"/>
  <c r="X137" i="5" a="1"/>
  <c r="X153" i="5" a="1"/>
  <c r="X173" i="5" a="1"/>
  <c r="X189" i="5" a="1"/>
  <c r="X205" i="5" a="1"/>
  <c r="X221" i="5" a="1"/>
  <c r="X241" i="5" a="1"/>
  <c r="X261" i="5" a="1"/>
  <c r="X277" i="5" a="1"/>
  <c r="X5" i="5" a="1"/>
  <c r="X9" i="5" a="1"/>
  <c r="X13" i="5" a="1"/>
  <c r="X17" i="5" a="1"/>
  <c r="X21" i="5" a="1"/>
  <c r="X25" i="5" a="1"/>
  <c r="X29" i="5" a="1"/>
  <c r="X37" i="5" a="1"/>
  <c r="X41" i="5" a="1"/>
  <c r="X45" i="5" a="1"/>
  <c r="X49" i="5" a="1"/>
  <c r="X53" i="5" a="1"/>
  <c r="X57" i="5" a="1"/>
  <c r="X61" i="5" a="1"/>
  <c r="X65" i="5" a="1"/>
  <c r="X69" i="5" a="1"/>
  <c r="X73" i="5" a="1"/>
  <c r="X77" i="5" a="1"/>
  <c r="X85" i="5" a="1"/>
  <c r="X89" i="5" a="1"/>
  <c r="X93" i="5" a="1"/>
  <c r="X97" i="5" a="1"/>
  <c r="X105" i="5" a="1"/>
  <c r="X109" i="5" a="1"/>
  <c r="X113" i="5" a="1"/>
  <c r="X117" i="5" a="1"/>
  <c r="X125" i="5" a="1"/>
  <c r="X129" i="5" a="1"/>
  <c r="X133" i="5" a="1"/>
  <c r="X141" i="5" a="1"/>
  <c r="X145" i="5" a="1"/>
  <c r="X149" i="5" a="1"/>
  <c r="X157" i="5" a="1"/>
  <c r="X161" i="5" a="1"/>
  <c r="X165" i="5" a="1"/>
  <c r="X169" i="5" a="1"/>
  <c r="X177" i="5" a="1"/>
  <c r="X181" i="5" a="1"/>
  <c r="X185" i="5" a="1"/>
  <c r="X193" i="5" a="1"/>
  <c r="X197" i="5" a="1"/>
  <c r="X201" i="5" a="1"/>
  <c r="X209" i="5" a="1"/>
  <c r="X213" i="5" a="1"/>
  <c r="X217" i="5" a="1"/>
  <c r="X225" i="5" a="1"/>
  <c r="X229" i="5" a="1"/>
  <c r="X233" i="5" a="1"/>
  <c r="X237" i="5" a="1"/>
  <c r="X245" i="5" a="1"/>
  <c r="X249" i="5" a="1"/>
  <c r="X253" i="5" a="1"/>
  <c r="X257" i="5" a="1"/>
  <c r="X265" i="5" a="1"/>
  <c r="X269" i="5" a="1"/>
  <c r="X273" i="5" a="1"/>
  <c r="X281" i="5" a="1"/>
  <c r="X285" i="5" a="1"/>
  <c r="X6" i="5" a="1"/>
  <c r="X10" i="5" a="1"/>
  <c r="X14" i="5" a="1"/>
  <c r="X18" i="5" a="1"/>
  <c r="X22" i="5" a="1"/>
  <c r="X26" i="5" a="1"/>
  <c r="X30" i="5" a="1"/>
  <c r="X34" i="5" a="1"/>
  <c r="X38" i="5" a="1"/>
  <c r="X42" i="5" a="1"/>
  <c r="X46" i="5" a="1"/>
  <c r="X50" i="5" a="1"/>
  <c r="X54" i="5" a="1"/>
  <c r="X58" i="5" a="1"/>
  <c r="X62" i="5" a="1"/>
  <c r="X66" i="5" a="1"/>
  <c r="X70" i="5" a="1"/>
  <c r="X74" i="5" a="1"/>
  <c r="X78" i="5" a="1"/>
  <c r="X82" i="5" a="1"/>
  <c r="X86" i="5" a="1"/>
  <c r="X90" i="5" a="1"/>
  <c r="X94" i="5" a="1"/>
  <c r="X98" i="5" a="1"/>
  <c r="X102" i="5" a="1"/>
  <c r="X106" i="5" a="1"/>
  <c r="X110" i="5" a="1"/>
  <c r="X114" i="5" a="1"/>
  <c r="X118" i="5" a="1"/>
  <c r="X122" i="5" a="1"/>
  <c r="X126" i="5" a="1"/>
  <c r="X130" i="5" a="1"/>
  <c r="X134" i="5" a="1"/>
  <c r="X138" i="5" a="1"/>
  <c r="X142" i="5" a="1"/>
  <c r="X146" i="5" a="1"/>
  <c r="X150" i="5" a="1"/>
  <c r="X154" i="5" a="1"/>
  <c r="X158" i="5" a="1"/>
  <c r="X162" i="5" a="1"/>
  <c r="X166" i="5" a="1"/>
  <c r="X170" i="5" a="1"/>
  <c r="X174" i="5" a="1"/>
  <c r="X178" i="5" a="1"/>
  <c r="X182" i="5" a="1"/>
  <c r="X186" i="5" a="1"/>
  <c r="X190" i="5" a="1"/>
  <c r="X194" i="5" a="1"/>
  <c r="X198" i="5" a="1"/>
  <c r="X202" i="5" a="1"/>
  <c r="X206" i="5" a="1"/>
  <c r="X210" i="5" a="1"/>
  <c r="X214" i="5" a="1"/>
  <c r="X218" i="5" a="1"/>
  <c r="X222" i="5" a="1"/>
  <c r="X226" i="5" a="1"/>
  <c r="X230" i="5" a="1"/>
  <c r="X234" i="5" a="1"/>
  <c r="X238" i="5" a="1"/>
  <c r="X242" i="5" a="1"/>
  <c r="X246" i="5" a="1"/>
  <c r="X250" i="5" a="1"/>
  <c r="X254" i="5" a="1"/>
  <c r="X258" i="5" a="1"/>
  <c r="X262" i="5" a="1"/>
  <c r="X266" i="5" a="1"/>
  <c r="X270" i="5" a="1"/>
  <c r="X274" i="5" a="1"/>
  <c r="X278" i="5" a="1"/>
  <c r="X282" i="5" a="1"/>
  <c r="X286" i="5" a="1"/>
  <c r="X284" i="5" a="1"/>
  <c r="X280" i="5" a="1"/>
  <c r="X2" i="5" a="1"/>
  <c r="X280" i="5" l="1"/>
  <c r="X284" i="5"/>
  <c r="X286" i="5"/>
  <c r="X282" i="5"/>
  <c r="X278" i="5"/>
  <c r="X274" i="5"/>
  <c r="X270" i="5"/>
  <c r="X266" i="5"/>
  <c r="X262" i="5"/>
  <c r="X258" i="5"/>
  <c r="X254" i="5"/>
  <c r="X250" i="5"/>
  <c r="X246" i="5"/>
  <c r="X242" i="5"/>
  <c r="X238" i="5"/>
  <c r="X234" i="5"/>
  <c r="X230" i="5"/>
  <c r="X226" i="5"/>
  <c r="X222" i="5"/>
  <c r="X218" i="5"/>
  <c r="X214" i="5"/>
  <c r="X210" i="5"/>
  <c r="X206" i="5"/>
  <c r="X202" i="5"/>
  <c r="X198" i="5"/>
  <c r="X194" i="5"/>
  <c r="X190" i="5"/>
  <c r="X186" i="5"/>
  <c r="X182" i="5"/>
  <c r="X178" i="5"/>
  <c r="X174" i="5"/>
  <c r="X170" i="5"/>
  <c r="X166" i="5"/>
  <c r="X162" i="5"/>
  <c r="X158" i="5"/>
  <c r="X154" i="5"/>
  <c r="X150" i="5"/>
  <c r="X146" i="5"/>
  <c r="X142" i="5"/>
  <c r="X138" i="5"/>
  <c r="X134" i="5"/>
  <c r="X130" i="5"/>
  <c r="X126" i="5"/>
  <c r="X122" i="5"/>
  <c r="X118" i="5"/>
  <c r="X114" i="5"/>
  <c r="X110" i="5"/>
  <c r="X106" i="5"/>
  <c r="X102" i="5"/>
  <c r="X98" i="5"/>
  <c r="X94" i="5"/>
  <c r="X90" i="5"/>
  <c r="X86" i="5"/>
  <c r="X82" i="5"/>
  <c r="X78" i="5"/>
  <c r="X74" i="5"/>
  <c r="X70" i="5"/>
  <c r="X66" i="5"/>
  <c r="X62" i="5"/>
  <c r="X58" i="5"/>
  <c r="X54" i="5"/>
  <c r="X50" i="5"/>
  <c r="X46" i="5"/>
  <c r="X42" i="5"/>
  <c r="X38" i="5"/>
  <c r="X34" i="5"/>
  <c r="X30" i="5"/>
  <c r="X26" i="5"/>
  <c r="X22" i="5"/>
  <c r="X18" i="5"/>
  <c r="X14" i="5"/>
  <c r="X10" i="5"/>
  <c r="X6" i="5"/>
  <c r="X285" i="5"/>
  <c r="X281" i="5"/>
  <c r="X273" i="5"/>
  <c r="X269" i="5"/>
  <c r="X265" i="5"/>
  <c r="X257" i="5"/>
  <c r="X253" i="5"/>
  <c r="X249" i="5"/>
  <c r="X245" i="5"/>
  <c r="X237" i="5"/>
  <c r="X233" i="5"/>
  <c r="X229" i="5"/>
  <c r="X225" i="5"/>
  <c r="X217" i="5"/>
  <c r="X213" i="5"/>
  <c r="X209" i="5"/>
  <c r="X201" i="5"/>
  <c r="X197" i="5"/>
  <c r="X193" i="5"/>
  <c r="X185" i="5"/>
  <c r="X181" i="5"/>
  <c r="X177" i="5"/>
  <c r="X169" i="5"/>
  <c r="X165" i="5"/>
  <c r="X161" i="5"/>
  <c r="X157" i="5"/>
  <c r="X149" i="5"/>
  <c r="X145" i="5"/>
  <c r="X141" i="5"/>
  <c r="X133" i="5"/>
  <c r="X129" i="5"/>
  <c r="X125" i="5"/>
  <c r="X117" i="5"/>
  <c r="X113" i="5"/>
  <c r="X109" i="5"/>
  <c r="X105" i="5"/>
  <c r="X97" i="5"/>
  <c r="X93" i="5"/>
  <c r="X89" i="5"/>
  <c r="X85" i="5"/>
  <c r="X77" i="5"/>
  <c r="X73" i="5"/>
  <c r="X69" i="5"/>
  <c r="X65" i="5"/>
  <c r="X61" i="5"/>
  <c r="X57" i="5"/>
  <c r="X53" i="5"/>
  <c r="X49" i="5"/>
  <c r="X45" i="5"/>
  <c r="X41" i="5"/>
  <c r="X37" i="5"/>
  <c r="X29" i="5"/>
  <c r="X25" i="5"/>
  <c r="X21" i="5"/>
  <c r="X17" i="5"/>
  <c r="X13" i="5"/>
  <c r="X9" i="5"/>
  <c r="X5" i="5"/>
  <c r="X277" i="5"/>
  <c r="X261" i="5"/>
  <c r="X241" i="5"/>
  <c r="X221" i="5"/>
  <c r="X205" i="5"/>
  <c r="X189" i="5"/>
  <c r="X173" i="5"/>
  <c r="X153" i="5"/>
  <c r="X137" i="5"/>
  <c r="X121" i="5"/>
  <c r="X101" i="5"/>
  <c r="X81" i="5"/>
  <c r="X33" i="5"/>
  <c r="X276" i="5"/>
  <c r="X272" i="5"/>
  <c r="X268" i="5"/>
  <c r="X264" i="5"/>
  <c r="X260" i="5"/>
  <c r="X256" i="5"/>
  <c r="X252" i="5"/>
  <c r="X248" i="5"/>
  <c r="X244" i="5"/>
  <c r="X240" i="5"/>
  <c r="X236" i="5"/>
  <c r="X232" i="5"/>
  <c r="X228" i="5"/>
  <c r="X224" i="5"/>
  <c r="X220" i="5"/>
  <c r="X216" i="5"/>
  <c r="X212" i="5"/>
  <c r="X208" i="5"/>
  <c r="X204" i="5"/>
  <c r="X200" i="5"/>
  <c r="X196" i="5"/>
  <c r="X192" i="5"/>
  <c r="X188" i="5"/>
  <c r="X184" i="5"/>
  <c r="X180" i="5"/>
  <c r="X176" i="5"/>
  <c r="X172" i="5"/>
  <c r="X168" i="5"/>
  <c r="X164" i="5"/>
  <c r="X160" i="5"/>
  <c r="X156" i="5"/>
  <c r="X152" i="5"/>
  <c r="X148" i="5"/>
  <c r="X144" i="5"/>
  <c r="X140" i="5"/>
  <c r="X136" i="5"/>
  <c r="X132" i="5"/>
  <c r="X128" i="5"/>
  <c r="X124" i="5"/>
  <c r="X120" i="5"/>
  <c r="X116" i="5"/>
  <c r="X112" i="5"/>
  <c r="X108" i="5"/>
  <c r="X104" i="5"/>
  <c r="X100" i="5"/>
  <c r="X96" i="5"/>
  <c r="X92" i="5"/>
  <c r="X88" i="5"/>
  <c r="X84" i="5"/>
  <c r="X80" i="5"/>
  <c r="X76" i="5"/>
  <c r="X72" i="5"/>
  <c r="X68" i="5"/>
  <c r="X64" i="5"/>
  <c r="X60" i="5"/>
  <c r="X56" i="5"/>
  <c r="X52" i="5"/>
  <c r="X48" i="5"/>
  <c r="X44" i="5"/>
  <c r="X40" i="5"/>
  <c r="X36" i="5"/>
  <c r="X32" i="5"/>
  <c r="X28" i="5"/>
  <c r="X24" i="5"/>
  <c r="X20" i="5"/>
  <c r="X16" i="5"/>
  <c r="X12" i="5"/>
  <c r="X8" i="5"/>
  <c r="X4" i="5"/>
  <c r="X283" i="5"/>
  <c r="X279" i="5"/>
  <c r="X275" i="5"/>
  <c r="X271" i="5"/>
  <c r="X267" i="5"/>
  <c r="X263" i="5"/>
  <c r="X259" i="5"/>
  <c r="X255" i="5"/>
  <c r="X251" i="5"/>
  <c r="X247" i="5"/>
  <c r="X243" i="5"/>
  <c r="X239" i="5"/>
  <c r="X235" i="5"/>
  <c r="X231" i="5"/>
  <c r="X227" i="5"/>
  <c r="X223" i="5"/>
  <c r="X219" i="5"/>
  <c r="X215" i="5"/>
  <c r="X211" i="5"/>
  <c r="X207" i="5"/>
  <c r="X203" i="5"/>
  <c r="X199" i="5"/>
  <c r="X195" i="5"/>
  <c r="X191" i="5"/>
  <c r="X187" i="5"/>
  <c r="X183" i="5"/>
  <c r="X179" i="5"/>
  <c r="X175" i="5"/>
  <c r="X171" i="5"/>
  <c r="X167" i="5"/>
  <c r="X163" i="5"/>
  <c r="X159" i="5"/>
  <c r="X155" i="5"/>
  <c r="X151" i="5"/>
  <c r="X147" i="5"/>
  <c r="X143" i="5"/>
  <c r="X139" i="5"/>
  <c r="X135" i="5"/>
  <c r="X131" i="5"/>
  <c r="X127" i="5"/>
  <c r="X123" i="5"/>
  <c r="X119" i="5"/>
  <c r="X115" i="5"/>
  <c r="X111" i="5"/>
  <c r="X107" i="5"/>
  <c r="X103" i="5"/>
  <c r="X99" i="5"/>
  <c r="X95" i="5"/>
  <c r="X91" i="5"/>
  <c r="X87" i="5"/>
  <c r="X83" i="5"/>
  <c r="X79" i="5"/>
  <c r="X75" i="5"/>
  <c r="X71" i="5"/>
  <c r="X67" i="5"/>
  <c r="X63" i="5"/>
  <c r="X59" i="5"/>
  <c r="X55" i="5"/>
  <c r="X51" i="5"/>
  <c r="X47" i="5"/>
  <c r="X43" i="5"/>
  <c r="X39" i="5"/>
  <c r="X35" i="5"/>
  <c r="X31" i="5"/>
  <c r="X27" i="5"/>
  <c r="X23" i="5"/>
  <c r="X19" i="5"/>
  <c r="X15" i="5"/>
  <c r="X11" i="5"/>
  <c r="X7" i="5"/>
  <c r="X3" i="5"/>
  <c r="X2" i="5"/>
  <c r="V9" i="5"/>
  <c r="V12" i="5"/>
  <c r="V15" i="5"/>
  <c r="V18" i="5" s="1"/>
  <c r="V21" i="5" s="1"/>
  <c r="V24" i="5" s="1"/>
  <c r="V27" i="5" s="1"/>
  <c r="V30" i="5" s="1"/>
  <c r="V33" i="5" s="1"/>
  <c r="V36" i="5" s="1"/>
  <c r="V39" i="5" s="1"/>
  <c r="V42" i="5" s="1"/>
  <c r="V45" i="5" s="1"/>
  <c r="V48" i="5" s="1"/>
  <c r="V51" i="5" s="1"/>
  <c r="V54" i="5" s="1"/>
  <c r="V57" i="5" s="1"/>
  <c r="V60" i="5" s="1"/>
  <c r="V63" i="5" s="1"/>
  <c r="V66" i="5" s="1"/>
  <c r="V69" i="5" s="1"/>
  <c r="V72" i="5" s="1"/>
  <c r="V75" i="5" s="1"/>
  <c r="V78" i="5" s="1"/>
  <c r="V81" i="5" s="1"/>
  <c r="V84" i="5" s="1"/>
  <c r="V87" i="5" s="1"/>
  <c r="V90" i="5" s="1"/>
  <c r="V93" i="5" s="1"/>
  <c r="V6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2" i="5"/>
  <c r="D11" i="5" a="1"/>
  <c r="D43" i="5" a="1"/>
  <c r="D28" i="5" a="1"/>
  <c r="D33" i="5" a="1"/>
  <c r="D30" i="5" a="1"/>
  <c r="D62" i="5" a="1"/>
  <c r="D94" i="5" a="1"/>
  <c r="D79" i="5" a="1"/>
  <c r="D143" i="5" a="1"/>
  <c r="D207" i="5" a="1"/>
  <c r="D271" i="5" a="1"/>
  <c r="D335" i="5" a="1"/>
  <c r="D370" i="5" a="1"/>
  <c r="D73" i="5" a="1"/>
  <c r="D165" i="5" a="1"/>
  <c r="D229" i="5" a="1"/>
  <c r="D293" i="5" a="1"/>
  <c r="D51" i="5" a="1"/>
  <c r="D69" i="5" a="1"/>
  <c r="D135" i="5" a="1"/>
  <c r="D199" i="5" a="1"/>
  <c r="D263" i="5" a="1"/>
  <c r="D327" i="5" a="1"/>
  <c r="D365" i="5" a="1"/>
  <c r="D113" i="5" a="1"/>
  <c r="D205" i="5" a="1"/>
  <c r="D307" i="5" a="1"/>
  <c r="D401" i="5" a="1"/>
  <c r="D465" i="5" a="1"/>
  <c r="D125" i="5" a="1"/>
  <c r="D227" i="5" a="1"/>
  <c r="D330" i="5" a="1"/>
  <c r="D415" i="5" a="1"/>
  <c r="D479" i="5" a="1"/>
  <c r="D115" i="5" a="1"/>
  <c r="D218" i="5" a="1"/>
  <c r="D320" i="5" a="1"/>
  <c r="D411" i="5" a="1"/>
  <c r="D475" i="5" a="1"/>
  <c r="D332" i="5" a="1"/>
  <c r="D485" i="5" a="1"/>
  <c r="D179" i="5" a="1"/>
  <c r="D449" i="5" a="1"/>
  <c r="D294" i="5" a="1"/>
  <c r="D518" i="5" a="1"/>
  <c r="D395" i="5" a="1"/>
  <c r="D132" i="5" a="1"/>
  <c r="D513" i="5" a="1"/>
  <c r="D517" i="5" a="1"/>
  <c r="D15" i="5" a="1"/>
  <c r="D47" i="5" a="1"/>
  <c r="D5" i="5" a="1"/>
  <c r="D37" i="5" a="1"/>
  <c r="D34" i="5" a="1"/>
  <c r="D66" i="5" a="1"/>
  <c r="D98" i="5" a="1"/>
  <c r="D87" i="5" a="1"/>
  <c r="D150" i="5" a="1"/>
  <c r="D214" i="5" a="1"/>
  <c r="D278" i="5" a="1"/>
  <c r="D342" i="5" a="1"/>
  <c r="D374" i="5" a="1"/>
  <c r="D40" i="5" a="1"/>
  <c r="D171" i="5" a="1"/>
  <c r="D235" i="5" a="1"/>
  <c r="D299" i="5" a="1"/>
  <c r="D59" i="5" a="1"/>
  <c r="D77" i="5" a="1"/>
  <c r="D142" i="5" a="1"/>
  <c r="D206" i="5" a="1"/>
  <c r="D270" i="5" a="1"/>
  <c r="D334" i="5" a="1"/>
  <c r="D369" i="5" a="1"/>
  <c r="D123" i="5" a="1"/>
  <c r="D215" i="5" a="1"/>
  <c r="D318" i="5" a="1"/>
  <c r="D410" i="5" a="1"/>
  <c r="D474" i="5" a="1"/>
  <c r="D145" i="5" a="1"/>
  <c r="D237" i="5" a="1"/>
  <c r="D339" i="5" a="1"/>
  <c r="D420" i="5" a="1"/>
  <c r="D484" i="5" a="1"/>
  <c r="D126" i="5" a="1"/>
  <c r="D228" i="5" a="1"/>
  <c r="D341" i="5" a="1"/>
  <c r="D416" i="5" a="1"/>
  <c r="D480" i="5" a="1"/>
  <c r="D147" i="5" a="1"/>
  <c r="D250" i="5" a="1"/>
  <c r="D355" i="5" a="1"/>
  <c r="D430" i="5" a="1"/>
  <c r="D64" i="5" a="1"/>
  <c r="D190" i="5" a="1"/>
  <c r="D292" i="5" a="1"/>
  <c r="D394" i="5" a="1"/>
  <c r="D458" i="5" a="1"/>
  <c r="D96" i="5" a="1"/>
  <c r="D202" i="5" a="1"/>
  <c r="D304" i="5" a="1"/>
  <c r="D399" i="5" a="1"/>
  <c r="D463" i="5" a="1"/>
  <c r="D84" i="5" a="1"/>
  <c r="D192" i="5" a="1"/>
  <c r="D305" i="5" a="1"/>
  <c r="D400" i="5" a="1"/>
  <c r="D464" i="5" a="1"/>
  <c r="D528" i="5" a="1"/>
  <c r="D565" i="5" a="1"/>
  <c r="D153" i="5" a="1"/>
  <c r="D255" i="5" a="1"/>
  <c r="D371" i="5" a="1"/>
  <c r="D558" i="5" a="1"/>
  <c r="D530" i="5" a="1"/>
  <c r="D550" i="5" a="1"/>
  <c r="D531" i="5" a="1"/>
  <c r="D542" i="5" a="1"/>
  <c r="D527" i="5" a="1"/>
  <c r="D543" i="5" a="1"/>
  <c r="D524" i="5" a="1"/>
  <c r="D536" i="5" a="1"/>
  <c r="D379" i="5" a="1"/>
  <c r="D417" i="5" a="1"/>
  <c r="D422" i="5" a="1"/>
  <c r="D336" i="5" a="1"/>
  <c r="D545" i="5" a="1"/>
  <c r="D428" i="5" a="1"/>
  <c r="D478" i="5" a="1"/>
  <c r="D570" i="5" a="1"/>
  <c r="D2" i="5" a="1"/>
  <c r="D19" i="5" a="1"/>
  <c r="D4" i="5" a="1"/>
  <c r="D9" i="5" a="1"/>
  <c r="D6" i="5" a="1"/>
  <c r="D38" i="5" a="1"/>
  <c r="D70" i="5" a="1"/>
  <c r="D102" i="5" a="1"/>
  <c r="D95" i="5" a="1"/>
  <c r="D156" i="5" a="1"/>
  <c r="D220" i="5" a="1"/>
  <c r="D284" i="5" a="1"/>
  <c r="D346" i="5" a="1"/>
  <c r="D36" i="5" a="1"/>
  <c r="D114" i="5" a="1"/>
  <c r="D178" i="5" a="1"/>
  <c r="D242" i="5" a="1"/>
  <c r="D306" i="5" a="1"/>
  <c r="D52" i="5" a="1"/>
  <c r="D85" i="5" a="1"/>
  <c r="D148" i="5" a="1"/>
  <c r="D212" i="5" a="1"/>
  <c r="D276" i="5" a="1"/>
  <c r="D340" i="5" a="1"/>
  <c r="D373" i="5" a="1"/>
  <c r="D134" i="5" a="1"/>
  <c r="D226" i="5" a="1"/>
  <c r="D328" i="5" a="1"/>
  <c r="D419" i="5" a="1"/>
  <c r="D483" i="5" a="1"/>
  <c r="D155" i="5" a="1"/>
  <c r="D247" i="5" a="1"/>
  <c r="D347" i="5" a="1"/>
  <c r="D429" i="5" a="1"/>
  <c r="D493" i="5" a="1"/>
  <c r="D136" i="5" a="1"/>
  <c r="D249" i="5" a="1"/>
  <c r="D348" i="5" a="1"/>
  <c r="D425" i="5" a="1"/>
  <c r="D489" i="5" a="1"/>
  <c r="D158" i="5" a="1"/>
  <c r="D260" i="5" a="1"/>
  <c r="D368" i="5" a="1"/>
  <c r="D439" i="5" a="1"/>
  <c r="D81" i="5" a="1"/>
  <c r="D200" i="5" a="1"/>
  <c r="D313" i="5" a="1"/>
  <c r="D403" i="5" a="1"/>
  <c r="D467" i="5" a="1"/>
  <c r="D108" i="5" a="1"/>
  <c r="D211" i="5" a="1"/>
  <c r="D314" i="5" a="1"/>
  <c r="D404" i="5" a="1"/>
  <c r="D468" i="5" a="1"/>
  <c r="D97" i="5" a="1"/>
  <c r="D213" i="5" a="1"/>
  <c r="D315" i="5" a="1"/>
  <c r="D409" i="5" a="1"/>
  <c r="D473" i="5" a="1"/>
  <c r="D537" i="5" a="1"/>
  <c r="D569" i="5" a="1"/>
  <c r="D163" i="5" a="1"/>
  <c r="D266" i="5" a="1"/>
  <c r="D382" i="5" a="1"/>
  <c r="D567" i="5" a="1"/>
  <c r="D535" i="5" a="1"/>
  <c r="D568" i="5" a="1"/>
  <c r="D546" i="5" a="1"/>
  <c r="D551" i="5" a="1"/>
  <c r="D538" i="5" a="1"/>
  <c r="D552" i="5" a="1"/>
  <c r="D529" i="5" a="1"/>
  <c r="D559" i="5" a="1"/>
  <c r="D443" i="5" a="1"/>
  <c r="D241" i="5" a="1"/>
  <c r="D130" i="5" a="1"/>
  <c r="D486" i="5" a="1"/>
  <c r="D427" i="5" a="1"/>
  <c r="D183" i="5" a="1"/>
  <c r="D396" i="5" a="1"/>
  <c r="D574" i="5" a="1"/>
  <c r="D23" i="5" a="1"/>
  <c r="D8" i="5" a="1"/>
  <c r="D13" i="5" a="1"/>
  <c r="D10" i="5" a="1"/>
  <c r="D42" i="5" a="1"/>
  <c r="D74" i="5" a="1"/>
  <c r="D106" i="5" a="1"/>
  <c r="D103" i="5" a="1"/>
  <c r="D169" i="5" a="1"/>
  <c r="D233" i="5" a="1"/>
  <c r="D297" i="5" a="1"/>
  <c r="D350" i="5" a="1"/>
  <c r="D48" i="5" a="1"/>
  <c r="D120" i="5" a="1"/>
  <c r="D184" i="5" a="1"/>
  <c r="D248" i="5" a="1"/>
  <c r="D312" i="5" a="1"/>
  <c r="D60" i="5" a="1"/>
  <c r="D93" i="5" a="1"/>
  <c r="D161" i="5" a="1"/>
  <c r="D225" i="5" a="1"/>
  <c r="D289" i="5" a="1"/>
  <c r="D345" i="5" a="1"/>
  <c r="D377" i="5" a="1"/>
  <c r="D144" i="5" a="1"/>
  <c r="D236" i="5" a="1"/>
  <c r="D359" i="5" a="1"/>
  <c r="D424" i="5" a="1"/>
  <c r="D488" i="5" a="1"/>
  <c r="D166" i="5" a="1"/>
  <c r="D258" i="5" a="1"/>
  <c r="D360" i="5" a="1"/>
  <c r="D438" i="5" a="1"/>
  <c r="D502" i="5" a="1"/>
  <c r="D157" i="5" a="1"/>
  <c r="D259" i="5" a="1"/>
  <c r="D367" i="5" a="1"/>
  <c r="D434" i="5" a="1"/>
  <c r="D80" i="5" a="1"/>
  <c r="D168" i="5" a="1"/>
  <c r="D281" i="5" a="1"/>
  <c r="D380" i="5" a="1"/>
  <c r="D444" i="5" a="1"/>
  <c r="D107" i="5" a="1"/>
  <c r="D221" i="5" a="1"/>
  <c r="D323" i="5" a="1"/>
  <c r="D408" i="5" a="1"/>
  <c r="D472" i="5" a="1"/>
  <c r="D119" i="5" a="1"/>
  <c r="D222" i="5" a="1"/>
  <c r="D324" i="5" a="1"/>
  <c r="D413" i="5" a="1"/>
  <c r="D477" i="5" a="1"/>
  <c r="D121" i="5" a="1"/>
  <c r="D223" i="5" a="1"/>
  <c r="D326" i="5" a="1"/>
  <c r="D418" i="5" a="1"/>
  <c r="D482" i="5" a="1"/>
  <c r="D541" i="5" a="1"/>
  <c r="D573" i="5" a="1"/>
  <c r="D173" i="5" a="1"/>
  <c r="D275" i="5" a="1"/>
  <c r="D391" i="5" a="1"/>
  <c r="D576" i="5" a="1"/>
  <c r="D540" i="5" a="1"/>
  <c r="D405" i="5" a="1"/>
  <c r="D555" i="5" a="1"/>
  <c r="D560" i="5" a="1"/>
  <c r="D547" i="5" a="1"/>
  <c r="D566" i="5" a="1"/>
  <c r="D534" i="5" a="1"/>
  <c r="D556" i="5" a="1"/>
  <c r="D511" i="5" a="1"/>
  <c r="D333" i="5" a="1"/>
  <c r="D344" i="5" a="1"/>
  <c r="D234" i="5" a="1"/>
  <c r="D491" i="5" a="1"/>
  <c r="D286" i="5" a="1"/>
  <c r="D564" i="5" a="1"/>
  <c r="D575" i="5" a="1"/>
  <c r="D27" i="5" a="1"/>
  <c r="D12" i="5" a="1"/>
  <c r="D17" i="5" a="1"/>
  <c r="D14" i="5" a="1"/>
  <c r="D46" i="5" a="1"/>
  <c r="D78" i="5" a="1"/>
  <c r="D110" i="5" a="1"/>
  <c r="D111" i="5" a="1"/>
  <c r="D175" i="5" a="1"/>
  <c r="D239" i="5" a="1"/>
  <c r="D303" i="5" a="1"/>
  <c r="D354" i="5" a="1"/>
  <c r="D56" i="5" a="1"/>
  <c r="D133" i="5" a="1"/>
  <c r="D197" i="5" a="1"/>
  <c r="D261" i="5" a="1"/>
  <c r="D325" i="5" a="1"/>
  <c r="D68" i="5" a="1"/>
  <c r="D101" i="5" a="1"/>
  <c r="D167" i="5" a="1"/>
  <c r="D231" i="5" a="1"/>
  <c r="D295" i="5" a="1"/>
  <c r="D349" i="5" a="1"/>
  <c r="D32" i="5" a="1"/>
  <c r="D154" i="5" a="1"/>
  <c r="D256" i="5" a="1"/>
  <c r="D372" i="5" a="1"/>
  <c r="D433" i="5" a="1"/>
  <c r="D497" i="5" a="1"/>
  <c r="D176" i="5" a="1"/>
  <c r="D268" i="5" a="1"/>
  <c r="D383" i="5" a="1"/>
  <c r="D447" i="5" a="1"/>
  <c r="D177" i="5" a="1"/>
  <c r="D269" i="5" a="1"/>
  <c r="D92" i="5" a="1"/>
  <c r="D189" i="5" a="1"/>
  <c r="D291" i="5" a="1"/>
  <c r="D389" i="5" a="1"/>
  <c r="D453" i="5" a="1"/>
  <c r="D128" i="5" a="1"/>
  <c r="D481" i="5" a="1"/>
  <c r="D232" i="5" a="1"/>
  <c r="D131" i="5" a="1"/>
  <c r="D72" i="5" a="1"/>
  <c r="D554" i="5" a="1"/>
  <c r="D539" i="5" a="1"/>
  <c r="D31" i="5" a="1"/>
  <c r="D16" i="5" a="1"/>
  <c r="D21" i="5" a="1"/>
  <c r="D18" i="5" a="1"/>
  <c r="D50" i="5" a="1"/>
  <c r="D82" i="5" a="1"/>
  <c r="D55" i="5" a="1"/>
  <c r="D118" i="5" a="1"/>
  <c r="D182" i="5" a="1"/>
  <c r="D246" i="5" a="1"/>
  <c r="D310" i="5" a="1"/>
  <c r="D358" i="5" a="1"/>
  <c r="D49" i="5" a="1"/>
  <c r="D139" i="5" a="1"/>
  <c r="D203" i="5" a="1"/>
  <c r="D267" i="5" a="1"/>
  <c r="D331" i="5" a="1"/>
  <c r="D44" i="5" a="1"/>
  <c r="D109" i="5" a="1"/>
  <c r="D174" i="5" a="1"/>
  <c r="D238" i="5" a="1"/>
  <c r="D302" i="5" a="1"/>
  <c r="D353" i="5" a="1"/>
  <c r="D75" i="5" a="1"/>
  <c r="D164" i="5" a="1"/>
  <c r="D277" i="5" a="1"/>
  <c r="D378" i="5" a="1"/>
  <c r="D442" i="5" a="1"/>
  <c r="D45" i="5" a="1"/>
  <c r="D186" i="5" a="1"/>
  <c r="D288" i="5" a="1"/>
  <c r="D388" i="5" a="1"/>
  <c r="D452" i="5" a="1"/>
  <c r="D516" i="5" a="1"/>
  <c r="D187" i="5" a="1"/>
  <c r="D279" i="5" a="1"/>
  <c r="D384" i="5" a="1"/>
  <c r="D448" i="5" a="1"/>
  <c r="D105" i="5" a="1"/>
  <c r="D209" i="5" a="1"/>
  <c r="D301" i="5" a="1"/>
  <c r="D398" i="5" a="1"/>
  <c r="D462" i="5" a="1"/>
  <c r="D149" i="5" a="1"/>
  <c r="D251" i="5" a="1"/>
  <c r="D343" i="5" a="1"/>
  <c r="D426" i="5" a="1"/>
  <c r="D490" i="5" a="1"/>
  <c r="D140" i="5" a="1"/>
  <c r="D253" i="5" a="1"/>
  <c r="D363" i="5" a="1"/>
  <c r="D431" i="5" a="1"/>
  <c r="D495" i="5" a="1"/>
  <c r="D141" i="5" a="1"/>
  <c r="D243" i="5" a="1"/>
  <c r="D351" i="5" a="1"/>
  <c r="D432" i="5" a="1"/>
  <c r="D496" i="5" a="1"/>
  <c r="D549" i="5" a="1"/>
  <c r="D99" i="5" a="1"/>
  <c r="D194" i="5" a="1"/>
  <c r="D296" i="5" a="1"/>
  <c r="D504" i="5" a="1"/>
  <c r="D469" i="5" a="1"/>
  <c r="D563" i="5" a="1"/>
  <c r="D498" i="5" a="1"/>
  <c r="D446" i="5" a="1"/>
  <c r="D414" i="5" a="1"/>
  <c r="D533" i="5" a="1"/>
  <c r="D423" i="5" a="1"/>
  <c r="D548" i="5" a="1"/>
  <c r="D510" i="5" a="1"/>
  <c r="D138" i="5" a="1"/>
  <c r="D385" i="5" a="1"/>
  <c r="D390" i="5" a="1"/>
  <c r="D285" i="5" a="1"/>
  <c r="D523" i="5" a="1"/>
  <c r="D245" i="5" a="1"/>
  <c r="D525" i="5" a="1"/>
  <c r="D522" i="5" a="1"/>
  <c r="D506" i="5" a="1"/>
  <c r="D3" i="5" a="1"/>
  <c r="D35" i="5" a="1"/>
  <c r="D20" i="5" a="1"/>
  <c r="D25" i="5" a="1"/>
  <c r="D22" i="5" a="1"/>
  <c r="D54" i="5" a="1"/>
  <c r="D86" i="5" a="1"/>
  <c r="D63" i="5" a="1"/>
  <c r="D124" i="5" a="1"/>
  <c r="D188" i="5" a="1"/>
  <c r="D252" i="5" a="1"/>
  <c r="D316" i="5" a="1"/>
  <c r="D362" i="5" a="1"/>
  <c r="D57" i="5" a="1"/>
  <c r="D146" i="5" a="1"/>
  <c r="D210" i="5" a="1"/>
  <c r="D274" i="5" a="1"/>
  <c r="D338" i="5" a="1"/>
  <c r="D53" i="5" a="1"/>
  <c r="D116" i="5" a="1"/>
  <c r="D180" i="5" a="1"/>
  <c r="D244" i="5" a="1"/>
  <c r="D308" i="5" a="1"/>
  <c r="D357" i="5" a="1"/>
  <c r="D88" i="5" a="1"/>
  <c r="D185" i="5" a="1"/>
  <c r="D287" i="5" a="1"/>
  <c r="D387" i="5" a="1"/>
  <c r="D451" i="5" a="1"/>
  <c r="D76" i="5" a="1"/>
  <c r="D196" i="5" a="1"/>
  <c r="D309" i="5" a="1"/>
  <c r="D397" i="5" a="1"/>
  <c r="D461" i="5" a="1"/>
  <c r="D91" i="5" a="1"/>
  <c r="D198" i="5" a="1"/>
  <c r="D290" i="5" a="1"/>
  <c r="D393" i="5" a="1"/>
  <c r="D457" i="5" a="1"/>
  <c r="D117" i="5" a="1"/>
  <c r="D219" i="5" a="1"/>
  <c r="D311" i="5" a="1"/>
  <c r="D407" i="5" a="1"/>
  <c r="D471" i="5" a="1"/>
  <c r="D159" i="5" a="1"/>
  <c r="D262" i="5" a="1"/>
  <c r="D356" i="5" a="1"/>
  <c r="D435" i="5" a="1"/>
  <c r="D499" i="5" a="1"/>
  <c r="D160" i="5" a="1"/>
  <c r="D273" i="5" a="1"/>
  <c r="D376" i="5" a="1"/>
  <c r="D436" i="5" a="1"/>
  <c r="D500" i="5" a="1"/>
  <c r="D151" i="5" a="1"/>
  <c r="D254" i="5" a="1"/>
  <c r="D364" i="5" a="1"/>
  <c r="D441" i="5" a="1"/>
  <c r="D505" i="5" a="1"/>
  <c r="D553" i="5" a="1"/>
  <c r="D112" i="5" a="1"/>
  <c r="D204" i="5" a="1"/>
  <c r="D317" i="5" a="1"/>
  <c r="D512" i="5" a="1"/>
  <c r="D494" i="5" a="1"/>
  <c r="D572" i="5" a="1"/>
  <c r="D507" i="5" a="1"/>
  <c r="D508" i="5" a="1"/>
  <c r="D487" i="5" a="1"/>
  <c r="D455" i="5" a="1"/>
  <c r="D460" i="5" a="1"/>
  <c r="D562" i="5" a="1"/>
  <c r="D492" i="5" a="1"/>
  <c r="D240" i="5" a="1"/>
  <c r="D282" i="5" a="1"/>
  <c r="D191" i="5" a="1"/>
  <c r="D172" i="5" a="1"/>
  <c r="D561" i="5" a="1"/>
  <c r="D544" i="5" a="1"/>
  <c r="D532" i="5" a="1"/>
  <c r="D7" i="5" a="1"/>
  <c r="D39" i="5" a="1"/>
  <c r="D24" i="5" a="1"/>
  <c r="D29" i="5" a="1"/>
  <c r="D26" i="5" a="1"/>
  <c r="D58" i="5" a="1"/>
  <c r="D90" i="5" a="1"/>
  <c r="D71" i="5" a="1"/>
  <c r="D137" i="5" a="1"/>
  <c r="D201" i="5" a="1"/>
  <c r="D265" i="5" a="1"/>
  <c r="D329" i="5" a="1"/>
  <c r="D366" i="5" a="1"/>
  <c r="D65" i="5" a="1"/>
  <c r="D152" i="5" a="1"/>
  <c r="D216" i="5" a="1"/>
  <c r="D280" i="5" a="1"/>
  <c r="D41" i="5" a="1"/>
  <c r="D61" i="5" a="1"/>
  <c r="D129" i="5" a="1"/>
  <c r="D193" i="5" a="1"/>
  <c r="D257" i="5" a="1"/>
  <c r="D321" i="5" a="1"/>
  <c r="D361" i="5" a="1"/>
  <c r="D100" i="5" a="1"/>
  <c r="D195" i="5" a="1"/>
  <c r="D298" i="5" a="1"/>
  <c r="D392" i="5" a="1"/>
  <c r="D456" i="5" a="1"/>
  <c r="D89" i="5" a="1"/>
  <c r="D217" i="5" a="1"/>
  <c r="D319" i="5" a="1"/>
  <c r="D406" i="5" a="1"/>
  <c r="D470" i="5" a="1"/>
  <c r="D104" i="5" a="1"/>
  <c r="D208" i="5" a="1"/>
  <c r="D300" i="5" a="1"/>
  <c r="D402" i="5" a="1"/>
  <c r="D466" i="5" a="1"/>
  <c r="D127" i="5" a="1"/>
  <c r="D230" i="5" a="1"/>
  <c r="D322" i="5" a="1"/>
  <c r="D412" i="5" a="1"/>
  <c r="D476" i="5" a="1"/>
  <c r="D170" i="5" a="1"/>
  <c r="D272" i="5" a="1"/>
  <c r="D375" i="5" a="1"/>
  <c r="D440" i="5" a="1"/>
  <c r="D67" i="5" a="1"/>
  <c r="D181" i="5" a="1"/>
  <c r="D283" i="5" a="1"/>
  <c r="D381" i="5" a="1"/>
  <c r="D445" i="5" a="1"/>
  <c r="D509" i="5" a="1"/>
  <c r="D162" i="5" a="1"/>
  <c r="D264" i="5" a="1"/>
  <c r="D386" i="5" a="1"/>
  <c r="D450" i="5" a="1"/>
  <c r="D514" i="5" a="1"/>
  <c r="D557" i="5" a="1"/>
  <c r="D122" i="5" a="1"/>
  <c r="D224" i="5" a="1"/>
  <c r="D337" i="5" a="1"/>
  <c r="D519" i="5" a="1"/>
  <c r="D520" i="5" a="1"/>
  <c r="D437" i="5" a="1"/>
  <c r="D521" i="5" a="1"/>
  <c r="D515" i="5" a="1"/>
  <c r="D501" i="5" a="1"/>
  <c r="D571" i="5" a="1"/>
  <c r="D421" i="5" a="1"/>
  <c r="D83" i="5" a="1"/>
  <c r="D454" i="5" a="1"/>
  <c r="D459" i="5" a="1"/>
  <c r="D352" i="5" a="1"/>
  <c r="D526" i="5" a="1"/>
  <c r="D503" i="5" a="1"/>
  <c r="D556" i="5" l="1"/>
  <c r="D559" i="5"/>
  <c r="D536" i="5"/>
  <c r="D506" i="5"/>
  <c r="D571" i="5"/>
  <c r="D562" i="5"/>
  <c r="D548" i="5"/>
  <c r="D539" i="5"/>
  <c r="D534" i="5"/>
  <c r="D529" i="5"/>
  <c r="D524" i="5"/>
  <c r="D503" i="5"/>
  <c r="D492" i="5"/>
  <c r="D460" i="5"/>
  <c r="D423" i="5"/>
  <c r="D575" i="5"/>
  <c r="D566" i="5"/>
  <c r="D552" i="5"/>
  <c r="D543" i="5"/>
  <c r="D517" i="5"/>
  <c r="D510" i="5"/>
  <c r="D455" i="5"/>
  <c r="D533" i="5"/>
  <c r="D570" i="5"/>
  <c r="D547" i="5"/>
  <c r="D538" i="5"/>
  <c r="D527" i="5"/>
  <c r="D522" i="5"/>
  <c r="D501" i="5"/>
  <c r="D487" i="5"/>
  <c r="D414" i="5"/>
  <c r="D574" i="5"/>
  <c r="D560" i="5"/>
  <c r="D551" i="5"/>
  <c r="D542" i="5"/>
  <c r="D532" i="5"/>
  <c r="D515" i="5"/>
  <c r="D508" i="5"/>
  <c r="D446" i="5"/>
  <c r="D564" i="5"/>
  <c r="D555" i="5"/>
  <c r="D546" i="5"/>
  <c r="D531" i="5"/>
  <c r="D526" i="5"/>
  <c r="D521" i="5"/>
  <c r="D507" i="5"/>
  <c r="D498" i="5"/>
  <c r="D478" i="5"/>
  <c r="D405" i="5"/>
  <c r="D568" i="5"/>
  <c r="D550" i="5"/>
  <c r="D513" i="5"/>
  <c r="D437" i="5"/>
  <c r="D572" i="5"/>
  <c r="D563" i="5"/>
  <c r="D554" i="5"/>
  <c r="D540" i="5"/>
  <c r="D535" i="5"/>
  <c r="D530" i="5"/>
  <c r="D525" i="5"/>
  <c r="D520" i="5"/>
  <c r="D494" i="5"/>
  <c r="D469" i="5"/>
  <c r="D396" i="5"/>
  <c r="D576" i="5"/>
  <c r="D567" i="5"/>
  <c r="D558" i="5"/>
  <c r="D544" i="5"/>
  <c r="D519" i="5"/>
  <c r="D512" i="5"/>
  <c r="D504" i="5"/>
  <c r="D428" i="5"/>
  <c r="D391" i="5"/>
  <c r="D382" i="5"/>
  <c r="D371" i="5"/>
  <c r="D352" i="5"/>
  <c r="D337" i="5"/>
  <c r="D317" i="5"/>
  <c r="D296" i="5"/>
  <c r="D286" i="5"/>
  <c r="D275" i="5"/>
  <c r="D266" i="5"/>
  <c r="D255" i="5"/>
  <c r="D245" i="5"/>
  <c r="D224" i="5"/>
  <c r="D204" i="5"/>
  <c r="D194" i="5"/>
  <c r="D183" i="5"/>
  <c r="D173" i="5"/>
  <c r="D163" i="5"/>
  <c r="D153" i="5"/>
  <c r="D132" i="5"/>
  <c r="D122" i="5"/>
  <c r="D112" i="5"/>
  <c r="D99" i="5"/>
  <c r="D72" i="5"/>
  <c r="D573" i="5"/>
  <c r="D569" i="5"/>
  <c r="D565" i="5"/>
  <c r="D561" i="5"/>
  <c r="D557" i="5"/>
  <c r="D553" i="5"/>
  <c r="D549" i="5"/>
  <c r="D545" i="5"/>
  <c r="D541" i="5"/>
  <c r="D537" i="5"/>
  <c r="D528" i="5"/>
  <c r="D523" i="5"/>
  <c r="D514" i="5"/>
  <c r="D505" i="5"/>
  <c r="D496" i="5"/>
  <c r="D491" i="5"/>
  <c r="D482" i="5"/>
  <c r="D473" i="5"/>
  <c r="D464" i="5"/>
  <c r="D459" i="5"/>
  <c r="D450" i="5"/>
  <c r="D441" i="5"/>
  <c r="D432" i="5"/>
  <c r="D427" i="5"/>
  <c r="D418" i="5"/>
  <c r="D409" i="5"/>
  <c r="D400" i="5"/>
  <c r="D395" i="5"/>
  <c r="D386" i="5"/>
  <c r="D364" i="5"/>
  <c r="D351" i="5"/>
  <c r="D336" i="5"/>
  <c r="D326" i="5"/>
  <c r="D315" i="5"/>
  <c r="D305" i="5"/>
  <c r="D285" i="5"/>
  <c r="D264" i="5"/>
  <c r="D254" i="5"/>
  <c r="D243" i="5"/>
  <c r="D234" i="5"/>
  <c r="D223" i="5"/>
  <c r="D213" i="5"/>
  <c r="D192" i="5"/>
  <c r="D172" i="5"/>
  <c r="D162" i="5"/>
  <c r="D151" i="5"/>
  <c r="D141" i="5"/>
  <c r="D131" i="5"/>
  <c r="D121" i="5"/>
  <c r="D97" i="5"/>
  <c r="D84" i="5"/>
  <c r="D518" i="5"/>
  <c r="D509" i="5"/>
  <c r="D500" i="5"/>
  <c r="D495" i="5"/>
  <c r="D486" i="5"/>
  <c r="D477" i="5"/>
  <c r="D468" i="5"/>
  <c r="D463" i="5"/>
  <c r="D454" i="5"/>
  <c r="D445" i="5"/>
  <c r="D436" i="5"/>
  <c r="D431" i="5"/>
  <c r="D422" i="5"/>
  <c r="D413" i="5"/>
  <c r="D404" i="5"/>
  <c r="D399" i="5"/>
  <c r="D390" i="5"/>
  <c r="D381" i="5"/>
  <c r="D376" i="5"/>
  <c r="D363" i="5"/>
  <c r="D344" i="5"/>
  <c r="D324" i="5"/>
  <c r="D314" i="5"/>
  <c r="D304" i="5"/>
  <c r="D294" i="5"/>
  <c r="D283" i="5"/>
  <c r="D273" i="5"/>
  <c r="D253" i="5"/>
  <c r="D232" i="5"/>
  <c r="D222" i="5"/>
  <c r="D211" i="5"/>
  <c r="D202" i="5"/>
  <c r="D191" i="5"/>
  <c r="D181" i="5"/>
  <c r="D160" i="5"/>
  <c r="D140" i="5"/>
  <c r="D130" i="5"/>
  <c r="D119" i="5"/>
  <c r="D108" i="5"/>
  <c r="D96" i="5"/>
  <c r="D83" i="5"/>
  <c r="D67" i="5"/>
  <c r="D499" i="5"/>
  <c r="D490" i="5"/>
  <c r="D481" i="5"/>
  <c r="D472" i="5"/>
  <c r="D467" i="5"/>
  <c r="D458" i="5"/>
  <c r="D449" i="5"/>
  <c r="D440" i="5"/>
  <c r="D435" i="5"/>
  <c r="D426" i="5"/>
  <c r="D417" i="5"/>
  <c r="D408" i="5"/>
  <c r="D403" i="5"/>
  <c r="D394" i="5"/>
  <c r="D385" i="5"/>
  <c r="D375" i="5"/>
  <c r="D356" i="5"/>
  <c r="D343" i="5"/>
  <c r="D333" i="5"/>
  <c r="D323" i="5"/>
  <c r="D313" i="5"/>
  <c r="D292" i="5"/>
  <c r="D282" i="5"/>
  <c r="D272" i="5"/>
  <c r="D262" i="5"/>
  <c r="D251" i="5"/>
  <c r="D241" i="5"/>
  <c r="D221" i="5"/>
  <c r="D200" i="5"/>
  <c r="D190" i="5"/>
  <c r="D179" i="5"/>
  <c r="D170" i="5"/>
  <c r="D159" i="5"/>
  <c r="D149" i="5"/>
  <c r="D128" i="5"/>
  <c r="D107" i="5"/>
  <c r="D81" i="5"/>
  <c r="D64" i="5"/>
  <c r="D485" i="5"/>
  <c r="D476" i="5"/>
  <c r="D471" i="5"/>
  <c r="D462" i="5"/>
  <c r="D453" i="5"/>
  <c r="D444" i="5"/>
  <c r="D439" i="5"/>
  <c r="D430" i="5"/>
  <c r="D421" i="5"/>
  <c r="D412" i="5"/>
  <c r="D407" i="5"/>
  <c r="D398" i="5"/>
  <c r="D389" i="5"/>
  <c r="D380" i="5"/>
  <c r="D368" i="5"/>
  <c r="D355" i="5"/>
  <c r="D332" i="5"/>
  <c r="D322" i="5"/>
  <c r="D311" i="5"/>
  <c r="D301" i="5"/>
  <c r="D291" i="5"/>
  <c r="D281" i="5"/>
  <c r="D260" i="5"/>
  <c r="D250" i="5"/>
  <c r="D240" i="5"/>
  <c r="D230" i="5"/>
  <c r="D219" i="5"/>
  <c r="D209" i="5"/>
  <c r="D189" i="5"/>
  <c r="D168" i="5"/>
  <c r="D158" i="5"/>
  <c r="D147" i="5"/>
  <c r="D138" i="5"/>
  <c r="D127" i="5"/>
  <c r="D117" i="5"/>
  <c r="D105" i="5"/>
  <c r="D92" i="5"/>
  <c r="D80" i="5"/>
  <c r="D489" i="5"/>
  <c r="D480" i="5"/>
  <c r="D475" i="5"/>
  <c r="D466" i="5"/>
  <c r="D457" i="5"/>
  <c r="D448" i="5"/>
  <c r="D443" i="5"/>
  <c r="D434" i="5"/>
  <c r="D425" i="5"/>
  <c r="D416" i="5"/>
  <c r="D411" i="5"/>
  <c r="D402" i="5"/>
  <c r="D393" i="5"/>
  <c r="D384" i="5"/>
  <c r="D379" i="5"/>
  <c r="D367" i="5"/>
  <c r="D348" i="5"/>
  <c r="D341" i="5"/>
  <c r="D320" i="5"/>
  <c r="D300" i="5"/>
  <c r="D290" i="5"/>
  <c r="D279" i="5"/>
  <c r="D269" i="5"/>
  <c r="D259" i="5"/>
  <c r="D249" i="5"/>
  <c r="D228" i="5"/>
  <c r="D218" i="5"/>
  <c r="D208" i="5"/>
  <c r="D198" i="5"/>
  <c r="D187" i="5"/>
  <c r="D177" i="5"/>
  <c r="D157" i="5"/>
  <c r="D136" i="5"/>
  <c r="D126" i="5"/>
  <c r="D115" i="5"/>
  <c r="D104" i="5"/>
  <c r="D91" i="5"/>
  <c r="D516" i="5"/>
  <c r="D511" i="5"/>
  <c r="D502" i="5"/>
  <c r="D493" i="5"/>
  <c r="D484" i="5"/>
  <c r="D479" i="5"/>
  <c r="D470" i="5"/>
  <c r="D461" i="5"/>
  <c r="D452" i="5"/>
  <c r="D447" i="5"/>
  <c r="D438" i="5"/>
  <c r="D429" i="5"/>
  <c r="D420" i="5"/>
  <c r="D415" i="5"/>
  <c r="D406" i="5"/>
  <c r="D397" i="5"/>
  <c r="D388" i="5"/>
  <c r="D383" i="5"/>
  <c r="D360" i="5"/>
  <c r="D347" i="5"/>
  <c r="D339" i="5"/>
  <c r="D330" i="5"/>
  <c r="D319" i="5"/>
  <c r="D309" i="5"/>
  <c r="D288" i="5"/>
  <c r="D268" i="5"/>
  <c r="D258" i="5"/>
  <c r="D247" i="5"/>
  <c r="D237" i="5"/>
  <c r="D227" i="5"/>
  <c r="D217" i="5"/>
  <c r="D196" i="5"/>
  <c r="D186" i="5"/>
  <c r="D176" i="5"/>
  <c r="D166" i="5"/>
  <c r="D155" i="5"/>
  <c r="D145" i="5"/>
  <c r="D125" i="5"/>
  <c r="D89" i="5"/>
  <c r="D76" i="5"/>
  <c r="D45" i="5"/>
  <c r="D497" i="5"/>
  <c r="D488" i="5"/>
  <c r="D483" i="5"/>
  <c r="D474" i="5"/>
  <c r="D465" i="5"/>
  <c r="D456" i="5"/>
  <c r="D451" i="5"/>
  <c r="D442" i="5"/>
  <c r="D433" i="5"/>
  <c r="D424" i="5"/>
  <c r="D419" i="5"/>
  <c r="D410" i="5"/>
  <c r="D401" i="5"/>
  <c r="D392" i="5"/>
  <c r="D387" i="5"/>
  <c r="D378" i="5"/>
  <c r="D372" i="5"/>
  <c r="D359" i="5"/>
  <c r="D328" i="5"/>
  <c r="D318" i="5"/>
  <c r="D307" i="5"/>
  <c r="D298" i="5"/>
  <c r="D287" i="5"/>
  <c r="D277" i="5"/>
  <c r="D256" i="5"/>
  <c r="D236" i="5"/>
  <c r="D226" i="5"/>
  <c r="D215" i="5"/>
  <c r="D205" i="5"/>
  <c r="D195" i="5"/>
  <c r="D185" i="5"/>
  <c r="D164" i="5"/>
  <c r="D154" i="5"/>
  <c r="D144" i="5"/>
  <c r="D134" i="5"/>
  <c r="D123" i="5"/>
  <c r="D113" i="5"/>
  <c r="D100" i="5"/>
  <c r="D88" i="5"/>
  <c r="D75" i="5"/>
  <c r="D32" i="5"/>
  <c r="D377" i="5"/>
  <c r="D373" i="5"/>
  <c r="D369" i="5"/>
  <c r="D365" i="5"/>
  <c r="D361" i="5"/>
  <c r="D357" i="5"/>
  <c r="D353" i="5"/>
  <c r="D349" i="5"/>
  <c r="D345" i="5"/>
  <c r="D340" i="5"/>
  <c r="D334" i="5"/>
  <c r="D327" i="5"/>
  <c r="D321" i="5"/>
  <c r="D308" i="5"/>
  <c r="D302" i="5"/>
  <c r="D295" i="5"/>
  <c r="D289" i="5"/>
  <c r="D276" i="5"/>
  <c r="D270" i="5"/>
  <c r="D263" i="5"/>
  <c r="D257" i="5"/>
  <c r="D244" i="5"/>
  <c r="D238" i="5"/>
  <c r="D231" i="5"/>
  <c r="D225" i="5"/>
  <c r="D212" i="5"/>
  <c r="D206" i="5"/>
  <c r="D199" i="5"/>
  <c r="D193" i="5"/>
  <c r="D180" i="5"/>
  <c r="D174" i="5"/>
  <c r="D167" i="5"/>
  <c r="D161" i="5"/>
  <c r="D148" i="5"/>
  <c r="D142" i="5"/>
  <c r="D135" i="5"/>
  <c r="D129" i="5"/>
  <c r="D116" i="5"/>
  <c r="D109" i="5"/>
  <c r="D101" i="5"/>
  <c r="D93" i="5"/>
  <c r="D85" i="5"/>
  <c r="D77" i="5"/>
  <c r="D69" i="5"/>
  <c r="D61" i="5"/>
  <c r="D53" i="5"/>
  <c r="D44" i="5"/>
  <c r="D68" i="5"/>
  <c r="D60" i="5"/>
  <c r="D52" i="5"/>
  <c r="D59" i="5"/>
  <c r="D51" i="5"/>
  <c r="D41" i="5"/>
  <c r="D338" i="5"/>
  <c r="D331" i="5"/>
  <c r="D325" i="5"/>
  <c r="D312" i="5"/>
  <c r="D306" i="5"/>
  <c r="D299" i="5"/>
  <c r="D293" i="5"/>
  <c r="D280" i="5"/>
  <c r="D274" i="5"/>
  <c r="D267" i="5"/>
  <c r="D261" i="5"/>
  <c r="D248" i="5"/>
  <c r="D242" i="5"/>
  <c r="D235" i="5"/>
  <c r="D229" i="5"/>
  <c r="D216" i="5"/>
  <c r="D210" i="5"/>
  <c r="D203" i="5"/>
  <c r="D197" i="5"/>
  <c r="D184" i="5"/>
  <c r="D178" i="5"/>
  <c r="D171" i="5"/>
  <c r="D165" i="5"/>
  <c r="D152" i="5"/>
  <c r="D146" i="5"/>
  <c r="D139" i="5"/>
  <c r="D133" i="5"/>
  <c r="D120" i="5"/>
  <c r="D114" i="5"/>
  <c r="D40" i="5"/>
  <c r="D73" i="5"/>
  <c r="D65" i="5"/>
  <c r="D57" i="5"/>
  <c r="D49" i="5"/>
  <c r="D56" i="5"/>
  <c r="D48" i="5"/>
  <c r="D36" i="5"/>
  <c r="D374" i="5"/>
  <c r="D370" i="5"/>
  <c r="D366" i="5"/>
  <c r="D362" i="5"/>
  <c r="D358" i="5"/>
  <c r="D354" i="5"/>
  <c r="D350" i="5"/>
  <c r="D346" i="5"/>
  <c r="D342" i="5"/>
  <c r="D335" i="5"/>
  <c r="D329" i="5"/>
  <c r="D316" i="5"/>
  <c r="D310" i="5"/>
  <c r="D303" i="5"/>
  <c r="D297" i="5"/>
  <c r="D284" i="5"/>
  <c r="D278" i="5"/>
  <c r="D271" i="5"/>
  <c r="D265" i="5"/>
  <c r="D252" i="5"/>
  <c r="D246" i="5"/>
  <c r="D239" i="5"/>
  <c r="D233" i="5"/>
  <c r="D220" i="5"/>
  <c r="D214" i="5"/>
  <c r="D207" i="5"/>
  <c r="D201" i="5"/>
  <c r="D188" i="5"/>
  <c r="D182" i="5"/>
  <c r="D175" i="5"/>
  <c r="D169" i="5"/>
  <c r="D156" i="5"/>
  <c r="D150" i="5"/>
  <c r="D143" i="5"/>
  <c r="D137" i="5"/>
  <c r="D124" i="5"/>
  <c r="D118" i="5"/>
  <c r="D111" i="5"/>
  <c r="D103" i="5"/>
  <c r="D95" i="5"/>
  <c r="D87" i="5"/>
  <c r="D79" i="5"/>
  <c r="D71" i="5"/>
  <c r="D63" i="5"/>
  <c r="D55" i="5"/>
  <c r="D110" i="5"/>
  <c r="D106" i="5"/>
  <c r="D102" i="5"/>
  <c r="D98" i="5"/>
  <c r="D94" i="5"/>
  <c r="D90" i="5"/>
  <c r="D86" i="5"/>
  <c r="D82" i="5"/>
  <c r="D78" i="5"/>
  <c r="D74" i="5"/>
  <c r="D70" i="5"/>
  <c r="D66" i="5"/>
  <c r="D62" i="5"/>
  <c r="D58" i="5"/>
  <c r="D54" i="5"/>
  <c r="D50" i="5"/>
  <c r="D46" i="5"/>
  <c r="D42" i="5"/>
  <c r="D38" i="5"/>
  <c r="D34" i="5"/>
  <c r="D30" i="5"/>
  <c r="D26" i="5"/>
  <c r="D22" i="5"/>
  <c r="D18" i="5"/>
  <c r="D14" i="5"/>
  <c r="D10" i="5"/>
  <c r="D6" i="5"/>
  <c r="D37" i="5"/>
  <c r="D33" i="5"/>
  <c r="D29" i="5"/>
  <c r="D25" i="5"/>
  <c r="D21" i="5"/>
  <c r="D17" i="5"/>
  <c r="D13" i="5"/>
  <c r="D9" i="5"/>
  <c r="D5" i="5"/>
  <c r="D28" i="5"/>
  <c r="D24" i="5"/>
  <c r="D20" i="5"/>
  <c r="D16" i="5"/>
  <c r="D12" i="5"/>
  <c r="D8" i="5"/>
  <c r="D4" i="5"/>
  <c r="D47" i="5"/>
  <c r="D43" i="5"/>
  <c r="D39" i="5"/>
  <c r="D35" i="5"/>
  <c r="D31" i="5"/>
  <c r="D27" i="5"/>
  <c r="D23" i="5"/>
  <c r="D19" i="5"/>
  <c r="D15" i="5"/>
  <c r="D11" i="5"/>
  <c r="D7" i="5"/>
  <c r="D3" i="5"/>
  <c r="D2" i="5"/>
  <c r="H24" i="5" l="1"/>
  <c r="H25" i="5" s="1"/>
  <c r="L4" i="5"/>
  <c r="L5" i="5"/>
  <c r="L6" i="5"/>
  <c r="L7" i="5"/>
  <c r="L8" i="5"/>
  <c r="L9" i="5"/>
  <c r="L10" i="5"/>
  <c r="L11" i="5"/>
  <c r="L12" i="5"/>
  <c r="L13" i="5"/>
  <c r="L14" i="5"/>
  <c r="L15" i="5"/>
  <c r="L3" i="5"/>
  <c r="L2" i="5"/>
  <c r="B576" i="5"/>
  <c r="C576" i="5" s="1"/>
  <c r="E576" i="5" s="1"/>
  <c r="B575" i="5"/>
  <c r="C575" i="5" s="1"/>
  <c r="E575" i="5" s="1"/>
  <c r="B574" i="5"/>
  <c r="C574" i="5" s="1"/>
  <c r="E574" i="5" s="1"/>
  <c r="B573" i="5"/>
  <c r="C573" i="5" s="1"/>
  <c r="E573" i="5" s="1"/>
  <c r="B572" i="5"/>
  <c r="C572" i="5" s="1"/>
  <c r="E572" i="5" s="1"/>
  <c r="B571" i="5"/>
  <c r="C571" i="5" s="1"/>
  <c r="E571" i="5" s="1"/>
  <c r="B570" i="5"/>
  <c r="C570" i="5" s="1"/>
  <c r="E570" i="5" s="1"/>
  <c r="B569" i="5"/>
  <c r="C569" i="5" s="1"/>
  <c r="E569" i="5" s="1"/>
  <c r="B568" i="5"/>
  <c r="C568" i="5" s="1"/>
  <c r="E568" i="5" s="1"/>
  <c r="B567" i="5"/>
  <c r="C567" i="5" s="1"/>
  <c r="E567" i="5" s="1"/>
  <c r="B566" i="5"/>
  <c r="C566" i="5" s="1"/>
  <c r="E566" i="5" s="1"/>
  <c r="B565" i="5"/>
  <c r="C565" i="5" s="1"/>
  <c r="E565" i="5" s="1"/>
  <c r="B564" i="5"/>
  <c r="C564" i="5" s="1"/>
  <c r="E564" i="5" s="1"/>
  <c r="B563" i="5"/>
  <c r="C563" i="5" s="1"/>
  <c r="E563" i="5" s="1"/>
  <c r="B562" i="5"/>
  <c r="C562" i="5" s="1"/>
  <c r="E562" i="5" s="1"/>
  <c r="B561" i="5"/>
  <c r="C561" i="5" s="1"/>
  <c r="E561" i="5" s="1"/>
  <c r="B560" i="5"/>
  <c r="C560" i="5" s="1"/>
  <c r="E560" i="5" s="1"/>
  <c r="B559" i="5"/>
  <c r="C559" i="5" s="1"/>
  <c r="E559" i="5" s="1"/>
  <c r="B558" i="5"/>
  <c r="C558" i="5" s="1"/>
  <c r="E558" i="5" s="1"/>
  <c r="B557" i="5"/>
  <c r="C557" i="5" s="1"/>
  <c r="E557" i="5" s="1"/>
  <c r="B556" i="5"/>
  <c r="C556" i="5" s="1"/>
  <c r="E556" i="5" s="1"/>
  <c r="B555" i="5"/>
  <c r="C555" i="5" s="1"/>
  <c r="E555" i="5" s="1"/>
  <c r="B554" i="5"/>
  <c r="C554" i="5" s="1"/>
  <c r="E554" i="5" s="1"/>
  <c r="B553" i="5"/>
  <c r="C553" i="5" s="1"/>
  <c r="E553" i="5" s="1"/>
  <c r="B552" i="5"/>
  <c r="C552" i="5" s="1"/>
  <c r="E552" i="5" s="1"/>
  <c r="B551" i="5"/>
  <c r="C551" i="5" s="1"/>
  <c r="E551" i="5" s="1"/>
  <c r="B550" i="5"/>
  <c r="C550" i="5" s="1"/>
  <c r="E550" i="5" s="1"/>
  <c r="B549" i="5"/>
  <c r="C549" i="5" s="1"/>
  <c r="E549" i="5" s="1"/>
  <c r="B548" i="5"/>
  <c r="C548" i="5" s="1"/>
  <c r="E548" i="5" s="1"/>
  <c r="B547" i="5"/>
  <c r="C547" i="5" s="1"/>
  <c r="E547" i="5" s="1"/>
  <c r="B546" i="5"/>
  <c r="C546" i="5" s="1"/>
  <c r="E546" i="5" s="1"/>
  <c r="B545" i="5"/>
  <c r="C545" i="5" s="1"/>
  <c r="E545" i="5" s="1"/>
  <c r="B544" i="5"/>
  <c r="C544" i="5" s="1"/>
  <c r="E544" i="5" s="1"/>
  <c r="B543" i="5"/>
  <c r="C543" i="5" s="1"/>
  <c r="E543" i="5" s="1"/>
  <c r="B542" i="5"/>
  <c r="C542" i="5" s="1"/>
  <c r="E542" i="5" s="1"/>
  <c r="B541" i="5"/>
  <c r="C541" i="5" s="1"/>
  <c r="E541" i="5" s="1"/>
  <c r="B540" i="5"/>
  <c r="C540" i="5" s="1"/>
  <c r="E540" i="5" s="1"/>
  <c r="B539" i="5"/>
  <c r="C539" i="5" s="1"/>
  <c r="E539" i="5" s="1"/>
  <c r="B538" i="5"/>
  <c r="C538" i="5" s="1"/>
  <c r="E538" i="5" s="1"/>
  <c r="B537" i="5"/>
  <c r="C537" i="5" s="1"/>
  <c r="E537" i="5" s="1"/>
  <c r="B536" i="5"/>
  <c r="C536" i="5" s="1"/>
  <c r="E536" i="5" s="1"/>
  <c r="B535" i="5"/>
  <c r="C535" i="5" s="1"/>
  <c r="E535" i="5" s="1"/>
  <c r="B534" i="5"/>
  <c r="C534" i="5" s="1"/>
  <c r="E534" i="5" s="1"/>
  <c r="B533" i="5"/>
  <c r="C533" i="5" s="1"/>
  <c r="E533" i="5" s="1"/>
  <c r="B532" i="5"/>
  <c r="C532" i="5" s="1"/>
  <c r="E532" i="5" s="1"/>
  <c r="B531" i="5"/>
  <c r="C531" i="5" s="1"/>
  <c r="E531" i="5" s="1"/>
  <c r="B530" i="5"/>
  <c r="C530" i="5" s="1"/>
  <c r="E530" i="5" s="1"/>
  <c r="B529" i="5"/>
  <c r="C529" i="5" s="1"/>
  <c r="E529" i="5" s="1"/>
  <c r="B528" i="5"/>
  <c r="C528" i="5" s="1"/>
  <c r="E528" i="5" s="1"/>
  <c r="B527" i="5"/>
  <c r="C527" i="5" s="1"/>
  <c r="E527" i="5" s="1"/>
  <c r="B526" i="5"/>
  <c r="C526" i="5" s="1"/>
  <c r="E526" i="5" s="1"/>
  <c r="B525" i="5"/>
  <c r="C525" i="5" s="1"/>
  <c r="E525" i="5" s="1"/>
  <c r="B524" i="5"/>
  <c r="C524" i="5" s="1"/>
  <c r="E524" i="5" s="1"/>
  <c r="B523" i="5"/>
  <c r="C523" i="5" s="1"/>
  <c r="E523" i="5" s="1"/>
  <c r="B522" i="5"/>
  <c r="C522" i="5" s="1"/>
  <c r="E522" i="5" s="1"/>
  <c r="B521" i="5"/>
  <c r="C521" i="5" s="1"/>
  <c r="E521" i="5" s="1"/>
  <c r="B520" i="5"/>
  <c r="C520" i="5" s="1"/>
  <c r="E520" i="5" s="1"/>
  <c r="B519" i="5"/>
  <c r="C519" i="5" s="1"/>
  <c r="E519" i="5" s="1"/>
  <c r="B518" i="5"/>
  <c r="C518" i="5" s="1"/>
  <c r="E518" i="5" s="1"/>
  <c r="B517" i="5"/>
  <c r="C517" i="5" s="1"/>
  <c r="E517" i="5" s="1"/>
  <c r="B516" i="5"/>
  <c r="C516" i="5" s="1"/>
  <c r="E516" i="5" s="1"/>
  <c r="B515" i="5"/>
  <c r="C515" i="5" s="1"/>
  <c r="E515" i="5" s="1"/>
  <c r="B514" i="5"/>
  <c r="C514" i="5" s="1"/>
  <c r="E514" i="5" s="1"/>
  <c r="B513" i="5"/>
  <c r="C513" i="5" s="1"/>
  <c r="E513" i="5" s="1"/>
  <c r="B512" i="5"/>
  <c r="C512" i="5" s="1"/>
  <c r="E512" i="5" s="1"/>
  <c r="B511" i="5"/>
  <c r="C511" i="5" s="1"/>
  <c r="E511" i="5" s="1"/>
  <c r="B510" i="5"/>
  <c r="C510" i="5" s="1"/>
  <c r="E510" i="5" s="1"/>
  <c r="B509" i="5"/>
  <c r="C509" i="5" s="1"/>
  <c r="E509" i="5" s="1"/>
  <c r="B508" i="5"/>
  <c r="C508" i="5" s="1"/>
  <c r="E508" i="5" s="1"/>
  <c r="B507" i="5"/>
  <c r="C507" i="5" s="1"/>
  <c r="E507" i="5" s="1"/>
  <c r="B506" i="5"/>
  <c r="C506" i="5" s="1"/>
  <c r="E506" i="5" s="1"/>
  <c r="B505" i="5"/>
  <c r="C505" i="5" s="1"/>
  <c r="E505" i="5" s="1"/>
  <c r="B504" i="5"/>
  <c r="C504" i="5" s="1"/>
  <c r="E504" i="5" s="1"/>
  <c r="B503" i="5"/>
  <c r="C503" i="5" s="1"/>
  <c r="E503" i="5" s="1"/>
  <c r="B502" i="5"/>
  <c r="C502" i="5" s="1"/>
  <c r="E502" i="5" s="1"/>
  <c r="B501" i="5"/>
  <c r="C501" i="5" s="1"/>
  <c r="E501" i="5" s="1"/>
  <c r="B500" i="5"/>
  <c r="C500" i="5" s="1"/>
  <c r="E500" i="5" s="1"/>
  <c r="B499" i="5"/>
  <c r="C499" i="5" s="1"/>
  <c r="E499" i="5" s="1"/>
  <c r="B498" i="5"/>
  <c r="C498" i="5" s="1"/>
  <c r="E498" i="5" s="1"/>
  <c r="B497" i="5"/>
  <c r="C497" i="5" s="1"/>
  <c r="E497" i="5" s="1"/>
  <c r="B496" i="5"/>
  <c r="C496" i="5" s="1"/>
  <c r="E496" i="5" s="1"/>
  <c r="B495" i="5"/>
  <c r="C495" i="5" s="1"/>
  <c r="E495" i="5" s="1"/>
  <c r="B494" i="5"/>
  <c r="C494" i="5" s="1"/>
  <c r="E494" i="5" s="1"/>
  <c r="B493" i="5"/>
  <c r="C493" i="5" s="1"/>
  <c r="E493" i="5" s="1"/>
  <c r="B492" i="5"/>
  <c r="C492" i="5" s="1"/>
  <c r="E492" i="5" s="1"/>
  <c r="B491" i="5"/>
  <c r="C491" i="5" s="1"/>
  <c r="E491" i="5" s="1"/>
  <c r="B490" i="5"/>
  <c r="C490" i="5" s="1"/>
  <c r="E490" i="5" s="1"/>
  <c r="B489" i="5"/>
  <c r="C489" i="5" s="1"/>
  <c r="E489" i="5" s="1"/>
  <c r="B488" i="5"/>
  <c r="C488" i="5" s="1"/>
  <c r="E488" i="5" s="1"/>
  <c r="B487" i="5"/>
  <c r="C487" i="5" s="1"/>
  <c r="E487" i="5" s="1"/>
  <c r="B486" i="5"/>
  <c r="C486" i="5" s="1"/>
  <c r="E486" i="5" s="1"/>
  <c r="B485" i="5"/>
  <c r="C485" i="5" s="1"/>
  <c r="E485" i="5" s="1"/>
  <c r="B484" i="5"/>
  <c r="C484" i="5" s="1"/>
  <c r="E484" i="5" s="1"/>
  <c r="B483" i="5"/>
  <c r="C483" i="5" s="1"/>
  <c r="E483" i="5" s="1"/>
  <c r="B482" i="5"/>
  <c r="C482" i="5" s="1"/>
  <c r="E482" i="5" s="1"/>
  <c r="B481" i="5"/>
  <c r="C481" i="5" s="1"/>
  <c r="E481" i="5" s="1"/>
  <c r="B480" i="5"/>
  <c r="C480" i="5" s="1"/>
  <c r="E480" i="5" s="1"/>
  <c r="B479" i="5"/>
  <c r="C479" i="5" s="1"/>
  <c r="E479" i="5" s="1"/>
  <c r="B478" i="5"/>
  <c r="C478" i="5" s="1"/>
  <c r="E478" i="5" s="1"/>
  <c r="B477" i="5"/>
  <c r="C477" i="5" s="1"/>
  <c r="E477" i="5" s="1"/>
  <c r="B476" i="5"/>
  <c r="C476" i="5" s="1"/>
  <c r="E476" i="5" s="1"/>
  <c r="B475" i="5"/>
  <c r="C475" i="5" s="1"/>
  <c r="E475" i="5" s="1"/>
  <c r="B474" i="5"/>
  <c r="C474" i="5" s="1"/>
  <c r="E474" i="5" s="1"/>
  <c r="B473" i="5"/>
  <c r="C473" i="5" s="1"/>
  <c r="E473" i="5" s="1"/>
  <c r="B472" i="5"/>
  <c r="C472" i="5" s="1"/>
  <c r="E472" i="5" s="1"/>
  <c r="B471" i="5"/>
  <c r="C471" i="5" s="1"/>
  <c r="E471" i="5" s="1"/>
  <c r="B470" i="5"/>
  <c r="C470" i="5" s="1"/>
  <c r="E470" i="5" s="1"/>
  <c r="B469" i="5"/>
  <c r="C469" i="5" s="1"/>
  <c r="E469" i="5" s="1"/>
  <c r="B468" i="5"/>
  <c r="C468" i="5" s="1"/>
  <c r="E468" i="5" s="1"/>
  <c r="B467" i="5"/>
  <c r="C467" i="5" s="1"/>
  <c r="E467" i="5" s="1"/>
  <c r="B466" i="5"/>
  <c r="C466" i="5" s="1"/>
  <c r="E466" i="5" s="1"/>
  <c r="B465" i="5"/>
  <c r="C465" i="5" s="1"/>
  <c r="E465" i="5" s="1"/>
  <c r="B464" i="5"/>
  <c r="C464" i="5" s="1"/>
  <c r="E464" i="5" s="1"/>
  <c r="B463" i="5"/>
  <c r="C463" i="5" s="1"/>
  <c r="E463" i="5" s="1"/>
  <c r="B462" i="5"/>
  <c r="C462" i="5" s="1"/>
  <c r="E462" i="5" s="1"/>
  <c r="B461" i="5"/>
  <c r="C461" i="5" s="1"/>
  <c r="E461" i="5" s="1"/>
  <c r="B460" i="5"/>
  <c r="C460" i="5" s="1"/>
  <c r="E460" i="5" s="1"/>
  <c r="B459" i="5"/>
  <c r="C459" i="5" s="1"/>
  <c r="E459" i="5" s="1"/>
  <c r="B458" i="5"/>
  <c r="C458" i="5" s="1"/>
  <c r="E458" i="5" s="1"/>
  <c r="B457" i="5"/>
  <c r="C457" i="5" s="1"/>
  <c r="E457" i="5" s="1"/>
  <c r="B456" i="5"/>
  <c r="C456" i="5" s="1"/>
  <c r="E456" i="5" s="1"/>
  <c r="B455" i="5"/>
  <c r="C455" i="5" s="1"/>
  <c r="E455" i="5" s="1"/>
  <c r="B454" i="5"/>
  <c r="C454" i="5" s="1"/>
  <c r="E454" i="5" s="1"/>
  <c r="B453" i="5"/>
  <c r="C453" i="5" s="1"/>
  <c r="E453" i="5" s="1"/>
  <c r="B452" i="5"/>
  <c r="C452" i="5" s="1"/>
  <c r="E452" i="5" s="1"/>
  <c r="B451" i="5"/>
  <c r="C451" i="5" s="1"/>
  <c r="E451" i="5" s="1"/>
  <c r="B450" i="5"/>
  <c r="C450" i="5" s="1"/>
  <c r="E450" i="5" s="1"/>
  <c r="B449" i="5"/>
  <c r="C449" i="5" s="1"/>
  <c r="E449" i="5" s="1"/>
  <c r="B448" i="5"/>
  <c r="C448" i="5" s="1"/>
  <c r="E448" i="5" s="1"/>
  <c r="B447" i="5"/>
  <c r="C447" i="5" s="1"/>
  <c r="E447" i="5" s="1"/>
  <c r="B446" i="5"/>
  <c r="C446" i="5" s="1"/>
  <c r="E446" i="5" s="1"/>
  <c r="B445" i="5"/>
  <c r="C445" i="5" s="1"/>
  <c r="E445" i="5" s="1"/>
  <c r="B444" i="5"/>
  <c r="C444" i="5" s="1"/>
  <c r="E444" i="5" s="1"/>
  <c r="B443" i="5"/>
  <c r="C443" i="5" s="1"/>
  <c r="E443" i="5" s="1"/>
  <c r="B442" i="5"/>
  <c r="C442" i="5" s="1"/>
  <c r="E442" i="5" s="1"/>
  <c r="B441" i="5"/>
  <c r="C441" i="5" s="1"/>
  <c r="E441" i="5" s="1"/>
  <c r="B440" i="5"/>
  <c r="C440" i="5" s="1"/>
  <c r="E440" i="5" s="1"/>
  <c r="B439" i="5"/>
  <c r="C439" i="5" s="1"/>
  <c r="E439" i="5" s="1"/>
  <c r="B438" i="5"/>
  <c r="C438" i="5" s="1"/>
  <c r="E438" i="5" s="1"/>
  <c r="B437" i="5"/>
  <c r="C437" i="5" s="1"/>
  <c r="E437" i="5" s="1"/>
  <c r="B436" i="5"/>
  <c r="C436" i="5" s="1"/>
  <c r="E436" i="5" s="1"/>
  <c r="B435" i="5"/>
  <c r="C435" i="5" s="1"/>
  <c r="E435" i="5" s="1"/>
  <c r="B434" i="5"/>
  <c r="C434" i="5" s="1"/>
  <c r="E434" i="5" s="1"/>
  <c r="B433" i="5"/>
  <c r="C433" i="5" s="1"/>
  <c r="E433" i="5" s="1"/>
  <c r="B432" i="5"/>
  <c r="C432" i="5" s="1"/>
  <c r="E432" i="5" s="1"/>
  <c r="B431" i="5"/>
  <c r="C431" i="5" s="1"/>
  <c r="E431" i="5" s="1"/>
  <c r="B430" i="5"/>
  <c r="C430" i="5" s="1"/>
  <c r="E430" i="5" s="1"/>
  <c r="B429" i="5"/>
  <c r="C429" i="5" s="1"/>
  <c r="E429" i="5" s="1"/>
  <c r="B428" i="5"/>
  <c r="C428" i="5" s="1"/>
  <c r="E428" i="5" s="1"/>
  <c r="B427" i="5"/>
  <c r="C427" i="5" s="1"/>
  <c r="E427" i="5" s="1"/>
  <c r="B426" i="5"/>
  <c r="C426" i="5" s="1"/>
  <c r="E426" i="5" s="1"/>
  <c r="B425" i="5"/>
  <c r="C425" i="5" s="1"/>
  <c r="E425" i="5" s="1"/>
  <c r="B424" i="5"/>
  <c r="C424" i="5" s="1"/>
  <c r="E424" i="5" s="1"/>
  <c r="B423" i="5"/>
  <c r="C423" i="5" s="1"/>
  <c r="E423" i="5" s="1"/>
  <c r="B422" i="5"/>
  <c r="C422" i="5" s="1"/>
  <c r="E422" i="5" s="1"/>
  <c r="B421" i="5"/>
  <c r="C421" i="5" s="1"/>
  <c r="E421" i="5" s="1"/>
  <c r="B420" i="5"/>
  <c r="C420" i="5" s="1"/>
  <c r="E420" i="5" s="1"/>
  <c r="B419" i="5"/>
  <c r="C419" i="5" s="1"/>
  <c r="E419" i="5" s="1"/>
  <c r="B418" i="5"/>
  <c r="C418" i="5" s="1"/>
  <c r="E418" i="5" s="1"/>
  <c r="B417" i="5"/>
  <c r="C417" i="5" s="1"/>
  <c r="E417" i="5" s="1"/>
  <c r="B416" i="5"/>
  <c r="C416" i="5" s="1"/>
  <c r="E416" i="5" s="1"/>
  <c r="B415" i="5"/>
  <c r="C415" i="5" s="1"/>
  <c r="E415" i="5" s="1"/>
  <c r="B414" i="5"/>
  <c r="C414" i="5" s="1"/>
  <c r="E414" i="5" s="1"/>
  <c r="B413" i="5"/>
  <c r="C413" i="5" s="1"/>
  <c r="E413" i="5" s="1"/>
  <c r="B412" i="5"/>
  <c r="C412" i="5" s="1"/>
  <c r="E412" i="5" s="1"/>
  <c r="B411" i="5"/>
  <c r="C411" i="5" s="1"/>
  <c r="E411" i="5" s="1"/>
  <c r="B410" i="5"/>
  <c r="C410" i="5" s="1"/>
  <c r="E410" i="5" s="1"/>
  <c r="B409" i="5"/>
  <c r="C409" i="5" s="1"/>
  <c r="E409" i="5" s="1"/>
  <c r="B408" i="5"/>
  <c r="C408" i="5" s="1"/>
  <c r="E408" i="5" s="1"/>
  <c r="B407" i="5"/>
  <c r="C407" i="5" s="1"/>
  <c r="E407" i="5" s="1"/>
  <c r="B406" i="5"/>
  <c r="C406" i="5" s="1"/>
  <c r="E406" i="5" s="1"/>
  <c r="B405" i="5"/>
  <c r="C405" i="5" s="1"/>
  <c r="E405" i="5" s="1"/>
  <c r="B404" i="5"/>
  <c r="C404" i="5" s="1"/>
  <c r="E404" i="5" s="1"/>
  <c r="B403" i="5"/>
  <c r="C403" i="5" s="1"/>
  <c r="E403" i="5" s="1"/>
  <c r="B402" i="5"/>
  <c r="C402" i="5" s="1"/>
  <c r="E402" i="5" s="1"/>
  <c r="B401" i="5"/>
  <c r="C401" i="5" s="1"/>
  <c r="E401" i="5" s="1"/>
  <c r="B400" i="5"/>
  <c r="C400" i="5" s="1"/>
  <c r="E400" i="5" s="1"/>
  <c r="B399" i="5"/>
  <c r="C399" i="5" s="1"/>
  <c r="E399" i="5" s="1"/>
  <c r="B398" i="5"/>
  <c r="C398" i="5" s="1"/>
  <c r="E398" i="5" s="1"/>
  <c r="B397" i="5"/>
  <c r="C397" i="5" s="1"/>
  <c r="E397" i="5" s="1"/>
  <c r="B396" i="5"/>
  <c r="C396" i="5" s="1"/>
  <c r="E396" i="5" s="1"/>
  <c r="B395" i="5"/>
  <c r="C395" i="5" s="1"/>
  <c r="E395" i="5" s="1"/>
  <c r="B394" i="5"/>
  <c r="C394" i="5" s="1"/>
  <c r="E394" i="5" s="1"/>
  <c r="B393" i="5"/>
  <c r="C393" i="5" s="1"/>
  <c r="E393" i="5" s="1"/>
  <c r="B392" i="5"/>
  <c r="C392" i="5" s="1"/>
  <c r="E392" i="5" s="1"/>
  <c r="B391" i="5"/>
  <c r="C391" i="5" s="1"/>
  <c r="E391" i="5" s="1"/>
  <c r="B390" i="5"/>
  <c r="C390" i="5" s="1"/>
  <c r="E390" i="5" s="1"/>
  <c r="B389" i="5"/>
  <c r="C389" i="5" s="1"/>
  <c r="E389" i="5" s="1"/>
  <c r="B388" i="5"/>
  <c r="C388" i="5" s="1"/>
  <c r="E388" i="5" s="1"/>
  <c r="B387" i="5"/>
  <c r="C387" i="5" s="1"/>
  <c r="E387" i="5" s="1"/>
  <c r="B386" i="5"/>
  <c r="C386" i="5" s="1"/>
  <c r="E386" i="5" s="1"/>
  <c r="B385" i="5"/>
  <c r="C385" i="5" s="1"/>
  <c r="E385" i="5" s="1"/>
  <c r="B384" i="5"/>
  <c r="C384" i="5" s="1"/>
  <c r="E384" i="5" s="1"/>
  <c r="B383" i="5"/>
  <c r="C383" i="5" s="1"/>
  <c r="E383" i="5" s="1"/>
  <c r="B382" i="5"/>
  <c r="C382" i="5" s="1"/>
  <c r="E382" i="5" s="1"/>
  <c r="B381" i="5"/>
  <c r="C381" i="5" s="1"/>
  <c r="E381" i="5" s="1"/>
  <c r="B380" i="5"/>
  <c r="C380" i="5" s="1"/>
  <c r="E380" i="5" s="1"/>
  <c r="B379" i="5"/>
  <c r="C379" i="5" s="1"/>
  <c r="E379" i="5" s="1"/>
  <c r="B378" i="5"/>
  <c r="C378" i="5" s="1"/>
  <c r="E378" i="5" s="1"/>
  <c r="B377" i="5"/>
  <c r="C377" i="5" s="1"/>
  <c r="E377" i="5" s="1"/>
  <c r="B376" i="5"/>
  <c r="C376" i="5" s="1"/>
  <c r="E376" i="5" s="1"/>
  <c r="B375" i="5"/>
  <c r="C375" i="5" s="1"/>
  <c r="E375" i="5" s="1"/>
  <c r="B374" i="5"/>
  <c r="C374" i="5" s="1"/>
  <c r="E374" i="5" s="1"/>
  <c r="B373" i="5"/>
  <c r="C373" i="5" s="1"/>
  <c r="E373" i="5" s="1"/>
  <c r="B372" i="5"/>
  <c r="C372" i="5" s="1"/>
  <c r="E372" i="5" s="1"/>
  <c r="B371" i="5"/>
  <c r="C371" i="5" s="1"/>
  <c r="E371" i="5" s="1"/>
  <c r="B370" i="5"/>
  <c r="C370" i="5" s="1"/>
  <c r="E370" i="5" s="1"/>
  <c r="B369" i="5"/>
  <c r="C369" i="5" s="1"/>
  <c r="E369" i="5" s="1"/>
  <c r="B368" i="5"/>
  <c r="C368" i="5" s="1"/>
  <c r="E368" i="5" s="1"/>
  <c r="B367" i="5"/>
  <c r="C367" i="5" s="1"/>
  <c r="E367" i="5" s="1"/>
  <c r="B366" i="5"/>
  <c r="C366" i="5" s="1"/>
  <c r="E366" i="5" s="1"/>
  <c r="B365" i="5"/>
  <c r="C365" i="5" s="1"/>
  <c r="E365" i="5" s="1"/>
  <c r="B364" i="5"/>
  <c r="C364" i="5" s="1"/>
  <c r="E364" i="5" s="1"/>
  <c r="B363" i="5"/>
  <c r="C363" i="5" s="1"/>
  <c r="E363" i="5" s="1"/>
  <c r="B362" i="5"/>
  <c r="C362" i="5" s="1"/>
  <c r="E362" i="5" s="1"/>
  <c r="B361" i="5"/>
  <c r="C361" i="5" s="1"/>
  <c r="E361" i="5" s="1"/>
  <c r="B360" i="5"/>
  <c r="C360" i="5" s="1"/>
  <c r="E360" i="5" s="1"/>
  <c r="B359" i="5"/>
  <c r="C359" i="5" s="1"/>
  <c r="E359" i="5" s="1"/>
  <c r="B358" i="5"/>
  <c r="C358" i="5" s="1"/>
  <c r="E358" i="5" s="1"/>
  <c r="B357" i="5"/>
  <c r="C357" i="5" s="1"/>
  <c r="E357" i="5" s="1"/>
  <c r="B356" i="5"/>
  <c r="C356" i="5" s="1"/>
  <c r="E356" i="5" s="1"/>
  <c r="B355" i="5"/>
  <c r="C355" i="5" s="1"/>
  <c r="E355" i="5" s="1"/>
  <c r="B354" i="5"/>
  <c r="C354" i="5" s="1"/>
  <c r="E354" i="5" s="1"/>
  <c r="B353" i="5"/>
  <c r="C353" i="5" s="1"/>
  <c r="E353" i="5" s="1"/>
  <c r="B352" i="5"/>
  <c r="C352" i="5" s="1"/>
  <c r="E352" i="5" s="1"/>
  <c r="B351" i="5"/>
  <c r="C351" i="5" s="1"/>
  <c r="E351" i="5" s="1"/>
  <c r="B350" i="5"/>
  <c r="C350" i="5" s="1"/>
  <c r="E350" i="5" s="1"/>
  <c r="B349" i="5"/>
  <c r="C349" i="5" s="1"/>
  <c r="E349" i="5" s="1"/>
  <c r="B348" i="5"/>
  <c r="C348" i="5" s="1"/>
  <c r="E348" i="5" s="1"/>
  <c r="B347" i="5"/>
  <c r="C347" i="5" s="1"/>
  <c r="E347" i="5" s="1"/>
  <c r="B346" i="5"/>
  <c r="C346" i="5" s="1"/>
  <c r="E346" i="5" s="1"/>
  <c r="B345" i="5"/>
  <c r="C345" i="5" s="1"/>
  <c r="E345" i="5" s="1"/>
  <c r="B344" i="5"/>
  <c r="C344" i="5" s="1"/>
  <c r="E344" i="5" s="1"/>
  <c r="B343" i="5"/>
  <c r="C343" i="5" s="1"/>
  <c r="E343" i="5" s="1"/>
  <c r="B342" i="5"/>
  <c r="C342" i="5" s="1"/>
  <c r="E342" i="5" s="1"/>
  <c r="B341" i="5"/>
  <c r="C341" i="5" s="1"/>
  <c r="E341" i="5" s="1"/>
  <c r="B340" i="5"/>
  <c r="C340" i="5" s="1"/>
  <c r="E340" i="5" s="1"/>
  <c r="B339" i="5"/>
  <c r="C339" i="5" s="1"/>
  <c r="E339" i="5" s="1"/>
  <c r="B338" i="5"/>
  <c r="C338" i="5" s="1"/>
  <c r="E338" i="5" s="1"/>
  <c r="B337" i="5"/>
  <c r="C337" i="5" s="1"/>
  <c r="E337" i="5" s="1"/>
  <c r="B336" i="5"/>
  <c r="C336" i="5" s="1"/>
  <c r="E336" i="5" s="1"/>
  <c r="B335" i="5"/>
  <c r="C335" i="5" s="1"/>
  <c r="E335" i="5" s="1"/>
  <c r="B334" i="5"/>
  <c r="C334" i="5" s="1"/>
  <c r="E334" i="5" s="1"/>
  <c r="B333" i="5"/>
  <c r="C333" i="5" s="1"/>
  <c r="E333" i="5" s="1"/>
  <c r="B332" i="5"/>
  <c r="C332" i="5" s="1"/>
  <c r="E332" i="5" s="1"/>
  <c r="B331" i="5"/>
  <c r="C331" i="5" s="1"/>
  <c r="E331" i="5" s="1"/>
  <c r="B330" i="5"/>
  <c r="C330" i="5" s="1"/>
  <c r="E330" i="5" s="1"/>
  <c r="B329" i="5"/>
  <c r="C329" i="5" s="1"/>
  <c r="E329" i="5" s="1"/>
  <c r="B328" i="5"/>
  <c r="C328" i="5" s="1"/>
  <c r="E328" i="5" s="1"/>
  <c r="B327" i="5"/>
  <c r="C327" i="5" s="1"/>
  <c r="E327" i="5" s="1"/>
  <c r="B326" i="5"/>
  <c r="C326" i="5" s="1"/>
  <c r="E326" i="5" s="1"/>
  <c r="B325" i="5"/>
  <c r="C325" i="5" s="1"/>
  <c r="E325" i="5" s="1"/>
  <c r="B324" i="5"/>
  <c r="C324" i="5" s="1"/>
  <c r="E324" i="5" s="1"/>
  <c r="B323" i="5"/>
  <c r="C323" i="5" s="1"/>
  <c r="E323" i="5" s="1"/>
  <c r="B322" i="5"/>
  <c r="C322" i="5" s="1"/>
  <c r="E322" i="5" s="1"/>
  <c r="B321" i="5"/>
  <c r="C321" i="5" s="1"/>
  <c r="E321" i="5" s="1"/>
  <c r="B320" i="5"/>
  <c r="C320" i="5" s="1"/>
  <c r="E320" i="5" s="1"/>
  <c r="B319" i="5"/>
  <c r="C319" i="5" s="1"/>
  <c r="E319" i="5" s="1"/>
  <c r="B318" i="5"/>
  <c r="C318" i="5" s="1"/>
  <c r="E318" i="5" s="1"/>
  <c r="B317" i="5"/>
  <c r="C317" i="5" s="1"/>
  <c r="E317" i="5" s="1"/>
  <c r="B316" i="5"/>
  <c r="C316" i="5" s="1"/>
  <c r="E316" i="5" s="1"/>
  <c r="B315" i="5"/>
  <c r="C315" i="5" s="1"/>
  <c r="E315" i="5" s="1"/>
  <c r="B314" i="5"/>
  <c r="C314" i="5" s="1"/>
  <c r="E314" i="5" s="1"/>
  <c r="B313" i="5"/>
  <c r="C313" i="5" s="1"/>
  <c r="E313" i="5" s="1"/>
  <c r="B312" i="5"/>
  <c r="C312" i="5" s="1"/>
  <c r="E312" i="5" s="1"/>
  <c r="B311" i="5"/>
  <c r="C311" i="5" s="1"/>
  <c r="E311" i="5" s="1"/>
  <c r="B310" i="5"/>
  <c r="C310" i="5" s="1"/>
  <c r="E310" i="5" s="1"/>
  <c r="B309" i="5"/>
  <c r="C309" i="5" s="1"/>
  <c r="E309" i="5" s="1"/>
  <c r="B308" i="5"/>
  <c r="C308" i="5" s="1"/>
  <c r="E308" i="5" s="1"/>
  <c r="B307" i="5"/>
  <c r="C307" i="5" s="1"/>
  <c r="E307" i="5" s="1"/>
  <c r="B306" i="5"/>
  <c r="C306" i="5" s="1"/>
  <c r="E306" i="5" s="1"/>
  <c r="B305" i="5"/>
  <c r="C305" i="5" s="1"/>
  <c r="E305" i="5" s="1"/>
  <c r="B304" i="5"/>
  <c r="C304" i="5" s="1"/>
  <c r="E304" i="5" s="1"/>
  <c r="B303" i="5"/>
  <c r="C303" i="5" s="1"/>
  <c r="E303" i="5" s="1"/>
  <c r="B302" i="5"/>
  <c r="C302" i="5" s="1"/>
  <c r="E302" i="5" s="1"/>
  <c r="B301" i="5"/>
  <c r="C301" i="5" s="1"/>
  <c r="E301" i="5" s="1"/>
  <c r="B300" i="5"/>
  <c r="C300" i="5" s="1"/>
  <c r="E300" i="5" s="1"/>
  <c r="B299" i="5"/>
  <c r="C299" i="5" s="1"/>
  <c r="E299" i="5" s="1"/>
  <c r="B298" i="5"/>
  <c r="C298" i="5" s="1"/>
  <c r="E298" i="5" s="1"/>
  <c r="B297" i="5"/>
  <c r="C297" i="5" s="1"/>
  <c r="E297" i="5" s="1"/>
  <c r="B296" i="5"/>
  <c r="C296" i="5" s="1"/>
  <c r="E296" i="5" s="1"/>
  <c r="B295" i="5"/>
  <c r="C295" i="5" s="1"/>
  <c r="E295" i="5" s="1"/>
  <c r="B294" i="5"/>
  <c r="C294" i="5" s="1"/>
  <c r="E294" i="5" s="1"/>
  <c r="B293" i="5"/>
  <c r="C293" i="5" s="1"/>
  <c r="E293" i="5" s="1"/>
  <c r="B292" i="5"/>
  <c r="C292" i="5" s="1"/>
  <c r="E292" i="5" s="1"/>
  <c r="B291" i="5"/>
  <c r="C291" i="5" s="1"/>
  <c r="E291" i="5" s="1"/>
  <c r="B290" i="5"/>
  <c r="C290" i="5" s="1"/>
  <c r="E290" i="5" s="1"/>
  <c r="B289" i="5"/>
  <c r="C289" i="5" s="1"/>
  <c r="E289" i="5" s="1"/>
  <c r="B288" i="5"/>
  <c r="C288" i="5" s="1"/>
  <c r="E288" i="5" s="1"/>
  <c r="B287" i="5"/>
  <c r="C287" i="5" s="1"/>
  <c r="E287" i="5" s="1"/>
  <c r="B286" i="5"/>
  <c r="C286" i="5" s="1"/>
  <c r="E286" i="5" s="1"/>
  <c r="B285" i="5"/>
  <c r="C285" i="5" s="1"/>
  <c r="E285" i="5" s="1"/>
  <c r="B284" i="5"/>
  <c r="C284" i="5" s="1"/>
  <c r="E284" i="5" s="1"/>
  <c r="B283" i="5"/>
  <c r="C283" i="5" s="1"/>
  <c r="E283" i="5" s="1"/>
  <c r="B282" i="5"/>
  <c r="C282" i="5" s="1"/>
  <c r="E282" i="5" s="1"/>
  <c r="B281" i="5"/>
  <c r="C281" i="5" s="1"/>
  <c r="E281" i="5" s="1"/>
  <c r="B280" i="5"/>
  <c r="C280" i="5" s="1"/>
  <c r="E280" i="5" s="1"/>
  <c r="B279" i="5"/>
  <c r="C279" i="5" s="1"/>
  <c r="E279" i="5" s="1"/>
  <c r="B278" i="5"/>
  <c r="C278" i="5" s="1"/>
  <c r="E278" i="5" s="1"/>
  <c r="B277" i="5"/>
  <c r="C277" i="5" s="1"/>
  <c r="E277" i="5" s="1"/>
  <c r="B276" i="5"/>
  <c r="C276" i="5" s="1"/>
  <c r="E276" i="5" s="1"/>
  <c r="B275" i="5"/>
  <c r="C275" i="5" s="1"/>
  <c r="E275" i="5" s="1"/>
  <c r="B274" i="5"/>
  <c r="C274" i="5" s="1"/>
  <c r="E274" i="5" s="1"/>
  <c r="B273" i="5"/>
  <c r="C273" i="5" s="1"/>
  <c r="E273" i="5" s="1"/>
  <c r="B272" i="5"/>
  <c r="C272" i="5" s="1"/>
  <c r="E272" i="5" s="1"/>
  <c r="B271" i="5"/>
  <c r="C271" i="5" s="1"/>
  <c r="E271" i="5" s="1"/>
  <c r="B270" i="5"/>
  <c r="C270" i="5" s="1"/>
  <c r="E270" i="5" s="1"/>
  <c r="B269" i="5"/>
  <c r="C269" i="5" s="1"/>
  <c r="E269" i="5" s="1"/>
  <c r="B268" i="5"/>
  <c r="C268" i="5" s="1"/>
  <c r="E268" i="5" s="1"/>
  <c r="B267" i="5"/>
  <c r="C267" i="5" s="1"/>
  <c r="E267" i="5" s="1"/>
  <c r="B266" i="5"/>
  <c r="C266" i="5" s="1"/>
  <c r="E266" i="5" s="1"/>
  <c r="B265" i="5"/>
  <c r="C265" i="5" s="1"/>
  <c r="E265" i="5" s="1"/>
  <c r="B264" i="5"/>
  <c r="C264" i="5" s="1"/>
  <c r="E264" i="5" s="1"/>
  <c r="B263" i="5"/>
  <c r="C263" i="5" s="1"/>
  <c r="E263" i="5" s="1"/>
  <c r="B262" i="5"/>
  <c r="C262" i="5" s="1"/>
  <c r="E262" i="5" s="1"/>
  <c r="B261" i="5"/>
  <c r="C261" i="5" s="1"/>
  <c r="E261" i="5" s="1"/>
  <c r="B260" i="5"/>
  <c r="C260" i="5" s="1"/>
  <c r="E260" i="5" s="1"/>
  <c r="B259" i="5"/>
  <c r="C259" i="5" s="1"/>
  <c r="E259" i="5" s="1"/>
  <c r="B258" i="5"/>
  <c r="C258" i="5" s="1"/>
  <c r="E258" i="5" s="1"/>
  <c r="B257" i="5"/>
  <c r="C257" i="5" s="1"/>
  <c r="E257" i="5" s="1"/>
  <c r="B256" i="5"/>
  <c r="C256" i="5" s="1"/>
  <c r="E256" i="5" s="1"/>
  <c r="B255" i="5"/>
  <c r="C255" i="5" s="1"/>
  <c r="E255" i="5" s="1"/>
  <c r="B254" i="5"/>
  <c r="C254" i="5" s="1"/>
  <c r="E254" i="5" s="1"/>
  <c r="B253" i="5"/>
  <c r="C253" i="5" s="1"/>
  <c r="E253" i="5" s="1"/>
  <c r="B252" i="5"/>
  <c r="C252" i="5" s="1"/>
  <c r="E252" i="5" s="1"/>
  <c r="B251" i="5"/>
  <c r="C251" i="5" s="1"/>
  <c r="E251" i="5" s="1"/>
  <c r="B250" i="5"/>
  <c r="C250" i="5" s="1"/>
  <c r="E250" i="5" s="1"/>
  <c r="B249" i="5"/>
  <c r="C249" i="5" s="1"/>
  <c r="E249" i="5" s="1"/>
  <c r="B248" i="5"/>
  <c r="C248" i="5" s="1"/>
  <c r="E248" i="5" s="1"/>
  <c r="B247" i="5"/>
  <c r="C247" i="5" s="1"/>
  <c r="E247" i="5" s="1"/>
  <c r="B246" i="5"/>
  <c r="C246" i="5" s="1"/>
  <c r="E246" i="5" s="1"/>
  <c r="B245" i="5"/>
  <c r="C245" i="5" s="1"/>
  <c r="E245" i="5" s="1"/>
  <c r="B244" i="5"/>
  <c r="C244" i="5" s="1"/>
  <c r="E244" i="5" s="1"/>
  <c r="B243" i="5"/>
  <c r="C243" i="5" s="1"/>
  <c r="E243" i="5" s="1"/>
  <c r="B242" i="5"/>
  <c r="C242" i="5" s="1"/>
  <c r="E242" i="5" s="1"/>
  <c r="B241" i="5"/>
  <c r="C241" i="5" s="1"/>
  <c r="E241" i="5" s="1"/>
  <c r="B240" i="5"/>
  <c r="C240" i="5" s="1"/>
  <c r="E240" i="5" s="1"/>
  <c r="B239" i="5"/>
  <c r="C239" i="5" s="1"/>
  <c r="E239" i="5" s="1"/>
  <c r="B238" i="5"/>
  <c r="C238" i="5" s="1"/>
  <c r="E238" i="5" s="1"/>
  <c r="B237" i="5"/>
  <c r="C237" i="5" s="1"/>
  <c r="E237" i="5" s="1"/>
  <c r="B236" i="5"/>
  <c r="C236" i="5" s="1"/>
  <c r="E236" i="5" s="1"/>
  <c r="B235" i="5"/>
  <c r="C235" i="5" s="1"/>
  <c r="E235" i="5" s="1"/>
  <c r="B234" i="5"/>
  <c r="C234" i="5" s="1"/>
  <c r="E234" i="5" s="1"/>
  <c r="B233" i="5"/>
  <c r="C233" i="5" s="1"/>
  <c r="E233" i="5" s="1"/>
  <c r="B232" i="5"/>
  <c r="C232" i="5" s="1"/>
  <c r="E232" i="5" s="1"/>
  <c r="B231" i="5"/>
  <c r="C231" i="5" s="1"/>
  <c r="E231" i="5" s="1"/>
  <c r="B230" i="5"/>
  <c r="C230" i="5" s="1"/>
  <c r="E230" i="5" s="1"/>
  <c r="B229" i="5"/>
  <c r="C229" i="5" s="1"/>
  <c r="E229" i="5" s="1"/>
  <c r="B228" i="5"/>
  <c r="C228" i="5" s="1"/>
  <c r="E228" i="5" s="1"/>
  <c r="B227" i="5"/>
  <c r="C227" i="5" s="1"/>
  <c r="E227" i="5" s="1"/>
  <c r="B226" i="5"/>
  <c r="C226" i="5" s="1"/>
  <c r="E226" i="5" s="1"/>
  <c r="B225" i="5"/>
  <c r="C225" i="5" s="1"/>
  <c r="E225" i="5" s="1"/>
  <c r="B224" i="5"/>
  <c r="C224" i="5" s="1"/>
  <c r="E224" i="5" s="1"/>
  <c r="B223" i="5"/>
  <c r="C223" i="5" s="1"/>
  <c r="E223" i="5" s="1"/>
  <c r="B222" i="5"/>
  <c r="C222" i="5" s="1"/>
  <c r="E222" i="5" s="1"/>
  <c r="B221" i="5"/>
  <c r="C221" i="5" s="1"/>
  <c r="E221" i="5" s="1"/>
  <c r="B220" i="5"/>
  <c r="C220" i="5" s="1"/>
  <c r="E220" i="5" s="1"/>
  <c r="B219" i="5"/>
  <c r="C219" i="5" s="1"/>
  <c r="E219" i="5" s="1"/>
  <c r="B218" i="5"/>
  <c r="C218" i="5" s="1"/>
  <c r="E218" i="5" s="1"/>
  <c r="B217" i="5"/>
  <c r="C217" i="5" s="1"/>
  <c r="E217" i="5" s="1"/>
  <c r="B216" i="5"/>
  <c r="C216" i="5" s="1"/>
  <c r="E216" i="5" s="1"/>
  <c r="B215" i="5"/>
  <c r="C215" i="5" s="1"/>
  <c r="E215" i="5" s="1"/>
  <c r="B214" i="5"/>
  <c r="C214" i="5" s="1"/>
  <c r="E214" i="5" s="1"/>
  <c r="B213" i="5"/>
  <c r="C213" i="5" s="1"/>
  <c r="E213" i="5" s="1"/>
  <c r="B212" i="5"/>
  <c r="C212" i="5" s="1"/>
  <c r="E212" i="5" s="1"/>
  <c r="B211" i="5"/>
  <c r="C211" i="5" s="1"/>
  <c r="E211" i="5" s="1"/>
  <c r="B210" i="5"/>
  <c r="C210" i="5" s="1"/>
  <c r="E210" i="5" s="1"/>
  <c r="B209" i="5"/>
  <c r="C209" i="5" s="1"/>
  <c r="E209" i="5" s="1"/>
  <c r="B208" i="5"/>
  <c r="C208" i="5" s="1"/>
  <c r="E208" i="5" s="1"/>
  <c r="B207" i="5"/>
  <c r="C207" i="5" s="1"/>
  <c r="E207" i="5" s="1"/>
  <c r="B206" i="5"/>
  <c r="C206" i="5" s="1"/>
  <c r="E206" i="5" s="1"/>
  <c r="B205" i="5"/>
  <c r="C205" i="5" s="1"/>
  <c r="E205" i="5" s="1"/>
  <c r="B204" i="5"/>
  <c r="C204" i="5" s="1"/>
  <c r="E204" i="5" s="1"/>
  <c r="B203" i="5"/>
  <c r="C203" i="5" s="1"/>
  <c r="E203" i="5" s="1"/>
  <c r="B202" i="5"/>
  <c r="C202" i="5" s="1"/>
  <c r="E202" i="5" s="1"/>
  <c r="B201" i="5"/>
  <c r="C201" i="5" s="1"/>
  <c r="E201" i="5" s="1"/>
  <c r="B200" i="5"/>
  <c r="C200" i="5" s="1"/>
  <c r="E200" i="5" s="1"/>
  <c r="B199" i="5"/>
  <c r="C199" i="5" s="1"/>
  <c r="E199" i="5" s="1"/>
  <c r="B198" i="5"/>
  <c r="C198" i="5" s="1"/>
  <c r="E198" i="5" s="1"/>
  <c r="B197" i="5"/>
  <c r="C197" i="5" s="1"/>
  <c r="E197" i="5" s="1"/>
  <c r="B196" i="5"/>
  <c r="C196" i="5" s="1"/>
  <c r="E196" i="5" s="1"/>
  <c r="B195" i="5"/>
  <c r="C195" i="5" s="1"/>
  <c r="E195" i="5" s="1"/>
  <c r="B194" i="5"/>
  <c r="C194" i="5" s="1"/>
  <c r="E194" i="5" s="1"/>
  <c r="B193" i="5"/>
  <c r="C193" i="5" s="1"/>
  <c r="E193" i="5" s="1"/>
  <c r="B192" i="5"/>
  <c r="C192" i="5" s="1"/>
  <c r="E192" i="5" s="1"/>
  <c r="B191" i="5"/>
  <c r="C191" i="5" s="1"/>
  <c r="E191" i="5" s="1"/>
  <c r="B190" i="5"/>
  <c r="C190" i="5" s="1"/>
  <c r="E190" i="5" s="1"/>
  <c r="B189" i="5"/>
  <c r="C189" i="5" s="1"/>
  <c r="E189" i="5" s="1"/>
  <c r="B188" i="5"/>
  <c r="C188" i="5" s="1"/>
  <c r="E188" i="5" s="1"/>
  <c r="B187" i="5"/>
  <c r="C187" i="5" s="1"/>
  <c r="E187" i="5" s="1"/>
  <c r="B186" i="5"/>
  <c r="C186" i="5" s="1"/>
  <c r="E186" i="5" s="1"/>
  <c r="B185" i="5"/>
  <c r="C185" i="5" s="1"/>
  <c r="E185" i="5" s="1"/>
  <c r="B184" i="5"/>
  <c r="C184" i="5" s="1"/>
  <c r="E184" i="5" s="1"/>
  <c r="B183" i="5"/>
  <c r="C183" i="5" s="1"/>
  <c r="E183" i="5" s="1"/>
  <c r="B182" i="5"/>
  <c r="C182" i="5" s="1"/>
  <c r="E182" i="5" s="1"/>
  <c r="B181" i="5"/>
  <c r="C181" i="5" s="1"/>
  <c r="E181" i="5" s="1"/>
  <c r="B180" i="5"/>
  <c r="C180" i="5" s="1"/>
  <c r="E180" i="5" s="1"/>
  <c r="B179" i="5"/>
  <c r="C179" i="5" s="1"/>
  <c r="E179" i="5" s="1"/>
  <c r="B178" i="5"/>
  <c r="C178" i="5" s="1"/>
  <c r="E178" i="5" s="1"/>
  <c r="B177" i="5"/>
  <c r="C177" i="5" s="1"/>
  <c r="E177" i="5" s="1"/>
  <c r="B176" i="5"/>
  <c r="C176" i="5" s="1"/>
  <c r="E176" i="5" s="1"/>
  <c r="B175" i="5"/>
  <c r="C175" i="5" s="1"/>
  <c r="E175" i="5" s="1"/>
  <c r="B174" i="5"/>
  <c r="C174" i="5" s="1"/>
  <c r="E174" i="5" s="1"/>
  <c r="B173" i="5"/>
  <c r="C173" i="5" s="1"/>
  <c r="E173" i="5" s="1"/>
  <c r="B172" i="5"/>
  <c r="C172" i="5" s="1"/>
  <c r="E172" i="5" s="1"/>
  <c r="B171" i="5"/>
  <c r="C171" i="5" s="1"/>
  <c r="E171" i="5" s="1"/>
  <c r="B170" i="5"/>
  <c r="C170" i="5" s="1"/>
  <c r="E170" i="5" s="1"/>
  <c r="B169" i="5"/>
  <c r="C169" i="5" s="1"/>
  <c r="E169" i="5" s="1"/>
  <c r="B168" i="5"/>
  <c r="C168" i="5" s="1"/>
  <c r="E168" i="5" s="1"/>
  <c r="B167" i="5"/>
  <c r="C167" i="5" s="1"/>
  <c r="E167" i="5" s="1"/>
  <c r="B166" i="5"/>
  <c r="C166" i="5" s="1"/>
  <c r="E166" i="5" s="1"/>
  <c r="B165" i="5"/>
  <c r="C165" i="5" s="1"/>
  <c r="E165" i="5" s="1"/>
  <c r="B164" i="5"/>
  <c r="C164" i="5" s="1"/>
  <c r="E164" i="5" s="1"/>
  <c r="B163" i="5"/>
  <c r="C163" i="5" s="1"/>
  <c r="E163" i="5" s="1"/>
  <c r="B162" i="5"/>
  <c r="C162" i="5" s="1"/>
  <c r="E162" i="5" s="1"/>
  <c r="B161" i="5"/>
  <c r="C161" i="5" s="1"/>
  <c r="E161" i="5" s="1"/>
  <c r="B160" i="5"/>
  <c r="C160" i="5" s="1"/>
  <c r="E160" i="5" s="1"/>
  <c r="B159" i="5"/>
  <c r="C159" i="5" s="1"/>
  <c r="E159" i="5" s="1"/>
  <c r="B158" i="5"/>
  <c r="C158" i="5" s="1"/>
  <c r="E158" i="5" s="1"/>
  <c r="B157" i="5"/>
  <c r="C157" i="5" s="1"/>
  <c r="E157" i="5" s="1"/>
  <c r="B156" i="5"/>
  <c r="C156" i="5" s="1"/>
  <c r="E156" i="5" s="1"/>
  <c r="B155" i="5"/>
  <c r="C155" i="5" s="1"/>
  <c r="E155" i="5" s="1"/>
  <c r="B154" i="5"/>
  <c r="C154" i="5" s="1"/>
  <c r="E154" i="5" s="1"/>
  <c r="B153" i="5"/>
  <c r="C153" i="5" s="1"/>
  <c r="E153" i="5" s="1"/>
  <c r="B152" i="5"/>
  <c r="C152" i="5" s="1"/>
  <c r="E152" i="5" s="1"/>
  <c r="B151" i="5"/>
  <c r="C151" i="5" s="1"/>
  <c r="E151" i="5" s="1"/>
  <c r="B150" i="5"/>
  <c r="C150" i="5" s="1"/>
  <c r="E150" i="5" s="1"/>
  <c r="B149" i="5"/>
  <c r="C149" i="5" s="1"/>
  <c r="E149" i="5" s="1"/>
  <c r="B148" i="5"/>
  <c r="C148" i="5" s="1"/>
  <c r="E148" i="5" s="1"/>
  <c r="B147" i="5"/>
  <c r="C147" i="5" s="1"/>
  <c r="E147" i="5" s="1"/>
  <c r="B146" i="5"/>
  <c r="C146" i="5" s="1"/>
  <c r="E146" i="5" s="1"/>
  <c r="B145" i="5"/>
  <c r="C145" i="5" s="1"/>
  <c r="E145" i="5" s="1"/>
  <c r="B144" i="5"/>
  <c r="C144" i="5" s="1"/>
  <c r="E144" i="5" s="1"/>
  <c r="B143" i="5"/>
  <c r="C143" i="5" s="1"/>
  <c r="E143" i="5" s="1"/>
  <c r="B142" i="5"/>
  <c r="C142" i="5" s="1"/>
  <c r="E142" i="5" s="1"/>
  <c r="B141" i="5"/>
  <c r="C141" i="5" s="1"/>
  <c r="E141" i="5" s="1"/>
  <c r="B140" i="5"/>
  <c r="C140" i="5" s="1"/>
  <c r="E140" i="5" s="1"/>
  <c r="B139" i="5"/>
  <c r="C139" i="5" s="1"/>
  <c r="E139" i="5" s="1"/>
  <c r="B138" i="5"/>
  <c r="C138" i="5" s="1"/>
  <c r="E138" i="5" s="1"/>
  <c r="B137" i="5"/>
  <c r="C137" i="5" s="1"/>
  <c r="E137" i="5" s="1"/>
  <c r="B136" i="5"/>
  <c r="C136" i="5" s="1"/>
  <c r="E136" i="5" s="1"/>
  <c r="B135" i="5"/>
  <c r="C135" i="5" s="1"/>
  <c r="E135" i="5" s="1"/>
  <c r="B134" i="5"/>
  <c r="C134" i="5" s="1"/>
  <c r="E134" i="5" s="1"/>
  <c r="B133" i="5"/>
  <c r="C133" i="5" s="1"/>
  <c r="E133" i="5" s="1"/>
  <c r="B132" i="5"/>
  <c r="C132" i="5" s="1"/>
  <c r="E132" i="5" s="1"/>
  <c r="B131" i="5"/>
  <c r="C131" i="5" s="1"/>
  <c r="E131" i="5" s="1"/>
  <c r="B130" i="5"/>
  <c r="C130" i="5" s="1"/>
  <c r="E130" i="5" s="1"/>
  <c r="B129" i="5"/>
  <c r="C129" i="5" s="1"/>
  <c r="E129" i="5" s="1"/>
  <c r="B128" i="5"/>
  <c r="C128" i="5" s="1"/>
  <c r="E128" i="5" s="1"/>
  <c r="B127" i="5"/>
  <c r="C127" i="5" s="1"/>
  <c r="E127" i="5" s="1"/>
  <c r="B126" i="5"/>
  <c r="C126" i="5" s="1"/>
  <c r="E126" i="5" s="1"/>
  <c r="B125" i="5"/>
  <c r="C125" i="5" s="1"/>
  <c r="E125" i="5" s="1"/>
  <c r="B124" i="5"/>
  <c r="C124" i="5" s="1"/>
  <c r="E124" i="5" s="1"/>
  <c r="B123" i="5"/>
  <c r="C123" i="5" s="1"/>
  <c r="E123" i="5" s="1"/>
  <c r="B122" i="5"/>
  <c r="C122" i="5" s="1"/>
  <c r="E122" i="5" s="1"/>
  <c r="B121" i="5"/>
  <c r="C121" i="5" s="1"/>
  <c r="E121" i="5" s="1"/>
  <c r="B120" i="5"/>
  <c r="C120" i="5" s="1"/>
  <c r="E120" i="5" s="1"/>
  <c r="B119" i="5"/>
  <c r="C119" i="5" s="1"/>
  <c r="E119" i="5" s="1"/>
  <c r="B118" i="5"/>
  <c r="C118" i="5" s="1"/>
  <c r="E118" i="5" s="1"/>
  <c r="B117" i="5"/>
  <c r="C117" i="5" s="1"/>
  <c r="E117" i="5" s="1"/>
  <c r="B116" i="5"/>
  <c r="C116" i="5" s="1"/>
  <c r="E116" i="5" s="1"/>
  <c r="B115" i="5"/>
  <c r="C115" i="5" s="1"/>
  <c r="E115" i="5" s="1"/>
  <c r="B114" i="5"/>
  <c r="C114" i="5" s="1"/>
  <c r="E114" i="5" s="1"/>
  <c r="B113" i="5"/>
  <c r="C113" i="5" s="1"/>
  <c r="E113" i="5" s="1"/>
  <c r="B112" i="5"/>
  <c r="C112" i="5" s="1"/>
  <c r="E112" i="5" s="1"/>
  <c r="B111" i="5"/>
  <c r="C111" i="5" s="1"/>
  <c r="E111" i="5" s="1"/>
  <c r="B110" i="5"/>
  <c r="C110" i="5" s="1"/>
  <c r="E110" i="5" s="1"/>
  <c r="B109" i="5"/>
  <c r="C109" i="5" s="1"/>
  <c r="E109" i="5" s="1"/>
  <c r="B108" i="5"/>
  <c r="C108" i="5" s="1"/>
  <c r="E108" i="5" s="1"/>
  <c r="B107" i="5"/>
  <c r="C107" i="5" s="1"/>
  <c r="E107" i="5" s="1"/>
  <c r="B106" i="5"/>
  <c r="C106" i="5" s="1"/>
  <c r="E106" i="5" s="1"/>
  <c r="B105" i="5"/>
  <c r="C105" i="5" s="1"/>
  <c r="E105" i="5" s="1"/>
  <c r="B104" i="5"/>
  <c r="C104" i="5" s="1"/>
  <c r="E104" i="5" s="1"/>
  <c r="B103" i="5"/>
  <c r="C103" i="5" s="1"/>
  <c r="E103" i="5" s="1"/>
  <c r="B102" i="5"/>
  <c r="C102" i="5" s="1"/>
  <c r="E102" i="5" s="1"/>
  <c r="B101" i="5"/>
  <c r="C101" i="5" s="1"/>
  <c r="E101" i="5" s="1"/>
  <c r="B100" i="5"/>
  <c r="C100" i="5" s="1"/>
  <c r="E100" i="5" s="1"/>
  <c r="B99" i="5"/>
  <c r="C99" i="5" s="1"/>
  <c r="E99" i="5" s="1"/>
  <c r="B98" i="5"/>
  <c r="C98" i="5" s="1"/>
  <c r="E98" i="5" s="1"/>
  <c r="B97" i="5"/>
  <c r="C97" i="5" s="1"/>
  <c r="E97" i="5" s="1"/>
  <c r="B96" i="5"/>
  <c r="C96" i="5" s="1"/>
  <c r="E96" i="5" s="1"/>
  <c r="B95" i="5"/>
  <c r="C95" i="5" s="1"/>
  <c r="E95" i="5" s="1"/>
  <c r="B94" i="5"/>
  <c r="C94" i="5" s="1"/>
  <c r="E94" i="5" s="1"/>
  <c r="B93" i="5"/>
  <c r="C93" i="5" s="1"/>
  <c r="E93" i="5" s="1"/>
  <c r="B92" i="5"/>
  <c r="C92" i="5" s="1"/>
  <c r="E92" i="5" s="1"/>
  <c r="B91" i="5"/>
  <c r="C91" i="5" s="1"/>
  <c r="E91" i="5" s="1"/>
  <c r="B90" i="5"/>
  <c r="C90" i="5" s="1"/>
  <c r="E90" i="5" s="1"/>
  <c r="B89" i="5"/>
  <c r="C89" i="5" s="1"/>
  <c r="E89" i="5" s="1"/>
  <c r="B88" i="5"/>
  <c r="C88" i="5" s="1"/>
  <c r="E88" i="5" s="1"/>
  <c r="B87" i="5"/>
  <c r="C87" i="5" s="1"/>
  <c r="E87" i="5" s="1"/>
  <c r="B86" i="5"/>
  <c r="C86" i="5" s="1"/>
  <c r="E86" i="5" s="1"/>
  <c r="B85" i="5"/>
  <c r="C85" i="5" s="1"/>
  <c r="E85" i="5" s="1"/>
  <c r="B84" i="5"/>
  <c r="C84" i="5" s="1"/>
  <c r="E84" i="5" s="1"/>
  <c r="B83" i="5"/>
  <c r="C83" i="5" s="1"/>
  <c r="E83" i="5" s="1"/>
  <c r="B82" i="5"/>
  <c r="C82" i="5" s="1"/>
  <c r="E82" i="5" s="1"/>
  <c r="B81" i="5"/>
  <c r="C81" i="5" s="1"/>
  <c r="E81" i="5" s="1"/>
  <c r="B80" i="5"/>
  <c r="C80" i="5" s="1"/>
  <c r="E80" i="5" s="1"/>
  <c r="B79" i="5"/>
  <c r="C79" i="5" s="1"/>
  <c r="E79" i="5" s="1"/>
  <c r="B78" i="5"/>
  <c r="C78" i="5" s="1"/>
  <c r="E78" i="5" s="1"/>
  <c r="B77" i="5"/>
  <c r="C77" i="5" s="1"/>
  <c r="E77" i="5" s="1"/>
  <c r="B76" i="5"/>
  <c r="C76" i="5" s="1"/>
  <c r="E76" i="5" s="1"/>
  <c r="B75" i="5"/>
  <c r="C75" i="5" s="1"/>
  <c r="E75" i="5" s="1"/>
  <c r="B74" i="5"/>
  <c r="C74" i="5" s="1"/>
  <c r="E74" i="5" s="1"/>
  <c r="B73" i="5"/>
  <c r="C73" i="5" s="1"/>
  <c r="E73" i="5" s="1"/>
  <c r="B72" i="5"/>
  <c r="C72" i="5" s="1"/>
  <c r="E72" i="5" s="1"/>
  <c r="B71" i="5"/>
  <c r="C71" i="5" s="1"/>
  <c r="E71" i="5" s="1"/>
  <c r="B70" i="5"/>
  <c r="C70" i="5" s="1"/>
  <c r="E70" i="5" s="1"/>
  <c r="B69" i="5"/>
  <c r="C69" i="5" s="1"/>
  <c r="E69" i="5" s="1"/>
  <c r="B68" i="5"/>
  <c r="C68" i="5" s="1"/>
  <c r="E68" i="5" s="1"/>
  <c r="B67" i="5"/>
  <c r="C67" i="5" s="1"/>
  <c r="E67" i="5" s="1"/>
  <c r="B66" i="5"/>
  <c r="C66" i="5" s="1"/>
  <c r="E66" i="5" s="1"/>
  <c r="B65" i="5"/>
  <c r="C65" i="5" s="1"/>
  <c r="E65" i="5" s="1"/>
  <c r="B64" i="5"/>
  <c r="C64" i="5" s="1"/>
  <c r="E64" i="5" s="1"/>
  <c r="B63" i="5"/>
  <c r="C63" i="5" s="1"/>
  <c r="E63" i="5" s="1"/>
  <c r="B62" i="5"/>
  <c r="C62" i="5" s="1"/>
  <c r="E62" i="5" s="1"/>
  <c r="B61" i="5"/>
  <c r="C61" i="5" s="1"/>
  <c r="E61" i="5" s="1"/>
  <c r="B60" i="5"/>
  <c r="C60" i="5" s="1"/>
  <c r="E60" i="5" s="1"/>
  <c r="B59" i="5"/>
  <c r="C59" i="5" s="1"/>
  <c r="E59" i="5" s="1"/>
  <c r="B58" i="5"/>
  <c r="C58" i="5" s="1"/>
  <c r="E58" i="5" s="1"/>
  <c r="B57" i="5"/>
  <c r="C57" i="5" s="1"/>
  <c r="E57" i="5" s="1"/>
  <c r="B56" i="5"/>
  <c r="C56" i="5" s="1"/>
  <c r="E56" i="5" s="1"/>
  <c r="B55" i="5"/>
  <c r="C55" i="5" s="1"/>
  <c r="E55" i="5" s="1"/>
  <c r="B54" i="5"/>
  <c r="C54" i="5" s="1"/>
  <c r="E54" i="5" s="1"/>
  <c r="B53" i="5"/>
  <c r="C53" i="5" s="1"/>
  <c r="E53" i="5" s="1"/>
  <c r="B52" i="5"/>
  <c r="C52" i="5" s="1"/>
  <c r="E52" i="5" s="1"/>
  <c r="B51" i="5"/>
  <c r="C51" i="5" s="1"/>
  <c r="E51" i="5" s="1"/>
  <c r="B50" i="5"/>
  <c r="C50" i="5" s="1"/>
  <c r="E50" i="5" s="1"/>
  <c r="B49" i="5"/>
  <c r="C49" i="5" s="1"/>
  <c r="E49" i="5" s="1"/>
  <c r="B48" i="5"/>
  <c r="C48" i="5" s="1"/>
  <c r="E48" i="5" s="1"/>
  <c r="B47" i="5"/>
  <c r="C47" i="5" s="1"/>
  <c r="E47" i="5" s="1"/>
  <c r="B46" i="5"/>
  <c r="C46" i="5" s="1"/>
  <c r="E46" i="5" s="1"/>
  <c r="B45" i="5"/>
  <c r="C45" i="5" s="1"/>
  <c r="E45" i="5" s="1"/>
  <c r="B44" i="5"/>
  <c r="C44" i="5" s="1"/>
  <c r="E44" i="5" s="1"/>
  <c r="B43" i="5"/>
  <c r="C43" i="5" s="1"/>
  <c r="E43" i="5" s="1"/>
  <c r="B42" i="5"/>
  <c r="C42" i="5" s="1"/>
  <c r="E42" i="5" s="1"/>
  <c r="B41" i="5"/>
  <c r="C41" i="5" s="1"/>
  <c r="E41" i="5" s="1"/>
  <c r="B40" i="5"/>
  <c r="C40" i="5" s="1"/>
  <c r="E40" i="5" s="1"/>
  <c r="B39" i="5"/>
  <c r="C39" i="5" s="1"/>
  <c r="E39" i="5" s="1"/>
  <c r="B38" i="5"/>
  <c r="C38" i="5" s="1"/>
  <c r="E38" i="5" s="1"/>
  <c r="B37" i="5"/>
  <c r="C37" i="5" s="1"/>
  <c r="E37" i="5" s="1"/>
  <c r="B36" i="5"/>
  <c r="C36" i="5" s="1"/>
  <c r="E36" i="5" s="1"/>
  <c r="B35" i="5"/>
  <c r="C35" i="5" s="1"/>
  <c r="E35" i="5" s="1"/>
  <c r="B34" i="5"/>
  <c r="C34" i="5" s="1"/>
  <c r="E34" i="5" s="1"/>
  <c r="B33" i="5"/>
  <c r="C33" i="5" s="1"/>
  <c r="E33" i="5" s="1"/>
  <c r="B32" i="5"/>
  <c r="C32" i="5" s="1"/>
  <c r="E32" i="5" s="1"/>
  <c r="B31" i="5"/>
  <c r="C31" i="5" s="1"/>
  <c r="E31" i="5" s="1"/>
  <c r="B30" i="5"/>
  <c r="C30" i="5" s="1"/>
  <c r="E30" i="5" s="1"/>
  <c r="B29" i="5"/>
  <c r="C29" i="5" s="1"/>
  <c r="E29" i="5" s="1"/>
  <c r="B28" i="5"/>
  <c r="C28" i="5" s="1"/>
  <c r="E28" i="5" s="1"/>
  <c r="B27" i="5"/>
  <c r="C27" i="5" s="1"/>
  <c r="E27" i="5" s="1"/>
  <c r="B26" i="5"/>
  <c r="C26" i="5" s="1"/>
  <c r="E26" i="5" s="1"/>
  <c r="B25" i="5"/>
  <c r="C25" i="5" s="1"/>
  <c r="E25" i="5" s="1"/>
  <c r="B24" i="5"/>
  <c r="C24" i="5" s="1"/>
  <c r="E24" i="5" s="1"/>
  <c r="B23" i="5"/>
  <c r="C23" i="5" s="1"/>
  <c r="E23" i="5" s="1"/>
  <c r="B22" i="5"/>
  <c r="C22" i="5" s="1"/>
  <c r="E22" i="5" s="1"/>
  <c r="B21" i="5"/>
  <c r="C21" i="5" s="1"/>
  <c r="E21" i="5" s="1"/>
  <c r="B20" i="5"/>
  <c r="C20" i="5" s="1"/>
  <c r="E20" i="5" s="1"/>
  <c r="B19" i="5"/>
  <c r="C19" i="5" s="1"/>
  <c r="E19" i="5" s="1"/>
  <c r="B18" i="5"/>
  <c r="C18" i="5" s="1"/>
  <c r="E18" i="5" s="1"/>
  <c r="B17" i="5"/>
  <c r="C17" i="5" s="1"/>
  <c r="E17" i="5" s="1"/>
  <c r="B16" i="5"/>
  <c r="C16" i="5" s="1"/>
  <c r="E16" i="5" s="1"/>
  <c r="B15" i="5"/>
  <c r="C15" i="5" s="1"/>
  <c r="E15" i="5" s="1"/>
  <c r="B14" i="5"/>
  <c r="C14" i="5" s="1"/>
  <c r="E14" i="5" s="1"/>
  <c r="B13" i="5"/>
  <c r="C13" i="5" s="1"/>
  <c r="E13" i="5" s="1"/>
  <c r="B12" i="5"/>
  <c r="C12" i="5" s="1"/>
  <c r="E12" i="5" s="1"/>
  <c r="B11" i="5"/>
  <c r="C11" i="5" s="1"/>
  <c r="E11" i="5" s="1"/>
  <c r="B10" i="5"/>
  <c r="C10" i="5" s="1"/>
  <c r="E10" i="5" s="1"/>
  <c r="B9" i="5"/>
  <c r="C9" i="5" s="1"/>
  <c r="E9" i="5" s="1"/>
  <c r="A6" i="5" a="1"/>
  <c r="A8" i="5" a="1"/>
  <c r="A4" i="5" a="1"/>
  <c r="A3" i="5" a="1"/>
  <c r="A2" i="5" a="1"/>
  <c r="A7" i="5" a="1"/>
  <c r="A5" i="5" a="1"/>
  <c r="K4" i="5" l="1"/>
  <c r="K16" i="5"/>
  <c r="K8" i="5"/>
  <c r="K15" i="5"/>
  <c r="K14" i="5"/>
  <c r="K5" i="5"/>
  <c r="K12" i="5"/>
  <c r="K9" i="5"/>
  <c r="K10" i="5"/>
  <c r="K3" i="5"/>
  <c r="K13" i="5"/>
  <c r="K11" i="5"/>
  <c r="K7" i="5"/>
  <c r="K6" i="5"/>
  <c r="A5" i="5"/>
  <c r="B5" i="5" s="1"/>
  <c r="C5" i="5" s="1"/>
  <c r="E5" i="5" s="1"/>
  <c r="A3" i="5"/>
  <c r="B3" i="5" s="1"/>
  <c r="C3" i="5" s="1"/>
  <c r="E3" i="5" s="1"/>
  <c r="A2" i="5"/>
  <c r="B2" i="5" s="1"/>
  <c r="C2" i="5" s="1"/>
  <c r="A8" i="5"/>
  <c r="B8" i="5" s="1"/>
  <c r="C8" i="5" s="1"/>
  <c r="E8" i="5" s="1"/>
  <c r="A4" i="5"/>
  <c r="B4" i="5" s="1"/>
  <c r="C4" i="5" s="1"/>
  <c r="A6" i="5"/>
  <c r="B6" i="5" s="1"/>
  <c r="C6" i="5" s="1"/>
  <c r="E6" i="5" s="1"/>
  <c r="A7" i="5"/>
  <c r="B7" i="5" s="1"/>
  <c r="C7" i="5" s="1"/>
  <c r="E7" i="5" s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A2" i="1" a="1"/>
  <c r="U34" i="5" l="1"/>
  <c r="U33" i="5"/>
  <c r="U32" i="5"/>
  <c r="U17" i="5"/>
  <c r="U18" i="5"/>
  <c r="U19" i="5"/>
  <c r="U5" i="5"/>
  <c r="U7" i="5"/>
  <c r="U6" i="5"/>
  <c r="U26" i="5"/>
  <c r="U27" i="5"/>
  <c r="U28" i="5"/>
  <c r="U46" i="5"/>
  <c r="U45" i="5"/>
  <c r="U44" i="5"/>
  <c r="U25" i="5"/>
  <c r="U23" i="5"/>
  <c r="U24" i="5"/>
  <c r="U40" i="5"/>
  <c r="U39" i="5"/>
  <c r="U38" i="5"/>
  <c r="U10" i="5"/>
  <c r="U9" i="5"/>
  <c r="U8" i="5"/>
  <c r="U13" i="5"/>
  <c r="U12" i="5"/>
  <c r="U11" i="5"/>
  <c r="U15" i="5"/>
  <c r="U16" i="5"/>
  <c r="U14" i="5"/>
  <c r="U42" i="5"/>
  <c r="U41" i="5"/>
  <c r="U43" i="5"/>
  <c r="U30" i="5"/>
  <c r="U31" i="5"/>
  <c r="U29" i="5"/>
  <c r="U35" i="5"/>
  <c r="U37" i="5"/>
  <c r="U36" i="5"/>
  <c r="U20" i="5"/>
  <c r="U21" i="5"/>
  <c r="U22" i="5"/>
  <c r="E2" i="5"/>
  <c r="E4" i="5"/>
  <c r="H6" i="5"/>
  <c r="H4" i="5"/>
  <c r="H5" i="5"/>
  <c r="A2" i="1"/>
  <c r="I203" i="4"/>
  <c r="G204" i="4"/>
  <c r="I2" i="4"/>
  <c r="X4" i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U4" i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E576" i="2"/>
  <c r="F576" i="2" s="1"/>
  <c r="D31" i="2"/>
  <c r="D63" i="2"/>
  <c r="D245" i="2"/>
  <c r="D277" i="2"/>
  <c r="D303" i="2"/>
  <c r="E303" i="2" s="1"/>
  <c r="F303" i="2" s="1"/>
  <c r="D335" i="2"/>
  <c r="D373" i="2"/>
  <c r="E373" i="2" s="1"/>
  <c r="F373" i="2" s="1"/>
  <c r="D405" i="2"/>
  <c r="D433" i="2"/>
  <c r="E433" i="2" s="1"/>
  <c r="F433" i="2" s="1"/>
  <c r="D543" i="2"/>
  <c r="E543" i="2" s="1"/>
  <c r="F543" i="2" s="1"/>
  <c r="D575" i="2"/>
  <c r="E575" i="2" s="1"/>
  <c r="F575" i="2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D21" i="2" s="1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D43" i="2" s="1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D75" i="2" s="1"/>
  <c r="C76" i="2"/>
  <c r="C77" i="2"/>
  <c r="C78" i="2"/>
  <c r="C79" i="2"/>
  <c r="C80" i="2"/>
  <c r="C81" i="2"/>
  <c r="C82" i="2"/>
  <c r="C83" i="2"/>
  <c r="C84" i="2"/>
  <c r="C85" i="2"/>
  <c r="D85" i="2" s="1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D107" i="2" s="1"/>
  <c r="C108" i="2"/>
  <c r="C109" i="2"/>
  <c r="C110" i="2"/>
  <c r="C111" i="2"/>
  <c r="C112" i="2"/>
  <c r="C113" i="2"/>
  <c r="C114" i="2"/>
  <c r="C115" i="2"/>
  <c r="C116" i="2"/>
  <c r="D117" i="2" s="1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D149" i="2" s="1"/>
  <c r="C150" i="2"/>
  <c r="C151" i="2"/>
  <c r="C152" i="2"/>
  <c r="C153" i="2"/>
  <c r="C154" i="2"/>
  <c r="C155" i="2"/>
  <c r="C156" i="2"/>
  <c r="C157" i="2"/>
  <c r="C158" i="2"/>
  <c r="D159" i="2" s="1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D171" i="2" s="1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D191" i="2" s="1"/>
  <c r="C192" i="2"/>
  <c r="C193" i="2"/>
  <c r="C194" i="2"/>
  <c r="C195" i="2"/>
  <c r="C196" i="2"/>
  <c r="C197" i="2"/>
  <c r="C198" i="2"/>
  <c r="C199" i="2"/>
  <c r="C200" i="2"/>
  <c r="C201" i="2"/>
  <c r="C202" i="2"/>
  <c r="C203" i="2"/>
  <c r="D203" i="2" s="1"/>
  <c r="C204" i="2"/>
  <c r="C205" i="2"/>
  <c r="C206" i="2"/>
  <c r="C207" i="2"/>
  <c r="C208" i="2"/>
  <c r="C209" i="2"/>
  <c r="C210" i="2"/>
  <c r="C211" i="2"/>
  <c r="C212" i="2"/>
  <c r="C213" i="2"/>
  <c r="D213" i="2" s="1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D235" i="2" s="1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D257" i="2" s="1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D271" i="2" s="1"/>
  <c r="C271" i="2"/>
  <c r="C272" i="2"/>
  <c r="D273" i="2" s="1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D289" i="2" s="1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05" i="2" s="1"/>
  <c r="C305" i="2"/>
  <c r="C306" i="2"/>
  <c r="C307" i="2"/>
  <c r="C308" i="2"/>
  <c r="D309" i="2" s="1"/>
  <c r="C309" i="2"/>
  <c r="C310" i="2"/>
  <c r="C311" i="2"/>
  <c r="C312" i="2"/>
  <c r="C313" i="2"/>
  <c r="C314" i="2"/>
  <c r="C315" i="2"/>
  <c r="C316" i="2"/>
  <c r="C317" i="2"/>
  <c r="C318" i="2"/>
  <c r="C319" i="2"/>
  <c r="C320" i="2"/>
  <c r="D321" i="2" s="1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D337" i="2" s="1"/>
  <c r="C337" i="2"/>
  <c r="C338" i="2"/>
  <c r="C339" i="2"/>
  <c r="C340" i="2"/>
  <c r="D341" i="2" s="1"/>
  <c r="C341" i="2"/>
  <c r="C342" i="2"/>
  <c r="C343" i="2"/>
  <c r="C344" i="2"/>
  <c r="C345" i="2"/>
  <c r="C346" i="2"/>
  <c r="C347" i="2"/>
  <c r="C348" i="2"/>
  <c r="C349" i="2"/>
  <c r="C350" i="2"/>
  <c r="C351" i="2"/>
  <c r="C352" i="2"/>
  <c r="D353" i="2" s="1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D367" i="2" s="1"/>
  <c r="C368" i="2"/>
  <c r="D369" i="2" s="1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D385" i="2" s="1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D399" i="2" s="1"/>
  <c r="E399" i="2" s="1"/>
  <c r="F399" i="2" s="1"/>
  <c r="C399" i="2"/>
  <c r="C400" i="2"/>
  <c r="D401" i="2" s="1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D417" i="2" s="1"/>
  <c r="C417" i="2"/>
  <c r="C418" i="2"/>
  <c r="C419" i="2"/>
  <c r="C420" i="2"/>
  <c r="C421" i="2"/>
  <c r="C422" i="2"/>
  <c r="C423" i="2"/>
  <c r="C424" i="2"/>
  <c r="C425" i="2"/>
  <c r="C426" i="2"/>
  <c r="C427" i="2"/>
  <c r="D427" i="2" s="1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D449" i="2" s="1"/>
  <c r="C449" i="2"/>
  <c r="C450" i="2"/>
  <c r="C451" i="2"/>
  <c r="D451" i="2" s="1"/>
  <c r="C452" i="2"/>
  <c r="C453" i="2"/>
  <c r="C454" i="2"/>
  <c r="C455" i="2"/>
  <c r="C456" i="2"/>
  <c r="C457" i="2"/>
  <c r="C458" i="2"/>
  <c r="C459" i="2"/>
  <c r="D459" i="2" s="1"/>
  <c r="C460" i="2"/>
  <c r="C461" i="2"/>
  <c r="C462" i="2"/>
  <c r="C463" i="2"/>
  <c r="C464" i="2"/>
  <c r="D465" i="2" s="1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D479" i="2" s="1"/>
  <c r="E479" i="2" s="1"/>
  <c r="F479" i="2" s="1"/>
  <c r="C479" i="2"/>
  <c r="C480" i="2"/>
  <c r="D481" i="2" s="1"/>
  <c r="C481" i="2"/>
  <c r="C482" i="2"/>
  <c r="C483" i="2"/>
  <c r="D483" i="2" s="1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D497" i="2" s="1"/>
  <c r="C497" i="2"/>
  <c r="C498" i="2"/>
  <c r="C499" i="2"/>
  <c r="C500" i="2"/>
  <c r="C501" i="2"/>
  <c r="D501" i="2" s="1"/>
  <c r="C502" i="2"/>
  <c r="C503" i="2"/>
  <c r="C504" i="2"/>
  <c r="C505" i="2"/>
  <c r="C506" i="2"/>
  <c r="C507" i="2"/>
  <c r="C508" i="2"/>
  <c r="C509" i="2"/>
  <c r="C510" i="2"/>
  <c r="D511" i="2" s="1"/>
  <c r="E511" i="2" s="1"/>
  <c r="F511" i="2" s="1"/>
  <c r="C511" i="2"/>
  <c r="C512" i="2"/>
  <c r="D513" i="2" s="1"/>
  <c r="C513" i="2"/>
  <c r="C514" i="2"/>
  <c r="C515" i="2"/>
  <c r="C516" i="2"/>
  <c r="C517" i="2"/>
  <c r="C518" i="2"/>
  <c r="C519" i="2"/>
  <c r="C520" i="2"/>
  <c r="D521" i="2" s="1"/>
  <c r="C521" i="2"/>
  <c r="C522" i="2"/>
  <c r="C523" i="2"/>
  <c r="D523" i="2" s="1"/>
  <c r="C524" i="2"/>
  <c r="C525" i="2"/>
  <c r="C526" i="2"/>
  <c r="C527" i="2"/>
  <c r="C528" i="2"/>
  <c r="D529" i="2" s="1"/>
  <c r="E529" i="2" s="1"/>
  <c r="F529" i="2" s="1"/>
  <c r="C529" i="2"/>
  <c r="C530" i="2"/>
  <c r="C531" i="2"/>
  <c r="C532" i="2"/>
  <c r="C533" i="2"/>
  <c r="C534" i="2"/>
  <c r="C535" i="2"/>
  <c r="C536" i="2"/>
  <c r="D537" i="2" s="1"/>
  <c r="C537" i="2"/>
  <c r="C538" i="2"/>
  <c r="C539" i="2"/>
  <c r="C540" i="2"/>
  <c r="C541" i="2"/>
  <c r="C542" i="2"/>
  <c r="C543" i="2"/>
  <c r="C544" i="2"/>
  <c r="D545" i="2" s="1"/>
  <c r="C545" i="2"/>
  <c r="C546" i="2"/>
  <c r="C547" i="2"/>
  <c r="D547" i="2" s="1"/>
  <c r="C548" i="2"/>
  <c r="C549" i="2"/>
  <c r="C550" i="2"/>
  <c r="C551" i="2"/>
  <c r="C552" i="2"/>
  <c r="D553" i="2" s="1"/>
  <c r="C553" i="2"/>
  <c r="C554" i="2"/>
  <c r="C555" i="2"/>
  <c r="C556" i="2"/>
  <c r="C557" i="2"/>
  <c r="C558" i="2"/>
  <c r="D559" i="2" s="1"/>
  <c r="E559" i="2" s="1"/>
  <c r="F559" i="2" s="1"/>
  <c r="C559" i="2"/>
  <c r="C560" i="2"/>
  <c r="D561" i="2" s="1"/>
  <c r="C561" i="2"/>
  <c r="C562" i="2"/>
  <c r="C563" i="2"/>
  <c r="D563" i="2" s="1"/>
  <c r="C564" i="2"/>
  <c r="C565" i="2"/>
  <c r="C566" i="2"/>
  <c r="C567" i="2"/>
  <c r="C568" i="2"/>
  <c r="D569" i="2" s="1"/>
  <c r="C569" i="2"/>
  <c r="C570" i="2"/>
  <c r="C571" i="2"/>
  <c r="C572" i="2"/>
  <c r="C573" i="2"/>
  <c r="C574" i="2"/>
  <c r="C575" i="2"/>
  <c r="C576" i="2"/>
  <c r="C2" i="2"/>
  <c r="B576" i="2" a="1"/>
  <c r="B576" i="2" s="1"/>
  <c r="B575" i="2" a="1"/>
  <c r="B575" i="2" s="1"/>
  <c r="B574" i="2" a="1"/>
  <c r="B574" i="2" s="1"/>
  <c r="B573" i="2" a="1"/>
  <c r="B573" i="2" s="1"/>
  <c r="B572" i="2" a="1"/>
  <c r="B572" i="2" s="1"/>
  <c r="B571" i="2" a="1"/>
  <c r="B571" i="2" s="1"/>
  <c r="B570" i="2" a="1"/>
  <c r="B570" i="2" s="1"/>
  <c r="B569" i="2" a="1"/>
  <c r="B569" i="2" s="1"/>
  <c r="B568" i="2" a="1"/>
  <c r="B568" i="2" s="1"/>
  <c r="B567" i="2" a="1"/>
  <c r="B567" i="2" s="1"/>
  <c r="B566" i="2" a="1"/>
  <c r="B566" i="2" s="1"/>
  <c r="B565" i="2" a="1"/>
  <c r="B565" i="2" s="1"/>
  <c r="B564" i="2" a="1"/>
  <c r="B564" i="2" s="1"/>
  <c r="B563" i="2" a="1"/>
  <c r="B563" i="2" s="1"/>
  <c r="B562" i="2" a="1"/>
  <c r="B562" i="2" s="1"/>
  <c r="B561" i="2" a="1"/>
  <c r="B561" i="2" s="1"/>
  <c r="B560" i="2" a="1"/>
  <c r="B560" i="2" s="1"/>
  <c r="B559" i="2" a="1"/>
  <c r="B559" i="2" s="1"/>
  <c r="B558" i="2" a="1"/>
  <c r="B558" i="2" s="1"/>
  <c r="B557" i="2" a="1"/>
  <c r="B557" i="2" s="1"/>
  <c r="B556" i="2" a="1"/>
  <c r="B556" i="2" s="1"/>
  <c r="B555" i="2" a="1"/>
  <c r="B555" i="2" s="1"/>
  <c r="B554" i="2" a="1"/>
  <c r="B554" i="2" s="1"/>
  <c r="B553" i="2" a="1"/>
  <c r="B553" i="2" s="1"/>
  <c r="B552" i="2" a="1"/>
  <c r="B552" i="2" s="1"/>
  <c r="B551" i="2" a="1"/>
  <c r="B551" i="2" s="1"/>
  <c r="B550" i="2" a="1"/>
  <c r="B550" i="2" s="1"/>
  <c r="B549" i="2" a="1"/>
  <c r="B549" i="2" s="1"/>
  <c r="B548" i="2" a="1"/>
  <c r="B548" i="2" s="1"/>
  <c r="B547" i="2" a="1"/>
  <c r="B547" i="2" s="1"/>
  <c r="B546" i="2" a="1"/>
  <c r="B546" i="2" s="1"/>
  <c r="B545" i="2" a="1"/>
  <c r="B545" i="2" s="1"/>
  <c r="B544" i="2" a="1"/>
  <c r="B544" i="2" s="1"/>
  <c r="B543" i="2" a="1"/>
  <c r="B543" i="2" s="1"/>
  <c r="B542" i="2" a="1"/>
  <c r="B542" i="2" s="1"/>
  <c r="B541" i="2" a="1"/>
  <c r="B541" i="2" s="1"/>
  <c r="B540" i="2" a="1"/>
  <c r="B540" i="2" s="1"/>
  <c r="B539" i="2" a="1"/>
  <c r="B539" i="2" s="1"/>
  <c r="B538" i="2" a="1"/>
  <c r="B538" i="2" s="1"/>
  <c r="B537" i="2" a="1"/>
  <c r="B537" i="2" s="1"/>
  <c r="B536" i="2" a="1"/>
  <c r="B536" i="2" s="1"/>
  <c r="B535" i="2" a="1"/>
  <c r="B535" i="2" s="1"/>
  <c r="B534" i="2" a="1"/>
  <c r="B534" i="2" s="1"/>
  <c r="B533" i="2" a="1"/>
  <c r="B533" i="2" s="1"/>
  <c r="B532" i="2" a="1"/>
  <c r="B532" i="2" s="1"/>
  <c r="B531" i="2" a="1"/>
  <c r="B531" i="2" s="1"/>
  <c r="B530" i="2" a="1"/>
  <c r="B530" i="2" s="1"/>
  <c r="B529" i="2" a="1"/>
  <c r="B529" i="2" s="1"/>
  <c r="B528" i="2" a="1"/>
  <c r="B528" i="2" s="1"/>
  <c r="B527" i="2" a="1"/>
  <c r="B527" i="2" s="1"/>
  <c r="B526" i="2" a="1"/>
  <c r="B526" i="2" s="1"/>
  <c r="B525" i="2" a="1"/>
  <c r="B525" i="2" s="1"/>
  <c r="B524" i="2" a="1"/>
  <c r="B524" i="2" s="1"/>
  <c r="B523" i="2" a="1"/>
  <c r="B523" i="2" s="1"/>
  <c r="B522" i="2" a="1"/>
  <c r="B522" i="2" s="1"/>
  <c r="B521" i="2" a="1"/>
  <c r="B521" i="2" s="1"/>
  <c r="B520" i="2" a="1"/>
  <c r="B520" i="2" s="1"/>
  <c r="B519" i="2" a="1"/>
  <c r="B519" i="2" s="1"/>
  <c r="B518" i="2" a="1"/>
  <c r="B518" i="2" s="1"/>
  <c r="B517" i="2" a="1"/>
  <c r="B517" i="2" s="1"/>
  <c r="B516" i="2" a="1"/>
  <c r="B516" i="2" s="1"/>
  <c r="B515" i="2" a="1"/>
  <c r="B515" i="2" s="1"/>
  <c r="B514" i="2" a="1"/>
  <c r="B514" i="2" s="1"/>
  <c r="B513" i="2" a="1"/>
  <c r="B513" i="2" s="1"/>
  <c r="B512" i="2" a="1"/>
  <c r="B512" i="2" s="1"/>
  <c r="B511" i="2" a="1"/>
  <c r="B511" i="2" s="1"/>
  <c r="B510" i="2" a="1"/>
  <c r="B510" i="2" s="1"/>
  <c r="B509" i="2" a="1"/>
  <c r="B509" i="2" s="1"/>
  <c r="B508" i="2" a="1"/>
  <c r="B508" i="2" s="1"/>
  <c r="B507" i="2" a="1"/>
  <c r="B507" i="2" s="1"/>
  <c r="B506" i="2" a="1"/>
  <c r="B506" i="2" s="1"/>
  <c r="B505" i="2" a="1"/>
  <c r="B505" i="2" s="1"/>
  <c r="B504" i="2" a="1"/>
  <c r="B504" i="2" s="1"/>
  <c r="B503" i="2" a="1"/>
  <c r="B503" i="2" s="1"/>
  <c r="B502" i="2" a="1"/>
  <c r="B502" i="2" s="1"/>
  <c r="B501" i="2" a="1"/>
  <c r="B501" i="2" s="1"/>
  <c r="B500" i="2" a="1"/>
  <c r="B500" i="2" s="1"/>
  <c r="B499" i="2" a="1"/>
  <c r="B499" i="2" s="1"/>
  <c r="B498" i="2" a="1"/>
  <c r="B498" i="2" s="1"/>
  <c r="B497" i="2" a="1"/>
  <c r="B497" i="2" s="1"/>
  <c r="B496" i="2" a="1"/>
  <c r="B496" i="2" s="1"/>
  <c r="B495" i="2" a="1"/>
  <c r="B495" i="2" s="1"/>
  <c r="B494" i="2" a="1"/>
  <c r="B494" i="2" s="1"/>
  <c r="B493" i="2" a="1"/>
  <c r="B493" i="2" s="1"/>
  <c r="B492" i="2" a="1"/>
  <c r="B492" i="2" s="1"/>
  <c r="B491" i="2" a="1"/>
  <c r="B491" i="2" s="1"/>
  <c r="B490" i="2" a="1"/>
  <c r="B490" i="2" s="1"/>
  <c r="B489" i="2" a="1"/>
  <c r="B489" i="2" s="1"/>
  <c r="B488" i="2" a="1"/>
  <c r="B488" i="2" s="1"/>
  <c r="B487" i="2" a="1"/>
  <c r="B487" i="2" s="1"/>
  <c r="B486" i="2" a="1"/>
  <c r="B486" i="2" s="1"/>
  <c r="B485" i="2" a="1"/>
  <c r="B485" i="2" s="1"/>
  <c r="B484" i="2" a="1"/>
  <c r="B484" i="2" s="1"/>
  <c r="B483" i="2" a="1"/>
  <c r="B483" i="2" s="1"/>
  <c r="B482" i="2" a="1"/>
  <c r="B482" i="2" s="1"/>
  <c r="B481" i="2" a="1"/>
  <c r="B481" i="2" s="1"/>
  <c r="B480" i="2" a="1"/>
  <c r="B480" i="2" s="1"/>
  <c r="B479" i="2" a="1"/>
  <c r="B479" i="2" s="1"/>
  <c r="B478" i="2" a="1"/>
  <c r="B478" i="2" s="1"/>
  <c r="B477" i="2" a="1"/>
  <c r="B477" i="2" s="1"/>
  <c r="B476" i="2" a="1"/>
  <c r="B476" i="2" s="1"/>
  <c r="B475" i="2" a="1"/>
  <c r="B475" i="2" s="1"/>
  <c r="B474" i="2" a="1"/>
  <c r="B474" i="2" s="1"/>
  <c r="B473" i="2" a="1"/>
  <c r="B473" i="2" s="1"/>
  <c r="B472" i="2" a="1"/>
  <c r="B472" i="2" s="1"/>
  <c r="B471" i="2" a="1"/>
  <c r="B471" i="2" s="1"/>
  <c r="B470" i="2" a="1"/>
  <c r="B470" i="2" s="1"/>
  <c r="B469" i="2" a="1"/>
  <c r="B469" i="2" s="1"/>
  <c r="B468" i="2" a="1"/>
  <c r="B468" i="2" s="1"/>
  <c r="B467" i="2" a="1"/>
  <c r="B467" i="2" s="1"/>
  <c r="B466" i="2" a="1"/>
  <c r="B466" i="2" s="1"/>
  <c r="B465" i="2" a="1"/>
  <c r="B465" i="2" s="1"/>
  <c r="B464" i="2" a="1"/>
  <c r="B464" i="2" s="1"/>
  <c r="B463" i="2" a="1"/>
  <c r="B463" i="2" s="1"/>
  <c r="B462" i="2" a="1"/>
  <c r="B462" i="2" s="1"/>
  <c r="B461" i="2" a="1"/>
  <c r="B461" i="2" s="1"/>
  <c r="B460" i="2" a="1"/>
  <c r="B460" i="2" s="1"/>
  <c r="B459" i="2" a="1"/>
  <c r="B459" i="2" s="1"/>
  <c r="B458" i="2" a="1"/>
  <c r="B458" i="2" s="1"/>
  <c r="B457" i="2" a="1"/>
  <c r="B457" i="2" s="1"/>
  <c r="B456" i="2" a="1"/>
  <c r="B456" i="2" s="1"/>
  <c r="B455" i="2" a="1"/>
  <c r="B455" i="2" s="1"/>
  <c r="B454" i="2" a="1"/>
  <c r="B454" i="2" s="1"/>
  <c r="B453" i="2" a="1"/>
  <c r="B453" i="2" s="1"/>
  <c r="B452" i="2" a="1"/>
  <c r="B452" i="2" s="1"/>
  <c r="B451" i="2" a="1"/>
  <c r="B451" i="2" s="1"/>
  <c r="B450" i="2" a="1"/>
  <c r="B450" i="2" s="1"/>
  <c r="B449" i="2" a="1"/>
  <c r="B449" i="2" s="1"/>
  <c r="B448" i="2" a="1"/>
  <c r="B448" i="2" s="1"/>
  <c r="B447" i="2" a="1"/>
  <c r="B447" i="2" s="1"/>
  <c r="B446" i="2" a="1"/>
  <c r="B446" i="2" s="1"/>
  <c r="B445" i="2" a="1"/>
  <c r="B445" i="2" s="1"/>
  <c r="B444" i="2" a="1"/>
  <c r="B444" i="2" s="1"/>
  <c r="B443" i="2" a="1"/>
  <c r="B443" i="2" s="1"/>
  <c r="B442" i="2" a="1"/>
  <c r="B442" i="2" s="1"/>
  <c r="B441" i="2" a="1"/>
  <c r="B441" i="2" s="1"/>
  <c r="B440" i="2" a="1"/>
  <c r="B440" i="2" s="1"/>
  <c r="B439" i="2" a="1"/>
  <c r="B439" i="2" s="1"/>
  <c r="B438" i="2" a="1"/>
  <c r="B438" i="2" s="1"/>
  <c r="B437" i="2" a="1"/>
  <c r="B437" i="2" s="1"/>
  <c r="B436" i="2" a="1"/>
  <c r="B436" i="2" s="1"/>
  <c r="B435" i="2" a="1"/>
  <c r="B435" i="2" s="1"/>
  <c r="B434" i="2" a="1"/>
  <c r="B434" i="2" s="1"/>
  <c r="B433" i="2" a="1"/>
  <c r="B433" i="2" s="1"/>
  <c r="B432" i="2" a="1"/>
  <c r="B432" i="2" s="1"/>
  <c r="B431" i="2" a="1"/>
  <c r="B431" i="2" s="1"/>
  <c r="B430" i="2" a="1"/>
  <c r="B430" i="2" s="1"/>
  <c r="B429" i="2" a="1"/>
  <c r="B429" i="2" s="1"/>
  <c r="B428" i="2" a="1"/>
  <c r="B428" i="2" s="1"/>
  <c r="B427" i="2" a="1"/>
  <c r="B427" i="2" s="1"/>
  <c r="B426" i="2" a="1"/>
  <c r="B426" i="2" s="1"/>
  <c r="B425" i="2" a="1"/>
  <c r="B425" i="2" s="1"/>
  <c r="B424" i="2" a="1"/>
  <c r="B424" i="2" s="1"/>
  <c r="B423" i="2" a="1"/>
  <c r="B423" i="2" s="1"/>
  <c r="B422" i="2" a="1"/>
  <c r="B422" i="2" s="1"/>
  <c r="B421" i="2" a="1"/>
  <c r="B421" i="2" s="1"/>
  <c r="B420" i="2" a="1"/>
  <c r="B420" i="2" s="1"/>
  <c r="B419" i="2" a="1"/>
  <c r="B419" i="2" s="1"/>
  <c r="B418" i="2" a="1"/>
  <c r="B418" i="2" s="1"/>
  <c r="B417" i="2" a="1"/>
  <c r="B417" i="2" s="1"/>
  <c r="B416" i="2" a="1"/>
  <c r="B416" i="2" s="1"/>
  <c r="B415" i="2" a="1"/>
  <c r="B415" i="2" s="1"/>
  <c r="B414" i="2" a="1"/>
  <c r="B414" i="2" s="1"/>
  <c r="B413" i="2" a="1"/>
  <c r="B413" i="2" s="1"/>
  <c r="B412" i="2" a="1"/>
  <c r="B412" i="2" s="1"/>
  <c r="B411" i="2" a="1"/>
  <c r="B411" i="2" s="1"/>
  <c r="B410" i="2" a="1"/>
  <c r="B410" i="2" s="1"/>
  <c r="B409" i="2" a="1"/>
  <c r="B409" i="2" s="1"/>
  <c r="B408" i="2" a="1"/>
  <c r="B408" i="2" s="1"/>
  <c r="B407" i="2" a="1"/>
  <c r="B407" i="2" s="1"/>
  <c r="B406" i="2" a="1"/>
  <c r="B406" i="2" s="1"/>
  <c r="B405" i="2" a="1"/>
  <c r="B405" i="2" s="1"/>
  <c r="B404" i="2" a="1"/>
  <c r="B404" i="2" s="1"/>
  <c r="B403" i="2" a="1"/>
  <c r="B403" i="2" s="1"/>
  <c r="B402" i="2" a="1"/>
  <c r="B402" i="2" s="1"/>
  <c r="B401" i="2" a="1"/>
  <c r="B401" i="2" s="1"/>
  <c r="B400" i="2" a="1"/>
  <c r="B400" i="2" s="1"/>
  <c r="B399" i="2" a="1"/>
  <c r="B399" i="2" s="1"/>
  <c r="B398" i="2" a="1"/>
  <c r="B398" i="2" s="1"/>
  <c r="B397" i="2" a="1"/>
  <c r="B397" i="2" s="1"/>
  <c r="B396" i="2" a="1"/>
  <c r="B396" i="2" s="1"/>
  <c r="B395" i="2" a="1"/>
  <c r="B395" i="2" s="1"/>
  <c r="B394" i="2" a="1"/>
  <c r="B394" i="2" s="1"/>
  <c r="B393" i="2" a="1"/>
  <c r="B393" i="2" s="1"/>
  <c r="B392" i="2" a="1"/>
  <c r="B392" i="2" s="1"/>
  <c r="B391" i="2" a="1"/>
  <c r="B391" i="2" s="1"/>
  <c r="B390" i="2" a="1"/>
  <c r="B390" i="2" s="1"/>
  <c r="B389" i="2" a="1"/>
  <c r="B389" i="2" s="1"/>
  <c r="B388" i="2" a="1"/>
  <c r="B388" i="2" s="1"/>
  <c r="B387" i="2" a="1"/>
  <c r="B387" i="2" s="1"/>
  <c r="B386" i="2" a="1"/>
  <c r="B386" i="2" s="1"/>
  <c r="B385" i="2" a="1"/>
  <c r="B385" i="2" s="1"/>
  <c r="B384" i="2" a="1"/>
  <c r="B384" i="2" s="1"/>
  <c r="B383" i="2" a="1"/>
  <c r="B383" i="2" s="1"/>
  <c r="B382" i="2" a="1"/>
  <c r="B382" i="2" s="1"/>
  <c r="B381" i="2" a="1"/>
  <c r="B381" i="2" s="1"/>
  <c r="B380" i="2" a="1"/>
  <c r="B380" i="2" s="1"/>
  <c r="B379" i="2" a="1"/>
  <c r="B379" i="2" s="1"/>
  <c r="B378" i="2" a="1"/>
  <c r="B378" i="2" s="1"/>
  <c r="B377" i="2" a="1"/>
  <c r="B377" i="2" s="1"/>
  <c r="B376" i="2" a="1"/>
  <c r="B376" i="2" s="1"/>
  <c r="B375" i="2" a="1"/>
  <c r="B375" i="2" s="1"/>
  <c r="B374" i="2" a="1"/>
  <c r="B374" i="2" s="1"/>
  <c r="B373" i="2" a="1"/>
  <c r="B373" i="2" s="1"/>
  <c r="B372" i="2" a="1"/>
  <c r="B372" i="2" s="1"/>
  <c r="B371" i="2" a="1"/>
  <c r="B371" i="2" s="1"/>
  <c r="B370" i="2" a="1"/>
  <c r="B370" i="2" s="1"/>
  <c r="B369" i="2" a="1"/>
  <c r="B369" i="2" s="1"/>
  <c r="B368" i="2" a="1"/>
  <c r="B368" i="2" s="1"/>
  <c r="B367" i="2" a="1"/>
  <c r="B367" i="2" s="1"/>
  <c r="B366" i="2" a="1"/>
  <c r="B366" i="2" s="1"/>
  <c r="B365" i="2" a="1"/>
  <c r="B365" i="2" s="1"/>
  <c r="B364" i="2" a="1"/>
  <c r="B364" i="2" s="1"/>
  <c r="B363" i="2" a="1"/>
  <c r="B363" i="2" s="1"/>
  <c r="B362" i="2" a="1"/>
  <c r="B362" i="2" s="1"/>
  <c r="B361" i="2" a="1"/>
  <c r="B361" i="2" s="1"/>
  <c r="B360" i="2" a="1"/>
  <c r="B360" i="2" s="1"/>
  <c r="B359" i="2" a="1"/>
  <c r="B359" i="2" s="1"/>
  <c r="B358" i="2" a="1"/>
  <c r="B358" i="2" s="1"/>
  <c r="B357" i="2" a="1"/>
  <c r="B357" i="2" s="1"/>
  <c r="B356" i="2" a="1"/>
  <c r="B356" i="2" s="1"/>
  <c r="B355" i="2" a="1"/>
  <c r="B355" i="2" s="1"/>
  <c r="B354" i="2" a="1"/>
  <c r="B354" i="2" s="1"/>
  <c r="B353" i="2" a="1"/>
  <c r="B353" i="2" s="1"/>
  <c r="B352" i="2" a="1"/>
  <c r="B352" i="2" s="1"/>
  <c r="B351" i="2" a="1"/>
  <c r="B351" i="2" s="1"/>
  <c r="B350" i="2" a="1"/>
  <c r="B350" i="2" s="1"/>
  <c r="B349" i="2" a="1"/>
  <c r="B349" i="2" s="1"/>
  <c r="B348" i="2" a="1"/>
  <c r="B348" i="2" s="1"/>
  <c r="B347" i="2" a="1"/>
  <c r="B347" i="2" s="1"/>
  <c r="B346" i="2" a="1"/>
  <c r="B346" i="2" s="1"/>
  <c r="B345" i="2" a="1"/>
  <c r="B345" i="2" s="1"/>
  <c r="B344" i="2" a="1"/>
  <c r="B344" i="2" s="1"/>
  <c r="B343" i="2" a="1"/>
  <c r="B343" i="2" s="1"/>
  <c r="B342" i="2" a="1"/>
  <c r="B342" i="2" s="1"/>
  <c r="B341" i="2" a="1"/>
  <c r="B341" i="2" s="1"/>
  <c r="B340" i="2" a="1"/>
  <c r="B340" i="2" s="1"/>
  <c r="B339" i="2" a="1"/>
  <c r="B339" i="2" s="1"/>
  <c r="B338" i="2" a="1"/>
  <c r="B338" i="2" s="1"/>
  <c r="B337" i="2" a="1"/>
  <c r="B337" i="2" s="1"/>
  <c r="B336" i="2" a="1"/>
  <c r="B336" i="2" s="1"/>
  <c r="B335" i="2" a="1"/>
  <c r="B335" i="2" s="1"/>
  <c r="B334" i="2" a="1"/>
  <c r="B334" i="2" s="1"/>
  <c r="B333" i="2" a="1"/>
  <c r="B333" i="2" s="1"/>
  <c r="B332" i="2" a="1"/>
  <c r="B332" i="2" s="1"/>
  <c r="B331" i="2" a="1"/>
  <c r="B331" i="2" s="1"/>
  <c r="B330" i="2" a="1"/>
  <c r="B330" i="2" s="1"/>
  <c r="B329" i="2" a="1"/>
  <c r="B329" i="2" s="1"/>
  <c r="B328" i="2" a="1"/>
  <c r="B328" i="2" s="1"/>
  <c r="B327" i="2" a="1"/>
  <c r="B327" i="2" s="1"/>
  <c r="B326" i="2" a="1"/>
  <c r="B326" i="2" s="1"/>
  <c r="B325" i="2" a="1"/>
  <c r="B325" i="2" s="1"/>
  <c r="B324" i="2" a="1"/>
  <c r="B324" i="2" s="1"/>
  <c r="B323" i="2" a="1"/>
  <c r="B323" i="2" s="1"/>
  <c r="B322" i="2" a="1"/>
  <c r="B322" i="2" s="1"/>
  <c r="B321" i="2" a="1"/>
  <c r="B321" i="2" s="1"/>
  <c r="B320" i="2" a="1"/>
  <c r="B320" i="2" s="1"/>
  <c r="B319" i="2" a="1"/>
  <c r="B319" i="2" s="1"/>
  <c r="B318" i="2" a="1"/>
  <c r="B318" i="2" s="1"/>
  <c r="B317" i="2" a="1"/>
  <c r="B317" i="2" s="1"/>
  <c r="B316" i="2" a="1"/>
  <c r="B316" i="2" s="1"/>
  <c r="B315" i="2" a="1"/>
  <c r="B315" i="2" s="1"/>
  <c r="B314" i="2" a="1"/>
  <c r="B314" i="2" s="1"/>
  <c r="B313" i="2" a="1"/>
  <c r="B313" i="2" s="1"/>
  <c r="B312" i="2" a="1"/>
  <c r="B312" i="2" s="1"/>
  <c r="B311" i="2" a="1"/>
  <c r="B311" i="2" s="1"/>
  <c r="B310" i="2" a="1"/>
  <c r="B310" i="2" s="1"/>
  <c r="B309" i="2" a="1"/>
  <c r="B309" i="2" s="1"/>
  <c r="B308" i="2" a="1"/>
  <c r="B308" i="2" s="1"/>
  <c r="B307" i="2" a="1"/>
  <c r="B307" i="2" s="1"/>
  <c r="B306" i="2" a="1"/>
  <c r="B306" i="2" s="1"/>
  <c r="B305" i="2" a="1"/>
  <c r="B305" i="2" s="1"/>
  <c r="B304" i="2" a="1"/>
  <c r="B304" i="2" s="1"/>
  <c r="B303" i="2" a="1"/>
  <c r="B303" i="2" s="1"/>
  <c r="B302" i="2" a="1"/>
  <c r="B302" i="2" s="1"/>
  <c r="B301" i="2" a="1"/>
  <c r="B301" i="2" s="1"/>
  <c r="B300" i="2" a="1"/>
  <c r="B300" i="2" s="1"/>
  <c r="B299" i="2" a="1"/>
  <c r="B299" i="2" s="1"/>
  <c r="B298" i="2" a="1"/>
  <c r="B298" i="2" s="1"/>
  <c r="B297" i="2" a="1"/>
  <c r="B297" i="2" s="1"/>
  <c r="B296" i="2" a="1"/>
  <c r="B296" i="2" s="1"/>
  <c r="B295" i="2" a="1"/>
  <c r="B295" i="2" s="1"/>
  <c r="B294" i="2" a="1"/>
  <c r="B294" i="2" s="1"/>
  <c r="B293" i="2" a="1"/>
  <c r="B293" i="2" s="1"/>
  <c r="B292" i="2" a="1"/>
  <c r="B292" i="2" s="1"/>
  <c r="B291" i="2" a="1"/>
  <c r="B291" i="2" s="1"/>
  <c r="B290" i="2" a="1"/>
  <c r="B290" i="2" s="1"/>
  <c r="B289" i="2" a="1"/>
  <c r="B289" i="2" s="1"/>
  <c r="B288" i="2" a="1"/>
  <c r="B288" i="2" s="1"/>
  <c r="B287" i="2" a="1"/>
  <c r="B287" i="2" s="1"/>
  <c r="B286" i="2" a="1"/>
  <c r="B286" i="2" s="1"/>
  <c r="B285" i="2" a="1"/>
  <c r="B285" i="2" s="1"/>
  <c r="B284" i="2" a="1"/>
  <c r="B284" i="2" s="1"/>
  <c r="B283" i="2" a="1"/>
  <c r="B283" i="2" s="1"/>
  <c r="B282" i="2" a="1"/>
  <c r="B282" i="2" s="1"/>
  <c r="B281" i="2" a="1"/>
  <c r="B281" i="2" s="1"/>
  <c r="B280" i="2" a="1"/>
  <c r="B280" i="2" s="1"/>
  <c r="B279" i="2" a="1"/>
  <c r="B279" i="2" s="1"/>
  <c r="B278" i="2" a="1"/>
  <c r="B278" i="2" s="1"/>
  <c r="B277" i="2" a="1"/>
  <c r="B277" i="2" s="1"/>
  <c r="B276" i="2" a="1"/>
  <c r="B276" i="2" s="1"/>
  <c r="B275" i="2" a="1"/>
  <c r="B275" i="2" s="1"/>
  <c r="B274" i="2" a="1"/>
  <c r="B274" i="2" s="1"/>
  <c r="B273" i="2" a="1"/>
  <c r="B273" i="2" s="1"/>
  <c r="B272" i="2" a="1"/>
  <c r="B272" i="2" s="1"/>
  <c r="B271" i="2" a="1"/>
  <c r="B271" i="2" s="1"/>
  <c r="B270" i="2" a="1"/>
  <c r="B270" i="2" s="1"/>
  <c r="B269" i="2" a="1"/>
  <c r="B269" i="2" s="1"/>
  <c r="B268" i="2" a="1"/>
  <c r="B268" i="2" s="1"/>
  <c r="B267" i="2" a="1"/>
  <c r="B267" i="2" s="1"/>
  <c r="B266" i="2" a="1"/>
  <c r="B266" i="2" s="1"/>
  <c r="B265" i="2" a="1"/>
  <c r="B265" i="2" s="1"/>
  <c r="B264" i="2" a="1"/>
  <c r="B264" i="2" s="1"/>
  <c r="B263" i="2" a="1"/>
  <c r="B263" i="2" s="1"/>
  <c r="B262" i="2" a="1"/>
  <c r="B262" i="2" s="1"/>
  <c r="B261" i="2" a="1"/>
  <c r="B261" i="2" s="1"/>
  <c r="B260" i="2" a="1"/>
  <c r="B260" i="2" s="1"/>
  <c r="B259" i="2" a="1"/>
  <c r="B259" i="2" s="1"/>
  <c r="B258" i="2" a="1"/>
  <c r="B258" i="2" s="1"/>
  <c r="B257" i="2" a="1"/>
  <c r="B257" i="2" s="1"/>
  <c r="B256" i="2" a="1"/>
  <c r="B256" i="2" s="1"/>
  <c r="B255" i="2" a="1"/>
  <c r="B255" i="2" s="1"/>
  <c r="B254" i="2" a="1"/>
  <c r="B254" i="2" s="1"/>
  <c r="B253" i="2" a="1"/>
  <c r="B253" i="2" s="1"/>
  <c r="B252" i="2" a="1"/>
  <c r="B252" i="2" s="1"/>
  <c r="B251" i="2" a="1"/>
  <c r="B251" i="2" s="1"/>
  <c r="B250" i="2" a="1"/>
  <c r="B250" i="2" s="1"/>
  <c r="B249" i="2" a="1"/>
  <c r="B249" i="2" s="1"/>
  <c r="B248" i="2" a="1"/>
  <c r="B248" i="2" s="1"/>
  <c r="B247" i="2" a="1"/>
  <c r="B247" i="2" s="1"/>
  <c r="B246" i="2" a="1"/>
  <c r="B246" i="2" s="1"/>
  <c r="B245" i="2" a="1"/>
  <c r="B245" i="2" s="1"/>
  <c r="B244" i="2" a="1"/>
  <c r="B244" i="2" s="1"/>
  <c r="B243" i="2" a="1"/>
  <c r="B243" i="2" s="1"/>
  <c r="B242" i="2" a="1"/>
  <c r="B242" i="2" s="1"/>
  <c r="B241" i="2" a="1"/>
  <c r="B241" i="2" s="1"/>
  <c r="B240" i="2" a="1"/>
  <c r="B240" i="2" s="1"/>
  <c r="B239" i="2" a="1"/>
  <c r="B239" i="2" s="1"/>
  <c r="B238" i="2" a="1"/>
  <c r="B238" i="2" s="1"/>
  <c r="B237" i="2" a="1"/>
  <c r="B237" i="2" s="1"/>
  <c r="B236" i="2" a="1"/>
  <c r="B236" i="2" s="1"/>
  <c r="B235" i="2" a="1"/>
  <c r="B235" i="2" s="1"/>
  <c r="B234" i="2" a="1"/>
  <c r="B234" i="2" s="1"/>
  <c r="B233" i="2" a="1"/>
  <c r="B233" i="2" s="1"/>
  <c r="B232" i="2" a="1"/>
  <c r="B232" i="2" s="1"/>
  <c r="B231" i="2" a="1"/>
  <c r="B231" i="2" s="1"/>
  <c r="B230" i="2" a="1"/>
  <c r="B230" i="2" s="1"/>
  <c r="B229" i="2" a="1"/>
  <c r="B229" i="2" s="1"/>
  <c r="B228" i="2" a="1"/>
  <c r="B228" i="2" s="1"/>
  <c r="B227" i="2" a="1"/>
  <c r="B227" i="2" s="1"/>
  <c r="B226" i="2" a="1"/>
  <c r="B226" i="2" s="1"/>
  <c r="B225" i="2" a="1"/>
  <c r="B225" i="2" s="1"/>
  <c r="B224" i="2" a="1"/>
  <c r="B224" i="2" s="1"/>
  <c r="B223" i="2" a="1"/>
  <c r="B223" i="2" s="1"/>
  <c r="B222" i="2" a="1"/>
  <c r="B222" i="2" s="1"/>
  <c r="B221" i="2" a="1"/>
  <c r="B221" i="2" s="1"/>
  <c r="B220" i="2" a="1"/>
  <c r="B220" i="2" s="1"/>
  <c r="B219" i="2" a="1"/>
  <c r="B219" i="2" s="1"/>
  <c r="B218" i="2" a="1"/>
  <c r="B218" i="2" s="1"/>
  <c r="B217" i="2" a="1"/>
  <c r="B217" i="2" s="1"/>
  <c r="B216" i="2" a="1"/>
  <c r="B216" i="2" s="1"/>
  <c r="B215" i="2" a="1"/>
  <c r="B215" i="2" s="1"/>
  <c r="B214" i="2" a="1"/>
  <c r="B214" i="2" s="1"/>
  <c r="B213" i="2" a="1"/>
  <c r="B213" i="2" s="1"/>
  <c r="B212" i="2" a="1"/>
  <c r="B212" i="2" s="1"/>
  <c r="B211" i="2" a="1"/>
  <c r="B211" i="2" s="1"/>
  <c r="B210" i="2" a="1"/>
  <c r="B210" i="2" s="1"/>
  <c r="B209" i="2" a="1"/>
  <c r="B209" i="2" s="1"/>
  <c r="B208" i="2" a="1"/>
  <c r="B208" i="2" s="1"/>
  <c r="B207" i="2" a="1"/>
  <c r="B207" i="2" s="1"/>
  <c r="B206" i="2" a="1"/>
  <c r="B206" i="2" s="1"/>
  <c r="B205" i="2" a="1"/>
  <c r="B205" i="2" s="1"/>
  <c r="B204" i="2" a="1"/>
  <c r="B204" i="2" s="1"/>
  <c r="B203" i="2" a="1"/>
  <c r="B203" i="2" s="1"/>
  <c r="B202" i="2" a="1"/>
  <c r="B202" i="2" s="1"/>
  <c r="B201" i="2" a="1"/>
  <c r="B201" i="2" s="1"/>
  <c r="B200" i="2" a="1"/>
  <c r="B200" i="2" s="1"/>
  <c r="B199" i="2" a="1"/>
  <c r="B199" i="2" s="1"/>
  <c r="B198" i="2" a="1"/>
  <c r="B198" i="2" s="1"/>
  <c r="B197" i="2" a="1"/>
  <c r="B197" i="2" s="1"/>
  <c r="B196" i="2" a="1"/>
  <c r="B196" i="2" s="1"/>
  <c r="B195" i="2" a="1"/>
  <c r="B195" i="2" s="1"/>
  <c r="B194" i="2" a="1"/>
  <c r="B194" i="2" s="1"/>
  <c r="B193" i="2" a="1"/>
  <c r="B193" i="2" s="1"/>
  <c r="B192" i="2" a="1"/>
  <c r="B192" i="2" s="1"/>
  <c r="B191" i="2" a="1"/>
  <c r="B191" i="2" s="1"/>
  <c r="B190" i="2" a="1"/>
  <c r="B190" i="2" s="1"/>
  <c r="B189" i="2" a="1"/>
  <c r="B189" i="2" s="1"/>
  <c r="B188" i="2" a="1"/>
  <c r="B188" i="2" s="1"/>
  <c r="B187" i="2" a="1"/>
  <c r="B187" i="2" s="1"/>
  <c r="B186" i="2" a="1"/>
  <c r="B186" i="2" s="1"/>
  <c r="B185" i="2" a="1"/>
  <c r="B185" i="2" s="1"/>
  <c r="B184" i="2" a="1"/>
  <c r="B184" i="2" s="1"/>
  <c r="B183" i="2" a="1"/>
  <c r="B183" i="2" s="1"/>
  <c r="B182" i="2" a="1"/>
  <c r="B182" i="2" s="1"/>
  <c r="B181" i="2" a="1"/>
  <c r="B181" i="2" s="1"/>
  <c r="B180" i="2" a="1"/>
  <c r="B180" i="2" s="1"/>
  <c r="B179" i="2" a="1"/>
  <c r="B179" i="2" s="1"/>
  <c r="B178" i="2" a="1"/>
  <c r="B178" i="2" s="1"/>
  <c r="B177" i="2" a="1"/>
  <c r="B177" i="2" s="1"/>
  <c r="B176" i="2" a="1"/>
  <c r="B176" i="2" s="1"/>
  <c r="B175" i="2" a="1"/>
  <c r="B175" i="2" s="1"/>
  <c r="B174" i="2" a="1"/>
  <c r="B174" i="2" s="1"/>
  <c r="B173" i="2" a="1"/>
  <c r="B173" i="2" s="1"/>
  <c r="B172" i="2" a="1"/>
  <c r="B172" i="2" s="1"/>
  <c r="B171" i="2" a="1"/>
  <c r="B171" i="2" s="1"/>
  <c r="B170" i="2" a="1"/>
  <c r="B170" i="2" s="1"/>
  <c r="B169" i="2" a="1"/>
  <c r="B169" i="2" s="1"/>
  <c r="B168" i="2" a="1"/>
  <c r="B168" i="2" s="1"/>
  <c r="B167" i="2" a="1"/>
  <c r="B167" i="2" s="1"/>
  <c r="B166" i="2" a="1"/>
  <c r="B166" i="2" s="1"/>
  <c r="B165" i="2" a="1"/>
  <c r="B165" i="2" s="1"/>
  <c r="B164" i="2" a="1"/>
  <c r="B164" i="2" s="1"/>
  <c r="B163" i="2" a="1"/>
  <c r="B163" i="2" s="1"/>
  <c r="B162" i="2" a="1"/>
  <c r="B162" i="2" s="1"/>
  <c r="B161" i="2" a="1"/>
  <c r="B161" i="2" s="1"/>
  <c r="B160" i="2" a="1"/>
  <c r="B160" i="2" s="1"/>
  <c r="B159" i="2" a="1"/>
  <c r="B159" i="2" s="1"/>
  <c r="B158" i="2" a="1"/>
  <c r="B158" i="2" s="1"/>
  <c r="B157" i="2" a="1"/>
  <c r="B157" i="2" s="1"/>
  <c r="B156" i="2" a="1"/>
  <c r="B156" i="2" s="1"/>
  <c r="B155" i="2" a="1"/>
  <c r="B155" i="2" s="1"/>
  <c r="B154" i="2" a="1"/>
  <c r="B154" i="2" s="1"/>
  <c r="B153" i="2" a="1"/>
  <c r="B153" i="2" s="1"/>
  <c r="B152" i="2" a="1"/>
  <c r="B152" i="2" s="1"/>
  <c r="B151" i="2" a="1"/>
  <c r="B151" i="2" s="1"/>
  <c r="B150" i="2" a="1"/>
  <c r="B150" i="2" s="1"/>
  <c r="B149" i="2" a="1"/>
  <c r="B149" i="2" s="1"/>
  <c r="B148" i="2" a="1"/>
  <c r="B148" i="2" s="1"/>
  <c r="B147" i="2" a="1"/>
  <c r="B147" i="2" s="1"/>
  <c r="B146" i="2" a="1"/>
  <c r="B146" i="2" s="1"/>
  <c r="B145" i="2" a="1"/>
  <c r="B145" i="2" s="1"/>
  <c r="B144" i="2" a="1"/>
  <c r="B144" i="2" s="1"/>
  <c r="B143" i="2" a="1"/>
  <c r="B143" i="2" s="1"/>
  <c r="B142" i="2" a="1"/>
  <c r="B142" i="2" s="1"/>
  <c r="B141" i="2" a="1"/>
  <c r="B141" i="2" s="1"/>
  <c r="B140" i="2" a="1"/>
  <c r="B140" i="2" s="1"/>
  <c r="B139" i="2" a="1"/>
  <c r="B139" i="2" s="1"/>
  <c r="B138" i="2" a="1"/>
  <c r="B138" i="2" s="1"/>
  <c r="B137" i="2" a="1"/>
  <c r="B137" i="2" s="1"/>
  <c r="B136" i="2" a="1"/>
  <c r="B136" i="2" s="1"/>
  <c r="B135" i="2" a="1"/>
  <c r="B135" i="2" s="1"/>
  <c r="B134" i="2" a="1"/>
  <c r="B134" i="2" s="1"/>
  <c r="B133" i="2" a="1"/>
  <c r="B133" i="2" s="1"/>
  <c r="B132" i="2" a="1"/>
  <c r="B132" i="2" s="1"/>
  <c r="B131" i="2" a="1"/>
  <c r="B131" i="2" s="1"/>
  <c r="B130" i="2" a="1"/>
  <c r="B130" i="2" s="1"/>
  <c r="B129" i="2" a="1"/>
  <c r="B129" i="2" s="1"/>
  <c r="B128" i="2" a="1"/>
  <c r="B128" i="2" s="1"/>
  <c r="B127" i="2" a="1"/>
  <c r="B127" i="2" s="1"/>
  <c r="B126" i="2" a="1"/>
  <c r="B126" i="2" s="1"/>
  <c r="B125" i="2" a="1"/>
  <c r="B125" i="2" s="1"/>
  <c r="B124" i="2" a="1"/>
  <c r="B124" i="2" s="1"/>
  <c r="B123" i="2" a="1"/>
  <c r="B123" i="2" s="1"/>
  <c r="B122" i="2" a="1"/>
  <c r="B122" i="2" s="1"/>
  <c r="B121" i="2" a="1"/>
  <c r="B121" i="2" s="1"/>
  <c r="B120" i="2" a="1"/>
  <c r="B120" i="2" s="1"/>
  <c r="B119" i="2" a="1"/>
  <c r="B119" i="2" s="1"/>
  <c r="B118" i="2" a="1"/>
  <c r="B118" i="2" s="1"/>
  <c r="B117" i="2" a="1"/>
  <c r="B117" i="2" s="1"/>
  <c r="B116" i="2" a="1"/>
  <c r="B116" i="2" s="1"/>
  <c r="B115" i="2" a="1"/>
  <c r="B115" i="2" s="1"/>
  <c r="B114" i="2" a="1"/>
  <c r="B114" i="2" s="1"/>
  <c r="B113" i="2" a="1"/>
  <c r="B113" i="2" s="1"/>
  <c r="B112" i="2" a="1"/>
  <c r="B112" i="2" s="1"/>
  <c r="B111" i="2" a="1"/>
  <c r="B111" i="2" s="1"/>
  <c r="B110" i="2" a="1"/>
  <c r="B110" i="2" s="1"/>
  <c r="B109" i="2" a="1"/>
  <c r="B109" i="2" s="1"/>
  <c r="B108" i="2" a="1"/>
  <c r="B108" i="2" s="1"/>
  <c r="B107" i="2" a="1"/>
  <c r="B107" i="2" s="1"/>
  <c r="B106" i="2" a="1"/>
  <c r="B106" i="2" s="1"/>
  <c r="B105" i="2" a="1"/>
  <c r="B105" i="2" s="1"/>
  <c r="B104" i="2" a="1"/>
  <c r="B104" i="2" s="1"/>
  <c r="B103" i="2" a="1"/>
  <c r="B103" i="2" s="1"/>
  <c r="B102" i="2" a="1"/>
  <c r="B102" i="2" s="1"/>
  <c r="B101" i="2" a="1"/>
  <c r="B101" i="2" s="1"/>
  <c r="B100" i="2" a="1"/>
  <c r="B100" i="2" s="1"/>
  <c r="B99" i="2" a="1"/>
  <c r="B99" i="2" s="1"/>
  <c r="B98" i="2" a="1"/>
  <c r="B98" i="2" s="1"/>
  <c r="B97" i="2" a="1"/>
  <c r="B97" i="2" s="1"/>
  <c r="B96" i="2" a="1"/>
  <c r="B96" i="2" s="1"/>
  <c r="B95" i="2" a="1"/>
  <c r="B95" i="2" s="1"/>
  <c r="B94" i="2" a="1"/>
  <c r="B94" i="2" s="1"/>
  <c r="B93" i="2" a="1"/>
  <c r="B93" i="2" s="1"/>
  <c r="B92" i="2" a="1"/>
  <c r="B92" i="2" s="1"/>
  <c r="B91" i="2" a="1"/>
  <c r="B91" i="2" s="1"/>
  <c r="B90" i="2" a="1"/>
  <c r="B90" i="2" s="1"/>
  <c r="B89" i="2" a="1"/>
  <c r="B89" i="2" s="1"/>
  <c r="B88" i="2" a="1"/>
  <c r="B88" i="2" s="1"/>
  <c r="B87" i="2" a="1"/>
  <c r="B87" i="2" s="1"/>
  <c r="B86" i="2" a="1"/>
  <c r="B86" i="2" s="1"/>
  <c r="B85" i="2" a="1"/>
  <c r="B85" i="2" s="1"/>
  <c r="B84" i="2" a="1"/>
  <c r="B84" i="2" s="1"/>
  <c r="B83" i="2" a="1"/>
  <c r="B83" i="2" s="1"/>
  <c r="B82" i="2" a="1"/>
  <c r="B82" i="2" s="1"/>
  <c r="B81" i="2" a="1"/>
  <c r="B81" i="2" s="1"/>
  <c r="B80" i="2" a="1"/>
  <c r="B80" i="2" s="1"/>
  <c r="B79" i="2" a="1"/>
  <c r="B79" i="2" s="1"/>
  <c r="B78" i="2" a="1"/>
  <c r="B78" i="2" s="1"/>
  <c r="B77" i="2" a="1"/>
  <c r="B77" i="2" s="1"/>
  <c r="B76" i="2" a="1"/>
  <c r="B76" i="2" s="1"/>
  <c r="B75" i="2" a="1"/>
  <c r="B75" i="2" s="1"/>
  <c r="B74" i="2" a="1"/>
  <c r="B74" i="2" s="1"/>
  <c r="B73" i="2" a="1"/>
  <c r="B73" i="2" s="1"/>
  <c r="B72" i="2" a="1"/>
  <c r="B72" i="2" s="1"/>
  <c r="B71" i="2" a="1"/>
  <c r="B71" i="2" s="1"/>
  <c r="B70" i="2" a="1"/>
  <c r="B70" i="2" s="1"/>
  <c r="B69" i="2" a="1"/>
  <c r="B69" i="2" s="1"/>
  <c r="B68" i="2" a="1"/>
  <c r="B68" i="2" s="1"/>
  <c r="B67" i="2" a="1"/>
  <c r="B67" i="2" s="1"/>
  <c r="B66" i="2" a="1"/>
  <c r="B66" i="2" s="1"/>
  <c r="B65" i="2" a="1"/>
  <c r="B65" i="2" s="1"/>
  <c r="B64" i="2" a="1"/>
  <c r="B64" i="2" s="1"/>
  <c r="B63" i="2" a="1"/>
  <c r="B63" i="2" s="1"/>
  <c r="B62" i="2" a="1"/>
  <c r="B62" i="2" s="1"/>
  <c r="B61" i="2" a="1"/>
  <c r="B61" i="2" s="1"/>
  <c r="B60" i="2" a="1"/>
  <c r="B60" i="2" s="1"/>
  <c r="B59" i="2" a="1"/>
  <c r="B59" i="2" s="1"/>
  <c r="B58" i="2" a="1"/>
  <c r="B58" i="2" s="1"/>
  <c r="B57" i="2" a="1"/>
  <c r="B57" i="2" s="1"/>
  <c r="B56" i="2" a="1"/>
  <c r="B56" i="2" s="1"/>
  <c r="B55" i="2" a="1"/>
  <c r="B55" i="2" s="1"/>
  <c r="B54" i="2" a="1"/>
  <c r="B54" i="2" s="1"/>
  <c r="B53" i="2" a="1"/>
  <c r="B53" i="2" s="1"/>
  <c r="B52" i="2" a="1"/>
  <c r="B52" i="2" s="1"/>
  <c r="B51" i="2" a="1"/>
  <c r="B51" i="2" s="1"/>
  <c r="B50" i="2" a="1"/>
  <c r="B50" i="2" s="1"/>
  <c r="B49" i="2" a="1"/>
  <c r="B49" i="2" s="1"/>
  <c r="B48" i="2" a="1"/>
  <c r="B48" i="2" s="1"/>
  <c r="B47" i="2" a="1"/>
  <c r="B47" i="2" s="1"/>
  <c r="B46" i="2" a="1"/>
  <c r="B46" i="2" s="1"/>
  <c r="B45" i="2" a="1"/>
  <c r="B45" i="2" s="1"/>
  <c r="B44" i="2" a="1"/>
  <c r="B44" i="2" s="1"/>
  <c r="B43" i="2" a="1"/>
  <c r="B43" i="2" s="1"/>
  <c r="B42" i="2" a="1"/>
  <c r="B42" i="2" s="1"/>
  <c r="B41" i="2" a="1"/>
  <c r="B41" i="2" s="1"/>
  <c r="B40" i="2" a="1"/>
  <c r="B40" i="2" s="1"/>
  <c r="B39" i="2" a="1"/>
  <c r="B39" i="2" s="1"/>
  <c r="B38" i="2" a="1"/>
  <c r="B38" i="2" s="1"/>
  <c r="B37" i="2" a="1"/>
  <c r="B37" i="2" s="1"/>
  <c r="B36" i="2" a="1"/>
  <c r="B36" i="2" s="1"/>
  <c r="B35" i="2" a="1"/>
  <c r="B35" i="2" s="1"/>
  <c r="B34" i="2" a="1"/>
  <c r="B34" i="2" s="1"/>
  <c r="B33" i="2" a="1"/>
  <c r="B33" i="2" s="1"/>
  <c r="B32" i="2" a="1"/>
  <c r="B32" i="2" s="1"/>
  <c r="B31" i="2" a="1"/>
  <c r="B31" i="2" s="1"/>
  <c r="B30" i="2" a="1"/>
  <c r="B30" i="2" s="1"/>
  <c r="B29" i="2" a="1"/>
  <c r="B29" i="2" s="1"/>
  <c r="B28" i="2" a="1"/>
  <c r="B28" i="2" s="1"/>
  <c r="B27" i="2" a="1"/>
  <c r="B27" i="2" s="1"/>
  <c r="B26" i="2" a="1"/>
  <c r="B26" i="2" s="1"/>
  <c r="B25" i="2" a="1"/>
  <c r="B25" i="2" s="1"/>
  <c r="B24" i="2" a="1"/>
  <c r="B24" i="2" s="1"/>
  <c r="B23" i="2" a="1"/>
  <c r="B23" i="2" s="1"/>
  <c r="B22" i="2" a="1"/>
  <c r="B22" i="2" s="1"/>
  <c r="B21" i="2" a="1"/>
  <c r="B21" i="2" s="1"/>
  <c r="B20" i="2" a="1"/>
  <c r="B20" i="2" s="1"/>
  <c r="B19" i="2" a="1"/>
  <c r="B19" i="2" s="1"/>
  <c r="B18" i="2" a="1"/>
  <c r="B18" i="2" s="1"/>
  <c r="B17" i="2" a="1"/>
  <c r="B17" i="2" s="1"/>
  <c r="B16" i="2" a="1"/>
  <c r="B16" i="2" s="1"/>
  <c r="B15" i="2" a="1"/>
  <c r="B15" i="2" s="1"/>
  <c r="B14" i="2" a="1"/>
  <c r="B14" i="2" s="1"/>
  <c r="B13" i="2" a="1"/>
  <c r="B13" i="2" s="1"/>
  <c r="B12" i="2" a="1"/>
  <c r="B12" i="2" s="1"/>
  <c r="B11" i="2" a="1"/>
  <c r="B11" i="2" s="1"/>
  <c r="B10" i="2" a="1"/>
  <c r="B10" i="2" s="1"/>
  <c r="B9" i="2" a="1"/>
  <c r="B9" i="2" s="1"/>
  <c r="B8" i="2" a="1"/>
  <c r="B8" i="2" s="1"/>
  <c r="B7" i="2" a="1"/>
  <c r="B7" i="2" s="1"/>
  <c r="B6" i="2" a="1"/>
  <c r="B6" i="2" s="1"/>
  <c r="B5" i="2" a="1"/>
  <c r="B5" i="2" s="1"/>
  <c r="B4" i="2" a="1"/>
  <c r="B4" i="2" s="1"/>
  <c r="B3" i="2" a="1"/>
  <c r="B3" i="2" s="1"/>
  <c r="B2" i="2" a="1"/>
  <c r="B2" i="2" s="1"/>
  <c r="C19" i="1"/>
  <c r="B19" i="4" s="1"/>
  <c r="C20" i="1"/>
  <c r="B20" i="4" s="1"/>
  <c r="C21" i="1"/>
  <c r="B21" i="4" s="1"/>
  <c r="C22" i="1"/>
  <c r="B22" i="4" s="1"/>
  <c r="C23" i="1"/>
  <c r="B23" i="4" s="1"/>
  <c r="C24" i="1"/>
  <c r="B24" i="4" s="1"/>
  <c r="C25" i="1"/>
  <c r="B25" i="4" s="1"/>
  <c r="C26" i="1"/>
  <c r="B26" i="4" s="1"/>
  <c r="C27" i="1"/>
  <c r="B27" i="4" s="1"/>
  <c r="C28" i="1"/>
  <c r="B28" i="4" s="1"/>
  <c r="C29" i="1"/>
  <c r="B29" i="4" s="1"/>
  <c r="C30" i="1"/>
  <c r="B30" i="4" s="1"/>
  <c r="C31" i="1"/>
  <c r="B31" i="4" s="1"/>
  <c r="C32" i="1"/>
  <c r="B32" i="4" s="1"/>
  <c r="C33" i="1"/>
  <c r="B33" i="4" s="1"/>
  <c r="C34" i="1"/>
  <c r="B34" i="4" s="1"/>
  <c r="C35" i="1"/>
  <c r="B35" i="4" s="1"/>
  <c r="C36" i="1"/>
  <c r="B36" i="4" s="1"/>
  <c r="C37" i="1"/>
  <c r="B37" i="4" s="1"/>
  <c r="C38" i="1"/>
  <c r="B38" i="4" s="1"/>
  <c r="C39" i="1"/>
  <c r="B39" i="4" s="1"/>
  <c r="C40" i="1"/>
  <c r="B40" i="4" s="1"/>
  <c r="C41" i="1"/>
  <c r="B41" i="4" s="1"/>
  <c r="C42" i="1"/>
  <c r="B42" i="4" s="1"/>
  <c r="C43" i="1"/>
  <c r="B43" i="4" s="1"/>
  <c r="C44" i="1"/>
  <c r="B44" i="4" s="1"/>
  <c r="C45" i="1"/>
  <c r="B45" i="4" s="1"/>
  <c r="C46" i="1"/>
  <c r="B46" i="4" s="1"/>
  <c r="C47" i="1"/>
  <c r="B47" i="4" s="1"/>
  <c r="C48" i="1"/>
  <c r="B48" i="4" s="1"/>
  <c r="C49" i="1"/>
  <c r="B49" i="4" s="1"/>
  <c r="C50" i="1"/>
  <c r="B50" i="4" s="1"/>
  <c r="C51" i="1"/>
  <c r="B51" i="4" s="1"/>
  <c r="C52" i="1"/>
  <c r="B52" i="4" s="1"/>
  <c r="C53" i="1"/>
  <c r="B53" i="4" s="1"/>
  <c r="C54" i="1"/>
  <c r="B54" i="4" s="1"/>
  <c r="C55" i="1"/>
  <c r="B55" i="4" s="1"/>
  <c r="C56" i="1"/>
  <c r="B56" i="4" s="1"/>
  <c r="C57" i="1"/>
  <c r="B57" i="4" s="1"/>
  <c r="C58" i="1"/>
  <c r="B58" i="4" s="1"/>
  <c r="C59" i="1"/>
  <c r="B59" i="4" s="1"/>
  <c r="C60" i="1"/>
  <c r="B60" i="4" s="1"/>
  <c r="C61" i="1"/>
  <c r="B61" i="4" s="1"/>
  <c r="C62" i="1"/>
  <c r="B62" i="4" s="1"/>
  <c r="C63" i="1"/>
  <c r="B63" i="4" s="1"/>
  <c r="C64" i="1"/>
  <c r="B64" i="4" s="1"/>
  <c r="C65" i="1"/>
  <c r="B65" i="4" s="1"/>
  <c r="C66" i="1"/>
  <c r="B66" i="4" s="1"/>
  <c r="C67" i="1"/>
  <c r="B67" i="4" s="1"/>
  <c r="C68" i="1"/>
  <c r="B68" i="4" s="1"/>
  <c r="C69" i="1"/>
  <c r="B69" i="4" s="1"/>
  <c r="C70" i="1"/>
  <c r="B70" i="4" s="1"/>
  <c r="C71" i="1"/>
  <c r="B71" i="4" s="1"/>
  <c r="C72" i="1"/>
  <c r="B72" i="4" s="1"/>
  <c r="C73" i="1"/>
  <c r="B73" i="4" s="1"/>
  <c r="C74" i="1"/>
  <c r="B74" i="4" s="1"/>
  <c r="C75" i="1"/>
  <c r="B75" i="4" s="1"/>
  <c r="C76" i="1"/>
  <c r="B76" i="4" s="1"/>
  <c r="C77" i="1"/>
  <c r="B77" i="4" s="1"/>
  <c r="C78" i="1"/>
  <c r="B78" i="4" s="1"/>
  <c r="C79" i="1"/>
  <c r="B79" i="4" s="1"/>
  <c r="C80" i="1"/>
  <c r="B80" i="4" s="1"/>
  <c r="C81" i="1"/>
  <c r="B81" i="4" s="1"/>
  <c r="C82" i="1"/>
  <c r="B82" i="4" s="1"/>
  <c r="C83" i="1"/>
  <c r="B83" i="4" s="1"/>
  <c r="C84" i="1"/>
  <c r="B84" i="4" s="1"/>
  <c r="C85" i="1"/>
  <c r="B85" i="4" s="1"/>
  <c r="C86" i="1"/>
  <c r="B86" i="4" s="1"/>
  <c r="C87" i="1"/>
  <c r="B87" i="4" s="1"/>
  <c r="C88" i="1"/>
  <c r="B88" i="4" s="1"/>
  <c r="C89" i="1"/>
  <c r="B89" i="4" s="1"/>
  <c r="C90" i="1"/>
  <c r="B90" i="4" s="1"/>
  <c r="C91" i="1"/>
  <c r="B91" i="4" s="1"/>
  <c r="C92" i="1"/>
  <c r="B92" i="4" s="1"/>
  <c r="C93" i="1"/>
  <c r="B93" i="4" s="1"/>
  <c r="C94" i="1"/>
  <c r="B94" i="4" s="1"/>
  <c r="C95" i="1"/>
  <c r="B95" i="4" s="1"/>
  <c r="C96" i="1"/>
  <c r="B96" i="4" s="1"/>
  <c r="C97" i="1"/>
  <c r="B97" i="4" s="1"/>
  <c r="C98" i="1"/>
  <c r="B98" i="4" s="1"/>
  <c r="C99" i="1"/>
  <c r="B99" i="4" s="1"/>
  <c r="C100" i="1"/>
  <c r="B100" i="4" s="1"/>
  <c r="C101" i="1"/>
  <c r="B101" i="4" s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14" i="1"/>
  <c r="B14" i="4" s="1"/>
  <c r="C15" i="1"/>
  <c r="B15" i="4" s="1"/>
  <c r="C16" i="1"/>
  <c r="B16" i="4" s="1"/>
  <c r="C17" i="1"/>
  <c r="B17" i="4" s="1"/>
  <c r="C18" i="1"/>
  <c r="B18" i="4" s="1"/>
  <c r="C11" i="1"/>
  <c r="B11" i="4" s="1"/>
  <c r="C12" i="1"/>
  <c r="B12" i="4" s="1"/>
  <c r="C13" i="1"/>
  <c r="B13" i="4" s="1"/>
  <c r="C9" i="1"/>
  <c r="B9" i="4" s="1"/>
  <c r="C10" i="1"/>
  <c r="B10" i="4" s="1"/>
  <c r="A7" i="1" a="1"/>
  <c r="A3" i="1" a="1"/>
  <c r="A5" i="1" a="1"/>
  <c r="A4" i="1" a="1"/>
  <c r="A8" i="1" a="1"/>
  <c r="A6" i="1" a="1"/>
  <c r="H13" i="5" l="1"/>
  <c r="H14" i="5"/>
  <c r="H12" i="5"/>
  <c r="M10" i="5"/>
  <c r="Q10" i="5" s="1"/>
  <c r="M12" i="5"/>
  <c r="Q12" i="5" s="1"/>
  <c r="M7" i="5"/>
  <c r="Q7" i="5" s="1"/>
  <c r="M4" i="5"/>
  <c r="Q4" i="5" s="1"/>
  <c r="M6" i="5"/>
  <c r="Q6" i="5" s="1"/>
  <c r="M9" i="5"/>
  <c r="Q9" i="5" s="1"/>
  <c r="M14" i="5"/>
  <c r="Q14" i="5" s="1"/>
  <c r="M3" i="5"/>
  <c r="Q3" i="5" s="1"/>
  <c r="M8" i="5"/>
  <c r="Q8" i="5" s="1"/>
  <c r="M13" i="5"/>
  <c r="Q13" i="5" s="1"/>
  <c r="M5" i="5"/>
  <c r="Q5" i="5" s="1"/>
  <c r="M11" i="5"/>
  <c r="Q11" i="5" s="1"/>
  <c r="M15" i="5"/>
  <c r="Q15" i="5" s="1"/>
  <c r="H8" i="5"/>
  <c r="H16" i="5"/>
  <c r="K2" i="5" s="1"/>
  <c r="M2" i="5" s="1"/>
  <c r="Q2" i="5" s="1"/>
  <c r="H10" i="5"/>
  <c r="H9" i="5"/>
  <c r="H17" i="5"/>
  <c r="D571" i="2"/>
  <c r="D555" i="2"/>
  <c r="D539" i="2"/>
  <c r="D531" i="2"/>
  <c r="D515" i="2"/>
  <c r="D507" i="2"/>
  <c r="E506" i="2" s="1"/>
  <c r="F506" i="2" s="1"/>
  <c r="D499" i="2"/>
  <c r="D491" i="2"/>
  <c r="E490" i="2" s="1"/>
  <c r="F490" i="2" s="1"/>
  <c r="D475" i="2"/>
  <c r="D467" i="2"/>
  <c r="D443" i="2"/>
  <c r="D435" i="2"/>
  <c r="D419" i="2"/>
  <c r="D411" i="2"/>
  <c r="E410" i="2" s="1"/>
  <c r="F410" i="2" s="1"/>
  <c r="D395" i="2"/>
  <c r="E394" i="2" s="1"/>
  <c r="F394" i="2" s="1"/>
  <c r="D379" i="2"/>
  <c r="E379" i="2" s="1"/>
  <c r="F379" i="2" s="1"/>
  <c r="D363" i="2"/>
  <c r="D347" i="2"/>
  <c r="D331" i="2"/>
  <c r="D315" i="2"/>
  <c r="D299" i="2"/>
  <c r="D283" i="2"/>
  <c r="E283" i="2" s="1"/>
  <c r="F283" i="2" s="1"/>
  <c r="D267" i="2"/>
  <c r="E267" i="2" s="1"/>
  <c r="F267" i="2" s="1"/>
  <c r="D251" i="2"/>
  <c r="E251" i="2" s="1"/>
  <c r="F251" i="2" s="1"/>
  <c r="D219" i="2"/>
  <c r="D187" i="2"/>
  <c r="D155" i="2"/>
  <c r="D139" i="2"/>
  <c r="D123" i="2"/>
  <c r="D91" i="2"/>
  <c r="E90" i="2" s="1"/>
  <c r="F90" i="2" s="1"/>
  <c r="D59" i="2"/>
  <c r="E58" i="2" s="1"/>
  <c r="F58" i="2" s="1"/>
  <c r="D27" i="2"/>
  <c r="E26" i="2" s="1"/>
  <c r="F26" i="2" s="1"/>
  <c r="D11" i="2"/>
  <c r="D3" i="2"/>
  <c r="D567" i="2"/>
  <c r="D551" i="2"/>
  <c r="D535" i="2"/>
  <c r="D527" i="2"/>
  <c r="E527" i="2" s="1"/>
  <c r="F527" i="2" s="1"/>
  <c r="D519" i="2"/>
  <c r="D503" i="2"/>
  <c r="D495" i="2"/>
  <c r="D487" i="2"/>
  <c r="D471" i="2"/>
  <c r="E471" i="2" s="1"/>
  <c r="F471" i="2" s="1"/>
  <c r="D463" i="2"/>
  <c r="D455" i="2"/>
  <c r="E455" i="2" s="1"/>
  <c r="F455" i="2" s="1"/>
  <c r="D447" i="2"/>
  <c r="E447" i="2" s="1"/>
  <c r="F447" i="2" s="1"/>
  <c r="D439" i="2"/>
  <c r="D431" i="2"/>
  <c r="E431" i="2" s="1"/>
  <c r="F431" i="2" s="1"/>
  <c r="D423" i="2"/>
  <c r="E423" i="2" s="1"/>
  <c r="F423" i="2" s="1"/>
  <c r="D415" i="2"/>
  <c r="D407" i="2"/>
  <c r="D391" i="2"/>
  <c r="E391" i="2" s="1"/>
  <c r="F391" i="2" s="1"/>
  <c r="D383" i="2"/>
  <c r="D375" i="2"/>
  <c r="E375" i="2" s="1"/>
  <c r="F375" i="2" s="1"/>
  <c r="D359" i="2"/>
  <c r="E358" i="2" s="1"/>
  <c r="F358" i="2" s="1"/>
  <c r="D351" i="2"/>
  <c r="E350" i="2" s="1"/>
  <c r="F350" i="2" s="1"/>
  <c r="D343" i="2"/>
  <c r="E342" i="2" s="1"/>
  <c r="F342" i="2" s="1"/>
  <c r="D327" i="2"/>
  <c r="D319" i="2"/>
  <c r="D311" i="2"/>
  <c r="D295" i="2"/>
  <c r="D287" i="2"/>
  <c r="D279" i="2"/>
  <c r="E278" i="2" s="1"/>
  <c r="F278" i="2" s="1"/>
  <c r="D263" i="2"/>
  <c r="E262" i="2" s="1"/>
  <c r="F262" i="2" s="1"/>
  <c r="D255" i="2"/>
  <c r="D247" i="2"/>
  <c r="D239" i="2"/>
  <c r="D231" i="2"/>
  <c r="E230" i="2" s="1"/>
  <c r="F230" i="2" s="1"/>
  <c r="D223" i="2"/>
  <c r="D215" i="2"/>
  <c r="E214" i="2" s="1"/>
  <c r="F214" i="2" s="1"/>
  <c r="D207" i="2"/>
  <c r="D199" i="2"/>
  <c r="E198" i="2" s="1"/>
  <c r="F198" i="2" s="1"/>
  <c r="D183" i="2"/>
  <c r="E182" i="2" s="1"/>
  <c r="F182" i="2" s="1"/>
  <c r="D175" i="2"/>
  <c r="D167" i="2"/>
  <c r="D151" i="2"/>
  <c r="E150" i="2" s="1"/>
  <c r="F150" i="2" s="1"/>
  <c r="D143" i="2"/>
  <c r="D135" i="2"/>
  <c r="D127" i="2"/>
  <c r="E126" i="2" s="1"/>
  <c r="F126" i="2" s="1"/>
  <c r="D119" i="2"/>
  <c r="E118" i="2" s="1"/>
  <c r="F118" i="2" s="1"/>
  <c r="D111" i="2"/>
  <c r="D103" i="2"/>
  <c r="D95" i="2"/>
  <c r="D87" i="2"/>
  <c r="E86" i="2" s="1"/>
  <c r="F86" i="2" s="1"/>
  <c r="D79" i="2"/>
  <c r="D71" i="2"/>
  <c r="D55" i="2"/>
  <c r="E54" i="2" s="1"/>
  <c r="F54" i="2" s="1"/>
  <c r="D47" i="2"/>
  <c r="E46" i="2" s="1"/>
  <c r="F46" i="2" s="1"/>
  <c r="D39" i="2"/>
  <c r="D23" i="2"/>
  <c r="E22" i="2" s="1"/>
  <c r="F22" i="2" s="1"/>
  <c r="D15" i="2"/>
  <c r="D7" i="2"/>
  <c r="D573" i="2"/>
  <c r="D565" i="2"/>
  <c r="D557" i="2"/>
  <c r="E556" i="2" s="1"/>
  <c r="F556" i="2" s="1"/>
  <c r="D549" i="2"/>
  <c r="E548" i="2" s="1"/>
  <c r="F548" i="2" s="1"/>
  <c r="D533" i="2"/>
  <c r="D517" i="2"/>
  <c r="D485" i="2"/>
  <c r="D469" i="2"/>
  <c r="E468" i="2" s="1"/>
  <c r="F468" i="2" s="1"/>
  <c r="D453" i="2"/>
  <c r="D437" i="2"/>
  <c r="D421" i="2"/>
  <c r="E420" i="2" s="1"/>
  <c r="F420" i="2" s="1"/>
  <c r="D389" i="2"/>
  <c r="E388" i="2" s="1"/>
  <c r="F388" i="2" s="1"/>
  <c r="D357" i="2"/>
  <c r="D325" i="2"/>
  <c r="D293" i="2"/>
  <c r="D261" i="2"/>
  <c r="D229" i="2"/>
  <c r="D197" i="2"/>
  <c r="E196" i="2" s="1"/>
  <c r="F196" i="2" s="1"/>
  <c r="D181" i="2"/>
  <c r="D165" i="2"/>
  <c r="E164" i="2" s="1"/>
  <c r="F164" i="2" s="1"/>
  <c r="D133" i="2"/>
  <c r="D101" i="2"/>
  <c r="D69" i="2"/>
  <c r="D53" i="2"/>
  <c r="D37" i="2"/>
  <c r="D5" i="2"/>
  <c r="E4" i="2" s="1"/>
  <c r="F4" i="2" s="1"/>
  <c r="E450" i="2"/>
  <c r="F450" i="2" s="1"/>
  <c r="E451" i="2"/>
  <c r="F451" i="2" s="1"/>
  <c r="E363" i="2"/>
  <c r="F363" i="2" s="1"/>
  <c r="E362" i="2"/>
  <c r="F362" i="2" s="1"/>
  <c r="E347" i="2"/>
  <c r="F347" i="2" s="1"/>
  <c r="E346" i="2"/>
  <c r="F346" i="2" s="1"/>
  <c r="E331" i="2"/>
  <c r="F331" i="2" s="1"/>
  <c r="E330" i="2"/>
  <c r="F330" i="2" s="1"/>
  <c r="E315" i="2"/>
  <c r="F315" i="2" s="1"/>
  <c r="E314" i="2"/>
  <c r="F314" i="2" s="1"/>
  <c r="E299" i="2"/>
  <c r="F299" i="2" s="1"/>
  <c r="E298" i="2"/>
  <c r="F298" i="2" s="1"/>
  <c r="E219" i="2"/>
  <c r="F219" i="2" s="1"/>
  <c r="E218" i="2"/>
  <c r="F218" i="2" s="1"/>
  <c r="E186" i="2"/>
  <c r="F186" i="2" s="1"/>
  <c r="E187" i="2"/>
  <c r="F187" i="2" s="1"/>
  <c r="E154" i="2"/>
  <c r="F154" i="2" s="1"/>
  <c r="E155" i="2"/>
  <c r="F155" i="2" s="1"/>
  <c r="E138" i="2"/>
  <c r="F138" i="2" s="1"/>
  <c r="E139" i="2"/>
  <c r="F139" i="2" s="1"/>
  <c r="E122" i="2"/>
  <c r="F122" i="2" s="1"/>
  <c r="E123" i="2"/>
  <c r="F123" i="2" s="1"/>
  <c r="E10" i="2"/>
  <c r="F10" i="2" s="1"/>
  <c r="E11" i="2"/>
  <c r="F11" i="2" s="1"/>
  <c r="E572" i="2"/>
  <c r="F572" i="2" s="1"/>
  <c r="E573" i="2"/>
  <c r="F573" i="2" s="1"/>
  <c r="E570" i="2"/>
  <c r="F570" i="2" s="1"/>
  <c r="E571" i="2"/>
  <c r="F571" i="2" s="1"/>
  <c r="E554" i="2"/>
  <c r="F554" i="2" s="1"/>
  <c r="E555" i="2"/>
  <c r="F555" i="2" s="1"/>
  <c r="E538" i="2"/>
  <c r="F538" i="2" s="1"/>
  <c r="E539" i="2"/>
  <c r="F539" i="2" s="1"/>
  <c r="E530" i="2"/>
  <c r="F530" i="2" s="1"/>
  <c r="E531" i="2"/>
  <c r="F531" i="2" s="1"/>
  <c r="E514" i="2"/>
  <c r="F514" i="2" s="1"/>
  <c r="E515" i="2"/>
  <c r="F515" i="2" s="1"/>
  <c r="E507" i="2"/>
  <c r="F507" i="2" s="1"/>
  <c r="E498" i="2"/>
  <c r="F498" i="2" s="1"/>
  <c r="E499" i="2"/>
  <c r="F499" i="2" s="1"/>
  <c r="E474" i="2"/>
  <c r="F474" i="2" s="1"/>
  <c r="E475" i="2"/>
  <c r="F475" i="2" s="1"/>
  <c r="E466" i="2"/>
  <c r="F466" i="2" s="1"/>
  <c r="E467" i="2"/>
  <c r="F467" i="2" s="1"/>
  <c r="E442" i="2"/>
  <c r="F442" i="2" s="1"/>
  <c r="E443" i="2"/>
  <c r="F443" i="2" s="1"/>
  <c r="E434" i="2"/>
  <c r="F434" i="2" s="1"/>
  <c r="E435" i="2"/>
  <c r="F435" i="2" s="1"/>
  <c r="E418" i="2"/>
  <c r="F418" i="2" s="1"/>
  <c r="E419" i="2"/>
  <c r="F419" i="2" s="1"/>
  <c r="E3" i="2"/>
  <c r="F3" i="2" s="1"/>
  <c r="E2" i="2"/>
  <c r="F2" i="2" s="1"/>
  <c r="E564" i="2"/>
  <c r="F564" i="2" s="1"/>
  <c r="E565" i="2"/>
  <c r="F565" i="2" s="1"/>
  <c r="E516" i="2"/>
  <c r="F516" i="2" s="1"/>
  <c r="E517" i="2"/>
  <c r="F517" i="2" s="1"/>
  <c r="E469" i="2"/>
  <c r="F469" i="2" s="1"/>
  <c r="E356" i="2"/>
  <c r="F356" i="2" s="1"/>
  <c r="E357" i="2"/>
  <c r="F357" i="2" s="1"/>
  <c r="E562" i="2"/>
  <c r="F562" i="2" s="1"/>
  <c r="E563" i="2"/>
  <c r="F563" i="2" s="1"/>
  <c r="E458" i="2"/>
  <c r="F458" i="2" s="1"/>
  <c r="E459" i="2"/>
  <c r="F459" i="2" s="1"/>
  <c r="E235" i="2"/>
  <c r="F235" i="2" s="1"/>
  <c r="E234" i="2"/>
  <c r="F234" i="2" s="1"/>
  <c r="E203" i="2"/>
  <c r="E202" i="2"/>
  <c r="F202" i="2" s="1"/>
  <c r="E42" i="2"/>
  <c r="F42" i="2" s="1"/>
  <c r="E43" i="2"/>
  <c r="F43" i="2" s="1"/>
  <c r="E561" i="2"/>
  <c r="F561" i="2" s="1"/>
  <c r="E560" i="2"/>
  <c r="F560" i="2" s="1"/>
  <c r="E545" i="2"/>
  <c r="F545" i="2" s="1"/>
  <c r="E544" i="2"/>
  <c r="F544" i="2" s="1"/>
  <c r="E513" i="2"/>
  <c r="F513" i="2" s="1"/>
  <c r="E512" i="2"/>
  <c r="F512" i="2" s="1"/>
  <c r="E481" i="2"/>
  <c r="F481" i="2" s="1"/>
  <c r="E480" i="2"/>
  <c r="F480" i="2" s="1"/>
  <c r="E449" i="2"/>
  <c r="F449" i="2" s="1"/>
  <c r="E448" i="2"/>
  <c r="F448" i="2" s="1"/>
  <c r="E401" i="2"/>
  <c r="F401" i="2" s="1"/>
  <c r="E400" i="2"/>
  <c r="F400" i="2" s="1"/>
  <c r="E384" i="2"/>
  <c r="F384" i="2" s="1"/>
  <c r="E385" i="2"/>
  <c r="F385" i="2" s="1"/>
  <c r="E368" i="2"/>
  <c r="F368" i="2" s="1"/>
  <c r="E369" i="2"/>
  <c r="F369" i="2" s="1"/>
  <c r="E352" i="2"/>
  <c r="F352" i="2" s="1"/>
  <c r="E353" i="2"/>
  <c r="F353" i="2" s="1"/>
  <c r="E336" i="2"/>
  <c r="F336" i="2" s="1"/>
  <c r="E337" i="2"/>
  <c r="F337" i="2" s="1"/>
  <c r="E320" i="2"/>
  <c r="F320" i="2" s="1"/>
  <c r="E321" i="2"/>
  <c r="F321" i="2" s="1"/>
  <c r="E305" i="2"/>
  <c r="F305" i="2" s="1"/>
  <c r="E304" i="2"/>
  <c r="F304" i="2" s="1"/>
  <c r="E289" i="2"/>
  <c r="F289" i="2" s="1"/>
  <c r="E288" i="2"/>
  <c r="F288" i="2" s="1"/>
  <c r="E273" i="2"/>
  <c r="F273" i="2" s="1"/>
  <c r="E272" i="2"/>
  <c r="F272" i="2" s="1"/>
  <c r="E257" i="2"/>
  <c r="F257" i="2" s="1"/>
  <c r="E256" i="2"/>
  <c r="F256" i="2" s="1"/>
  <c r="E532" i="2"/>
  <c r="F532" i="2" s="1"/>
  <c r="E533" i="2"/>
  <c r="F533" i="2" s="1"/>
  <c r="E452" i="2"/>
  <c r="F452" i="2" s="1"/>
  <c r="E453" i="2"/>
  <c r="F453" i="2" s="1"/>
  <c r="E436" i="2"/>
  <c r="F436" i="2" s="1"/>
  <c r="E437" i="2"/>
  <c r="F437" i="2" s="1"/>
  <c r="E324" i="2"/>
  <c r="F324" i="2" s="1"/>
  <c r="E325" i="2"/>
  <c r="F325" i="2" s="1"/>
  <c r="E292" i="2"/>
  <c r="F292" i="2" s="1"/>
  <c r="E293" i="2"/>
  <c r="F293" i="2" s="1"/>
  <c r="E260" i="2"/>
  <c r="F260" i="2" s="1"/>
  <c r="E261" i="2"/>
  <c r="F261" i="2" s="1"/>
  <c r="E228" i="2"/>
  <c r="F228" i="2" s="1"/>
  <c r="E229" i="2"/>
  <c r="F229" i="2" s="1"/>
  <c r="E197" i="2"/>
  <c r="F197" i="2" s="1"/>
  <c r="E180" i="2"/>
  <c r="F180" i="2" s="1"/>
  <c r="E181" i="2"/>
  <c r="F181" i="2" s="1"/>
  <c r="E132" i="2"/>
  <c r="F132" i="2" s="1"/>
  <c r="E133" i="2"/>
  <c r="F133" i="2" s="1"/>
  <c r="E100" i="2"/>
  <c r="F100" i="2" s="1"/>
  <c r="E101" i="2"/>
  <c r="F101" i="2" s="1"/>
  <c r="E68" i="2"/>
  <c r="F68" i="2" s="1"/>
  <c r="E69" i="2"/>
  <c r="F69" i="2" s="1"/>
  <c r="E52" i="2"/>
  <c r="F52" i="2" s="1"/>
  <c r="E53" i="2"/>
  <c r="F53" i="2" s="1"/>
  <c r="E36" i="2"/>
  <c r="F36" i="2" s="1"/>
  <c r="E37" i="2"/>
  <c r="F37" i="2" s="1"/>
  <c r="E5" i="2"/>
  <c r="F5" i="2" s="1"/>
  <c r="E482" i="2"/>
  <c r="F482" i="2" s="1"/>
  <c r="E483" i="2"/>
  <c r="F483" i="2" s="1"/>
  <c r="E426" i="2"/>
  <c r="F426" i="2" s="1"/>
  <c r="E427" i="2"/>
  <c r="F427" i="2" s="1"/>
  <c r="E106" i="2"/>
  <c r="F106" i="2" s="1"/>
  <c r="E107" i="2"/>
  <c r="F107" i="2" s="1"/>
  <c r="E521" i="2"/>
  <c r="F521" i="2" s="1"/>
  <c r="E520" i="2"/>
  <c r="F520" i="2" s="1"/>
  <c r="E567" i="2"/>
  <c r="F567" i="2" s="1"/>
  <c r="E566" i="2"/>
  <c r="F566" i="2" s="1"/>
  <c r="E551" i="2"/>
  <c r="F551" i="2" s="1"/>
  <c r="E550" i="2"/>
  <c r="F550" i="2" s="1"/>
  <c r="E535" i="2"/>
  <c r="F535" i="2" s="1"/>
  <c r="E534" i="2"/>
  <c r="F534" i="2" s="1"/>
  <c r="E526" i="2"/>
  <c r="F526" i="2" s="1"/>
  <c r="E495" i="2"/>
  <c r="F495" i="2" s="1"/>
  <c r="E494" i="2"/>
  <c r="F494" i="2" s="1"/>
  <c r="E463" i="2"/>
  <c r="F463" i="2" s="1"/>
  <c r="E462" i="2"/>
  <c r="F462" i="2" s="1"/>
  <c r="E446" i="2"/>
  <c r="F446" i="2" s="1"/>
  <c r="E415" i="2"/>
  <c r="F415" i="2" s="1"/>
  <c r="E414" i="2"/>
  <c r="F414" i="2" s="1"/>
  <c r="E382" i="2"/>
  <c r="F382" i="2" s="1"/>
  <c r="E383" i="2"/>
  <c r="F383" i="2" s="1"/>
  <c r="E319" i="2"/>
  <c r="F319" i="2" s="1"/>
  <c r="E318" i="2"/>
  <c r="F318" i="2" s="1"/>
  <c r="E286" i="2"/>
  <c r="F286" i="2" s="1"/>
  <c r="E287" i="2"/>
  <c r="F287" i="2" s="1"/>
  <c r="E254" i="2"/>
  <c r="F254" i="2" s="1"/>
  <c r="E255" i="2"/>
  <c r="F255" i="2" s="1"/>
  <c r="E238" i="2"/>
  <c r="F238" i="2" s="1"/>
  <c r="E239" i="2"/>
  <c r="F239" i="2" s="1"/>
  <c r="E222" i="2"/>
  <c r="F222" i="2" s="1"/>
  <c r="E223" i="2"/>
  <c r="F223" i="2" s="1"/>
  <c r="E206" i="2"/>
  <c r="F206" i="2" s="1"/>
  <c r="E207" i="2"/>
  <c r="F207" i="2" s="1"/>
  <c r="E174" i="2"/>
  <c r="F174" i="2" s="1"/>
  <c r="E175" i="2"/>
  <c r="F175" i="2" s="1"/>
  <c r="E142" i="2"/>
  <c r="F142" i="2" s="1"/>
  <c r="E143" i="2"/>
  <c r="F143" i="2" s="1"/>
  <c r="E110" i="2"/>
  <c r="F110" i="2" s="1"/>
  <c r="E111" i="2"/>
  <c r="F111" i="2" s="1"/>
  <c r="E94" i="2"/>
  <c r="F94" i="2" s="1"/>
  <c r="E95" i="2"/>
  <c r="F95" i="2" s="1"/>
  <c r="E78" i="2"/>
  <c r="F78" i="2" s="1"/>
  <c r="E79" i="2"/>
  <c r="F79" i="2" s="1"/>
  <c r="E14" i="2"/>
  <c r="F14" i="2" s="1"/>
  <c r="E15" i="2"/>
  <c r="F15" i="2" s="1"/>
  <c r="E484" i="2"/>
  <c r="F484" i="2" s="1"/>
  <c r="E485" i="2"/>
  <c r="F485" i="2" s="1"/>
  <c r="E546" i="2"/>
  <c r="F546" i="2" s="1"/>
  <c r="E547" i="2"/>
  <c r="F547" i="2" s="1"/>
  <c r="E522" i="2"/>
  <c r="F522" i="2" s="1"/>
  <c r="E523" i="2"/>
  <c r="F523" i="2" s="1"/>
  <c r="E170" i="2"/>
  <c r="F170" i="2" s="1"/>
  <c r="E171" i="2"/>
  <c r="F171" i="2" s="1"/>
  <c r="E74" i="2"/>
  <c r="F74" i="2" s="1"/>
  <c r="E75" i="2"/>
  <c r="F75" i="2" s="1"/>
  <c r="E569" i="2"/>
  <c r="F569" i="2" s="1"/>
  <c r="E568" i="2"/>
  <c r="F568" i="2" s="1"/>
  <c r="E553" i="2"/>
  <c r="F553" i="2" s="1"/>
  <c r="E552" i="2"/>
  <c r="F552" i="2" s="1"/>
  <c r="E537" i="2"/>
  <c r="F537" i="2" s="1"/>
  <c r="E536" i="2"/>
  <c r="F536" i="2" s="1"/>
  <c r="E497" i="2"/>
  <c r="F497" i="2" s="1"/>
  <c r="E496" i="2"/>
  <c r="F496" i="2" s="1"/>
  <c r="E465" i="2"/>
  <c r="F465" i="2" s="1"/>
  <c r="E464" i="2"/>
  <c r="F464" i="2" s="1"/>
  <c r="E417" i="2"/>
  <c r="F417" i="2" s="1"/>
  <c r="E416" i="2"/>
  <c r="F416" i="2" s="1"/>
  <c r="E519" i="2"/>
  <c r="F519" i="2" s="1"/>
  <c r="E518" i="2"/>
  <c r="F518" i="2" s="1"/>
  <c r="E212" i="2"/>
  <c r="F212" i="2" s="1"/>
  <c r="E213" i="2"/>
  <c r="F213" i="2" s="1"/>
  <c r="E84" i="2"/>
  <c r="F84" i="2" s="1"/>
  <c r="E85" i="2"/>
  <c r="F85" i="2" s="1"/>
  <c r="E404" i="2"/>
  <c r="F404" i="2" s="1"/>
  <c r="E405" i="2"/>
  <c r="F405" i="2" s="1"/>
  <c r="E340" i="2"/>
  <c r="F340" i="2" s="1"/>
  <c r="E341" i="2"/>
  <c r="F341" i="2" s="1"/>
  <c r="E308" i="2"/>
  <c r="F308" i="2" s="1"/>
  <c r="E309" i="2"/>
  <c r="F309" i="2" s="1"/>
  <c r="E276" i="2"/>
  <c r="F276" i="2" s="1"/>
  <c r="E277" i="2"/>
  <c r="F277" i="2" s="1"/>
  <c r="E244" i="2"/>
  <c r="F244" i="2" s="1"/>
  <c r="E245" i="2"/>
  <c r="F245" i="2" s="1"/>
  <c r="E158" i="2"/>
  <c r="F158" i="2" s="1"/>
  <c r="E159" i="2"/>
  <c r="F159" i="2" s="1"/>
  <c r="E116" i="2"/>
  <c r="F116" i="2" s="1"/>
  <c r="E117" i="2"/>
  <c r="F117" i="2" s="1"/>
  <c r="E30" i="2"/>
  <c r="F30" i="2" s="1"/>
  <c r="E31" i="2"/>
  <c r="F31" i="2" s="1"/>
  <c r="E528" i="2"/>
  <c r="F528" i="2" s="1"/>
  <c r="E372" i="2"/>
  <c r="F372" i="2" s="1"/>
  <c r="D403" i="2"/>
  <c r="D387" i="2"/>
  <c r="D371" i="2"/>
  <c r="D355" i="2"/>
  <c r="D339" i="2"/>
  <c r="D323" i="2"/>
  <c r="D307" i="2"/>
  <c r="D291" i="2"/>
  <c r="D275" i="2"/>
  <c r="D259" i="2"/>
  <c r="D243" i="2"/>
  <c r="D227" i="2"/>
  <c r="D211" i="2"/>
  <c r="D195" i="2"/>
  <c r="D179" i="2"/>
  <c r="D163" i="2"/>
  <c r="D147" i="2"/>
  <c r="D131" i="2"/>
  <c r="D115" i="2"/>
  <c r="D99" i="2"/>
  <c r="D83" i="2"/>
  <c r="D67" i="2"/>
  <c r="D51" i="2"/>
  <c r="D35" i="2"/>
  <c r="D19" i="2"/>
  <c r="E432" i="2"/>
  <c r="F432" i="2" s="1"/>
  <c r="E151" i="2"/>
  <c r="F151" i="2" s="1"/>
  <c r="E23" i="2"/>
  <c r="F23" i="2" s="1"/>
  <c r="E62" i="2"/>
  <c r="F62" i="2" s="1"/>
  <c r="E63" i="2"/>
  <c r="F63" i="2" s="1"/>
  <c r="D505" i="2"/>
  <c r="D489" i="2"/>
  <c r="D473" i="2"/>
  <c r="D457" i="2"/>
  <c r="D441" i="2"/>
  <c r="D425" i="2"/>
  <c r="D409" i="2"/>
  <c r="D393" i="2"/>
  <c r="D377" i="2"/>
  <c r="D361" i="2"/>
  <c r="D345" i="2"/>
  <c r="D329" i="2"/>
  <c r="D313" i="2"/>
  <c r="D297" i="2"/>
  <c r="D281" i="2"/>
  <c r="D265" i="2"/>
  <c r="D249" i="2"/>
  <c r="D241" i="2"/>
  <c r="D233" i="2"/>
  <c r="D22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9" i="2"/>
  <c r="E542" i="2"/>
  <c r="F542" i="2" s="1"/>
  <c r="E478" i="2"/>
  <c r="F478" i="2" s="1"/>
  <c r="E231" i="2"/>
  <c r="F231" i="2" s="1"/>
  <c r="E500" i="2"/>
  <c r="F500" i="2" s="1"/>
  <c r="E501" i="2"/>
  <c r="F501" i="2" s="1"/>
  <c r="E190" i="2"/>
  <c r="F190" i="2" s="1"/>
  <c r="E191" i="2"/>
  <c r="F191" i="2" s="1"/>
  <c r="E398" i="2"/>
  <c r="F398" i="2" s="1"/>
  <c r="E454" i="2"/>
  <c r="F454" i="2" s="1"/>
  <c r="E422" i="2"/>
  <c r="F422" i="2" s="1"/>
  <c r="E390" i="2"/>
  <c r="F390" i="2" s="1"/>
  <c r="E302" i="2"/>
  <c r="F302" i="2" s="1"/>
  <c r="E366" i="2"/>
  <c r="F366" i="2" s="1"/>
  <c r="E367" i="2"/>
  <c r="F367" i="2" s="1"/>
  <c r="E334" i="2"/>
  <c r="F334" i="2" s="1"/>
  <c r="E335" i="2"/>
  <c r="F335" i="2" s="1"/>
  <c r="E270" i="2"/>
  <c r="F270" i="2" s="1"/>
  <c r="E271" i="2"/>
  <c r="F271" i="2" s="1"/>
  <c r="E148" i="2"/>
  <c r="F148" i="2" s="1"/>
  <c r="E149" i="2"/>
  <c r="F149" i="2" s="1"/>
  <c r="E20" i="2"/>
  <c r="F20" i="2" s="1"/>
  <c r="E21" i="2"/>
  <c r="F21" i="2" s="1"/>
  <c r="E310" i="2"/>
  <c r="F310" i="2" s="1"/>
  <c r="E311" i="2"/>
  <c r="F311" i="2" s="1"/>
  <c r="E294" i="2"/>
  <c r="F294" i="2" s="1"/>
  <c r="E295" i="2"/>
  <c r="F295" i="2" s="1"/>
  <c r="E215" i="2"/>
  <c r="F215" i="2" s="1"/>
  <c r="E199" i="2"/>
  <c r="F199" i="2" s="1"/>
  <c r="E166" i="2"/>
  <c r="F166" i="2" s="1"/>
  <c r="E167" i="2"/>
  <c r="F167" i="2" s="1"/>
  <c r="E134" i="2"/>
  <c r="F134" i="2" s="1"/>
  <c r="E135" i="2"/>
  <c r="F135" i="2" s="1"/>
  <c r="E102" i="2"/>
  <c r="F102" i="2" s="1"/>
  <c r="E103" i="2"/>
  <c r="F103" i="2" s="1"/>
  <c r="E70" i="2"/>
  <c r="F70" i="2" s="1"/>
  <c r="E71" i="2"/>
  <c r="F71" i="2" s="1"/>
  <c r="E38" i="2"/>
  <c r="F38" i="2" s="1"/>
  <c r="E39" i="2"/>
  <c r="F39" i="2" s="1"/>
  <c r="E7" i="2"/>
  <c r="F7" i="2" s="1"/>
  <c r="E6" i="2"/>
  <c r="F6" i="2" s="1"/>
  <c r="E558" i="2"/>
  <c r="F558" i="2" s="1"/>
  <c r="E343" i="2"/>
  <c r="F343" i="2" s="1"/>
  <c r="E87" i="2"/>
  <c r="F87" i="2" s="1"/>
  <c r="E470" i="2"/>
  <c r="F470" i="2" s="1"/>
  <c r="D541" i="2"/>
  <c r="D525" i="2"/>
  <c r="D509" i="2"/>
  <c r="D493" i="2"/>
  <c r="D477" i="2"/>
  <c r="D461" i="2"/>
  <c r="D445" i="2"/>
  <c r="D429" i="2"/>
  <c r="D413" i="2"/>
  <c r="D397" i="2"/>
  <c r="D381" i="2"/>
  <c r="D365" i="2"/>
  <c r="D349" i="2"/>
  <c r="D333" i="2"/>
  <c r="D317" i="2"/>
  <c r="D301" i="2"/>
  <c r="D285" i="2"/>
  <c r="D269" i="2"/>
  <c r="D253" i="2"/>
  <c r="D237" i="2"/>
  <c r="D221" i="2"/>
  <c r="D205" i="2"/>
  <c r="D189" i="2"/>
  <c r="D173" i="2"/>
  <c r="D157" i="2"/>
  <c r="D141" i="2"/>
  <c r="D125" i="2"/>
  <c r="D109" i="2"/>
  <c r="D93" i="2"/>
  <c r="D77" i="2"/>
  <c r="D61" i="2"/>
  <c r="D45" i="2"/>
  <c r="D29" i="2"/>
  <c r="D13" i="2"/>
  <c r="E574" i="2"/>
  <c r="F574" i="2" s="1"/>
  <c r="E510" i="2"/>
  <c r="F510" i="2" s="1"/>
  <c r="E183" i="2"/>
  <c r="F183" i="2" s="1"/>
  <c r="E55" i="2"/>
  <c r="F55" i="2" s="1"/>
  <c r="I204" i="4"/>
  <c r="A6" i="1"/>
  <c r="B6" i="1" s="1"/>
  <c r="C6" i="1" s="1"/>
  <c r="B6" i="4" s="1"/>
  <c r="A5" i="1"/>
  <c r="B5" i="1" s="1"/>
  <c r="C5" i="1" s="1"/>
  <c r="B5" i="4" s="1"/>
  <c r="A4" i="1"/>
  <c r="B4" i="1" s="1"/>
  <c r="C4" i="1" s="1"/>
  <c r="B4" i="4" s="1"/>
  <c r="A3" i="1"/>
  <c r="A8" i="1"/>
  <c r="A7" i="1"/>
  <c r="I6" i="2"/>
  <c r="I4" i="2"/>
  <c r="I5" i="2"/>
  <c r="V13" i="5" l="1"/>
  <c r="V14" i="5"/>
  <c r="V19" i="5"/>
  <c r="V20" i="5"/>
  <c r="V16" i="5"/>
  <c r="V17" i="5"/>
  <c r="V38" i="5"/>
  <c r="V37" i="5"/>
  <c r="V34" i="5"/>
  <c r="V35" i="5"/>
  <c r="V31" i="5"/>
  <c r="V32" i="5"/>
  <c r="V22" i="5"/>
  <c r="V23" i="5"/>
  <c r="V29" i="5"/>
  <c r="V28" i="5"/>
  <c r="V43" i="5"/>
  <c r="V44" i="5"/>
  <c r="V10" i="5"/>
  <c r="V11" i="5"/>
  <c r="V7" i="5"/>
  <c r="V8" i="5"/>
  <c r="V5" i="5"/>
  <c r="V4" i="5"/>
  <c r="V40" i="5"/>
  <c r="V41" i="5"/>
  <c r="V26" i="5"/>
  <c r="V25" i="5"/>
  <c r="U4" i="5"/>
  <c r="U2" i="5"/>
  <c r="U3" i="5"/>
  <c r="N18" i="5"/>
  <c r="N26" i="5"/>
  <c r="N24" i="5"/>
  <c r="N22" i="5"/>
  <c r="N23" i="5"/>
  <c r="N25" i="5"/>
  <c r="N19" i="5"/>
  <c r="N29" i="5"/>
  <c r="N30" i="5"/>
  <c r="N20" i="5"/>
  <c r="N21" i="5"/>
  <c r="N27" i="5"/>
  <c r="N28" i="5"/>
  <c r="N31" i="5"/>
  <c r="N17" i="5"/>
  <c r="L16" i="5"/>
  <c r="M16" i="5" s="1"/>
  <c r="Q16" i="5" s="1"/>
  <c r="L28" i="5"/>
  <c r="L21" i="5"/>
  <c r="L29" i="5"/>
  <c r="L17" i="5"/>
  <c r="L25" i="5"/>
  <c r="L18" i="5"/>
  <c r="L26" i="5"/>
  <c r="L19" i="5"/>
  <c r="L27" i="5"/>
  <c r="L20" i="5"/>
  <c r="L22" i="5"/>
  <c r="L30" i="5"/>
  <c r="L23" i="5"/>
  <c r="L31" i="5"/>
  <c r="L24" i="5"/>
  <c r="N6" i="5"/>
  <c r="O6" i="5" s="1"/>
  <c r="N14" i="5"/>
  <c r="O14" i="5" s="1"/>
  <c r="N7" i="5"/>
  <c r="O7" i="5" s="1"/>
  <c r="N15" i="5"/>
  <c r="O15" i="5" s="1"/>
  <c r="N8" i="5"/>
  <c r="O8" i="5" s="1"/>
  <c r="N16" i="5"/>
  <c r="N2" i="5"/>
  <c r="N9" i="5"/>
  <c r="O9" i="5" s="1"/>
  <c r="N10" i="5"/>
  <c r="O10" i="5" s="1"/>
  <c r="N3" i="5"/>
  <c r="O3" i="5" s="1"/>
  <c r="N4" i="5"/>
  <c r="O4" i="5" s="1"/>
  <c r="N12" i="5"/>
  <c r="O12" i="5" s="1"/>
  <c r="N5" i="5"/>
  <c r="O5" i="5" s="1"/>
  <c r="N13" i="5"/>
  <c r="O13" i="5" s="1"/>
  <c r="N11" i="5"/>
  <c r="O11" i="5" s="1"/>
  <c r="E503" i="2"/>
  <c r="F503" i="2" s="1"/>
  <c r="E502" i="2"/>
  <c r="F502" i="2" s="1"/>
  <c r="E439" i="2"/>
  <c r="F439" i="2" s="1"/>
  <c r="E438" i="2"/>
  <c r="F438" i="2" s="1"/>
  <c r="E47" i="2"/>
  <c r="F47" i="2" s="1"/>
  <c r="E127" i="2"/>
  <c r="F127" i="2" s="1"/>
  <c r="E430" i="2"/>
  <c r="F430" i="2" s="1"/>
  <c r="E27" i="2"/>
  <c r="F27" i="2" s="1"/>
  <c r="E250" i="2"/>
  <c r="F250" i="2" s="1"/>
  <c r="E378" i="2"/>
  <c r="F378" i="2" s="1"/>
  <c r="E374" i="2"/>
  <c r="F374" i="2" s="1"/>
  <c r="E263" i="2"/>
  <c r="F263" i="2" s="1"/>
  <c r="E359" i="2"/>
  <c r="F359" i="2" s="1"/>
  <c r="E351" i="2"/>
  <c r="F351" i="2" s="1"/>
  <c r="E389" i="2"/>
  <c r="F389" i="2" s="1"/>
  <c r="E59" i="2"/>
  <c r="F59" i="2" s="1"/>
  <c r="E266" i="2"/>
  <c r="F266" i="2" s="1"/>
  <c r="E395" i="2"/>
  <c r="F395" i="2" s="1"/>
  <c r="E119" i="2"/>
  <c r="F119" i="2" s="1"/>
  <c r="E407" i="2"/>
  <c r="F407" i="2" s="1"/>
  <c r="E406" i="2"/>
  <c r="F406" i="2" s="1"/>
  <c r="E279" i="2"/>
  <c r="F279" i="2" s="1"/>
  <c r="E165" i="2"/>
  <c r="F165" i="2" s="1"/>
  <c r="E421" i="2"/>
  <c r="F421" i="2" s="1"/>
  <c r="E557" i="2"/>
  <c r="F557" i="2" s="1"/>
  <c r="E549" i="2"/>
  <c r="F549" i="2" s="1"/>
  <c r="E491" i="2"/>
  <c r="F491" i="2" s="1"/>
  <c r="E91" i="2"/>
  <c r="F91" i="2" s="1"/>
  <c r="E282" i="2"/>
  <c r="F282" i="2" s="1"/>
  <c r="E411" i="2"/>
  <c r="F411" i="2" s="1"/>
  <c r="E246" i="2"/>
  <c r="F246" i="2" s="1"/>
  <c r="E247" i="2"/>
  <c r="F247" i="2" s="1"/>
  <c r="E326" i="2"/>
  <c r="F326" i="2" s="1"/>
  <c r="E327" i="2"/>
  <c r="F327" i="2" s="1"/>
  <c r="E487" i="2"/>
  <c r="F487" i="2" s="1"/>
  <c r="E486" i="2"/>
  <c r="F486" i="2" s="1"/>
  <c r="E236" i="2"/>
  <c r="F236" i="2" s="1"/>
  <c r="E237" i="2"/>
  <c r="F237" i="2" s="1"/>
  <c r="E492" i="2"/>
  <c r="F492" i="2" s="1"/>
  <c r="E493" i="2"/>
  <c r="F493" i="2" s="1"/>
  <c r="E65" i="2"/>
  <c r="F65" i="2" s="1"/>
  <c r="E64" i="2"/>
  <c r="F64" i="2" s="1"/>
  <c r="E393" i="2"/>
  <c r="F393" i="2" s="1"/>
  <c r="E392" i="2"/>
  <c r="F392" i="2" s="1"/>
  <c r="B2" i="1"/>
  <c r="C2" i="1" s="1"/>
  <c r="E76" i="2"/>
  <c r="F76" i="2" s="1"/>
  <c r="E77" i="2"/>
  <c r="F77" i="2" s="1"/>
  <c r="E113" i="2"/>
  <c r="F113" i="2" s="1"/>
  <c r="E112" i="2"/>
  <c r="F112" i="2" s="1"/>
  <c r="E489" i="2"/>
  <c r="F489" i="2" s="1"/>
  <c r="E488" i="2"/>
  <c r="F488" i="2" s="1"/>
  <c r="E204" i="2"/>
  <c r="F204" i="2" s="1"/>
  <c r="E205" i="2"/>
  <c r="F205" i="2" s="1"/>
  <c r="E332" i="2"/>
  <c r="F332" i="2" s="1"/>
  <c r="E333" i="2"/>
  <c r="F333" i="2" s="1"/>
  <c r="E460" i="2"/>
  <c r="F460" i="2" s="1"/>
  <c r="E461" i="2"/>
  <c r="F461" i="2" s="1"/>
  <c r="E49" i="2"/>
  <c r="F49" i="2" s="1"/>
  <c r="E48" i="2"/>
  <c r="F48" i="2" s="1"/>
  <c r="E177" i="2"/>
  <c r="F177" i="2" s="1"/>
  <c r="E176" i="2"/>
  <c r="F176" i="2" s="1"/>
  <c r="E241" i="2"/>
  <c r="F241" i="2" s="1"/>
  <c r="E240" i="2"/>
  <c r="F240" i="2" s="1"/>
  <c r="E360" i="2"/>
  <c r="F360" i="2" s="1"/>
  <c r="E361" i="2"/>
  <c r="F361" i="2" s="1"/>
  <c r="E34" i="2"/>
  <c r="F34" i="2" s="1"/>
  <c r="E35" i="2"/>
  <c r="F35" i="2" s="1"/>
  <c r="E162" i="2"/>
  <c r="F162" i="2" s="1"/>
  <c r="E163" i="2"/>
  <c r="F163" i="2" s="1"/>
  <c r="E291" i="2"/>
  <c r="F291" i="2" s="1"/>
  <c r="E290" i="2"/>
  <c r="F290" i="2" s="1"/>
  <c r="B7" i="1"/>
  <c r="C7" i="1" s="1"/>
  <c r="B7" i="4" s="1"/>
  <c r="E92" i="2"/>
  <c r="F92" i="2" s="1"/>
  <c r="E93" i="2"/>
  <c r="F93" i="2" s="1"/>
  <c r="E220" i="2"/>
  <c r="F220" i="2" s="1"/>
  <c r="E221" i="2"/>
  <c r="F221" i="2" s="1"/>
  <c r="E348" i="2"/>
  <c r="F348" i="2" s="1"/>
  <c r="E349" i="2"/>
  <c r="F349" i="2" s="1"/>
  <c r="E476" i="2"/>
  <c r="F476" i="2" s="1"/>
  <c r="E477" i="2"/>
  <c r="F477" i="2" s="1"/>
  <c r="E57" i="2"/>
  <c r="F57" i="2" s="1"/>
  <c r="E56" i="2"/>
  <c r="F56" i="2" s="1"/>
  <c r="E121" i="2"/>
  <c r="F121" i="2" s="1"/>
  <c r="E120" i="2"/>
  <c r="F120" i="2" s="1"/>
  <c r="E185" i="2"/>
  <c r="F185" i="2" s="1"/>
  <c r="E184" i="2"/>
  <c r="F184" i="2" s="1"/>
  <c r="E249" i="2"/>
  <c r="F249" i="2" s="1"/>
  <c r="E248" i="2"/>
  <c r="F248" i="2" s="1"/>
  <c r="E376" i="2"/>
  <c r="F376" i="2" s="1"/>
  <c r="E377" i="2"/>
  <c r="F377" i="2" s="1"/>
  <c r="E505" i="2"/>
  <c r="F505" i="2" s="1"/>
  <c r="E504" i="2"/>
  <c r="F504" i="2" s="1"/>
  <c r="E50" i="2"/>
  <c r="F50" i="2" s="1"/>
  <c r="E51" i="2"/>
  <c r="F51" i="2" s="1"/>
  <c r="E178" i="2"/>
  <c r="F178" i="2" s="1"/>
  <c r="E179" i="2"/>
  <c r="F179" i="2" s="1"/>
  <c r="E307" i="2"/>
  <c r="F307" i="2" s="1"/>
  <c r="E306" i="2"/>
  <c r="F306" i="2" s="1"/>
  <c r="E108" i="2"/>
  <c r="F108" i="2" s="1"/>
  <c r="E109" i="2"/>
  <c r="F109" i="2" s="1"/>
  <c r="E137" i="2"/>
  <c r="F137" i="2" s="1"/>
  <c r="E136" i="2"/>
  <c r="F136" i="2" s="1"/>
  <c r="E409" i="2"/>
  <c r="F409" i="2" s="1"/>
  <c r="E408" i="2"/>
  <c r="F408" i="2" s="1"/>
  <c r="B8" i="1"/>
  <c r="C8" i="1" s="1"/>
  <c r="E12" i="2"/>
  <c r="F12" i="2" s="1"/>
  <c r="E13" i="2"/>
  <c r="F13" i="2" s="1"/>
  <c r="E268" i="2"/>
  <c r="F268" i="2" s="1"/>
  <c r="E269" i="2"/>
  <c r="F269" i="2" s="1"/>
  <c r="E524" i="2"/>
  <c r="F524" i="2" s="1"/>
  <c r="E525" i="2"/>
  <c r="F525" i="2" s="1"/>
  <c r="E81" i="2"/>
  <c r="F81" i="2" s="1"/>
  <c r="E80" i="2"/>
  <c r="F80" i="2" s="1"/>
  <c r="E227" i="2"/>
  <c r="F227" i="2" s="1"/>
  <c r="E226" i="2"/>
  <c r="F226" i="2" s="1"/>
  <c r="E129" i="2"/>
  <c r="F129" i="2" s="1"/>
  <c r="E128" i="2"/>
  <c r="F128" i="2" s="1"/>
  <c r="E193" i="2"/>
  <c r="F193" i="2" s="1"/>
  <c r="E192" i="2"/>
  <c r="F192" i="2" s="1"/>
  <c r="E265" i="2"/>
  <c r="F265" i="2" s="1"/>
  <c r="E264" i="2"/>
  <c r="F264" i="2" s="1"/>
  <c r="E66" i="2"/>
  <c r="F66" i="2" s="1"/>
  <c r="E67" i="2"/>
  <c r="F67" i="2" s="1"/>
  <c r="E323" i="2"/>
  <c r="F323" i="2" s="1"/>
  <c r="E322" i="2"/>
  <c r="F322" i="2" s="1"/>
  <c r="E380" i="2"/>
  <c r="F380" i="2" s="1"/>
  <c r="E381" i="2"/>
  <c r="F381" i="2" s="1"/>
  <c r="E73" i="2"/>
  <c r="F73" i="2" s="1"/>
  <c r="E72" i="2"/>
  <c r="F72" i="2" s="1"/>
  <c r="E201" i="2"/>
  <c r="F201" i="2" s="1"/>
  <c r="E200" i="2"/>
  <c r="F200" i="2" s="1"/>
  <c r="E211" i="2"/>
  <c r="F211" i="2" s="1"/>
  <c r="E210" i="2"/>
  <c r="F210" i="2" s="1"/>
  <c r="E339" i="2"/>
  <c r="F339" i="2" s="1"/>
  <c r="E338" i="2"/>
  <c r="F338" i="2" s="1"/>
  <c r="E140" i="2"/>
  <c r="F140" i="2" s="1"/>
  <c r="E141" i="2"/>
  <c r="F141" i="2" s="1"/>
  <c r="E396" i="2"/>
  <c r="F396" i="2" s="1"/>
  <c r="E397" i="2"/>
  <c r="F397" i="2" s="1"/>
  <c r="E17" i="2"/>
  <c r="F17" i="2" s="1"/>
  <c r="E16" i="2"/>
  <c r="F16" i="2" s="1"/>
  <c r="E145" i="2"/>
  <c r="F145" i="2" s="1"/>
  <c r="E144" i="2"/>
  <c r="F144" i="2" s="1"/>
  <c r="E209" i="2"/>
  <c r="F209" i="2" s="1"/>
  <c r="E208" i="2"/>
  <c r="F208" i="2" s="1"/>
  <c r="E296" i="2"/>
  <c r="F296" i="2" s="1"/>
  <c r="E297" i="2"/>
  <c r="F297" i="2" s="1"/>
  <c r="E425" i="2"/>
  <c r="F425" i="2" s="1"/>
  <c r="E424" i="2"/>
  <c r="F424" i="2" s="1"/>
  <c r="E98" i="2"/>
  <c r="F98" i="2" s="1"/>
  <c r="E99" i="2"/>
  <c r="F99" i="2" s="1"/>
  <c r="E355" i="2"/>
  <c r="F355" i="2" s="1"/>
  <c r="E354" i="2"/>
  <c r="F354" i="2" s="1"/>
  <c r="B3" i="1"/>
  <c r="C3" i="1" s="1"/>
  <c r="B3" i="4" s="1"/>
  <c r="E28" i="2"/>
  <c r="F28" i="2" s="1"/>
  <c r="E29" i="2"/>
  <c r="F29" i="2" s="1"/>
  <c r="E156" i="2"/>
  <c r="F156" i="2" s="1"/>
  <c r="E157" i="2"/>
  <c r="F157" i="2" s="1"/>
  <c r="E284" i="2"/>
  <c r="F284" i="2" s="1"/>
  <c r="E285" i="2"/>
  <c r="F285" i="2" s="1"/>
  <c r="E412" i="2"/>
  <c r="F412" i="2" s="1"/>
  <c r="E413" i="2"/>
  <c r="F413" i="2" s="1"/>
  <c r="E540" i="2"/>
  <c r="F540" i="2" s="1"/>
  <c r="E541" i="2"/>
  <c r="F541" i="2" s="1"/>
  <c r="E25" i="2"/>
  <c r="F25" i="2" s="1"/>
  <c r="E24" i="2"/>
  <c r="F24" i="2" s="1"/>
  <c r="E89" i="2"/>
  <c r="F89" i="2" s="1"/>
  <c r="E88" i="2"/>
  <c r="F88" i="2" s="1"/>
  <c r="E153" i="2"/>
  <c r="F153" i="2" s="1"/>
  <c r="E152" i="2"/>
  <c r="F152" i="2" s="1"/>
  <c r="E217" i="2"/>
  <c r="F217" i="2" s="1"/>
  <c r="E216" i="2"/>
  <c r="F216" i="2" s="1"/>
  <c r="E312" i="2"/>
  <c r="F312" i="2" s="1"/>
  <c r="E313" i="2"/>
  <c r="F313" i="2" s="1"/>
  <c r="E441" i="2"/>
  <c r="F441" i="2" s="1"/>
  <c r="E440" i="2"/>
  <c r="F440" i="2" s="1"/>
  <c r="E114" i="2"/>
  <c r="F114" i="2" s="1"/>
  <c r="E115" i="2"/>
  <c r="F115" i="2" s="1"/>
  <c r="E243" i="2"/>
  <c r="F243" i="2" s="1"/>
  <c r="E242" i="2"/>
  <c r="F242" i="2" s="1"/>
  <c r="E371" i="2"/>
  <c r="F371" i="2" s="1"/>
  <c r="E370" i="2"/>
  <c r="F370" i="2" s="1"/>
  <c r="E252" i="2"/>
  <c r="F252" i="2" s="1"/>
  <c r="E253" i="2"/>
  <c r="F253" i="2" s="1"/>
  <c r="E508" i="2"/>
  <c r="F508" i="2" s="1"/>
  <c r="E509" i="2"/>
  <c r="F509" i="2" s="1"/>
  <c r="E8" i="2"/>
  <c r="F8" i="2" s="1"/>
  <c r="E9" i="2"/>
  <c r="E281" i="2"/>
  <c r="F281" i="2" s="1"/>
  <c r="E280" i="2"/>
  <c r="F280" i="2" s="1"/>
  <c r="E82" i="2"/>
  <c r="F82" i="2" s="1"/>
  <c r="E83" i="2"/>
  <c r="F83" i="2" s="1"/>
  <c r="E44" i="2"/>
  <c r="F44" i="2" s="1"/>
  <c r="E45" i="2"/>
  <c r="F45" i="2" s="1"/>
  <c r="E172" i="2"/>
  <c r="F172" i="2" s="1"/>
  <c r="E173" i="2"/>
  <c r="F173" i="2" s="1"/>
  <c r="E300" i="2"/>
  <c r="F300" i="2" s="1"/>
  <c r="E301" i="2"/>
  <c r="F301" i="2" s="1"/>
  <c r="E428" i="2"/>
  <c r="F428" i="2" s="1"/>
  <c r="E429" i="2"/>
  <c r="F429" i="2" s="1"/>
  <c r="E33" i="2"/>
  <c r="F33" i="2" s="1"/>
  <c r="E32" i="2"/>
  <c r="F32" i="2" s="1"/>
  <c r="E97" i="2"/>
  <c r="F97" i="2" s="1"/>
  <c r="E96" i="2"/>
  <c r="F96" i="2" s="1"/>
  <c r="E161" i="2"/>
  <c r="F161" i="2" s="1"/>
  <c r="E160" i="2"/>
  <c r="F160" i="2" s="1"/>
  <c r="E225" i="2"/>
  <c r="F225" i="2" s="1"/>
  <c r="E224" i="2"/>
  <c r="F224" i="2" s="1"/>
  <c r="E328" i="2"/>
  <c r="F328" i="2" s="1"/>
  <c r="E329" i="2"/>
  <c r="F329" i="2" s="1"/>
  <c r="E457" i="2"/>
  <c r="F457" i="2" s="1"/>
  <c r="E456" i="2"/>
  <c r="F456" i="2" s="1"/>
  <c r="E130" i="2"/>
  <c r="F130" i="2" s="1"/>
  <c r="E131" i="2"/>
  <c r="F131" i="2" s="1"/>
  <c r="E259" i="2"/>
  <c r="F259" i="2" s="1"/>
  <c r="E258" i="2"/>
  <c r="F258" i="2" s="1"/>
  <c r="E387" i="2"/>
  <c r="F387" i="2" s="1"/>
  <c r="E386" i="2"/>
  <c r="F386" i="2" s="1"/>
  <c r="E364" i="2"/>
  <c r="F364" i="2" s="1"/>
  <c r="E365" i="2"/>
  <c r="F365" i="2" s="1"/>
  <c r="E194" i="2"/>
  <c r="F194" i="2" s="1"/>
  <c r="E195" i="2"/>
  <c r="F195" i="2" s="1"/>
  <c r="E124" i="2"/>
  <c r="F124" i="2" s="1"/>
  <c r="E125" i="2"/>
  <c r="F125" i="2" s="1"/>
  <c r="E60" i="2"/>
  <c r="F60" i="2" s="1"/>
  <c r="E61" i="2"/>
  <c r="F61" i="2" s="1"/>
  <c r="E188" i="2"/>
  <c r="F188" i="2" s="1"/>
  <c r="E189" i="2"/>
  <c r="F189" i="2" s="1"/>
  <c r="E316" i="2"/>
  <c r="F316" i="2" s="1"/>
  <c r="E317" i="2"/>
  <c r="F317" i="2" s="1"/>
  <c r="E444" i="2"/>
  <c r="F444" i="2" s="1"/>
  <c r="E445" i="2"/>
  <c r="F445" i="2" s="1"/>
  <c r="E41" i="2"/>
  <c r="F41" i="2" s="1"/>
  <c r="E40" i="2"/>
  <c r="F40" i="2" s="1"/>
  <c r="E105" i="2"/>
  <c r="F105" i="2" s="1"/>
  <c r="E104" i="2"/>
  <c r="F104" i="2" s="1"/>
  <c r="E169" i="2"/>
  <c r="F169" i="2" s="1"/>
  <c r="E168" i="2"/>
  <c r="F168" i="2" s="1"/>
  <c r="E233" i="2"/>
  <c r="F233" i="2" s="1"/>
  <c r="E232" i="2"/>
  <c r="F232" i="2" s="1"/>
  <c r="E344" i="2"/>
  <c r="F344" i="2" s="1"/>
  <c r="E345" i="2"/>
  <c r="F345" i="2" s="1"/>
  <c r="E473" i="2"/>
  <c r="F473" i="2" s="1"/>
  <c r="E472" i="2"/>
  <c r="F472" i="2" s="1"/>
  <c r="E18" i="2"/>
  <c r="F18" i="2" s="1"/>
  <c r="E19" i="2"/>
  <c r="F19" i="2" s="1"/>
  <c r="E146" i="2"/>
  <c r="F146" i="2" s="1"/>
  <c r="E147" i="2"/>
  <c r="F147" i="2" s="1"/>
  <c r="E275" i="2"/>
  <c r="F275" i="2" s="1"/>
  <c r="E274" i="2"/>
  <c r="F274" i="2" s="1"/>
  <c r="E402" i="2"/>
  <c r="F402" i="2" s="1"/>
  <c r="E403" i="2"/>
  <c r="F403" i="2" s="1"/>
  <c r="F203" i="2"/>
  <c r="V46" i="5" l="1"/>
  <c r="V47" i="5"/>
  <c r="K31" i="5"/>
  <c r="K23" i="5"/>
  <c r="K26" i="5"/>
  <c r="M26" i="5" s="1"/>
  <c r="K30" i="5"/>
  <c r="K28" i="5"/>
  <c r="M28" i="5" s="1"/>
  <c r="K24" i="5"/>
  <c r="M23" i="5"/>
  <c r="K20" i="5"/>
  <c r="M20" i="5" s="1"/>
  <c r="M31" i="5"/>
  <c r="K32" i="5"/>
  <c r="K19" i="5"/>
  <c r="K21" i="5"/>
  <c r="M21" i="5" s="1"/>
  <c r="K29" i="5"/>
  <c r="K17" i="5"/>
  <c r="K25" i="5"/>
  <c r="M25" i="5" s="1"/>
  <c r="Q25" i="5" s="1"/>
  <c r="K27" i="5"/>
  <c r="M27" i="5" s="1"/>
  <c r="Q27" i="5" s="1"/>
  <c r="K18" i="5"/>
  <c r="M18" i="5" s="1"/>
  <c r="Q18" i="5" s="1"/>
  <c r="K22" i="5"/>
  <c r="M22" i="5" s="1"/>
  <c r="Q22" i="5" s="1"/>
  <c r="N32" i="5"/>
  <c r="O2" i="5"/>
  <c r="I9" i="2"/>
  <c r="B8" i="4"/>
  <c r="F5" i="1"/>
  <c r="F4" i="1"/>
  <c r="F6" i="1"/>
  <c r="AC2" i="1" s="1"/>
  <c r="B2" i="4"/>
  <c r="F10" i="1"/>
  <c r="F9" i="1"/>
  <c r="F14" i="1"/>
  <c r="F8" i="1"/>
  <c r="F13" i="1"/>
  <c r="I8" i="2"/>
  <c r="F9" i="2"/>
  <c r="I12" i="2" s="1"/>
  <c r="I10" i="2"/>
  <c r="V53" i="5" l="1"/>
  <c r="V52" i="5"/>
  <c r="V74" i="5"/>
  <c r="V73" i="5"/>
  <c r="V79" i="5"/>
  <c r="V80" i="5"/>
  <c r="O26" i="5"/>
  <c r="Q26" i="5"/>
  <c r="V64" i="5"/>
  <c r="V65" i="5"/>
  <c r="O20" i="5"/>
  <c r="Q20" i="5"/>
  <c r="O23" i="5"/>
  <c r="Q23" i="5"/>
  <c r="O31" i="5"/>
  <c r="Q31" i="5"/>
  <c r="O21" i="5"/>
  <c r="Q21" i="5"/>
  <c r="O28" i="5"/>
  <c r="Q28" i="5"/>
  <c r="U85" i="5"/>
  <c r="U84" i="5"/>
  <c r="U83" i="5"/>
  <c r="O18" i="5"/>
  <c r="U50" i="5"/>
  <c r="U51" i="5"/>
  <c r="U52" i="5"/>
  <c r="U74" i="5"/>
  <c r="U76" i="5"/>
  <c r="U75" i="5"/>
  <c r="O22" i="5"/>
  <c r="U64" i="5"/>
  <c r="U62" i="5"/>
  <c r="U63" i="5"/>
  <c r="U94" i="5"/>
  <c r="U93" i="5"/>
  <c r="U92" i="5"/>
  <c r="M29" i="5"/>
  <c r="U66" i="5"/>
  <c r="U65" i="5"/>
  <c r="U67" i="5"/>
  <c r="O27" i="5"/>
  <c r="U78" i="5"/>
  <c r="U79" i="5"/>
  <c r="U77" i="5"/>
  <c r="O25" i="5"/>
  <c r="U73" i="5"/>
  <c r="U71" i="5"/>
  <c r="U72" i="5"/>
  <c r="U49" i="5"/>
  <c r="U47" i="5"/>
  <c r="U48" i="5"/>
  <c r="U54" i="5"/>
  <c r="U53" i="5"/>
  <c r="U55" i="5"/>
  <c r="U69" i="5"/>
  <c r="U70" i="5"/>
  <c r="U68" i="5"/>
  <c r="M24" i="5"/>
  <c r="U81" i="5"/>
  <c r="U82" i="5"/>
  <c r="U80" i="5"/>
  <c r="U61" i="5"/>
  <c r="U60" i="5"/>
  <c r="U59" i="5"/>
  <c r="M19" i="5"/>
  <c r="U86" i="5"/>
  <c r="U87" i="5"/>
  <c r="U88" i="5"/>
  <c r="M30" i="5"/>
  <c r="U58" i="5"/>
  <c r="U57" i="5"/>
  <c r="U56" i="5"/>
  <c r="M17" i="5"/>
  <c r="U90" i="5"/>
  <c r="U89" i="5"/>
  <c r="U91" i="5"/>
  <c r="O16" i="5"/>
  <c r="AB2" i="1"/>
  <c r="AA2" i="1"/>
  <c r="I13" i="2"/>
  <c r="Z2" i="1"/>
  <c r="F17" i="1"/>
  <c r="I3" i="1" s="1"/>
  <c r="G83" i="4"/>
  <c r="G105" i="4"/>
  <c r="G131" i="4"/>
  <c r="G145" i="4"/>
  <c r="G159" i="4"/>
  <c r="G171" i="4"/>
  <c r="G197" i="4"/>
  <c r="G107" i="4"/>
  <c r="G163" i="4"/>
  <c r="G85" i="4"/>
  <c r="G95" i="4"/>
  <c r="G119" i="4"/>
  <c r="G133" i="4"/>
  <c r="G147" i="4"/>
  <c r="G161" i="4"/>
  <c r="G173" i="4"/>
  <c r="G183" i="4"/>
  <c r="G199" i="4"/>
  <c r="G97" i="4"/>
  <c r="G121" i="4"/>
  <c r="G149" i="4"/>
  <c r="G185" i="4"/>
  <c r="G201" i="4"/>
  <c r="G87" i="4"/>
  <c r="G109" i="4"/>
  <c r="G123" i="4"/>
  <c r="G135" i="4"/>
  <c r="G151" i="4"/>
  <c r="G165" i="4"/>
  <c r="G175" i="4"/>
  <c r="G187" i="4"/>
  <c r="G93" i="4"/>
  <c r="G195" i="4"/>
  <c r="G89" i="4"/>
  <c r="G99" i="4"/>
  <c r="G111" i="4"/>
  <c r="G125" i="4"/>
  <c r="G137" i="4"/>
  <c r="G153" i="4"/>
  <c r="G177" i="4"/>
  <c r="G189" i="4"/>
  <c r="G103" i="4"/>
  <c r="G101" i="4"/>
  <c r="G113" i="4"/>
  <c r="G127" i="4"/>
  <c r="G139" i="4"/>
  <c r="G155" i="4"/>
  <c r="G167" i="4"/>
  <c r="G191" i="4"/>
  <c r="G91" i="4"/>
  <c r="G115" i="4"/>
  <c r="G129" i="4"/>
  <c r="G141" i="4"/>
  <c r="G157" i="4"/>
  <c r="G169" i="4"/>
  <c r="G179" i="4"/>
  <c r="G193" i="4"/>
  <c r="G117" i="4"/>
  <c r="G143" i="4"/>
  <c r="G181" i="4"/>
  <c r="M55" i="4"/>
  <c r="M92" i="4"/>
  <c r="M70" i="4"/>
  <c r="M71" i="4"/>
  <c r="M85" i="4"/>
  <c r="M63" i="4"/>
  <c r="M100" i="4"/>
  <c r="M40" i="4"/>
  <c r="M29" i="4"/>
  <c r="M15" i="4"/>
  <c r="M34" i="4"/>
  <c r="M3" i="4"/>
  <c r="G27" i="4"/>
  <c r="G64" i="4"/>
  <c r="G21" i="4"/>
  <c r="G7" i="4"/>
  <c r="D1" i="4"/>
  <c r="G10" i="4"/>
  <c r="G65" i="4"/>
  <c r="G67" i="4"/>
  <c r="G17" i="4"/>
  <c r="G76" i="4"/>
  <c r="G70" i="4"/>
  <c r="M93" i="4"/>
  <c r="M4" i="4"/>
  <c r="G72" i="4"/>
  <c r="G37" i="4"/>
  <c r="G9" i="4"/>
  <c r="M46" i="4"/>
  <c r="M33" i="4"/>
  <c r="G48" i="4"/>
  <c r="G66" i="4"/>
  <c r="M73" i="4"/>
  <c r="G68" i="4"/>
  <c r="G81" i="4"/>
  <c r="M53" i="4"/>
  <c r="M67" i="4"/>
  <c r="M45" i="4"/>
  <c r="M82" i="4"/>
  <c r="M83" i="4"/>
  <c r="M97" i="4"/>
  <c r="M75" i="4"/>
  <c r="M54" i="4"/>
  <c r="M8" i="4"/>
  <c r="M41" i="4"/>
  <c r="M6" i="4"/>
  <c r="M12" i="4"/>
  <c r="M23" i="4"/>
  <c r="G80" i="4"/>
  <c r="G36" i="4"/>
  <c r="G30" i="4"/>
  <c r="G29" i="4"/>
  <c r="G25" i="4"/>
  <c r="G39" i="4"/>
  <c r="G32" i="4"/>
  <c r="G52" i="4"/>
  <c r="G12" i="4"/>
  <c r="M56" i="4"/>
  <c r="M86" i="4"/>
  <c r="M7" i="4"/>
  <c r="G33" i="4"/>
  <c r="M47" i="4"/>
  <c r="M16" i="4"/>
  <c r="M19" i="4"/>
  <c r="G54" i="4"/>
  <c r="M80" i="4"/>
  <c r="M51" i="4"/>
  <c r="M17" i="4"/>
  <c r="M31" i="4"/>
  <c r="D4" i="4"/>
  <c r="D5" i="4"/>
  <c r="G61" i="4"/>
  <c r="M65" i="4"/>
  <c r="M91" i="4"/>
  <c r="M57" i="4"/>
  <c r="M94" i="4"/>
  <c r="M95" i="4"/>
  <c r="M50" i="4"/>
  <c r="M87" i="4"/>
  <c r="M90" i="4"/>
  <c r="M9" i="4"/>
  <c r="M32" i="4"/>
  <c r="M18" i="4"/>
  <c r="M36" i="4"/>
  <c r="M25" i="4"/>
  <c r="G62" i="4"/>
  <c r="G44" i="4"/>
  <c r="G59" i="4"/>
  <c r="G53" i="4"/>
  <c r="G41" i="4"/>
  <c r="G40" i="4"/>
  <c r="G60" i="4"/>
  <c r="G69" i="4"/>
  <c r="G55" i="4"/>
  <c r="G49" i="4"/>
  <c r="G35" i="4"/>
  <c r="M38" i="4"/>
  <c r="G15" i="4"/>
  <c r="G22" i="4"/>
  <c r="G79" i="4"/>
  <c r="G34" i="4"/>
  <c r="M78" i="4"/>
  <c r="M59" i="4"/>
  <c r="M88" i="4"/>
  <c r="M10" i="4"/>
  <c r="G11" i="4"/>
  <c r="G74" i="4"/>
  <c r="G8" i="4"/>
  <c r="M77" i="4"/>
  <c r="M102" i="4"/>
  <c r="M69" i="4"/>
  <c r="M60" i="4"/>
  <c r="M48" i="4"/>
  <c r="M62" i="4"/>
  <c r="M99" i="4"/>
  <c r="M43" i="4"/>
  <c r="M35" i="4"/>
  <c r="M21" i="4"/>
  <c r="M30" i="4"/>
  <c r="M26" i="4"/>
  <c r="M39" i="4"/>
  <c r="G45" i="4"/>
  <c r="G26" i="4"/>
  <c r="G5" i="4"/>
  <c r="G50" i="4"/>
  <c r="G77" i="4"/>
  <c r="G63" i="4"/>
  <c r="G57" i="4"/>
  <c r="G3" i="4"/>
  <c r="G78" i="4"/>
  <c r="G23" i="4"/>
  <c r="G58" i="4"/>
  <c r="G13" i="4"/>
  <c r="G20" i="4"/>
  <c r="D7" i="4"/>
  <c r="M101" i="4"/>
  <c r="M84" i="4"/>
  <c r="M64" i="4"/>
  <c r="M11" i="4"/>
  <c r="G6" i="4"/>
  <c r="G28" i="4"/>
  <c r="M66" i="4"/>
  <c r="M61" i="4"/>
  <c r="M76" i="4"/>
  <c r="M5" i="4"/>
  <c r="M28" i="4"/>
  <c r="G71" i="4"/>
  <c r="G46" i="4"/>
  <c r="G47" i="4"/>
  <c r="M89" i="4"/>
  <c r="M44" i="4"/>
  <c r="M81" i="4"/>
  <c r="M72" i="4"/>
  <c r="M96" i="4"/>
  <c r="M74" i="4"/>
  <c r="M52" i="4"/>
  <c r="M79" i="4"/>
  <c r="M13" i="4"/>
  <c r="M22" i="4"/>
  <c r="M42" i="4"/>
  <c r="M27" i="4"/>
  <c r="M14" i="4"/>
  <c r="G42" i="4"/>
  <c r="G56" i="4"/>
  <c r="G18" i="4"/>
  <c r="G16" i="4"/>
  <c r="D2" i="4"/>
  <c r="G31" i="4"/>
  <c r="G14" i="4"/>
  <c r="G73" i="4"/>
  <c r="M49" i="4"/>
  <c r="M20" i="4"/>
  <c r="G4" i="4"/>
  <c r="G43" i="4"/>
  <c r="M68" i="4"/>
  <c r="M24" i="4"/>
  <c r="G38" i="4"/>
  <c r="G19" i="4"/>
  <c r="M58" i="4"/>
  <c r="M37" i="4"/>
  <c r="G75" i="4"/>
  <c r="M98" i="4"/>
  <c r="G51" i="4"/>
  <c r="G24" i="4"/>
  <c r="O24" i="5" l="1"/>
  <c r="Q24" i="5"/>
  <c r="V91" i="5"/>
  <c r="V92" i="5"/>
  <c r="V77" i="5"/>
  <c r="V76" i="5"/>
  <c r="O29" i="5"/>
  <c r="Q29" i="5"/>
  <c r="V67" i="5"/>
  <c r="V68" i="5"/>
  <c r="O30" i="5"/>
  <c r="Q30" i="5"/>
  <c r="V82" i="5"/>
  <c r="V83" i="5"/>
  <c r="V58" i="5"/>
  <c r="V59" i="5"/>
  <c r="O19" i="5"/>
  <c r="Q19" i="5"/>
  <c r="V62" i="5"/>
  <c r="V61" i="5"/>
  <c r="O17" i="5"/>
  <c r="Q17" i="5"/>
  <c r="M32" i="5"/>
  <c r="Q32" i="5" s="1"/>
  <c r="H12" i="4"/>
  <c r="I12" i="4"/>
  <c r="H127" i="4"/>
  <c r="I127" i="4"/>
  <c r="G128" i="4"/>
  <c r="H133" i="4"/>
  <c r="I133" i="4"/>
  <c r="G134" i="4"/>
  <c r="H61" i="4"/>
  <c r="I61" i="4"/>
  <c r="I66" i="4"/>
  <c r="H66" i="4"/>
  <c r="I113" i="4"/>
  <c r="H113" i="4"/>
  <c r="G114" i="4"/>
  <c r="H151" i="4"/>
  <c r="I151" i="4"/>
  <c r="G152" i="4"/>
  <c r="H42" i="4"/>
  <c r="I42" i="4"/>
  <c r="H71" i="4"/>
  <c r="I71" i="4"/>
  <c r="H23" i="4"/>
  <c r="I23" i="4"/>
  <c r="H26" i="4"/>
  <c r="I26" i="4"/>
  <c r="I74" i="4"/>
  <c r="H74" i="4"/>
  <c r="H22" i="4"/>
  <c r="I22" i="4"/>
  <c r="H40" i="4"/>
  <c r="I40" i="4"/>
  <c r="H30" i="4"/>
  <c r="I30" i="4"/>
  <c r="H81" i="4"/>
  <c r="I81" i="4"/>
  <c r="G82" i="4"/>
  <c r="H37" i="4"/>
  <c r="I37" i="4"/>
  <c r="I65" i="4"/>
  <c r="H65" i="4"/>
  <c r="I169" i="4"/>
  <c r="H169" i="4"/>
  <c r="G170" i="4"/>
  <c r="H155" i="4"/>
  <c r="I155" i="4"/>
  <c r="G156" i="4"/>
  <c r="I153" i="4"/>
  <c r="H153" i="4"/>
  <c r="G154" i="4"/>
  <c r="H187" i="4"/>
  <c r="I187" i="4"/>
  <c r="G188" i="4"/>
  <c r="I201" i="4"/>
  <c r="H201" i="4"/>
  <c r="G202" i="4"/>
  <c r="I161" i="4"/>
  <c r="H161" i="4"/>
  <c r="G162" i="4"/>
  <c r="H197" i="4"/>
  <c r="G198" i="4"/>
  <c r="I197" i="4"/>
  <c r="H73" i="4"/>
  <c r="I73" i="4"/>
  <c r="H78" i="4"/>
  <c r="I78" i="4"/>
  <c r="H11" i="4"/>
  <c r="I11" i="4"/>
  <c r="H15" i="4"/>
  <c r="I15" i="4"/>
  <c r="H41" i="4"/>
  <c r="I41" i="4"/>
  <c r="H36" i="4"/>
  <c r="I36" i="4"/>
  <c r="H68" i="4"/>
  <c r="I68" i="4"/>
  <c r="H72" i="4"/>
  <c r="I72" i="4"/>
  <c r="I10" i="4"/>
  <c r="H10" i="4"/>
  <c r="H157" i="4"/>
  <c r="I157" i="4"/>
  <c r="G158" i="4"/>
  <c r="H139" i="4"/>
  <c r="I139" i="4"/>
  <c r="G140" i="4"/>
  <c r="I137" i="4"/>
  <c r="H137" i="4"/>
  <c r="G138" i="4"/>
  <c r="H175" i="4"/>
  <c r="I175" i="4"/>
  <c r="G176" i="4"/>
  <c r="I185" i="4"/>
  <c r="H185" i="4"/>
  <c r="G186" i="4"/>
  <c r="H147" i="4"/>
  <c r="I147" i="4"/>
  <c r="G148" i="4"/>
  <c r="H171" i="4"/>
  <c r="G172" i="4"/>
  <c r="I171" i="4"/>
  <c r="H45" i="4"/>
  <c r="I45" i="4"/>
  <c r="H53" i="4"/>
  <c r="I53" i="4"/>
  <c r="H80" i="4"/>
  <c r="I80" i="4"/>
  <c r="I141" i="4"/>
  <c r="H141" i="4"/>
  <c r="G142" i="4"/>
  <c r="H159" i="4"/>
  <c r="I159" i="4"/>
  <c r="G160" i="4"/>
  <c r="H57" i="4"/>
  <c r="I57" i="4"/>
  <c r="H59" i="4"/>
  <c r="I59" i="4"/>
  <c r="I7" i="4"/>
  <c r="H7" i="4"/>
  <c r="I129" i="4"/>
  <c r="H129" i="4"/>
  <c r="G130" i="4"/>
  <c r="I121" i="4"/>
  <c r="H121" i="4"/>
  <c r="G122" i="4"/>
  <c r="H203" i="4"/>
  <c r="H204" i="4"/>
  <c r="H2" i="4"/>
  <c r="H63" i="4"/>
  <c r="I63" i="4"/>
  <c r="H49" i="4"/>
  <c r="I49" i="4"/>
  <c r="H44" i="4"/>
  <c r="I44" i="4"/>
  <c r="H32" i="4"/>
  <c r="I32" i="4"/>
  <c r="I48" i="4"/>
  <c r="H48" i="4"/>
  <c r="H70" i="4"/>
  <c r="I70" i="4"/>
  <c r="I21" i="4"/>
  <c r="H21" i="4"/>
  <c r="H143" i="4"/>
  <c r="I143" i="4"/>
  <c r="G144" i="4"/>
  <c r="H115" i="4"/>
  <c r="I115" i="4"/>
  <c r="G116" i="4"/>
  <c r="H101" i="4"/>
  <c r="I101" i="4"/>
  <c r="G102" i="4"/>
  <c r="H99" i="4"/>
  <c r="I99" i="4"/>
  <c r="G100" i="4"/>
  <c r="H135" i="4"/>
  <c r="I135" i="4"/>
  <c r="G136" i="4"/>
  <c r="I97" i="4"/>
  <c r="H97" i="4"/>
  <c r="G98" i="4"/>
  <c r="H95" i="4"/>
  <c r="I95" i="4"/>
  <c r="G96" i="4"/>
  <c r="H131" i="4"/>
  <c r="I131" i="4"/>
  <c r="G132" i="4"/>
  <c r="I3" i="4"/>
  <c r="H3" i="4"/>
  <c r="I54" i="4"/>
  <c r="H54" i="4"/>
  <c r="I125" i="4"/>
  <c r="H125" i="4"/>
  <c r="G126" i="4"/>
  <c r="H24" i="4"/>
  <c r="I24" i="4"/>
  <c r="I145" i="4"/>
  <c r="H145" i="4"/>
  <c r="G146" i="4"/>
  <c r="H43" i="4"/>
  <c r="I43" i="4"/>
  <c r="H20" i="4"/>
  <c r="I20" i="4"/>
  <c r="H77" i="4"/>
  <c r="I77" i="4"/>
  <c r="H55" i="4"/>
  <c r="I55" i="4"/>
  <c r="H62" i="4"/>
  <c r="I62" i="4"/>
  <c r="H39" i="4"/>
  <c r="I39" i="4"/>
  <c r="H76" i="4"/>
  <c r="I76" i="4"/>
  <c r="H64" i="4"/>
  <c r="I64" i="4"/>
  <c r="H117" i="4"/>
  <c r="I117" i="4"/>
  <c r="G118" i="4"/>
  <c r="I91" i="4"/>
  <c r="H91" i="4"/>
  <c r="G92" i="4"/>
  <c r="H103" i="4"/>
  <c r="I103" i="4"/>
  <c r="G104" i="4"/>
  <c r="H89" i="4"/>
  <c r="I89" i="4"/>
  <c r="G90" i="4"/>
  <c r="H123" i="4"/>
  <c r="I123" i="4"/>
  <c r="G124" i="4"/>
  <c r="H199" i="4"/>
  <c r="I199" i="4"/>
  <c r="G200" i="4"/>
  <c r="H85" i="4"/>
  <c r="I85" i="4"/>
  <c r="G86" i="4"/>
  <c r="I105" i="4"/>
  <c r="H105" i="4"/>
  <c r="G106" i="4"/>
  <c r="H19" i="4"/>
  <c r="I19" i="4"/>
  <c r="H38" i="4"/>
  <c r="I38" i="4"/>
  <c r="H149" i="4"/>
  <c r="I149" i="4"/>
  <c r="G150" i="4"/>
  <c r="H31" i="4"/>
  <c r="I31" i="4"/>
  <c r="H35" i="4"/>
  <c r="I35" i="4"/>
  <c r="H181" i="4"/>
  <c r="I181" i="4"/>
  <c r="G182" i="4"/>
  <c r="H119" i="4"/>
  <c r="I119" i="4"/>
  <c r="G120" i="4"/>
  <c r="H51" i="4"/>
  <c r="I51" i="4"/>
  <c r="H16" i="4"/>
  <c r="I16" i="4"/>
  <c r="H75" i="4"/>
  <c r="I75" i="4"/>
  <c r="I4" i="4"/>
  <c r="H4" i="4"/>
  <c r="H18" i="4"/>
  <c r="I18" i="4"/>
  <c r="H47" i="4"/>
  <c r="I47" i="4"/>
  <c r="H28" i="4"/>
  <c r="I28" i="4"/>
  <c r="H13" i="4"/>
  <c r="I13" i="4"/>
  <c r="H50" i="4"/>
  <c r="I50" i="4"/>
  <c r="I34" i="4"/>
  <c r="H34" i="4"/>
  <c r="H69" i="4"/>
  <c r="I69" i="4"/>
  <c r="H33" i="4"/>
  <c r="I33" i="4"/>
  <c r="H25" i="4"/>
  <c r="I25" i="4"/>
  <c r="H17" i="4"/>
  <c r="I17" i="4"/>
  <c r="I27" i="4"/>
  <c r="H27" i="4"/>
  <c r="I193" i="4"/>
  <c r="H193" i="4"/>
  <c r="G194" i="4"/>
  <c r="H191" i="4"/>
  <c r="I191" i="4"/>
  <c r="G192" i="4"/>
  <c r="I189" i="4"/>
  <c r="H189" i="4"/>
  <c r="G190" i="4"/>
  <c r="H195" i="4"/>
  <c r="G196" i="4"/>
  <c r="I195" i="4"/>
  <c r="I109" i="4"/>
  <c r="H109" i="4"/>
  <c r="G110" i="4"/>
  <c r="H183" i="4"/>
  <c r="I183" i="4"/>
  <c r="G184" i="4"/>
  <c r="H163" i="4"/>
  <c r="G164" i="4"/>
  <c r="I163" i="4"/>
  <c r="I83" i="4"/>
  <c r="H83" i="4"/>
  <c r="G84" i="4"/>
  <c r="H14" i="4"/>
  <c r="I14" i="4"/>
  <c r="H165" i="4"/>
  <c r="I165" i="4"/>
  <c r="G166" i="4"/>
  <c r="H52" i="4"/>
  <c r="I52" i="4"/>
  <c r="H111" i="4"/>
  <c r="I111" i="4"/>
  <c r="G112" i="4"/>
  <c r="H56" i="4"/>
  <c r="I56" i="4"/>
  <c r="H46" i="4"/>
  <c r="I46" i="4"/>
  <c r="H6" i="4"/>
  <c r="I6" i="4"/>
  <c r="H58" i="4"/>
  <c r="I58" i="4"/>
  <c r="H5" i="4"/>
  <c r="I5" i="4"/>
  <c r="H8" i="4"/>
  <c r="I8" i="4"/>
  <c r="H79" i="4"/>
  <c r="I79" i="4"/>
  <c r="H60" i="4"/>
  <c r="I60" i="4"/>
  <c r="I29" i="4"/>
  <c r="H29" i="4"/>
  <c r="H9" i="4"/>
  <c r="I9" i="4"/>
  <c r="H67" i="4"/>
  <c r="I67" i="4"/>
  <c r="H179" i="4"/>
  <c r="I179" i="4"/>
  <c r="G180" i="4"/>
  <c r="H167" i="4"/>
  <c r="I167" i="4"/>
  <c r="G168" i="4"/>
  <c r="H177" i="4"/>
  <c r="I177" i="4"/>
  <c r="G178" i="4"/>
  <c r="H93" i="4"/>
  <c r="I93" i="4"/>
  <c r="G94" i="4"/>
  <c r="I87" i="4"/>
  <c r="H87" i="4"/>
  <c r="G88" i="4"/>
  <c r="H173" i="4"/>
  <c r="I173" i="4"/>
  <c r="G174" i="4"/>
  <c r="H107" i="4"/>
  <c r="I107" i="4"/>
  <c r="G108" i="4"/>
  <c r="V3" i="1"/>
  <c r="K3" i="1"/>
  <c r="P2" i="1"/>
  <c r="R2" i="1" s="1"/>
  <c r="N11" i="4"/>
  <c r="N10" i="4"/>
  <c r="N70" i="4"/>
  <c r="N24" i="4"/>
  <c r="N59" i="4"/>
  <c r="N15" i="4"/>
  <c r="N82" i="4"/>
  <c r="N53" i="4"/>
  <c r="N12" i="4"/>
  <c r="N96" i="4"/>
  <c r="N34" i="4"/>
  <c r="N22" i="4"/>
  <c r="N66" i="4"/>
  <c r="N56" i="4"/>
  <c r="N37" i="4"/>
  <c r="N51" i="4"/>
  <c r="N21" i="4"/>
  <c r="N30" i="4"/>
  <c r="N45" i="4"/>
  <c r="N9" i="4"/>
  <c r="N93" i="4"/>
  <c r="N35" i="4"/>
  <c r="N55" i="4"/>
  <c r="N17" i="4"/>
  <c r="N54" i="4"/>
  <c r="N87" i="4"/>
  <c r="N13" i="4"/>
  <c r="N42" i="4"/>
  <c r="N86" i="4"/>
  <c r="N89" i="4"/>
  <c r="N41" i="4"/>
  <c r="N38" i="4"/>
  <c r="N102" i="4"/>
  <c r="N26" i="4"/>
  <c r="N77" i="4"/>
  <c r="N43" i="4"/>
  <c r="N92" i="4"/>
  <c r="N83" i="4"/>
  <c r="N19" i="4"/>
  <c r="N84" i="4"/>
  <c r="N101" i="4"/>
  <c r="N20" i="4"/>
  <c r="N79" i="4"/>
  <c r="N58" i="4"/>
  <c r="N47" i="4"/>
  <c r="N31" i="4"/>
  <c r="N74" i="4"/>
  <c r="N40" i="4"/>
  <c r="N99" i="4"/>
  <c r="N61" i="4"/>
  <c r="AA3" i="1"/>
  <c r="N72" i="4"/>
  <c r="N7" i="4"/>
  <c r="N29" i="4"/>
  <c r="Z3" i="1"/>
  <c r="N71" i="4"/>
  <c r="N68" i="4"/>
  <c r="N25" i="4"/>
  <c r="N64" i="4"/>
  <c r="N98" i="4"/>
  <c r="N5" i="4"/>
  <c r="N48" i="4"/>
  <c r="N81" i="4"/>
  <c r="N18" i="4"/>
  <c r="N88" i="4"/>
  <c r="N63" i="4"/>
  <c r="N95" i="4"/>
  <c r="N8" i="4"/>
  <c r="N76" i="4"/>
  <c r="N52" i="4"/>
  <c r="N33" i="4"/>
  <c r="N75" i="4"/>
  <c r="AC3" i="1"/>
  <c r="N94" i="4"/>
  <c r="N14" i="4"/>
  <c r="N90" i="4"/>
  <c r="N46" i="4"/>
  <c r="N4" i="4"/>
  <c r="N62" i="4"/>
  <c r="N67" i="4"/>
  <c r="N16" i="4"/>
  <c r="N69" i="4"/>
  <c r="N6" i="4"/>
  <c r="N36" i="4"/>
  <c r="N78" i="4"/>
  <c r="N28" i="4"/>
  <c r="N27" i="4"/>
  <c r="N80" i="4"/>
  <c r="N32" i="4"/>
  <c r="N65" i="4"/>
  <c r="N97" i="4"/>
  <c r="Y3" i="1"/>
  <c r="N60" i="4"/>
  <c r="N100" i="4"/>
  <c r="N91" i="4"/>
  <c r="N49" i="4"/>
  <c r="N73" i="4"/>
  <c r="N57" i="4"/>
  <c r="W3" i="1"/>
  <c r="N50" i="4"/>
  <c r="N23" i="4"/>
  <c r="N44" i="4"/>
  <c r="N3" i="4"/>
  <c r="N39" i="4"/>
  <c r="AB3" i="1"/>
  <c r="N85" i="4"/>
  <c r="O32" i="5" l="1"/>
  <c r="H22" i="5" s="1"/>
  <c r="H26" i="5" s="1"/>
  <c r="H28" i="5" s="1"/>
  <c r="V50" i="5"/>
  <c r="V49" i="5"/>
  <c r="V86" i="5"/>
  <c r="V85" i="5"/>
  <c r="V88" i="5"/>
  <c r="V89" i="5"/>
  <c r="V55" i="5"/>
  <c r="V56" i="5"/>
  <c r="V70" i="5"/>
  <c r="V71" i="5"/>
  <c r="H166" i="4"/>
  <c r="I166" i="4"/>
  <c r="H90" i="4"/>
  <c r="I90" i="4"/>
  <c r="H148" i="4"/>
  <c r="I148" i="4"/>
  <c r="H180" i="4"/>
  <c r="I180" i="4"/>
  <c r="H196" i="4"/>
  <c r="I196" i="4"/>
  <c r="H194" i="4"/>
  <c r="I194" i="4"/>
  <c r="H200" i="4"/>
  <c r="I200" i="4"/>
  <c r="H116" i="4"/>
  <c r="I116" i="4"/>
  <c r="H202" i="4"/>
  <c r="I202" i="4"/>
  <c r="H134" i="4"/>
  <c r="I134" i="4"/>
  <c r="H150" i="4"/>
  <c r="I150" i="4"/>
  <c r="H124" i="4"/>
  <c r="I124" i="4"/>
  <c r="H108" i="4"/>
  <c r="I108" i="4"/>
  <c r="H132" i="4"/>
  <c r="I132" i="4"/>
  <c r="H174" i="4"/>
  <c r="I174" i="4"/>
  <c r="H112" i="4"/>
  <c r="I112" i="4"/>
  <c r="H184" i="4"/>
  <c r="I184" i="4"/>
  <c r="H120" i="4"/>
  <c r="I120" i="4"/>
  <c r="H104" i="4"/>
  <c r="I104" i="4"/>
  <c r="H96" i="4"/>
  <c r="I96" i="4"/>
  <c r="H186" i="4"/>
  <c r="I186" i="4"/>
  <c r="H156" i="4"/>
  <c r="I156" i="4"/>
  <c r="H114" i="4"/>
  <c r="I114" i="4"/>
  <c r="H178" i="4"/>
  <c r="I178" i="4"/>
  <c r="H190" i="4"/>
  <c r="I190" i="4"/>
  <c r="H106" i="4"/>
  <c r="I106" i="4"/>
  <c r="H146" i="4"/>
  <c r="I146" i="4"/>
  <c r="H100" i="4"/>
  <c r="I100" i="4"/>
  <c r="H142" i="4"/>
  <c r="I142" i="4"/>
  <c r="H140" i="4"/>
  <c r="I140" i="4"/>
  <c r="H128" i="4"/>
  <c r="I128" i="4"/>
  <c r="H122" i="4"/>
  <c r="I122" i="4"/>
  <c r="H198" i="4"/>
  <c r="I198" i="4"/>
  <c r="H188" i="4"/>
  <c r="I188" i="4"/>
  <c r="H82" i="4"/>
  <c r="I82" i="4"/>
  <c r="P3" i="1"/>
  <c r="R3" i="1" s="1"/>
  <c r="J3" i="1"/>
  <c r="O3" i="1" s="1"/>
  <c r="L3" i="1"/>
  <c r="I4" i="1"/>
  <c r="H88" i="4"/>
  <c r="I88" i="4"/>
  <c r="H110" i="4"/>
  <c r="I110" i="4"/>
  <c r="H182" i="4"/>
  <c r="I182" i="4"/>
  <c r="H92" i="4"/>
  <c r="I92" i="4"/>
  <c r="H98" i="4"/>
  <c r="I98" i="4"/>
  <c r="H172" i="4"/>
  <c r="I172" i="4"/>
  <c r="H176" i="4"/>
  <c r="I176" i="4"/>
  <c r="H170" i="4"/>
  <c r="I170" i="4"/>
  <c r="H84" i="4"/>
  <c r="I84" i="4"/>
  <c r="H144" i="4"/>
  <c r="I144" i="4"/>
  <c r="H168" i="4"/>
  <c r="I168" i="4"/>
  <c r="H192" i="4"/>
  <c r="I192" i="4"/>
  <c r="H86" i="4"/>
  <c r="I86" i="4"/>
  <c r="H102" i="4"/>
  <c r="I102" i="4"/>
  <c r="H158" i="4"/>
  <c r="I158" i="4"/>
  <c r="H162" i="4"/>
  <c r="I162" i="4"/>
  <c r="H154" i="4"/>
  <c r="I154" i="4"/>
  <c r="H152" i="4"/>
  <c r="I152" i="4"/>
  <c r="H130" i="4"/>
  <c r="I130" i="4"/>
  <c r="H94" i="4"/>
  <c r="I94" i="4"/>
  <c r="H164" i="4"/>
  <c r="I164" i="4"/>
  <c r="H118" i="4"/>
  <c r="I118" i="4"/>
  <c r="H126" i="4"/>
  <c r="I126" i="4"/>
  <c r="H136" i="4"/>
  <c r="I136" i="4"/>
  <c r="H160" i="4"/>
  <c r="I160" i="4"/>
  <c r="H138" i="4"/>
  <c r="I138" i="4"/>
  <c r="K4" i="1" l="1"/>
  <c r="J4" i="1" s="1"/>
  <c r="O4" i="1" s="1"/>
  <c r="M3" i="1"/>
  <c r="N3" i="1" s="1"/>
  <c r="Q3" i="1"/>
  <c r="L4" i="1" l="1"/>
  <c r="I5" i="1"/>
  <c r="K5" i="1" s="1"/>
  <c r="P4" i="1"/>
  <c r="R4" i="1" s="1"/>
  <c r="J5" i="1" l="1"/>
  <c r="O5" i="1" s="1"/>
  <c r="P5" i="1"/>
  <c r="R5" i="1" s="1"/>
  <c r="L5" i="1"/>
  <c r="I6" i="1"/>
  <c r="Q4" i="1"/>
  <c r="M4" i="1"/>
  <c r="N4" i="1" s="1"/>
  <c r="Q5" i="1" l="1"/>
  <c r="M5" i="1"/>
  <c r="N5" i="1" s="1"/>
  <c r="K6" i="1"/>
  <c r="J6" i="1" s="1"/>
  <c r="O6" i="1" s="1"/>
  <c r="I7" i="1" l="1"/>
  <c r="L6" i="1"/>
  <c r="P6" i="1"/>
  <c r="R6" i="1" s="1"/>
  <c r="Q6" i="1" l="1"/>
  <c r="M6" i="1"/>
  <c r="N6" i="1" s="1"/>
  <c r="K7" i="1"/>
  <c r="J7" i="1" s="1"/>
  <c r="O7" i="1" s="1"/>
  <c r="I8" i="1" l="1"/>
  <c r="K8" i="1" s="1"/>
  <c r="L7" i="1"/>
  <c r="P7" i="1"/>
  <c r="R7" i="1" s="1"/>
  <c r="M7" i="1" l="1"/>
  <c r="N7" i="1" s="1"/>
  <c r="Q7" i="1"/>
  <c r="J8" i="1"/>
  <c r="O8" i="1" s="1"/>
  <c r="P8" i="1"/>
  <c r="R8" i="1" s="1"/>
  <c r="L8" i="1"/>
  <c r="I9" i="1"/>
  <c r="K9" i="1" s="1"/>
  <c r="J9" i="1" l="1"/>
  <c r="O9" i="1" s="1"/>
  <c r="P9" i="1"/>
  <c r="R9" i="1" s="1"/>
  <c r="I10" i="1"/>
  <c r="K10" i="1" s="1"/>
  <c r="J10" i="1" s="1"/>
  <c r="O10" i="1" s="1"/>
  <c r="L9" i="1"/>
  <c r="M8" i="1"/>
  <c r="N8" i="1" s="1"/>
  <c r="Q8" i="1"/>
  <c r="L10" i="1" l="1"/>
  <c r="M10" i="1" s="1"/>
  <c r="N10" i="1" s="1"/>
  <c r="P10" i="1"/>
  <c r="R10" i="1" s="1"/>
  <c r="I11" i="1"/>
  <c r="K11" i="1" s="1"/>
  <c r="J11" i="1" s="1"/>
  <c r="O11" i="1" s="1"/>
  <c r="Q9" i="1"/>
  <c r="M9" i="1"/>
  <c r="N9" i="1" s="1"/>
  <c r="Q10" i="1" l="1"/>
  <c r="P11" i="1"/>
  <c r="R11" i="1" s="1"/>
  <c r="I12" i="1"/>
  <c r="K12" i="1" s="1"/>
  <c r="L11" i="1"/>
  <c r="J12" i="1" l="1"/>
  <c r="O12" i="1" s="1"/>
  <c r="P12" i="1"/>
  <c r="R12" i="1" s="1"/>
  <c r="L12" i="1"/>
  <c r="I13" i="1"/>
  <c r="K13" i="1" s="1"/>
  <c r="M11" i="1"/>
  <c r="N11" i="1" s="1"/>
  <c r="Q11" i="1"/>
  <c r="J13" i="1" l="1"/>
  <c r="O13" i="1" s="1"/>
  <c r="P13" i="1"/>
  <c r="R13" i="1" s="1"/>
  <c r="I14" i="1"/>
  <c r="K14" i="1" s="1"/>
  <c r="L13" i="1"/>
  <c r="M12" i="1"/>
  <c r="N12" i="1" s="1"/>
  <c r="Q12" i="1"/>
  <c r="M13" i="1" l="1"/>
  <c r="N13" i="1" s="1"/>
  <c r="Q13" i="1"/>
  <c r="J14" i="1"/>
  <c r="O14" i="1" s="1"/>
  <c r="P14" i="1"/>
  <c r="R14" i="1" s="1"/>
  <c r="I15" i="1"/>
  <c r="K15" i="1" s="1"/>
  <c r="L14" i="1"/>
  <c r="M14" i="1" l="1"/>
  <c r="N14" i="1" s="1"/>
  <c r="Q14" i="1"/>
  <c r="J15" i="1"/>
  <c r="O15" i="1" s="1"/>
  <c r="P15" i="1"/>
  <c r="R15" i="1" s="1"/>
  <c r="I16" i="1"/>
  <c r="K16" i="1" s="1"/>
  <c r="I17" i="1" s="1"/>
  <c r="L15" i="1"/>
  <c r="L16" i="1" l="1"/>
  <c r="M16" i="1" s="1"/>
  <c r="N16" i="1" s="1"/>
  <c r="M15" i="1"/>
  <c r="N15" i="1" s="1"/>
  <c r="Q15" i="1"/>
  <c r="J16" i="1"/>
  <c r="O16" i="1" s="1"/>
  <c r="P16" i="1"/>
  <c r="R16" i="1" s="1"/>
  <c r="K17" i="1"/>
  <c r="Q16" i="1" l="1"/>
  <c r="J17" i="1"/>
  <c r="O17" i="1" s="1"/>
  <c r="P17" i="1"/>
  <c r="R17" i="1" s="1"/>
  <c r="I18" i="1"/>
  <c r="L17" i="1"/>
  <c r="M17" i="1" l="1"/>
  <c r="N17" i="1" s="1"/>
  <c r="Q17" i="1"/>
  <c r="K18" i="1"/>
  <c r="J18" i="1" l="1"/>
  <c r="O18" i="1" s="1"/>
  <c r="P18" i="1"/>
  <c r="R18" i="1" s="1"/>
  <c r="I19" i="1"/>
  <c r="L18" i="1"/>
  <c r="M18" i="1" l="1"/>
  <c r="N18" i="1" s="1"/>
  <c r="Q18" i="1"/>
  <c r="K19" i="1"/>
  <c r="J19" i="1" l="1"/>
  <c r="O19" i="1" s="1"/>
  <c r="P19" i="1"/>
  <c r="R19" i="1" s="1"/>
  <c r="I20" i="1"/>
  <c r="L19" i="1"/>
  <c r="M19" i="1" l="1"/>
  <c r="N19" i="1" s="1"/>
  <c r="Q19" i="1"/>
  <c r="K20" i="1"/>
  <c r="J20" i="1" l="1"/>
  <c r="O20" i="1" s="1"/>
  <c r="P20" i="1"/>
  <c r="R20" i="1" s="1"/>
  <c r="I21" i="1"/>
  <c r="L20" i="1"/>
  <c r="M20" i="1" l="1"/>
  <c r="N20" i="1" s="1"/>
  <c r="Q20" i="1"/>
  <c r="K21" i="1"/>
  <c r="J21" i="1" l="1"/>
  <c r="O21" i="1" s="1"/>
  <c r="P21" i="1"/>
  <c r="R21" i="1" s="1"/>
  <c r="I22" i="1"/>
  <c r="L21" i="1"/>
  <c r="M21" i="1" l="1"/>
  <c r="N21" i="1" s="1"/>
  <c r="Q21" i="1"/>
  <c r="K22" i="1"/>
  <c r="J22" i="1" l="1"/>
  <c r="O22" i="1" s="1"/>
  <c r="P22" i="1"/>
  <c r="R22" i="1" s="1"/>
  <c r="I23" i="1"/>
  <c r="L22" i="1"/>
  <c r="M22" i="1" l="1"/>
  <c r="N22" i="1" s="1"/>
  <c r="Q22" i="1"/>
  <c r="K23" i="1"/>
  <c r="J23" i="1" l="1"/>
  <c r="O23" i="1" s="1"/>
  <c r="P23" i="1"/>
  <c r="R23" i="1" s="1"/>
  <c r="I24" i="1"/>
  <c r="L23" i="1"/>
  <c r="M23" i="1" l="1"/>
  <c r="N23" i="1" s="1"/>
  <c r="Q23" i="1"/>
  <c r="K24" i="1"/>
  <c r="J24" i="1" l="1"/>
  <c r="O24" i="1" s="1"/>
  <c r="P24" i="1"/>
  <c r="R24" i="1" s="1"/>
  <c r="I25" i="1"/>
  <c r="L24" i="1"/>
  <c r="M24" i="1" l="1"/>
  <c r="N24" i="1" s="1"/>
  <c r="Q24" i="1"/>
  <c r="K25" i="1"/>
  <c r="J25" i="1" l="1"/>
  <c r="O25" i="1" s="1"/>
  <c r="P25" i="1"/>
  <c r="R25" i="1" s="1"/>
  <c r="I26" i="1"/>
  <c r="L25" i="1"/>
  <c r="M25" i="1" l="1"/>
  <c r="N25" i="1" s="1"/>
  <c r="Q25" i="1"/>
  <c r="K26" i="1"/>
  <c r="J26" i="1" l="1"/>
  <c r="O26" i="1" s="1"/>
  <c r="P26" i="1"/>
  <c r="R26" i="1" s="1"/>
  <c r="I27" i="1"/>
  <c r="L26" i="1"/>
  <c r="M26" i="1" l="1"/>
  <c r="N26" i="1" s="1"/>
  <c r="Q26" i="1"/>
  <c r="K27" i="1"/>
  <c r="F22" i="1" s="1"/>
  <c r="V4" i="1" s="1"/>
  <c r="Y4" i="1"/>
  <c r="AA4" i="1"/>
  <c r="AC4" i="1"/>
  <c r="AB4" i="1"/>
  <c r="W4" i="1"/>
  <c r="Z4" i="1"/>
  <c r="V5" i="1" l="1"/>
  <c r="J27" i="1"/>
  <c r="O27" i="1" s="1"/>
  <c r="P27" i="1"/>
  <c r="R27" i="1" s="1"/>
  <c r="I28" i="1"/>
  <c r="L27" i="1"/>
  <c r="Y5" i="1"/>
  <c r="AC5" i="1"/>
  <c r="AB5" i="1"/>
  <c r="AA5" i="1"/>
  <c r="Z5" i="1"/>
  <c r="W5" i="1"/>
  <c r="V6" i="1" l="1"/>
  <c r="M27" i="1"/>
  <c r="N27" i="1" s="1"/>
  <c r="Q27" i="1"/>
  <c r="K28" i="1"/>
  <c r="W6" i="1"/>
  <c r="Y6" i="1"/>
  <c r="AB6" i="1"/>
  <c r="AA6" i="1"/>
  <c r="Z6" i="1"/>
  <c r="AC6" i="1"/>
  <c r="V7" i="1" l="1"/>
  <c r="J28" i="1"/>
  <c r="O28" i="1" s="1"/>
  <c r="P28" i="1"/>
  <c r="R28" i="1" s="1"/>
  <c r="I29" i="1"/>
  <c r="L28" i="1"/>
  <c r="AC7" i="1"/>
  <c r="W7" i="1"/>
  <c r="Z7" i="1"/>
  <c r="Y7" i="1"/>
  <c r="AB7" i="1"/>
  <c r="AA7" i="1"/>
  <c r="V8" i="1" l="1"/>
  <c r="M28" i="1"/>
  <c r="N28" i="1" s="1"/>
  <c r="Q28" i="1"/>
  <c r="K29" i="1"/>
  <c r="W8" i="1"/>
  <c r="AC8" i="1"/>
  <c r="AA8" i="1"/>
  <c r="Z8" i="1"/>
  <c r="Y8" i="1"/>
  <c r="AB8" i="1"/>
  <c r="V9" i="1" l="1"/>
  <c r="J29" i="1"/>
  <c r="O29" i="1" s="1"/>
  <c r="P29" i="1"/>
  <c r="R29" i="1" s="1"/>
  <c r="I30" i="1"/>
  <c r="L29" i="1"/>
  <c r="W9" i="1"/>
  <c r="Z9" i="1"/>
  <c r="AB9" i="1"/>
  <c r="AA9" i="1"/>
  <c r="Y9" i="1"/>
  <c r="AC9" i="1"/>
  <c r="V10" i="1" l="1"/>
  <c r="M29" i="1"/>
  <c r="N29" i="1" s="1"/>
  <c r="Q29" i="1"/>
  <c r="K30" i="1"/>
  <c r="AC10" i="1"/>
  <c r="AB10" i="1"/>
  <c r="AA10" i="1"/>
  <c r="Z10" i="1"/>
  <c r="W10" i="1"/>
  <c r="Y10" i="1"/>
  <c r="V11" i="1" l="1"/>
  <c r="J30" i="1"/>
  <c r="O30" i="1" s="1"/>
  <c r="P30" i="1"/>
  <c r="R30" i="1" s="1"/>
  <c r="I31" i="1"/>
  <c r="L30" i="1"/>
  <c r="AC11" i="1"/>
  <c r="AA11" i="1"/>
  <c r="Z11" i="1"/>
  <c r="W11" i="1"/>
  <c r="Y11" i="1"/>
  <c r="AB11" i="1"/>
  <c r="V12" i="1" l="1"/>
  <c r="M30" i="1"/>
  <c r="N30" i="1" s="1"/>
  <c r="Q30" i="1"/>
  <c r="K31" i="1"/>
  <c r="AB12" i="1"/>
  <c r="Z12" i="1"/>
  <c r="Y12" i="1"/>
  <c r="AC12" i="1"/>
  <c r="W12" i="1"/>
  <c r="AA12" i="1"/>
  <c r="V13" i="1" l="1"/>
  <c r="J31" i="1"/>
  <c r="O31" i="1" s="1"/>
  <c r="P31" i="1"/>
  <c r="R31" i="1" s="1"/>
  <c r="I32" i="1"/>
  <c r="K32" i="1" s="1"/>
  <c r="P32" i="1" s="1"/>
  <c r="R32" i="1" s="1"/>
  <c r="L31" i="1"/>
  <c r="AC13" i="1"/>
  <c r="AB13" i="1"/>
  <c r="W13" i="1"/>
  <c r="Y13" i="1"/>
  <c r="AA13" i="1"/>
  <c r="Z13" i="1"/>
  <c r="V14" i="1" l="1"/>
  <c r="M31" i="1"/>
  <c r="N31" i="1" s="1"/>
  <c r="Q31" i="1"/>
  <c r="J32" i="1"/>
  <c r="L32" i="1"/>
  <c r="AB14" i="1"/>
  <c r="AA14" i="1"/>
  <c r="Z14" i="1"/>
  <c r="W14" i="1"/>
  <c r="Y14" i="1"/>
  <c r="AC14" i="1"/>
  <c r="V15" i="1" l="1"/>
  <c r="M32" i="1"/>
  <c r="N32" i="1" s="1"/>
  <c r="Q32" i="1"/>
  <c r="O32" i="1"/>
  <c r="F19" i="1"/>
  <c r="W15" i="1"/>
  <c r="AA15" i="1"/>
  <c r="AB15" i="1"/>
  <c r="Z15" i="1"/>
  <c r="Y15" i="1"/>
  <c r="AC15" i="1"/>
  <c r="V16" i="1" l="1"/>
  <c r="Y16" i="1"/>
  <c r="AC16" i="1"/>
  <c r="AB16" i="1"/>
  <c r="Z16" i="1"/>
  <c r="W16" i="1"/>
  <c r="AA16" i="1"/>
  <c r="V17" i="1" l="1"/>
  <c r="W17" i="1"/>
  <c r="Y17" i="1"/>
  <c r="AB17" i="1"/>
  <c r="AA17" i="1"/>
  <c r="AC17" i="1"/>
  <c r="Z17" i="1"/>
  <c r="V18" i="1" l="1"/>
  <c r="AB18" i="1"/>
  <c r="AA18" i="1"/>
  <c r="Y18" i="1"/>
  <c r="W18" i="1"/>
  <c r="AC18" i="1"/>
  <c r="Z18" i="1"/>
  <c r="V19" i="1" l="1"/>
  <c r="Y19" i="1"/>
  <c r="AC19" i="1"/>
  <c r="AB19" i="1"/>
  <c r="Z19" i="1"/>
  <c r="W19" i="1"/>
  <c r="AA19" i="1"/>
  <c r="V20" i="1" l="1"/>
  <c r="AB20" i="1"/>
  <c r="Z20" i="1"/>
  <c r="Y20" i="1"/>
  <c r="AA20" i="1"/>
  <c r="W20" i="1"/>
  <c r="AC20" i="1"/>
  <c r="V21" i="1" l="1"/>
  <c r="W21" i="1"/>
  <c r="AB21" i="1"/>
  <c r="Z21" i="1"/>
  <c r="AC21" i="1"/>
  <c r="AA21" i="1"/>
  <c r="Y21" i="1"/>
  <c r="V22" i="1" l="1"/>
  <c r="AC22" i="1"/>
  <c r="Z22" i="1"/>
  <c r="W22" i="1"/>
  <c r="Y22" i="1"/>
  <c r="AA22" i="1"/>
  <c r="AB22" i="1"/>
  <c r="V23" i="1" l="1"/>
  <c r="AB23" i="1"/>
  <c r="AA23" i="1"/>
  <c r="Z23" i="1"/>
  <c r="W23" i="1"/>
  <c r="Y23" i="1"/>
  <c r="AC23" i="1"/>
  <c r="V24" i="1" l="1"/>
  <c r="AB24" i="1"/>
  <c r="W24" i="1"/>
  <c r="AC24" i="1"/>
  <c r="Z24" i="1"/>
  <c r="Y24" i="1"/>
  <c r="AA24" i="1"/>
  <c r="V25" i="1" l="1"/>
  <c r="Z25" i="1"/>
  <c r="W25" i="1"/>
  <c r="Y25" i="1"/>
  <c r="AB25" i="1"/>
  <c r="AC25" i="1"/>
  <c r="AA25" i="1"/>
  <c r="V26" i="1" l="1"/>
  <c r="Z26" i="1"/>
  <c r="W26" i="1"/>
  <c r="Y26" i="1"/>
  <c r="AB26" i="1"/>
  <c r="AA26" i="1"/>
  <c r="AC26" i="1"/>
  <c r="V27" i="1" l="1"/>
  <c r="AA27" i="1"/>
  <c r="Z27" i="1"/>
  <c r="AB27" i="1"/>
  <c r="Y27" i="1"/>
  <c r="W27" i="1"/>
  <c r="AC27" i="1"/>
  <c r="V28" i="1" l="1"/>
  <c r="Z28" i="1"/>
  <c r="W28" i="1"/>
  <c r="Y28" i="1"/>
  <c r="AB28" i="1"/>
  <c r="AC28" i="1"/>
  <c r="AA28" i="1"/>
  <c r="V29" i="1" l="1"/>
  <c r="AC29" i="1"/>
  <c r="AB29" i="1"/>
  <c r="AA29" i="1"/>
  <c r="Y29" i="1"/>
  <c r="Z29" i="1"/>
  <c r="W29" i="1"/>
  <c r="V30" i="1" l="1"/>
  <c r="AC30" i="1"/>
  <c r="AB30" i="1"/>
  <c r="Z30" i="1"/>
  <c r="Y30" i="1"/>
  <c r="AA30" i="1"/>
  <c r="W30" i="1"/>
  <c r="V31" i="1" l="1"/>
  <c r="AB31" i="1"/>
  <c r="Y31" i="1"/>
  <c r="AC31" i="1"/>
  <c r="W31" i="1"/>
  <c r="AA31" i="1"/>
  <c r="Z31" i="1"/>
  <c r="V32" i="1" l="1"/>
  <c r="AB32" i="1"/>
  <c r="Z32" i="1"/>
  <c r="W32" i="1"/>
  <c r="Y32" i="1"/>
  <c r="AC32" i="1"/>
  <c r="AA32" i="1"/>
  <c r="V33" i="1" l="1"/>
  <c r="AB33" i="1"/>
  <c r="AA33" i="1"/>
  <c r="Z33" i="1"/>
  <c r="Y33" i="1"/>
  <c r="AC33" i="1"/>
  <c r="W33" i="1"/>
  <c r="V34" i="1" l="1"/>
  <c r="W34" i="1"/>
  <c r="Y34" i="1"/>
  <c r="AC34" i="1"/>
  <c r="AB34" i="1"/>
  <c r="Z34" i="1"/>
  <c r="AA34" i="1"/>
  <c r="V35" i="1" l="1"/>
  <c r="Z35" i="1"/>
  <c r="W35" i="1"/>
  <c r="AA35" i="1"/>
  <c r="AC35" i="1"/>
  <c r="Y35" i="1"/>
  <c r="AB35" i="1"/>
  <c r="V36" i="1" l="1"/>
  <c r="AB36" i="1"/>
  <c r="AA36" i="1"/>
  <c r="W36" i="1"/>
  <c r="AC36" i="1"/>
  <c r="Z36" i="1"/>
  <c r="Y36" i="1"/>
  <c r="V37" i="1" l="1"/>
  <c r="AA37" i="1"/>
  <c r="AC37" i="1"/>
  <c r="Z37" i="1"/>
  <c r="W37" i="1"/>
  <c r="AB37" i="1"/>
  <c r="Y37" i="1"/>
  <c r="V38" i="1" l="1"/>
  <c r="Z38" i="1"/>
  <c r="Y38" i="1"/>
  <c r="AB38" i="1"/>
  <c r="W38" i="1"/>
  <c r="AC38" i="1"/>
  <c r="AA38" i="1"/>
  <c r="V39" i="1" l="1"/>
  <c r="AB39" i="1"/>
  <c r="AA39" i="1"/>
  <c r="W39" i="1"/>
  <c r="Y39" i="1"/>
  <c r="AC39" i="1"/>
  <c r="Z39" i="1"/>
  <c r="V40" i="1" l="1"/>
  <c r="AA40" i="1"/>
  <c r="Z40" i="1"/>
  <c r="W40" i="1"/>
  <c r="Y40" i="1"/>
  <c r="AB40" i="1"/>
  <c r="AC40" i="1"/>
  <c r="V41" i="1" l="1"/>
  <c r="AA41" i="1"/>
  <c r="Z41" i="1"/>
  <c r="Y41" i="1"/>
  <c r="AB41" i="1"/>
  <c r="AC41" i="1"/>
  <c r="W41" i="1"/>
  <c r="V42" i="1" l="1"/>
  <c r="AC42" i="1"/>
  <c r="AA42" i="1"/>
  <c r="Z42" i="1"/>
  <c r="Y42" i="1"/>
  <c r="W42" i="1"/>
  <c r="AB42" i="1"/>
  <c r="V43" i="1" l="1"/>
  <c r="AA43" i="1"/>
  <c r="Y43" i="1"/>
  <c r="W43" i="1"/>
  <c r="AB43" i="1"/>
  <c r="Z43" i="1"/>
  <c r="AC43" i="1"/>
  <c r="V44" i="1" l="1"/>
  <c r="Z44" i="1"/>
  <c r="Y44" i="1"/>
  <c r="AC44" i="1"/>
  <c r="AA44" i="1"/>
  <c r="W44" i="1"/>
  <c r="AB44" i="1"/>
  <c r="V45" i="1" l="1"/>
  <c r="AA45" i="1"/>
  <c r="Y45" i="1"/>
  <c r="W45" i="1"/>
  <c r="AC45" i="1"/>
  <c r="Z45" i="1"/>
  <c r="AB45" i="1"/>
  <c r="V46" i="1" l="1"/>
  <c r="W46" i="1"/>
  <c r="AC46" i="1"/>
  <c r="AA46" i="1"/>
  <c r="Z46" i="1"/>
  <c r="Y46" i="1"/>
  <c r="AB46" i="1"/>
  <c r="V47" i="1" l="1"/>
  <c r="Z47" i="1"/>
  <c r="W47" i="1"/>
  <c r="Y47" i="1"/>
  <c r="AB47" i="1"/>
  <c r="AA47" i="1"/>
  <c r="AC47" i="1"/>
  <c r="V48" i="1" l="1"/>
  <c r="W48" i="1"/>
  <c r="AA48" i="1"/>
  <c r="AC48" i="1"/>
  <c r="AB48" i="1"/>
  <c r="Y48" i="1"/>
  <c r="Z48" i="1"/>
  <c r="V49" i="1" l="1"/>
  <c r="Y49" i="1"/>
  <c r="AC49" i="1"/>
  <c r="AA49" i="1"/>
  <c r="W49" i="1"/>
  <c r="AB49" i="1"/>
  <c r="Z49" i="1"/>
  <c r="V50" i="1" l="1"/>
  <c r="AB50" i="1"/>
  <c r="AA50" i="1"/>
  <c r="Y50" i="1"/>
  <c r="AC50" i="1"/>
  <c r="Z50" i="1"/>
  <c r="W50" i="1"/>
  <c r="V51" i="1" l="1"/>
  <c r="AB51" i="1"/>
  <c r="W51" i="1"/>
  <c r="AA51" i="1"/>
  <c r="Y51" i="1"/>
  <c r="Z51" i="1"/>
  <c r="AC51" i="1"/>
  <c r="V52" i="1" l="1"/>
  <c r="AB52" i="1"/>
  <c r="Z52" i="1"/>
  <c r="W52" i="1"/>
  <c r="AC52" i="1"/>
  <c r="Y52" i="1"/>
  <c r="AA52" i="1"/>
  <c r="V53" i="1" l="1"/>
  <c r="AB53" i="1"/>
  <c r="Z53" i="1"/>
  <c r="Y53" i="1"/>
  <c r="AC53" i="1"/>
  <c r="AA53" i="1"/>
  <c r="W53" i="1"/>
  <c r="V54" i="1" l="1"/>
  <c r="AC54" i="1"/>
  <c r="Y54" i="1"/>
  <c r="Z54" i="1"/>
  <c r="W54" i="1"/>
  <c r="AB54" i="1"/>
  <c r="AA54" i="1"/>
  <c r="V55" i="1" l="1"/>
  <c r="Y55" i="1"/>
  <c r="W55" i="1"/>
  <c r="AC55" i="1"/>
  <c r="AB55" i="1"/>
  <c r="AA55" i="1"/>
  <c r="Z55" i="1"/>
  <c r="V56" i="1" l="1"/>
  <c r="Y56" i="1"/>
  <c r="W56" i="1"/>
  <c r="AB56" i="1"/>
  <c r="AC56" i="1"/>
  <c r="Z56" i="1"/>
  <c r="AA56" i="1"/>
  <c r="V57" i="1" l="1"/>
  <c r="AB57" i="1"/>
  <c r="Z57" i="1"/>
  <c r="Y57" i="1"/>
  <c r="W57" i="1"/>
  <c r="AC57" i="1"/>
  <c r="AA57" i="1"/>
  <c r="V58" i="1" l="1"/>
  <c r="AB58" i="1"/>
  <c r="AA58" i="1"/>
  <c r="Z58" i="1"/>
  <c r="AC58" i="1"/>
  <c r="W58" i="1"/>
  <c r="Y58" i="1"/>
  <c r="V59" i="1" l="1"/>
  <c r="AA59" i="1"/>
  <c r="Y59" i="1"/>
  <c r="Z59" i="1"/>
  <c r="AB59" i="1"/>
  <c r="W59" i="1"/>
  <c r="AC59" i="1"/>
  <c r="V60" i="1" l="1"/>
  <c r="AB60" i="1"/>
  <c r="Z60" i="1"/>
  <c r="Y60" i="1"/>
  <c r="W60" i="1"/>
  <c r="AA60" i="1"/>
  <c r="AC60" i="1"/>
  <c r="V61" i="1" l="1"/>
  <c r="Y61" i="1"/>
  <c r="AC61" i="1"/>
  <c r="AA61" i="1"/>
  <c r="W61" i="1"/>
  <c r="AB61" i="1"/>
  <c r="Z61" i="1"/>
  <c r="V62" i="1" l="1"/>
  <c r="AB62" i="1"/>
  <c r="AA62" i="1"/>
  <c r="Z62" i="1"/>
  <c r="W62" i="1"/>
  <c r="AC62" i="1"/>
  <c r="Y62" i="1"/>
  <c r="V63" i="1" l="1"/>
  <c r="AB63" i="1"/>
  <c r="AA63" i="1"/>
  <c r="AC63" i="1"/>
  <c r="Z63" i="1"/>
  <c r="W63" i="1"/>
  <c r="Y63" i="1"/>
  <c r="V64" i="1" l="1"/>
  <c r="AC64" i="1"/>
  <c r="AB64" i="1"/>
  <c r="AA64" i="1"/>
  <c r="Z64" i="1"/>
  <c r="Y64" i="1"/>
  <c r="W64" i="1"/>
  <c r="V65" i="1" l="1"/>
  <c r="AB65" i="1"/>
  <c r="Z65" i="1"/>
  <c r="Y65" i="1"/>
  <c r="AA65" i="1"/>
  <c r="W65" i="1"/>
  <c r="AC65" i="1"/>
  <c r="V66" i="1" l="1"/>
  <c r="W66" i="1"/>
  <c r="AC66" i="1"/>
  <c r="AA66" i="1"/>
  <c r="Z66" i="1"/>
  <c r="Y66" i="1"/>
  <c r="AB66" i="1"/>
  <c r="V67" i="1" l="1"/>
  <c r="AA67" i="1"/>
  <c r="Z67" i="1"/>
  <c r="W67" i="1"/>
  <c r="Y67" i="1"/>
  <c r="AB67" i="1"/>
  <c r="AC67" i="1"/>
  <c r="V68" i="1" l="1"/>
  <c r="Y68" i="1"/>
  <c r="W68" i="1"/>
  <c r="AB68" i="1"/>
  <c r="AA68" i="1"/>
  <c r="Z68" i="1"/>
  <c r="AC68" i="1"/>
  <c r="V69" i="1" l="1"/>
  <c r="AB69" i="1"/>
  <c r="AA69" i="1"/>
  <c r="Z69" i="1"/>
  <c r="W69" i="1"/>
  <c r="AC69" i="1"/>
  <c r="Y69" i="1"/>
  <c r="V70" i="1" l="1"/>
  <c r="AB70" i="1"/>
  <c r="AA70" i="1"/>
  <c r="AC70" i="1"/>
  <c r="Y70" i="1"/>
  <c r="W70" i="1"/>
  <c r="Z70" i="1"/>
  <c r="V71" i="1" l="1"/>
  <c r="Y71" i="1"/>
  <c r="AB71" i="1"/>
  <c r="AA71" i="1"/>
  <c r="Z71" i="1"/>
  <c r="AC71" i="1"/>
  <c r="W71" i="1"/>
  <c r="V72" i="1" l="1"/>
  <c r="W72" i="1"/>
  <c r="AC72" i="1"/>
  <c r="AA72" i="1"/>
  <c r="AB72" i="1"/>
  <c r="Z72" i="1"/>
  <c r="Y72" i="1"/>
  <c r="V73" i="1" l="1"/>
  <c r="Y73" i="1"/>
  <c r="AB73" i="1"/>
  <c r="Z73" i="1"/>
  <c r="W73" i="1"/>
  <c r="AA73" i="1"/>
  <c r="AC73" i="1"/>
  <c r="V74" i="1" l="1"/>
  <c r="Y74" i="1"/>
  <c r="AC74" i="1"/>
  <c r="AB74" i="1"/>
  <c r="Z74" i="1"/>
  <c r="W74" i="1"/>
  <c r="AA74" i="1"/>
  <c r="V75" i="1" l="1"/>
  <c r="AB75" i="1"/>
  <c r="AA75" i="1"/>
  <c r="AC75" i="1"/>
  <c r="Z75" i="1"/>
  <c r="Y75" i="1"/>
  <c r="W75" i="1"/>
  <c r="V76" i="1" l="1"/>
  <c r="AA76" i="1"/>
  <c r="Y76" i="1"/>
  <c r="W76" i="1"/>
  <c r="AC76" i="1"/>
  <c r="Z76" i="1"/>
  <c r="AB76" i="1"/>
  <c r="V77" i="1" l="1"/>
  <c r="Z77" i="1"/>
  <c r="Y77" i="1"/>
  <c r="W77" i="1"/>
  <c r="AA77" i="1"/>
  <c r="AC77" i="1"/>
  <c r="AB77" i="1"/>
  <c r="V78" i="1" l="1"/>
  <c r="W78" i="1"/>
  <c r="AA78" i="1"/>
  <c r="Z78" i="1"/>
  <c r="AB78" i="1"/>
  <c r="Y78" i="1"/>
  <c r="AC78" i="1"/>
  <c r="V79" i="1" l="1"/>
  <c r="AA79" i="1"/>
  <c r="Z79" i="1"/>
  <c r="Y79" i="1"/>
  <c r="AC79" i="1"/>
  <c r="W79" i="1"/>
  <c r="AB79" i="1"/>
  <c r="V80" i="1" l="1"/>
  <c r="Y80" i="1"/>
  <c r="W80" i="1"/>
  <c r="AB80" i="1"/>
  <c r="Z80" i="1"/>
  <c r="AC80" i="1"/>
  <c r="AA80" i="1"/>
  <c r="V81" i="1" l="1"/>
  <c r="AB81" i="1"/>
  <c r="Z81" i="1"/>
  <c r="W81" i="1"/>
  <c r="AA81" i="1"/>
  <c r="Y81" i="1"/>
  <c r="AC81" i="1"/>
  <c r="V82" i="1" l="1"/>
  <c r="AB82" i="1"/>
  <c r="Z82" i="1"/>
  <c r="W82" i="1"/>
  <c r="AA82" i="1"/>
  <c r="Y82" i="1"/>
  <c r="AC82" i="1"/>
  <c r="V83" i="1" l="1"/>
  <c r="Y83" i="1"/>
  <c r="W83" i="1"/>
  <c r="AB83" i="1"/>
  <c r="Z83" i="1"/>
  <c r="AC83" i="1"/>
  <c r="AA83" i="1"/>
  <c r="V84" i="1" l="1"/>
  <c r="Y84" i="1"/>
  <c r="W84" i="1"/>
  <c r="AC84" i="1"/>
  <c r="AA84" i="1"/>
  <c r="Z84" i="1"/>
  <c r="AB84" i="1"/>
  <c r="V85" i="1" l="1"/>
  <c r="Z85" i="1"/>
  <c r="Y85" i="1"/>
  <c r="AC85" i="1"/>
  <c r="AB85" i="1"/>
  <c r="AA85" i="1"/>
  <c r="W85" i="1"/>
  <c r="V86" i="1" l="1"/>
  <c r="AC86" i="1"/>
  <c r="AB86" i="1"/>
  <c r="AA86" i="1"/>
  <c r="Y86" i="1"/>
  <c r="W86" i="1"/>
  <c r="Z86" i="1"/>
  <c r="V87" i="1" l="1"/>
  <c r="AB87" i="1"/>
  <c r="AA87" i="1"/>
  <c r="Z87" i="1"/>
  <c r="Y87" i="1"/>
  <c r="W87" i="1"/>
  <c r="AC87" i="1"/>
  <c r="V88" i="1" l="1"/>
  <c r="AA88" i="1"/>
  <c r="Z88" i="1"/>
  <c r="Y88" i="1"/>
  <c r="AB88" i="1"/>
  <c r="W88" i="1"/>
  <c r="AC88" i="1"/>
  <c r="V89" i="1" l="1"/>
  <c r="AB89" i="1"/>
  <c r="Z89" i="1"/>
  <c r="W89" i="1"/>
  <c r="AC89" i="1"/>
  <c r="AA89" i="1"/>
  <c r="Y89" i="1"/>
  <c r="V90" i="1" l="1"/>
  <c r="Y90" i="1"/>
  <c r="W90" i="1"/>
  <c r="AB90" i="1"/>
  <c r="Z90" i="1"/>
  <c r="AC90" i="1"/>
  <c r="AA90" i="1"/>
  <c r="V91" i="1" l="1"/>
  <c r="AA91" i="1"/>
  <c r="Z91" i="1"/>
  <c r="Y91" i="1"/>
  <c r="W91" i="1"/>
  <c r="AC91" i="1"/>
  <c r="AB91" i="1"/>
  <c r="V92" i="1" l="1"/>
  <c r="Z92" i="1"/>
  <c r="Y92" i="1"/>
  <c r="W92" i="1"/>
  <c r="AA92" i="1"/>
  <c r="AC92" i="1"/>
  <c r="AB92" i="1"/>
  <c r="V93" i="1" l="1"/>
  <c r="Y93" i="1"/>
  <c r="AC93" i="1"/>
  <c r="AB93" i="1"/>
  <c r="W93" i="1"/>
  <c r="Z93" i="1"/>
  <c r="AA93" i="1"/>
  <c r="V94" i="1" l="1"/>
  <c r="Y94" i="1"/>
  <c r="W94" i="1"/>
  <c r="AA94" i="1"/>
  <c r="Z94" i="1"/>
  <c r="AC94" i="1"/>
  <c r="AB94" i="1"/>
  <c r="V95" i="1" l="1"/>
  <c r="AA95" i="1"/>
  <c r="Z95" i="1"/>
  <c r="W95" i="1"/>
  <c r="AC95" i="1"/>
  <c r="AB95" i="1"/>
  <c r="Y95" i="1"/>
  <c r="V96" i="1" l="1"/>
  <c r="W96" i="1"/>
  <c r="AC96" i="1"/>
  <c r="AB96" i="1"/>
  <c r="Z96" i="1"/>
  <c r="Y96" i="1"/>
  <c r="AA96" i="1"/>
  <c r="V97" i="1" l="1"/>
  <c r="AB97" i="1"/>
  <c r="AA97" i="1"/>
  <c r="W97" i="1"/>
  <c r="Y97" i="1"/>
  <c r="Z97" i="1"/>
  <c r="AC97" i="1"/>
  <c r="V98" i="1" l="1"/>
  <c r="Z98" i="1"/>
  <c r="AC98" i="1"/>
  <c r="W98" i="1"/>
  <c r="AB98" i="1"/>
  <c r="Y98" i="1"/>
  <c r="AA98" i="1"/>
  <c r="V99" i="1" l="1"/>
  <c r="Y99" i="1"/>
  <c r="W99" i="1"/>
  <c r="AA99" i="1"/>
  <c r="AC99" i="1"/>
  <c r="Z99" i="1"/>
  <c r="AB99" i="1"/>
  <c r="V100" i="1" l="1"/>
  <c r="AC100" i="1"/>
  <c r="Y100" i="1"/>
  <c r="AB100" i="1"/>
  <c r="Z100" i="1"/>
  <c r="W100" i="1"/>
  <c r="AA100" i="1"/>
  <c r="V101" i="1" l="1"/>
  <c r="AC101" i="1"/>
  <c r="W101" i="1"/>
  <c r="AB101" i="1"/>
  <c r="AA101" i="1"/>
  <c r="Z101" i="1"/>
  <c r="Y101" i="1"/>
  <c r="V102" i="1" l="1"/>
  <c r="AA102" i="1"/>
  <c r="Z102" i="1"/>
  <c r="Y102" i="1"/>
  <c r="AB102" i="1"/>
  <c r="W102" i="1"/>
  <c r="AC102" i="1"/>
  <c r="V103" i="1" l="1"/>
  <c r="AA103" i="1"/>
  <c r="Z103" i="1"/>
  <c r="Y103" i="1"/>
  <c r="W103" i="1"/>
  <c r="AC103" i="1"/>
  <c r="AB10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<sst xmlns="http://schemas.openxmlformats.org/spreadsheetml/2006/main" count="120" uniqueCount="76">
  <si>
    <t>Pomoc</t>
  </si>
  <si>
    <t>Norm</t>
  </si>
  <si>
    <t>mi</t>
  </si>
  <si>
    <t>sigma</t>
  </si>
  <si>
    <t>śr</t>
  </si>
  <si>
    <t>odch</t>
  </si>
  <si>
    <t>n</t>
  </si>
  <si>
    <t>Wzrost</t>
  </si>
  <si>
    <t>S</t>
  </si>
  <si>
    <t>NormS</t>
  </si>
  <si>
    <t>Pomoc2</t>
  </si>
  <si>
    <t>min</t>
  </si>
  <si>
    <t>max</t>
  </si>
  <si>
    <t>k</t>
  </si>
  <si>
    <t>h</t>
  </si>
  <si>
    <t>y_{i-1}</t>
  </si>
  <si>
    <t>y_i</t>
  </si>
  <si>
    <t>sr_i</t>
  </si>
  <si>
    <t>skum_m_i</t>
  </si>
  <si>
    <t>m_i</t>
  </si>
  <si>
    <t>skal m_i</t>
  </si>
  <si>
    <t>phi(sr_i)</t>
  </si>
  <si>
    <t>skal_skum</t>
  </si>
  <si>
    <t>Phi(y_i)</t>
  </si>
  <si>
    <t>Rysowanie gęstości i dystybuanty</t>
  </si>
  <si>
    <t>h_g</t>
  </si>
  <si>
    <t>y</t>
  </si>
  <si>
    <t>phi(y)</t>
  </si>
  <si>
    <t>Phi(y)</t>
  </si>
  <si>
    <t>wykr_x</t>
  </si>
  <si>
    <t>dystr_x</t>
  </si>
  <si>
    <t>Etykiety wierszy</t>
  </si>
  <si>
    <t>Suma końcowa</t>
  </si>
  <si>
    <t>Liczba z Wzrost</t>
  </si>
  <si>
    <t>Dystr empir</t>
  </si>
  <si>
    <t>FN</t>
  </si>
  <si>
    <t>Phi</t>
  </si>
  <si>
    <t>139,375-156,625</t>
  </si>
  <si>
    <t>156,625-173,875</t>
  </si>
  <si>
    <t>173,875-191,125</t>
  </si>
  <si>
    <t>191,125-208,375</t>
  </si>
  <si>
    <t>208,375-225,625</t>
  </si>
  <si>
    <t>Wykres normalności (kwantyl-kwantyl)</t>
  </si>
  <si>
    <t>i</t>
  </si>
  <si>
    <t>x_i</t>
  </si>
  <si>
    <t>F^-1((i-1/2)/n)</t>
  </si>
  <si>
    <t>EstymacjaGęstości</t>
  </si>
  <si>
    <t>Estymacja Dystrtybuanty</t>
  </si>
  <si>
    <t>n*pi</t>
  </si>
  <si>
    <t>m_i (liczba wpadających elementów)</t>
  </si>
  <si>
    <t>statystyka</t>
  </si>
  <si>
    <t>Stat_Chi^2</t>
  </si>
  <si>
    <t>Wart.Krytyczna</t>
  </si>
  <si>
    <t>p-wartość</t>
  </si>
  <si>
    <t>alfa</t>
  </si>
  <si>
    <t>Szum</t>
  </si>
  <si>
    <t>Wartość</t>
  </si>
  <si>
    <t>Do histogramu</t>
  </si>
  <si>
    <t>skalowane_mi</t>
  </si>
  <si>
    <t>Gęstość</t>
  </si>
  <si>
    <t>Rozkład Kołmogorowa</t>
  </si>
  <si>
    <t>&lt;- z funkcji</t>
  </si>
  <si>
    <t>p-value</t>
  </si>
  <si>
    <t>sqrt(n)*D_n</t>
  </si>
  <si>
    <t>D_n</t>
  </si>
  <si>
    <t>Test Kołmogorowa</t>
  </si>
  <si>
    <t>odch. stand.</t>
  </si>
  <si>
    <t>Różnica</t>
  </si>
  <si>
    <t>Dla próbki</t>
  </si>
  <si>
    <t>Rozkład standardowy</t>
  </si>
  <si>
    <t>Percentyl</t>
  </si>
  <si>
    <t>Ranga</t>
  </si>
  <si>
    <t>Fi</t>
  </si>
  <si>
    <t>Dystrybuanta Empiryczna</t>
  </si>
  <si>
    <t>średnia</t>
  </si>
  <si>
    <t>wzrost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</si>
</sst>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61592300962376E-2"/>
          <c:y val="5.0925925925925923E-2"/>
          <c:w val="0.85229396325459317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Arkusz5!$U$2:$U$94</c:f>
              <c:numCache>
                <c:formatCode>General</c:formatCode>
                <c:ptCount val="93"/>
                <c:pt idx="0">
                  <c:v>147</c:v>
                </c:pt>
                <c:pt idx="1">
                  <c:v>147</c:v>
                </c:pt>
                <c:pt idx="2">
                  <c:v>147</c:v>
                </c:pt>
                <c:pt idx="3">
                  <c:v>157.99302437020901</c:v>
                </c:pt>
                <c:pt idx="4">
                  <c:v>157.99302437020901</c:v>
                </c:pt>
                <c:pt idx="5">
                  <c:v>157.99302437020901</c:v>
                </c:pt>
                <c:pt idx="6">
                  <c:v>161.98696864747171</c:v>
                </c:pt>
                <c:pt idx="7">
                  <c:v>161.98696864747171</c:v>
                </c:pt>
                <c:pt idx="8">
                  <c:v>161.98696864747171</c:v>
                </c:pt>
                <c:pt idx="9">
                  <c:v>164.62138121346479</c:v>
                </c:pt>
                <c:pt idx="10">
                  <c:v>164.62138121346479</c:v>
                </c:pt>
                <c:pt idx="11">
                  <c:v>164.62138121346479</c:v>
                </c:pt>
                <c:pt idx="12">
                  <c:v>166.67074060035856</c:v>
                </c:pt>
                <c:pt idx="13">
                  <c:v>166.67074060035856</c:v>
                </c:pt>
                <c:pt idx="14">
                  <c:v>166.67074060035856</c:v>
                </c:pt>
                <c:pt idx="15">
                  <c:v>168.39094120677959</c:v>
                </c:pt>
                <c:pt idx="16">
                  <c:v>168.39094120677959</c:v>
                </c:pt>
                <c:pt idx="17">
                  <c:v>168.39094120677959</c:v>
                </c:pt>
                <c:pt idx="18">
                  <c:v>169.90054519712504</c:v>
                </c:pt>
                <c:pt idx="19">
                  <c:v>169.90054519712504</c:v>
                </c:pt>
                <c:pt idx="20">
                  <c:v>169.90054519712504</c:v>
                </c:pt>
                <c:pt idx="21">
                  <c:v>171.26504050942026</c:v>
                </c:pt>
                <c:pt idx="22">
                  <c:v>171.26504050942026</c:v>
                </c:pt>
                <c:pt idx="23">
                  <c:v>171.26504050942026</c:v>
                </c:pt>
                <c:pt idx="24">
                  <c:v>172.52489132147895</c:v>
                </c:pt>
                <c:pt idx="25">
                  <c:v>172.52489132147895</c:v>
                </c:pt>
                <c:pt idx="26">
                  <c:v>172.52489132147895</c:v>
                </c:pt>
                <c:pt idx="27">
                  <c:v>173.7071938475035</c:v>
                </c:pt>
                <c:pt idx="28">
                  <c:v>173.7071938475035</c:v>
                </c:pt>
                <c:pt idx="29">
                  <c:v>173.7071938475035</c:v>
                </c:pt>
                <c:pt idx="30">
                  <c:v>174.83127240845451</c:v>
                </c:pt>
                <c:pt idx="31">
                  <c:v>174.83127240845451</c:v>
                </c:pt>
                <c:pt idx="32">
                  <c:v>174.83127240845451</c:v>
                </c:pt>
                <c:pt idx="33">
                  <c:v>175.91166207494646</c:v>
                </c:pt>
                <c:pt idx="34">
                  <c:v>175.91166207494646</c:v>
                </c:pt>
                <c:pt idx="35">
                  <c:v>175.91166207494646</c:v>
                </c:pt>
                <c:pt idx="36">
                  <c:v>176.95983476237041</c:v>
                </c:pt>
                <c:pt idx="37">
                  <c:v>176.95983476237041</c:v>
                </c:pt>
                <c:pt idx="38">
                  <c:v>176.95983476237041</c:v>
                </c:pt>
                <c:pt idx="39">
                  <c:v>177.98527194254274</c:v>
                </c:pt>
                <c:pt idx="40">
                  <c:v>177.98527194254274</c:v>
                </c:pt>
                <c:pt idx="41">
                  <c:v>177.98527194254274</c:v>
                </c:pt>
                <c:pt idx="42">
                  <c:v>178.99617919311444</c:v>
                </c:pt>
                <c:pt idx="43">
                  <c:v>178.99617919311444</c:v>
                </c:pt>
                <c:pt idx="44">
                  <c:v>178.99617919311444</c:v>
                </c:pt>
                <c:pt idx="45">
                  <c:v>180</c:v>
                </c:pt>
                <c:pt idx="46">
                  <c:v>180</c:v>
                </c:pt>
                <c:pt idx="47">
                  <c:v>180</c:v>
                </c:pt>
                <c:pt idx="48">
                  <c:v>181.00382080688556</c:v>
                </c:pt>
                <c:pt idx="49">
                  <c:v>181.00382080688556</c:v>
                </c:pt>
                <c:pt idx="50">
                  <c:v>181.00382080688556</c:v>
                </c:pt>
                <c:pt idx="51">
                  <c:v>182.01472805745726</c:v>
                </c:pt>
                <c:pt idx="52">
                  <c:v>182.01472805745726</c:v>
                </c:pt>
                <c:pt idx="53">
                  <c:v>182.01472805745726</c:v>
                </c:pt>
                <c:pt idx="54">
                  <c:v>183.04016523762959</c:v>
                </c:pt>
                <c:pt idx="55">
                  <c:v>183.04016523762959</c:v>
                </c:pt>
                <c:pt idx="56">
                  <c:v>183.04016523762959</c:v>
                </c:pt>
                <c:pt idx="57">
                  <c:v>184.08833792505354</c:v>
                </c:pt>
                <c:pt idx="58">
                  <c:v>184.08833792505354</c:v>
                </c:pt>
                <c:pt idx="59">
                  <c:v>184.08833792505354</c:v>
                </c:pt>
                <c:pt idx="60">
                  <c:v>185.16872759154549</c:v>
                </c:pt>
                <c:pt idx="61">
                  <c:v>185.16872759154549</c:v>
                </c:pt>
                <c:pt idx="62">
                  <c:v>185.16872759154549</c:v>
                </c:pt>
                <c:pt idx="63">
                  <c:v>186.2928061524965</c:v>
                </c:pt>
                <c:pt idx="64">
                  <c:v>186.2928061524965</c:v>
                </c:pt>
                <c:pt idx="65">
                  <c:v>186.2928061524965</c:v>
                </c:pt>
                <c:pt idx="66">
                  <c:v>187.47510867852105</c:v>
                </c:pt>
                <c:pt idx="67">
                  <c:v>187.47510867852105</c:v>
                </c:pt>
                <c:pt idx="68">
                  <c:v>187.47510867852105</c:v>
                </c:pt>
                <c:pt idx="69">
                  <c:v>188.73495949057974</c:v>
                </c:pt>
                <c:pt idx="70">
                  <c:v>188.73495949057974</c:v>
                </c:pt>
                <c:pt idx="71">
                  <c:v>188.73495949057974</c:v>
                </c:pt>
                <c:pt idx="72">
                  <c:v>190.09945480287499</c:v>
                </c:pt>
                <c:pt idx="73">
                  <c:v>190.09945480287499</c:v>
                </c:pt>
                <c:pt idx="74">
                  <c:v>190.09945480287499</c:v>
                </c:pt>
                <c:pt idx="75">
                  <c:v>191.60905879322041</c:v>
                </c:pt>
                <c:pt idx="76">
                  <c:v>191.60905879322041</c:v>
                </c:pt>
                <c:pt idx="77">
                  <c:v>191.60905879322041</c:v>
                </c:pt>
                <c:pt idx="78">
                  <c:v>193.32925939964144</c:v>
                </c:pt>
                <c:pt idx="79">
                  <c:v>193.32925939964144</c:v>
                </c:pt>
                <c:pt idx="80">
                  <c:v>193.32925939964144</c:v>
                </c:pt>
                <c:pt idx="81">
                  <c:v>195.37861878653521</c:v>
                </c:pt>
                <c:pt idx="82">
                  <c:v>195.37861878653521</c:v>
                </c:pt>
                <c:pt idx="83">
                  <c:v>195.37861878653521</c:v>
                </c:pt>
                <c:pt idx="84">
                  <c:v>198.01303135252832</c:v>
                </c:pt>
                <c:pt idx="85">
                  <c:v>198.01303135252832</c:v>
                </c:pt>
                <c:pt idx="86">
                  <c:v>198.01303135252832</c:v>
                </c:pt>
                <c:pt idx="87">
                  <c:v>202.00697562979099</c:v>
                </c:pt>
                <c:pt idx="88">
                  <c:v>202.00697562979099</c:v>
                </c:pt>
                <c:pt idx="89">
                  <c:v>202.00697562979099</c:v>
                </c:pt>
                <c:pt idx="90">
                  <c:v>219</c:v>
                </c:pt>
                <c:pt idx="91">
                  <c:v>219</c:v>
                </c:pt>
                <c:pt idx="92">
                  <c:v>219</c:v>
                </c:pt>
              </c:numCache>
            </c:numRef>
          </c:xVal>
          <c:yVal>
            <c:numRef>
              <c:f>Arkusz5!$V$2:$V$94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1.265624727983418E-3</c:v>
                </c:pt>
                <c:pt idx="3">
                  <c:v>1.265624727983418E-3</c:v>
                </c:pt>
                <c:pt idx="4">
                  <c:v>0</c:v>
                </c:pt>
                <c:pt idx="5">
                  <c:v>8.7088367490922736E-3</c:v>
                </c:pt>
                <c:pt idx="6">
                  <c:v>8.7088367490922736E-3</c:v>
                </c:pt>
                <c:pt idx="7">
                  <c:v>0</c:v>
                </c:pt>
                <c:pt idx="8">
                  <c:v>1.3203174455152376E-2</c:v>
                </c:pt>
                <c:pt idx="9">
                  <c:v>1.3203174455152376E-2</c:v>
                </c:pt>
                <c:pt idx="10">
                  <c:v>0</c:v>
                </c:pt>
                <c:pt idx="11">
                  <c:v>1.1032079486283807E-2</c:v>
                </c:pt>
                <c:pt idx="12">
                  <c:v>1.1032079486283807E-2</c:v>
                </c:pt>
                <c:pt idx="13">
                  <c:v>0</c:v>
                </c:pt>
                <c:pt idx="14">
                  <c:v>1.2132053168386883E-2</c:v>
                </c:pt>
                <c:pt idx="15">
                  <c:v>1.2132053168386883E-2</c:v>
                </c:pt>
                <c:pt idx="16">
                  <c:v>0</c:v>
                </c:pt>
                <c:pt idx="17">
                  <c:v>3.1105191851264931E-2</c:v>
                </c:pt>
                <c:pt idx="18">
                  <c:v>3.1105191851264931E-2</c:v>
                </c:pt>
                <c:pt idx="19">
                  <c:v>0</c:v>
                </c:pt>
                <c:pt idx="20">
                  <c:v>2.4216630107205792E-2</c:v>
                </c:pt>
                <c:pt idx="21">
                  <c:v>2.4216630107205792E-2</c:v>
                </c:pt>
                <c:pt idx="22">
                  <c:v>0</c:v>
                </c:pt>
                <c:pt idx="23">
                  <c:v>2.8988939627506864E-2</c:v>
                </c:pt>
                <c:pt idx="24">
                  <c:v>2.8988939627506864E-2</c:v>
                </c:pt>
                <c:pt idx="25">
                  <c:v>0</c:v>
                </c:pt>
                <c:pt idx="26">
                  <c:v>3.6774226488172239E-2</c:v>
                </c:pt>
                <c:pt idx="27">
                  <c:v>3.6774226488172239E-2</c:v>
                </c:pt>
                <c:pt idx="28">
                  <c:v>0</c:v>
                </c:pt>
                <c:pt idx="29">
                  <c:v>3.2490379586580007E-2</c:v>
                </c:pt>
                <c:pt idx="30">
                  <c:v>3.2490379586580007E-2</c:v>
                </c:pt>
                <c:pt idx="31">
                  <c:v>0</c:v>
                </c:pt>
                <c:pt idx="32">
                  <c:v>4.1852854305030135E-2</c:v>
                </c:pt>
                <c:pt idx="33">
                  <c:v>4.1852854305030135E-2</c:v>
                </c:pt>
                <c:pt idx="34">
                  <c:v>0</c:v>
                </c:pt>
                <c:pt idx="35">
                  <c:v>3.3184044111220043E-2</c:v>
                </c:pt>
                <c:pt idx="36">
                  <c:v>3.3184044111220043E-2</c:v>
                </c:pt>
                <c:pt idx="37">
                  <c:v>0</c:v>
                </c:pt>
                <c:pt idx="38">
                  <c:v>2.3743849509011063E-2</c:v>
                </c:pt>
                <c:pt idx="39">
                  <c:v>2.3743849509011063E-2</c:v>
                </c:pt>
                <c:pt idx="40">
                  <c:v>0</c:v>
                </c:pt>
                <c:pt idx="41">
                  <c:v>2.9246221524857136E-2</c:v>
                </c:pt>
                <c:pt idx="42">
                  <c:v>2.9246221524857136E-2</c:v>
                </c:pt>
                <c:pt idx="43">
                  <c:v>0</c:v>
                </c:pt>
                <c:pt idx="44">
                  <c:v>3.6382727753718043E-2</c:v>
                </c:pt>
                <c:pt idx="45">
                  <c:v>3.6382727753718043E-2</c:v>
                </c:pt>
                <c:pt idx="46">
                  <c:v>0</c:v>
                </c:pt>
                <c:pt idx="47">
                  <c:v>2.598766268122717E-2</c:v>
                </c:pt>
                <c:pt idx="48">
                  <c:v>2.598766268122717E-2</c:v>
                </c:pt>
                <c:pt idx="49">
                  <c:v>0</c:v>
                </c:pt>
                <c:pt idx="50">
                  <c:v>1.7203659720504198E-2</c:v>
                </c:pt>
                <c:pt idx="51">
                  <c:v>1.7203659720504198E-2</c:v>
                </c:pt>
                <c:pt idx="52">
                  <c:v>0</c:v>
                </c:pt>
                <c:pt idx="53">
                  <c:v>4.0703742015447533E-2</c:v>
                </c:pt>
                <c:pt idx="54">
                  <c:v>4.0703742015447533E-2</c:v>
                </c:pt>
                <c:pt idx="55">
                  <c:v>0</c:v>
                </c:pt>
                <c:pt idx="56">
                  <c:v>3.8161650727903049E-2</c:v>
                </c:pt>
                <c:pt idx="57">
                  <c:v>3.8161650727903049E-2</c:v>
                </c:pt>
                <c:pt idx="58">
                  <c:v>0</c:v>
                </c:pt>
                <c:pt idx="59">
                  <c:v>2.2536152318093149E-2</c:v>
                </c:pt>
                <c:pt idx="60">
                  <c:v>2.2536152318093149E-2</c:v>
                </c:pt>
                <c:pt idx="61">
                  <c:v>0</c:v>
                </c:pt>
                <c:pt idx="62">
                  <c:v>4.3320506115440013E-2</c:v>
                </c:pt>
                <c:pt idx="63">
                  <c:v>4.3320506115440013E-2</c:v>
                </c:pt>
                <c:pt idx="64">
                  <c:v>0</c:v>
                </c:pt>
                <c:pt idx="65">
                  <c:v>2.9419381190537792E-2</c:v>
                </c:pt>
                <c:pt idx="66">
                  <c:v>2.9419381190537792E-2</c:v>
                </c:pt>
                <c:pt idx="67">
                  <c:v>0</c:v>
                </c:pt>
                <c:pt idx="68">
                  <c:v>3.1749791020602762E-2</c:v>
                </c:pt>
                <c:pt idx="69">
                  <c:v>3.1749791020602762E-2</c:v>
                </c:pt>
                <c:pt idx="70">
                  <c:v>0</c:v>
                </c:pt>
                <c:pt idx="71">
                  <c:v>2.6765749065858477E-2</c:v>
                </c:pt>
                <c:pt idx="72">
                  <c:v>2.6765749065858477E-2</c:v>
                </c:pt>
                <c:pt idx="73">
                  <c:v>0</c:v>
                </c:pt>
                <c:pt idx="74">
                  <c:v>2.0736794567510344E-2</c:v>
                </c:pt>
                <c:pt idx="75">
                  <c:v>2.0736794567510344E-2</c:v>
                </c:pt>
                <c:pt idx="76">
                  <c:v>0</c:v>
                </c:pt>
                <c:pt idx="77">
                  <c:v>1.7187075321881417E-2</c:v>
                </c:pt>
                <c:pt idx="78">
                  <c:v>1.7187075321881417E-2</c:v>
                </c:pt>
                <c:pt idx="79">
                  <c:v>0</c:v>
                </c:pt>
                <c:pt idx="80">
                  <c:v>1.7821051477843075E-2</c:v>
                </c:pt>
                <c:pt idx="81">
                  <c:v>1.7821051477843075E-2</c:v>
                </c:pt>
                <c:pt idx="82">
                  <c:v>0</c:v>
                </c:pt>
                <c:pt idx="83">
                  <c:v>1.188285700963701E-2</c:v>
                </c:pt>
                <c:pt idx="84">
                  <c:v>1.188285700963701E-2</c:v>
                </c:pt>
                <c:pt idx="85">
                  <c:v>0</c:v>
                </c:pt>
                <c:pt idx="86">
                  <c:v>8.7088367490923361E-3</c:v>
                </c:pt>
                <c:pt idx="87">
                  <c:v>8.7088367490923361E-3</c:v>
                </c:pt>
                <c:pt idx="88">
                  <c:v>0</c:v>
                </c:pt>
                <c:pt idx="89">
                  <c:v>1.9445319173907081E-3</c:v>
                </c:pt>
                <c:pt idx="90">
                  <c:v>1.9445319173907081E-3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E-40E5-B010-726757723DE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Arkusz5!$W$2:$W$286</c:f>
              <c:numCache>
                <c:formatCode>General</c:formatCode>
                <c:ptCount val="285"/>
                <c:pt idx="0">
                  <c:v>147</c:v>
                </c:pt>
                <c:pt idx="1">
                  <c:v>147.25</c:v>
                </c:pt>
                <c:pt idx="2">
                  <c:v>147.5</c:v>
                </c:pt>
                <c:pt idx="3">
                  <c:v>147.75</c:v>
                </c:pt>
                <c:pt idx="4">
                  <c:v>148</c:v>
                </c:pt>
                <c:pt idx="5">
                  <c:v>148.25</c:v>
                </c:pt>
                <c:pt idx="6">
                  <c:v>148.5</c:v>
                </c:pt>
                <c:pt idx="7">
                  <c:v>148.75</c:v>
                </c:pt>
                <c:pt idx="8">
                  <c:v>149</c:v>
                </c:pt>
                <c:pt idx="9">
                  <c:v>149.25</c:v>
                </c:pt>
                <c:pt idx="10">
                  <c:v>149.5</c:v>
                </c:pt>
                <c:pt idx="11">
                  <c:v>149.75</c:v>
                </c:pt>
                <c:pt idx="12">
                  <c:v>150</c:v>
                </c:pt>
                <c:pt idx="13">
                  <c:v>150.25</c:v>
                </c:pt>
                <c:pt idx="14">
                  <c:v>150.5</c:v>
                </c:pt>
                <c:pt idx="15">
                  <c:v>150.75</c:v>
                </c:pt>
                <c:pt idx="16">
                  <c:v>151</c:v>
                </c:pt>
                <c:pt idx="17">
                  <c:v>151.25</c:v>
                </c:pt>
                <c:pt idx="18">
                  <c:v>151.5</c:v>
                </c:pt>
                <c:pt idx="19">
                  <c:v>151.75</c:v>
                </c:pt>
                <c:pt idx="20">
                  <c:v>152</c:v>
                </c:pt>
                <c:pt idx="21">
                  <c:v>152.25</c:v>
                </c:pt>
                <c:pt idx="22">
                  <c:v>152.5</c:v>
                </c:pt>
                <c:pt idx="23">
                  <c:v>152.75</c:v>
                </c:pt>
                <c:pt idx="24">
                  <c:v>153</c:v>
                </c:pt>
                <c:pt idx="25">
                  <c:v>153.25</c:v>
                </c:pt>
                <c:pt idx="26">
                  <c:v>153.5</c:v>
                </c:pt>
                <c:pt idx="27">
                  <c:v>153.75</c:v>
                </c:pt>
                <c:pt idx="28">
                  <c:v>154</c:v>
                </c:pt>
                <c:pt idx="29">
                  <c:v>154.25</c:v>
                </c:pt>
                <c:pt idx="30">
                  <c:v>154.5</c:v>
                </c:pt>
                <c:pt idx="31">
                  <c:v>154.75</c:v>
                </c:pt>
                <c:pt idx="32">
                  <c:v>155</c:v>
                </c:pt>
                <c:pt idx="33">
                  <c:v>155.25</c:v>
                </c:pt>
                <c:pt idx="34">
                  <c:v>155.5</c:v>
                </c:pt>
                <c:pt idx="35">
                  <c:v>155.75</c:v>
                </c:pt>
                <c:pt idx="36">
                  <c:v>156</c:v>
                </c:pt>
                <c:pt idx="37">
                  <c:v>156.25</c:v>
                </c:pt>
                <c:pt idx="38">
                  <c:v>156.5</c:v>
                </c:pt>
                <c:pt idx="39">
                  <c:v>156.75</c:v>
                </c:pt>
                <c:pt idx="40">
                  <c:v>157</c:v>
                </c:pt>
                <c:pt idx="41">
                  <c:v>157.25</c:v>
                </c:pt>
                <c:pt idx="42">
                  <c:v>157.5</c:v>
                </c:pt>
                <c:pt idx="43">
                  <c:v>157.75</c:v>
                </c:pt>
                <c:pt idx="44">
                  <c:v>158</c:v>
                </c:pt>
                <c:pt idx="45">
                  <c:v>158.25</c:v>
                </c:pt>
                <c:pt idx="46">
                  <c:v>158.5</c:v>
                </c:pt>
                <c:pt idx="47">
                  <c:v>158.75</c:v>
                </c:pt>
                <c:pt idx="48">
                  <c:v>159</c:v>
                </c:pt>
                <c:pt idx="49">
                  <c:v>159.25</c:v>
                </c:pt>
                <c:pt idx="50">
                  <c:v>159.5</c:v>
                </c:pt>
                <c:pt idx="51">
                  <c:v>159.75</c:v>
                </c:pt>
                <c:pt idx="52">
                  <c:v>160</c:v>
                </c:pt>
                <c:pt idx="53">
                  <c:v>160.25</c:v>
                </c:pt>
                <c:pt idx="54">
                  <c:v>160.5</c:v>
                </c:pt>
                <c:pt idx="55">
                  <c:v>160.75</c:v>
                </c:pt>
                <c:pt idx="56">
                  <c:v>161</c:v>
                </c:pt>
                <c:pt idx="57">
                  <c:v>161.25</c:v>
                </c:pt>
                <c:pt idx="58">
                  <c:v>161.5</c:v>
                </c:pt>
                <c:pt idx="59">
                  <c:v>161.75</c:v>
                </c:pt>
                <c:pt idx="60">
                  <c:v>162</c:v>
                </c:pt>
                <c:pt idx="61">
                  <c:v>162.25</c:v>
                </c:pt>
                <c:pt idx="62">
                  <c:v>162.5</c:v>
                </c:pt>
                <c:pt idx="63">
                  <c:v>162.75</c:v>
                </c:pt>
                <c:pt idx="64">
                  <c:v>163</c:v>
                </c:pt>
                <c:pt idx="65">
                  <c:v>163.25</c:v>
                </c:pt>
                <c:pt idx="66">
                  <c:v>163.5</c:v>
                </c:pt>
                <c:pt idx="67">
                  <c:v>163.75</c:v>
                </c:pt>
                <c:pt idx="68">
                  <c:v>164</c:v>
                </c:pt>
                <c:pt idx="69">
                  <c:v>164.25</c:v>
                </c:pt>
                <c:pt idx="70">
                  <c:v>164.5</c:v>
                </c:pt>
                <c:pt idx="71">
                  <c:v>164.75</c:v>
                </c:pt>
                <c:pt idx="72">
                  <c:v>165</c:v>
                </c:pt>
                <c:pt idx="73">
                  <c:v>165.25</c:v>
                </c:pt>
                <c:pt idx="74">
                  <c:v>165.5</c:v>
                </c:pt>
                <c:pt idx="75">
                  <c:v>165.75</c:v>
                </c:pt>
                <c:pt idx="76">
                  <c:v>166</c:v>
                </c:pt>
                <c:pt idx="77">
                  <c:v>166.25</c:v>
                </c:pt>
                <c:pt idx="78">
                  <c:v>166.5</c:v>
                </c:pt>
                <c:pt idx="79">
                  <c:v>166.75</c:v>
                </c:pt>
                <c:pt idx="80">
                  <c:v>167</c:v>
                </c:pt>
                <c:pt idx="81">
                  <c:v>167.25</c:v>
                </c:pt>
                <c:pt idx="82">
                  <c:v>167.5</c:v>
                </c:pt>
                <c:pt idx="83">
                  <c:v>167.75</c:v>
                </c:pt>
                <c:pt idx="84">
                  <c:v>168</c:v>
                </c:pt>
                <c:pt idx="85">
                  <c:v>168.25</c:v>
                </c:pt>
                <c:pt idx="86">
                  <c:v>168.5</c:v>
                </c:pt>
                <c:pt idx="87">
                  <c:v>168.75</c:v>
                </c:pt>
                <c:pt idx="88">
                  <c:v>169</c:v>
                </c:pt>
                <c:pt idx="89">
                  <c:v>169.25</c:v>
                </c:pt>
                <c:pt idx="90">
                  <c:v>169.5</c:v>
                </c:pt>
                <c:pt idx="91">
                  <c:v>169.75</c:v>
                </c:pt>
                <c:pt idx="92">
                  <c:v>170</c:v>
                </c:pt>
                <c:pt idx="93">
                  <c:v>170.25</c:v>
                </c:pt>
                <c:pt idx="94">
                  <c:v>170.5</c:v>
                </c:pt>
                <c:pt idx="95">
                  <c:v>170.75</c:v>
                </c:pt>
                <c:pt idx="96">
                  <c:v>171</c:v>
                </c:pt>
                <c:pt idx="97">
                  <c:v>171.25</c:v>
                </c:pt>
                <c:pt idx="98">
                  <c:v>171.5</c:v>
                </c:pt>
                <c:pt idx="99">
                  <c:v>171.75</c:v>
                </c:pt>
                <c:pt idx="100">
                  <c:v>172</c:v>
                </c:pt>
                <c:pt idx="101">
                  <c:v>172.25</c:v>
                </c:pt>
                <c:pt idx="102">
                  <c:v>172.5</c:v>
                </c:pt>
                <c:pt idx="103">
                  <c:v>172.75</c:v>
                </c:pt>
                <c:pt idx="104">
                  <c:v>173</c:v>
                </c:pt>
                <c:pt idx="105">
                  <c:v>173.25</c:v>
                </c:pt>
                <c:pt idx="106">
                  <c:v>173.5</c:v>
                </c:pt>
                <c:pt idx="107">
                  <c:v>173.75</c:v>
                </c:pt>
                <c:pt idx="108">
                  <c:v>174</c:v>
                </c:pt>
                <c:pt idx="109">
                  <c:v>174.25</c:v>
                </c:pt>
                <c:pt idx="110">
                  <c:v>174.5</c:v>
                </c:pt>
                <c:pt idx="111">
                  <c:v>174.75</c:v>
                </c:pt>
                <c:pt idx="112">
                  <c:v>175</c:v>
                </c:pt>
                <c:pt idx="113">
                  <c:v>175.25</c:v>
                </c:pt>
                <c:pt idx="114">
                  <c:v>175.5</c:v>
                </c:pt>
                <c:pt idx="115">
                  <c:v>175.75</c:v>
                </c:pt>
                <c:pt idx="116">
                  <c:v>176</c:v>
                </c:pt>
                <c:pt idx="117">
                  <c:v>176.25</c:v>
                </c:pt>
                <c:pt idx="118">
                  <c:v>176.5</c:v>
                </c:pt>
                <c:pt idx="119">
                  <c:v>176.75</c:v>
                </c:pt>
                <c:pt idx="120">
                  <c:v>177</c:v>
                </c:pt>
                <c:pt idx="121">
                  <c:v>177.25</c:v>
                </c:pt>
                <c:pt idx="122">
                  <c:v>177.5</c:v>
                </c:pt>
                <c:pt idx="123">
                  <c:v>177.75</c:v>
                </c:pt>
                <c:pt idx="124">
                  <c:v>178</c:v>
                </c:pt>
                <c:pt idx="125">
                  <c:v>178.25</c:v>
                </c:pt>
                <c:pt idx="126">
                  <c:v>178.5</c:v>
                </c:pt>
                <c:pt idx="127">
                  <c:v>178.75</c:v>
                </c:pt>
                <c:pt idx="128">
                  <c:v>179</c:v>
                </c:pt>
                <c:pt idx="129">
                  <c:v>179.25</c:v>
                </c:pt>
                <c:pt idx="130">
                  <c:v>179.5</c:v>
                </c:pt>
                <c:pt idx="131">
                  <c:v>179.75</c:v>
                </c:pt>
                <c:pt idx="132">
                  <c:v>180</c:v>
                </c:pt>
                <c:pt idx="133">
                  <c:v>180.25</c:v>
                </c:pt>
                <c:pt idx="134">
                  <c:v>180.5</c:v>
                </c:pt>
                <c:pt idx="135">
                  <c:v>180.75</c:v>
                </c:pt>
                <c:pt idx="136">
                  <c:v>181</c:v>
                </c:pt>
                <c:pt idx="137">
                  <c:v>181.25</c:v>
                </c:pt>
                <c:pt idx="138">
                  <c:v>181.5</c:v>
                </c:pt>
                <c:pt idx="139">
                  <c:v>181.75</c:v>
                </c:pt>
                <c:pt idx="140">
                  <c:v>182</c:v>
                </c:pt>
                <c:pt idx="141">
                  <c:v>182.25</c:v>
                </c:pt>
                <c:pt idx="142">
                  <c:v>182.5</c:v>
                </c:pt>
                <c:pt idx="143">
                  <c:v>182.75</c:v>
                </c:pt>
                <c:pt idx="144">
                  <c:v>183</c:v>
                </c:pt>
                <c:pt idx="145">
                  <c:v>183.25</c:v>
                </c:pt>
                <c:pt idx="146">
                  <c:v>183.5</c:v>
                </c:pt>
                <c:pt idx="147">
                  <c:v>183.75</c:v>
                </c:pt>
                <c:pt idx="148">
                  <c:v>184</c:v>
                </c:pt>
                <c:pt idx="149">
                  <c:v>184.25</c:v>
                </c:pt>
                <c:pt idx="150">
                  <c:v>184.5</c:v>
                </c:pt>
                <c:pt idx="151">
                  <c:v>184.75</c:v>
                </c:pt>
                <c:pt idx="152">
                  <c:v>185</c:v>
                </c:pt>
                <c:pt idx="153">
                  <c:v>185.25</c:v>
                </c:pt>
                <c:pt idx="154">
                  <c:v>185.5</c:v>
                </c:pt>
                <c:pt idx="155">
                  <c:v>185.75</c:v>
                </c:pt>
                <c:pt idx="156">
                  <c:v>186</c:v>
                </c:pt>
                <c:pt idx="157">
                  <c:v>186.25</c:v>
                </c:pt>
                <c:pt idx="158">
                  <c:v>186.5</c:v>
                </c:pt>
                <c:pt idx="159">
                  <c:v>186.75</c:v>
                </c:pt>
                <c:pt idx="160">
                  <c:v>187</c:v>
                </c:pt>
                <c:pt idx="161">
                  <c:v>187.25</c:v>
                </c:pt>
                <c:pt idx="162">
                  <c:v>187.5</c:v>
                </c:pt>
                <c:pt idx="163">
                  <c:v>187.75</c:v>
                </c:pt>
                <c:pt idx="164">
                  <c:v>188</c:v>
                </c:pt>
                <c:pt idx="165">
                  <c:v>188.25</c:v>
                </c:pt>
                <c:pt idx="166">
                  <c:v>188.5</c:v>
                </c:pt>
                <c:pt idx="167">
                  <c:v>188.75</c:v>
                </c:pt>
                <c:pt idx="168">
                  <c:v>189</c:v>
                </c:pt>
                <c:pt idx="169">
                  <c:v>189.25</c:v>
                </c:pt>
                <c:pt idx="170">
                  <c:v>189.5</c:v>
                </c:pt>
                <c:pt idx="171">
                  <c:v>189.75</c:v>
                </c:pt>
                <c:pt idx="172">
                  <c:v>190</c:v>
                </c:pt>
                <c:pt idx="173">
                  <c:v>190.25</c:v>
                </c:pt>
                <c:pt idx="174">
                  <c:v>190.5</c:v>
                </c:pt>
                <c:pt idx="175">
                  <c:v>190.75</c:v>
                </c:pt>
                <c:pt idx="176">
                  <c:v>191</c:v>
                </c:pt>
                <c:pt idx="177">
                  <c:v>191.25</c:v>
                </c:pt>
                <c:pt idx="178">
                  <c:v>191.5</c:v>
                </c:pt>
                <c:pt idx="179">
                  <c:v>191.75</c:v>
                </c:pt>
                <c:pt idx="180">
                  <c:v>192</c:v>
                </c:pt>
                <c:pt idx="181">
                  <c:v>192.25</c:v>
                </c:pt>
                <c:pt idx="182">
                  <c:v>192.5</c:v>
                </c:pt>
                <c:pt idx="183">
                  <c:v>192.75</c:v>
                </c:pt>
                <c:pt idx="184">
                  <c:v>193</c:v>
                </c:pt>
                <c:pt idx="185">
                  <c:v>193.25</c:v>
                </c:pt>
                <c:pt idx="186">
                  <c:v>193.5</c:v>
                </c:pt>
                <c:pt idx="187">
                  <c:v>193.75</c:v>
                </c:pt>
                <c:pt idx="188">
                  <c:v>194</c:v>
                </c:pt>
                <c:pt idx="189">
                  <c:v>194.25</c:v>
                </c:pt>
                <c:pt idx="190">
                  <c:v>194.5</c:v>
                </c:pt>
                <c:pt idx="191">
                  <c:v>194.75</c:v>
                </c:pt>
                <c:pt idx="192">
                  <c:v>195</c:v>
                </c:pt>
                <c:pt idx="193">
                  <c:v>195.25</c:v>
                </c:pt>
                <c:pt idx="194">
                  <c:v>195.5</c:v>
                </c:pt>
                <c:pt idx="195">
                  <c:v>195.75</c:v>
                </c:pt>
                <c:pt idx="196">
                  <c:v>196</c:v>
                </c:pt>
                <c:pt idx="197">
                  <c:v>196.25</c:v>
                </c:pt>
                <c:pt idx="198">
                  <c:v>196.5</c:v>
                </c:pt>
                <c:pt idx="199">
                  <c:v>196.75</c:v>
                </c:pt>
                <c:pt idx="200">
                  <c:v>197</c:v>
                </c:pt>
                <c:pt idx="201">
                  <c:v>197.25</c:v>
                </c:pt>
                <c:pt idx="202">
                  <c:v>197.5</c:v>
                </c:pt>
                <c:pt idx="203">
                  <c:v>197.75</c:v>
                </c:pt>
                <c:pt idx="204">
                  <c:v>198</c:v>
                </c:pt>
                <c:pt idx="205">
                  <c:v>198.25</c:v>
                </c:pt>
                <c:pt idx="206">
                  <c:v>198.5</c:v>
                </c:pt>
                <c:pt idx="207">
                  <c:v>198.75</c:v>
                </c:pt>
                <c:pt idx="208">
                  <c:v>199</c:v>
                </c:pt>
                <c:pt idx="209">
                  <c:v>199.25</c:v>
                </c:pt>
                <c:pt idx="210">
                  <c:v>199.5</c:v>
                </c:pt>
                <c:pt idx="211">
                  <c:v>199.75</c:v>
                </c:pt>
                <c:pt idx="212">
                  <c:v>200</c:v>
                </c:pt>
                <c:pt idx="213">
                  <c:v>200.25</c:v>
                </c:pt>
                <c:pt idx="214">
                  <c:v>200.5</c:v>
                </c:pt>
                <c:pt idx="215">
                  <c:v>200.75</c:v>
                </c:pt>
                <c:pt idx="216">
                  <c:v>201</c:v>
                </c:pt>
                <c:pt idx="217">
                  <c:v>201.25</c:v>
                </c:pt>
                <c:pt idx="218">
                  <c:v>201.5</c:v>
                </c:pt>
                <c:pt idx="219">
                  <c:v>201.75</c:v>
                </c:pt>
                <c:pt idx="220">
                  <c:v>202</c:v>
                </c:pt>
                <c:pt idx="221">
                  <c:v>202.25</c:v>
                </c:pt>
                <c:pt idx="222">
                  <c:v>202.5</c:v>
                </c:pt>
                <c:pt idx="223">
                  <c:v>202.75</c:v>
                </c:pt>
                <c:pt idx="224">
                  <c:v>203</c:v>
                </c:pt>
                <c:pt idx="225">
                  <c:v>203.25</c:v>
                </c:pt>
                <c:pt idx="226">
                  <c:v>203.5</c:v>
                </c:pt>
                <c:pt idx="227">
                  <c:v>203.75</c:v>
                </c:pt>
                <c:pt idx="228">
                  <c:v>204</c:v>
                </c:pt>
                <c:pt idx="229">
                  <c:v>204.25</c:v>
                </c:pt>
                <c:pt idx="230">
                  <c:v>204.5</c:v>
                </c:pt>
                <c:pt idx="231">
                  <c:v>204.75</c:v>
                </c:pt>
                <c:pt idx="232">
                  <c:v>205</c:v>
                </c:pt>
                <c:pt idx="233">
                  <c:v>205.25</c:v>
                </c:pt>
                <c:pt idx="234">
                  <c:v>205.5</c:v>
                </c:pt>
                <c:pt idx="235">
                  <c:v>205.75</c:v>
                </c:pt>
                <c:pt idx="236">
                  <c:v>206</c:v>
                </c:pt>
                <c:pt idx="237">
                  <c:v>206.25</c:v>
                </c:pt>
                <c:pt idx="238">
                  <c:v>206.5</c:v>
                </c:pt>
                <c:pt idx="239">
                  <c:v>206.75</c:v>
                </c:pt>
                <c:pt idx="240">
                  <c:v>207</c:v>
                </c:pt>
                <c:pt idx="241">
                  <c:v>207.25</c:v>
                </c:pt>
                <c:pt idx="242">
                  <c:v>207.5</c:v>
                </c:pt>
                <c:pt idx="243">
                  <c:v>207.75</c:v>
                </c:pt>
                <c:pt idx="244">
                  <c:v>208</c:v>
                </c:pt>
                <c:pt idx="245">
                  <c:v>208.25</c:v>
                </c:pt>
                <c:pt idx="246">
                  <c:v>208.5</c:v>
                </c:pt>
                <c:pt idx="247">
                  <c:v>208.75</c:v>
                </c:pt>
                <c:pt idx="248">
                  <c:v>209</c:v>
                </c:pt>
                <c:pt idx="249">
                  <c:v>209.25</c:v>
                </c:pt>
                <c:pt idx="250">
                  <c:v>209.5</c:v>
                </c:pt>
                <c:pt idx="251">
                  <c:v>209.75</c:v>
                </c:pt>
                <c:pt idx="252">
                  <c:v>210</c:v>
                </c:pt>
                <c:pt idx="253">
                  <c:v>210.25</c:v>
                </c:pt>
                <c:pt idx="254">
                  <c:v>210.5</c:v>
                </c:pt>
                <c:pt idx="255">
                  <c:v>210.75</c:v>
                </c:pt>
                <c:pt idx="256">
                  <c:v>211</c:v>
                </c:pt>
                <c:pt idx="257">
                  <c:v>211.25</c:v>
                </c:pt>
                <c:pt idx="258">
                  <c:v>211.5</c:v>
                </c:pt>
                <c:pt idx="259">
                  <c:v>211.75</c:v>
                </c:pt>
                <c:pt idx="260">
                  <c:v>212</c:v>
                </c:pt>
                <c:pt idx="261">
                  <c:v>212.25</c:v>
                </c:pt>
                <c:pt idx="262">
                  <c:v>212.5</c:v>
                </c:pt>
                <c:pt idx="263">
                  <c:v>212.75</c:v>
                </c:pt>
                <c:pt idx="264">
                  <c:v>213</c:v>
                </c:pt>
                <c:pt idx="265">
                  <c:v>213.25</c:v>
                </c:pt>
                <c:pt idx="266">
                  <c:v>213.5</c:v>
                </c:pt>
                <c:pt idx="267">
                  <c:v>213.75</c:v>
                </c:pt>
                <c:pt idx="268">
                  <c:v>214</c:v>
                </c:pt>
                <c:pt idx="269">
                  <c:v>214.25</c:v>
                </c:pt>
                <c:pt idx="270">
                  <c:v>214.5</c:v>
                </c:pt>
                <c:pt idx="271">
                  <c:v>214.75</c:v>
                </c:pt>
                <c:pt idx="272">
                  <c:v>215</c:v>
                </c:pt>
                <c:pt idx="273">
                  <c:v>215.25</c:v>
                </c:pt>
                <c:pt idx="274">
                  <c:v>215.5</c:v>
                </c:pt>
                <c:pt idx="275">
                  <c:v>215.75</c:v>
                </c:pt>
                <c:pt idx="276">
                  <c:v>216</c:v>
                </c:pt>
                <c:pt idx="277">
                  <c:v>216.25</c:v>
                </c:pt>
                <c:pt idx="278">
                  <c:v>216.5</c:v>
                </c:pt>
                <c:pt idx="279">
                  <c:v>216.75</c:v>
                </c:pt>
                <c:pt idx="280">
                  <c:v>217</c:v>
                </c:pt>
                <c:pt idx="281">
                  <c:v>217.25</c:v>
                </c:pt>
                <c:pt idx="282">
                  <c:v>217.5</c:v>
                </c:pt>
                <c:pt idx="283">
                  <c:v>217.75</c:v>
                </c:pt>
                <c:pt idx="284">
                  <c:v>218</c:v>
                </c:pt>
              </c:numCache>
            </c:numRef>
          </c:xVal>
          <c:yVal>
            <c:numRef>
              <c:f>Arkusz5!$X$2:$X$286</c:f>
              <c:numCache>
                <c:formatCode>General</c:formatCode>
                <c:ptCount val="2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75-40C1-948E-3BDD20620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37024"/>
        <c:axId val="594853608"/>
      </c:scatterChart>
      <c:valAx>
        <c:axId val="441937024"/>
        <c:scaling>
          <c:orientation val="minMax"/>
          <c:max val="220"/>
          <c:min val="1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94853608"/>
        <c:crosses val="autoZero"/>
        <c:crossBetween val="midCat"/>
      </c:valAx>
      <c:valAx>
        <c:axId val="59485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193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670603674540682E-2"/>
          <c:y val="0.27449063867016621"/>
          <c:w val="0.87762729658792649"/>
          <c:h val="0.614984324876057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Arkusz3!$G$2:$G$83</c:f>
              <c:numCache>
                <c:formatCode>General</c:formatCode>
                <c:ptCount val="82"/>
                <c:pt idx="0">
                  <c:v>145</c:v>
                </c:pt>
                <c:pt idx="1">
                  <c:v>149</c:v>
                </c:pt>
                <c:pt idx="2">
                  <c:v>149</c:v>
                </c:pt>
                <c:pt idx="3">
                  <c:v>151</c:v>
                </c:pt>
                <c:pt idx="4">
                  <c:v>151</c:v>
                </c:pt>
                <c:pt idx="5">
                  <c:v>152</c:v>
                </c:pt>
                <c:pt idx="6">
                  <c:v>152</c:v>
                </c:pt>
                <c:pt idx="7">
                  <c:v>156</c:v>
                </c:pt>
                <c:pt idx="8">
                  <c:v>156</c:v>
                </c:pt>
                <c:pt idx="9">
                  <c:v>161</c:v>
                </c:pt>
                <c:pt idx="10">
                  <c:v>161</c:v>
                </c:pt>
                <c:pt idx="11">
                  <c:v>163</c:v>
                </c:pt>
                <c:pt idx="12">
                  <c:v>163</c:v>
                </c:pt>
                <c:pt idx="13">
                  <c:v>166</c:v>
                </c:pt>
                <c:pt idx="14">
                  <c:v>166</c:v>
                </c:pt>
                <c:pt idx="15">
                  <c:v>167</c:v>
                </c:pt>
                <c:pt idx="16">
                  <c:v>167</c:v>
                </c:pt>
                <c:pt idx="17">
                  <c:v>169</c:v>
                </c:pt>
                <c:pt idx="18">
                  <c:v>169</c:v>
                </c:pt>
                <c:pt idx="19">
                  <c:v>169</c:v>
                </c:pt>
                <c:pt idx="20">
                  <c:v>169</c:v>
                </c:pt>
                <c:pt idx="21">
                  <c:v>170</c:v>
                </c:pt>
                <c:pt idx="22">
                  <c:v>170</c:v>
                </c:pt>
                <c:pt idx="23">
                  <c:v>171</c:v>
                </c:pt>
                <c:pt idx="24">
                  <c:v>171</c:v>
                </c:pt>
                <c:pt idx="25">
                  <c:v>171</c:v>
                </c:pt>
                <c:pt idx="26">
                  <c:v>171</c:v>
                </c:pt>
                <c:pt idx="27">
                  <c:v>172</c:v>
                </c:pt>
                <c:pt idx="28">
                  <c:v>172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175</c:v>
                </c:pt>
                <c:pt idx="34">
                  <c:v>175</c:v>
                </c:pt>
                <c:pt idx="35">
                  <c:v>176</c:v>
                </c:pt>
                <c:pt idx="36">
                  <c:v>176</c:v>
                </c:pt>
                <c:pt idx="37">
                  <c:v>176</c:v>
                </c:pt>
                <c:pt idx="38">
                  <c:v>176</c:v>
                </c:pt>
                <c:pt idx="39">
                  <c:v>176</c:v>
                </c:pt>
                <c:pt idx="40">
                  <c:v>176</c:v>
                </c:pt>
                <c:pt idx="41">
                  <c:v>177</c:v>
                </c:pt>
                <c:pt idx="42">
                  <c:v>177</c:v>
                </c:pt>
                <c:pt idx="43">
                  <c:v>178</c:v>
                </c:pt>
                <c:pt idx="44">
                  <c:v>178</c:v>
                </c:pt>
                <c:pt idx="45">
                  <c:v>179</c:v>
                </c:pt>
                <c:pt idx="46">
                  <c:v>179</c:v>
                </c:pt>
                <c:pt idx="47">
                  <c:v>180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184</c:v>
                </c:pt>
                <c:pt idx="52">
                  <c:v>184</c:v>
                </c:pt>
                <c:pt idx="53">
                  <c:v>184</c:v>
                </c:pt>
                <c:pt idx="54">
                  <c:v>184</c:v>
                </c:pt>
                <c:pt idx="55">
                  <c:v>185</c:v>
                </c:pt>
                <c:pt idx="56">
                  <c:v>185</c:v>
                </c:pt>
                <c:pt idx="57">
                  <c:v>187</c:v>
                </c:pt>
                <c:pt idx="58">
                  <c:v>187</c:v>
                </c:pt>
                <c:pt idx="59">
                  <c:v>189</c:v>
                </c:pt>
                <c:pt idx="60">
                  <c:v>189</c:v>
                </c:pt>
                <c:pt idx="61">
                  <c:v>189</c:v>
                </c:pt>
                <c:pt idx="62">
                  <c:v>189</c:v>
                </c:pt>
                <c:pt idx="63">
                  <c:v>190</c:v>
                </c:pt>
                <c:pt idx="64">
                  <c:v>190</c:v>
                </c:pt>
                <c:pt idx="65">
                  <c:v>193</c:v>
                </c:pt>
                <c:pt idx="66">
                  <c:v>193</c:v>
                </c:pt>
                <c:pt idx="67">
                  <c:v>194</c:v>
                </c:pt>
                <c:pt idx="68">
                  <c:v>194</c:v>
                </c:pt>
                <c:pt idx="69">
                  <c:v>195</c:v>
                </c:pt>
                <c:pt idx="70">
                  <c:v>195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202</c:v>
                </c:pt>
                <c:pt idx="75">
                  <c:v>203</c:v>
                </c:pt>
                <c:pt idx="76">
                  <c:v>203</c:v>
                </c:pt>
                <c:pt idx="77">
                  <c:v>213</c:v>
                </c:pt>
                <c:pt idx="78">
                  <c:v>213</c:v>
                </c:pt>
                <c:pt idx="79">
                  <c:v>214</c:v>
                </c:pt>
                <c:pt idx="80">
                  <c:v>214</c:v>
                </c:pt>
                <c:pt idx="81">
                  <c:v>220</c:v>
                </c:pt>
              </c:numCache>
            </c:numRef>
          </c:xVal>
          <c:yVal>
            <c:numRef>
              <c:f>Arkusz3!$H$2:$H$83</c:f>
              <c:numCache>
                <c:formatCode>General</c:formatCode>
                <c:ptCount val="82"/>
                <c:pt idx="0">
                  <c:v>0</c:v>
                </c:pt>
                <c:pt idx="1">
                  <c:v>0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0.05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0.1</c:v>
                </c:pt>
                <c:pt idx="9">
                  <c:v>0.1</c:v>
                </c:pt>
                <c:pt idx="10">
                  <c:v>0.125</c:v>
                </c:pt>
                <c:pt idx="11">
                  <c:v>0.125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0.17499999999999999</c:v>
                </c:pt>
                <c:pt idx="16">
                  <c:v>0.2</c:v>
                </c:pt>
                <c:pt idx="17">
                  <c:v>0.2</c:v>
                </c:pt>
                <c:pt idx="18">
                  <c:v>0.25</c:v>
                </c:pt>
                <c:pt idx="19">
                  <c:v>0.2</c:v>
                </c:pt>
                <c:pt idx="20">
                  <c:v>0.25</c:v>
                </c:pt>
                <c:pt idx="21">
                  <c:v>0.25</c:v>
                </c:pt>
                <c:pt idx="22">
                  <c:v>0.27500000000000002</c:v>
                </c:pt>
                <c:pt idx="23">
                  <c:v>0.27500000000000002</c:v>
                </c:pt>
                <c:pt idx="24">
                  <c:v>0.32500000000000001</c:v>
                </c:pt>
                <c:pt idx="25">
                  <c:v>0.27500000000000002</c:v>
                </c:pt>
                <c:pt idx="26">
                  <c:v>0.32500000000000001</c:v>
                </c:pt>
                <c:pt idx="27">
                  <c:v>0.32500000000000001</c:v>
                </c:pt>
                <c:pt idx="28">
                  <c:v>0.35</c:v>
                </c:pt>
                <c:pt idx="29">
                  <c:v>0.35</c:v>
                </c:pt>
                <c:pt idx="30">
                  <c:v>0.4</c:v>
                </c:pt>
                <c:pt idx="31">
                  <c:v>0.35</c:v>
                </c:pt>
                <c:pt idx="32">
                  <c:v>0.4</c:v>
                </c:pt>
                <c:pt idx="33">
                  <c:v>0.4</c:v>
                </c:pt>
                <c:pt idx="34">
                  <c:v>0.42499999999999999</c:v>
                </c:pt>
                <c:pt idx="35">
                  <c:v>0.42499999999999999</c:v>
                </c:pt>
                <c:pt idx="36">
                  <c:v>0.5</c:v>
                </c:pt>
                <c:pt idx="37">
                  <c:v>0.42499999999999999</c:v>
                </c:pt>
                <c:pt idx="38">
                  <c:v>0.5</c:v>
                </c:pt>
                <c:pt idx="39">
                  <c:v>0.42499999999999999</c:v>
                </c:pt>
                <c:pt idx="40">
                  <c:v>0.5</c:v>
                </c:pt>
                <c:pt idx="41">
                  <c:v>0.5</c:v>
                </c:pt>
                <c:pt idx="42">
                  <c:v>0.52500000000000002</c:v>
                </c:pt>
                <c:pt idx="43">
                  <c:v>0.52500000000000002</c:v>
                </c:pt>
                <c:pt idx="44">
                  <c:v>0.55000000000000004</c:v>
                </c:pt>
                <c:pt idx="45">
                  <c:v>0.55000000000000004</c:v>
                </c:pt>
                <c:pt idx="46">
                  <c:v>0.57499999999999996</c:v>
                </c:pt>
                <c:pt idx="47">
                  <c:v>0.57499999999999996</c:v>
                </c:pt>
                <c:pt idx="48">
                  <c:v>0.625</c:v>
                </c:pt>
                <c:pt idx="49">
                  <c:v>0.57499999999999996</c:v>
                </c:pt>
                <c:pt idx="50">
                  <c:v>0.625</c:v>
                </c:pt>
                <c:pt idx="51">
                  <c:v>0.625</c:v>
                </c:pt>
                <c:pt idx="52">
                  <c:v>0.67500000000000004</c:v>
                </c:pt>
                <c:pt idx="53">
                  <c:v>0.625</c:v>
                </c:pt>
                <c:pt idx="54">
                  <c:v>0.67500000000000004</c:v>
                </c:pt>
                <c:pt idx="55">
                  <c:v>0.67500000000000004</c:v>
                </c:pt>
                <c:pt idx="56">
                  <c:v>0.7</c:v>
                </c:pt>
                <c:pt idx="57">
                  <c:v>0.7</c:v>
                </c:pt>
                <c:pt idx="58">
                  <c:v>0.72499999999999998</c:v>
                </c:pt>
                <c:pt idx="59">
                  <c:v>0.72499999999999998</c:v>
                </c:pt>
                <c:pt idx="60">
                  <c:v>0.77500000000000002</c:v>
                </c:pt>
                <c:pt idx="61">
                  <c:v>0.72499999999999998</c:v>
                </c:pt>
                <c:pt idx="62">
                  <c:v>0.77500000000000002</c:v>
                </c:pt>
                <c:pt idx="63">
                  <c:v>0.77500000000000002</c:v>
                </c:pt>
                <c:pt idx="64">
                  <c:v>0.8</c:v>
                </c:pt>
                <c:pt idx="65">
                  <c:v>0.8</c:v>
                </c:pt>
                <c:pt idx="66">
                  <c:v>0.82499999999999996</c:v>
                </c:pt>
                <c:pt idx="67">
                  <c:v>0.82499999999999996</c:v>
                </c:pt>
                <c:pt idx="68">
                  <c:v>0.85</c:v>
                </c:pt>
                <c:pt idx="69">
                  <c:v>0.85</c:v>
                </c:pt>
                <c:pt idx="70">
                  <c:v>0.875</c:v>
                </c:pt>
                <c:pt idx="71">
                  <c:v>0.875</c:v>
                </c:pt>
                <c:pt idx="72">
                  <c:v>0.9</c:v>
                </c:pt>
                <c:pt idx="73">
                  <c:v>0.9</c:v>
                </c:pt>
                <c:pt idx="74">
                  <c:v>0.92500000000000004</c:v>
                </c:pt>
                <c:pt idx="75">
                  <c:v>0.92500000000000004</c:v>
                </c:pt>
                <c:pt idx="76">
                  <c:v>0.95</c:v>
                </c:pt>
                <c:pt idx="77">
                  <c:v>0.95</c:v>
                </c:pt>
                <c:pt idx="78">
                  <c:v>0.97499999999999998</c:v>
                </c:pt>
                <c:pt idx="79">
                  <c:v>0.97499999999999998</c:v>
                </c:pt>
                <c:pt idx="80">
                  <c:v>1</c:v>
                </c:pt>
                <c:pt idx="8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5-49E2-85FF-EF14E1D886A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Arkusz3!$G$2:$G$83</c:f>
              <c:numCache>
                <c:formatCode>General</c:formatCode>
                <c:ptCount val="82"/>
                <c:pt idx="0">
                  <c:v>145</c:v>
                </c:pt>
                <c:pt idx="1">
                  <c:v>149</c:v>
                </c:pt>
                <c:pt idx="2">
                  <c:v>149</c:v>
                </c:pt>
                <c:pt idx="3">
                  <c:v>151</c:v>
                </c:pt>
                <c:pt idx="4">
                  <c:v>151</c:v>
                </c:pt>
                <c:pt idx="5">
                  <c:v>152</c:v>
                </c:pt>
                <c:pt idx="6">
                  <c:v>152</c:v>
                </c:pt>
                <c:pt idx="7">
                  <c:v>156</c:v>
                </c:pt>
                <c:pt idx="8">
                  <c:v>156</c:v>
                </c:pt>
                <c:pt idx="9">
                  <c:v>161</c:v>
                </c:pt>
                <c:pt idx="10">
                  <c:v>161</c:v>
                </c:pt>
                <c:pt idx="11">
                  <c:v>163</c:v>
                </c:pt>
                <c:pt idx="12">
                  <c:v>163</c:v>
                </c:pt>
                <c:pt idx="13">
                  <c:v>166</c:v>
                </c:pt>
                <c:pt idx="14">
                  <c:v>166</c:v>
                </c:pt>
                <c:pt idx="15">
                  <c:v>167</c:v>
                </c:pt>
                <c:pt idx="16">
                  <c:v>167</c:v>
                </c:pt>
                <c:pt idx="17">
                  <c:v>169</c:v>
                </c:pt>
                <c:pt idx="18">
                  <c:v>169</c:v>
                </c:pt>
                <c:pt idx="19">
                  <c:v>169</c:v>
                </c:pt>
                <c:pt idx="20">
                  <c:v>169</c:v>
                </c:pt>
                <c:pt idx="21">
                  <c:v>170</c:v>
                </c:pt>
                <c:pt idx="22">
                  <c:v>170</c:v>
                </c:pt>
                <c:pt idx="23">
                  <c:v>171</c:v>
                </c:pt>
                <c:pt idx="24">
                  <c:v>171</c:v>
                </c:pt>
                <c:pt idx="25">
                  <c:v>171</c:v>
                </c:pt>
                <c:pt idx="26">
                  <c:v>171</c:v>
                </c:pt>
                <c:pt idx="27">
                  <c:v>172</c:v>
                </c:pt>
                <c:pt idx="28">
                  <c:v>172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175</c:v>
                </c:pt>
                <c:pt idx="34">
                  <c:v>175</c:v>
                </c:pt>
                <c:pt idx="35">
                  <c:v>176</c:v>
                </c:pt>
                <c:pt idx="36">
                  <c:v>176</c:v>
                </c:pt>
                <c:pt idx="37">
                  <c:v>176</c:v>
                </c:pt>
                <c:pt idx="38">
                  <c:v>176</c:v>
                </c:pt>
                <c:pt idx="39">
                  <c:v>176</c:v>
                </c:pt>
                <c:pt idx="40">
                  <c:v>176</c:v>
                </c:pt>
                <c:pt idx="41">
                  <c:v>177</c:v>
                </c:pt>
                <c:pt idx="42">
                  <c:v>177</c:v>
                </c:pt>
                <c:pt idx="43">
                  <c:v>178</c:v>
                </c:pt>
                <c:pt idx="44">
                  <c:v>178</c:v>
                </c:pt>
                <c:pt idx="45">
                  <c:v>179</c:v>
                </c:pt>
                <c:pt idx="46">
                  <c:v>179</c:v>
                </c:pt>
                <c:pt idx="47">
                  <c:v>180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184</c:v>
                </c:pt>
                <c:pt idx="52">
                  <c:v>184</c:v>
                </c:pt>
                <c:pt idx="53">
                  <c:v>184</c:v>
                </c:pt>
                <c:pt idx="54">
                  <c:v>184</c:v>
                </c:pt>
                <c:pt idx="55">
                  <c:v>185</c:v>
                </c:pt>
                <c:pt idx="56">
                  <c:v>185</c:v>
                </c:pt>
                <c:pt idx="57">
                  <c:v>187</c:v>
                </c:pt>
                <c:pt idx="58">
                  <c:v>187</c:v>
                </c:pt>
                <c:pt idx="59">
                  <c:v>189</c:v>
                </c:pt>
                <c:pt idx="60">
                  <c:v>189</c:v>
                </c:pt>
                <c:pt idx="61">
                  <c:v>189</c:v>
                </c:pt>
                <c:pt idx="62">
                  <c:v>189</c:v>
                </c:pt>
                <c:pt idx="63">
                  <c:v>190</c:v>
                </c:pt>
                <c:pt idx="64">
                  <c:v>190</c:v>
                </c:pt>
                <c:pt idx="65">
                  <c:v>193</c:v>
                </c:pt>
                <c:pt idx="66">
                  <c:v>193</c:v>
                </c:pt>
                <c:pt idx="67">
                  <c:v>194</c:v>
                </c:pt>
                <c:pt idx="68">
                  <c:v>194</c:v>
                </c:pt>
                <c:pt idx="69">
                  <c:v>195</c:v>
                </c:pt>
                <c:pt idx="70">
                  <c:v>195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202</c:v>
                </c:pt>
                <c:pt idx="75">
                  <c:v>203</c:v>
                </c:pt>
                <c:pt idx="76">
                  <c:v>203</c:v>
                </c:pt>
                <c:pt idx="77">
                  <c:v>213</c:v>
                </c:pt>
                <c:pt idx="78">
                  <c:v>213</c:v>
                </c:pt>
                <c:pt idx="79">
                  <c:v>214</c:v>
                </c:pt>
                <c:pt idx="80">
                  <c:v>214</c:v>
                </c:pt>
                <c:pt idx="81">
                  <c:v>220</c:v>
                </c:pt>
              </c:numCache>
            </c:numRef>
          </c:xVal>
          <c:yVal>
            <c:numRef>
              <c:f>Arkusz3!$I$2:$I$83</c:f>
              <c:numCache>
                <c:formatCode>General</c:formatCode>
                <c:ptCount val="82"/>
                <c:pt idx="0">
                  <c:v>3.7720179813400243E-2</c:v>
                </c:pt>
                <c:pt idx="1">
                  <c:v>5.9906907102771828E-2</c:v>
                </c:pt>
                <c:pt idx="2">
                  <c:v>5.9906907102771828E-2</c:v>
                </c:pt>
                <c:pt idx="3">
                  <c:v>7.4306998227605878E-2</c:v>
                </c:pt>
                <c:pt idx="4">
                  <c:v>7.4306998227605878E-2</c:v>
                </c:pt>
                <c:pt idx="5">
                  <c:v>8.2433269873954537E-2</c:v>
                </c:pt>
                <c:pt idx="6">
                  <c:v>8.2433269873954537E-2</c:v>
                </c:pt>
                <c:pt idx="7">
                  <c:v>0.12167250457438125</c:v>
                </c:pt>
                <c:pt idx="8">
                  <c:v>0.12167250457438125</c:v>
                </c:pt>
                <c:pt idx="9">
                  <c:v>0.18703139874544125</c:v>
                </c:pt>
                <c:pt idx="10">
                  <c:v>0.18703139874544125</c:v>
                </c:pt>
                <c:pt idx="11">
                  <c:v>0.21835001536137882</c:v>
                </c:pt>
                <c:pt idx="12">
                  <c:v>0.21835001536137882</c:v>
                </c:pt>
                <c:pt idx="13">
                  <c:v>0.27056301223583412</c:v>
                </c:pt>
                <c:pt idx="14">
                  <c:v>0.27056301223583412</c:v>
                </c:pt>
                <c:pt idx="15">
                  <c:v>0.28925736075397196</c:v>
                </c:pt>
                <c:pt idx="16">
                  <c:v>0.28925736075397196</c:v>
                </c:pt>
                <c:pt idx="17">
                  <c:v>0.32836064328188519</c:v>
                </c:pt>
                <c:pt idx="18">
                  <c:v>0.32836064328188519</c:v>
                </c:pt>
                <c:pt idx="19">
                  <c:v>0.32836064328188519</c:v>
                </c:pt>
                <c:pt idx="20">
                  <c:v>0.32836064328188519</c:v>
                </c:pt>
                <c:pt idx="21">
                  <c:v>0.3486791709387379</c:v>
                </c:pt>
                <c:pt idx="22">
                  <c:v>0.3486791709387379</c:v>
                </c:pt>
                <c:pt idx="23">
                  <c:v>0.36944134018176361</c:v>
                </c:pt>
                <c:pt idx="24">
                  <c:v>0.36944134018176361</c:v>
                </c:pt>
                <c:pt idx="25">
                  <c:v>0.36944134018176361</c:v>
                </c:pt>
                <c:pt idx="26">
                  <c:v>0.36944134018176361</c:v>
                </c:pt>
                <c:pt idx="27">
                  <c:v>0.39059147543357498</c:v>
                </c:pt>
                <c:pt idx="28">
                  <c:v>0.39059147543357498</c:v>
                </c:pt>
                <c:pt idx="29">
                  <c:v>0.43381616738909634</c:v>
                </c:pt>
                <c:pt idx="30">
                  <c:v>0.43381616738909634</c:v>
                </c:pt>
                <c:pt idx="31">
                  <c:v>0.43381616738909634</c:v>
                </c:pt>
                <c:pt idx="32">
                  <c:v>0.43381616738909634</c:v>
                </c:pt>
                <c:pt idx="33">
                  <c:v>0.4557641189546886</c:v>
                </c:pt>
                <c:pt idx="34">
                  <c:v>0.4557641189546886</c:v>
                </c:pt>
                <c:pt idx="35">
                  <c:v>0.47784793565821782</c:v>
                </c:pt>
                <c:pt idx="36">
                  <c:v>0.47784793565821782</c:v>
                </c:pt>
                <c:pt idx="37">
                  <c:v>0.47784793565821782</c:v>
                </c:pt>
                <c:pt idx="38">
                  <c:v>0.47784793565821782</c:v>
                </c:pt>
                <c:pt idx="39">
                  <c:v>0.47784793565821782</c:v>
                </c:pt>
                <c:pt idx="40">
                  <c:v>0.47784793565821782</c:v>
                </c:pt>
                <c:pt idx="41">
                  <c:v>0.5</c:v>
                </c:pt>
                <c:pt idx="42">
                  <c:v>0.5</c:v>
                </c:pt>
                <c:pt idx="43">
                  <c:v>0.52215206434178218</c:v>
                </c:pt>
                <c:pt idx="44">
                  <c:v>0.52215206434178218</c:v>
                </c:pt>
                <c:pt idx="45">
                  <c:v>0.5442358810453114</c:v>
                </c:pt>
                <c:pt idx="46">
                  <c:v>0.5442358810453114</c:v>
                </c:pt>
                <c:pt idx="47">
                  <c:v>0.56618383261090366</c:v>
                </c:pt>
                <c:pt idx="48">
                  <c:v>0.56618383261090366</c:v>
                </c:pt>
                <c:pt idx="49">
                  <c:v>0.56618383261090366</c:v>
                </c:pt>
                <c:pt idx="50">
                  <c:v>0.56618383261090366</c:v>
                </c:pt>
                <c:pt idx="51">
                  <c:v>0.6513208290612621</c:v>
                </c:pt>
                <c:pt idx="52">
                  <c:v>0.6513208290612621</c:v>
                </c:pt>
                <c:pt idx="53">
                  <c:v>0.6513208290612621</c:v>
                </c:pt>
                <c:pt idx="54">
                  <c:v>0.6513208290612621</c:v>
                </c:pt>
                <c:pt idx="55">
                  <c:v>0.67163935671811481</c:v>
                </c:pt>
                <c:pt idx="56">
                  <c:v>0.67163935671811481</c:v>
                </c:pt>
                <c:pt idx="57">
                  <c:v>0.7107426392460281</c:v>
                </c:pt>
                <c:pt idx="58">
                  <c:v>0.7107426392460281</c:v>
                </c:pt>
                <c:pt idx="59">
                  <c:v>0.74750746245307709</c:v>
                </c:pt>
                <c:pt idx="60">
                  <c:v>0.74750746245307709</c:v>
                </c:pt>
                <c:pt idx="61">
                  <c:v>0.74750746245307709</c:v>
                </c:pt>
                <c:pt idx="62">
                  <c:v>0.74750746245307709</c:v>
                </c:pt>
                <c:pt idx="63">
                  <c:v>0.76492106857116515</c:v>
                </c:pt>
                <c:pt idx="64">
                  <c:v>0.76492106857116515</c:v>
                </c:pt>
                <c:pt idx="65">
                  <c:v>0.81296860125455872</c:v>
                </c:pt>
                <c:pt idx="66">
                  <c:v>0.81296860125455872</c:v>
                </c:pt>
                <c:pt idx="67">
                  <c:v>0.82752871058569177</c:v>
                </c:pt>
                <c:pt idx="68">
                  <c:v>0.82752871058569177</c:v>
                </c:pt>
                <c:pt idx="69">
                  <c:v>0.84134474606854304</c:v>
                </c:pt>
                <c:pt idx="70">
                  <c:v>0.84134474606854304</c:v>
                </c:pt>
                <c:pt idx="71">
                  <c:v>0.89933610400849928</c:v>
                </c:pt>
                <c:pt idx="72">
                  <c:v>0.89933610400849928</c:v>
                </c:pt>
                <c:pt idx="73">
                  <c:v>0.9175667301260455</c:v>
                </c:pt>
                <c:pt idx="74">
                  <c:v>0.9175667301260455</c:v>
                </c:pt>
                <c:pt idx="75">
                  <c:v>0.92569300177239411</c:v>
                </c:pt>
                <c:pt idx="76">
                  <c:v>0.92569300177239411</c:v>
                </c:pt>
                <c:pt idx="77">
                  <c:v>0.97724986805182079</c:v>
                </c:pt>
                <c:pt idx="78">
                  <c:v>0.97724986805182079</c:v>
                </c:pt>
                <c:pt idx="79">
                  <c:v>0.98008731225022472</c:v>
                </c:pt>
                <c:pt idx="80">
                  <c:v>0.98008731225022472</c:v>
                </c:pt>
                <c:pt idx="81">
                  <c:v>0.99155029378774917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5-49E2-85FF-EF14E1D88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51688"/>
        <c:axId val="515255296"/>
      </c:scatterChart>
      <c:valAx>
        <c:axId val="515251688"/>
        <c:scaling>
          <c:orientation val="minMax"/>
          <c:max val="220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15255296"/>
        <c:crosses val="autoZero"/>
        <c:crossBetween val="midCat"/>
      </c:valAx>
      <c:valAx>
        <c:axId val="5152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15251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Kwantyl-kwantyl</a:t>
            </a:r>
          </a:p>
        </c:rich>
      </c:tx>
      <c:layout>
        <c:manualLayout>
          <c:xMode val="edge"/>
          <c:yMode val="edge"/>
          <c:x val="0.293687445319335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4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3C3-4BE7-BA07-20DF50E08C46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C3-4BE7-BA07-20DF50E08C46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Arkusz3!$M$2:$M$83</c:f>
              <c:numCache>
                <c:formatCode>General</c:formatCode>
                <c:ptCount val="82"/>
                <c:pt idx="0">
                  <c:v>-2.5064473464808872</c:v>
                </c:pt>
                <c:pt idx="1">
                  <c:v>-1.9705053031703286</c:v>
                </c:pt>
                <c:pt idx="2">
                  <c:v>-1.9705053031703286</c:v>
                </c:pt>
                <c:pt idx="3">
                  <c:v>-1.6567947658159807</c:v>
                </c:pt>
                <c:pt idx="4">
                  <c:v>-1.6567947658159807</c:v>
                </c:pt>
                <c:pt idx="5">
                  <c:v>-1.4525761808120043</c:v>
                </c:pt>
                <c:pt idx="6">
                  <c:v>-1.4525761808120043</c:v>
                </c:pt>
                <c:pt idx="7">
                  <c:v>-1.2955749870976874</c:v>
                </c:pt>
                <c:pt idx="8">
                  <c:v>-1.2955749870976874</c:v>
                </c:pt>
                <c:pt idx="9">
                  <c:v>-1.1652879896966826</c:v>
                </c:pt>
                <c:pt idx="10">
                  <c:v>-1.1652879896966826</c:v>
                </c:pt>
                <c:pt idx="11">
                  <c:v>-1.0522542255562288</c:v>
                </c:pt>
                <c:pt idx="12">
                  <c:v>-1.0522542255562288</c:v>
                </c:pt>
                <c:pt idx="13">
                  <c:v>-0.95127771872909239</c:v>
                </c:pt>
                <c:pt idx="14">
                  <c:v>-0.95127771872909239</c:v>
                </c:pt>
                <c:pt idx="15">
                  <c:v>-0.85917512959584974</c:v>
                </c:pt>
                <c:pt idx="16">
                  <c:v>-0.85917512959584974</c:v>
                </c:pt>
                <c:pt idx="17">
                  <c:v>-0.73323578318551175</c:v>
                </c:pt>
                <c:pt idx="18">
                  <c:v>-0.73323578318551175</c:v>
                </c:pt>
                <c:pt idx="19">
                  <c:v>-0.73323578318551175</c:v>
                </c:pt>
                <c:pt idx="20">
                  <c:v>-0.73323578318551175</c:v>
                </c:pt>
                <c:pt idx="21">
                  <c:v>-0.6179847884685038</c:v>
                </c:pt>
                <c:pt idx="22">
                  <c:v>-0.6179847884685038</c:v>
                </c:pt>
                <c:pt idx="23">
                  <c:v>-0.51042164266321888</c:v>
                </c:pt>
                <c:pt idx="24">
                  <c:v>-0.51042164266321888</c:v>
                </c:pt>
                <c:pt idx="25">
                  <c:v>-0.51042164266321888</c:v>
                </c:pt>
                <c:pt idx="26">
                  <c:v>-0.51042164266321888</c:v>
                </c:pt>
                <c:pt idx="27">
                  <c:v>-0.40847248197412372</c:v>
                </c:pt>
                <c:pt idx="28">
                  <c:v>-0.40847248197412372</c:v>
                </c:pt>
                <c:pt idx="29">
                  <c:v>-0.31060942538225567</c:v>
                </c:pt>
                <c:pt idx="30">
                  <c:v>-0.31060942538225567</c:v>
                </c:pt>
                <c:pt idx="31">
                  <c:v>-0.31060942538225567</c:v>
                </c:pt>
                <c:pt idx="32">
                  <c:v>-0.31060942538225567</c:v>
                </c:pt>
                <c:pt idx="33">
                  <c:v>-0.21564010401258188</c:v>
                </c:pt>
                <c:pt idx="34">
                  <c:v>-0.21564010401258188</c:v>
                </c:pt>
                <c:pt idx="35">
                  <c:v>-9.1834832954222234E-2</c:v>
                </c:pt>
                <c:pt idx="36">
                  <c:v>-9.1834832954222234E-2</c:v>
                </c:pt>
                <c:pt idx="37">
                  <c:v>-9.1834832954222234E-2</c:v>
                </c:pt>
                <c:pt idx="38">
                  <c:v>-9.1834832954222234E-2</c:v>
                </c:pt>
                <c:pt idx="39">
                  <c:v>-9.1834832954222234E-2</c:v>
                </c:pt>
                <c:pt idx="40">
                  <c:v>-9.1834832954222234E-2</c:v>
                </c:pt>
                <c:pt idx="41">
                  <c:v>3.0573399820906299E-2</c:v>
                </c:pt>
                <c:pt idx="42">
                  <c:v>3.0573399820906299E-2</c:v>
                </c:pt>
                <c:pt idx="43">
                  <c:v>9.1834832954222387E-2</c:v>
                </c:pt>
                <c:pt idx="44">
                  <c:v>9.1834832954222387E-2</c:v>
                </c:pt>
                <c:pt idx="45">
                  <c:v>0.15344319882333449</c:v>
                </c:pt>
                <c:pt idx="46">
                  <c:v>0.15344319882333449</c:v>
                </c:pt>
                <c:pt idx="47">
                  <c:v>0.2470389907389772</c:v>
                </c:pt>
                <c:pt idx="48">
                  <c:v>0.2470389907389772</c:v>
                </c:pt>
                <c:pt idx="49">
                  <c:v>0.2470389907389772</c:v>
                </c:pt>
                <c:pt idx="50">
                  <c:v>0.2470389907389772</c:v>
                </c:pt>
                <c:pt idx="51">
                  <c:v>0.37546177023551847</c:v>
                </c:pt>
                <c:pt idx="52">
                  <c:v>0.37546177023551847</c:v>
                </c:pt>
                <c:pt idx="53">
                  <c:v>0.37546177023551847</c:v>
                </c:pt>
                <c:pt idx="54">
                  <c:v>0.37546177023551847</c:v>
                </c:pt>
                <c:pt idx="55">
                  <c:v>0.47589899043667905</c:v>
                </c:pt>
                <c:pt idx="56">
                  <c:v>0.47589899043667905</c:v>
                </c:pt>
                <c:pt idx="57">
                  <c:v>0.54556374182259537</c:v>
                </c:pt>
                <c:pt idx="58">
                  <c:v>0.54556374182259537</c:v>
                </c:pt>
                <c:pt idx="59">
                  <c:v>0.65542350523442661</c:v>
                </c:pt>
                <c:pt idx="60">
                  <c:v>0.65542350523442661</c:v>
                </c:pt>
                <c:pt idx="61">
                  <c:v>0.65542350523442661</c:v>
                </c:pt>
                <c:pt idx="62">
                  <c:v>0.65542350523442661</c:v>
                </c:pt>
                <c:pt idx="63">
                  <c:v>0.77384173233725317</c:v>
                </c:pt>
                <c:pt idx="64">
                  <c:v>0.77384173233725317</c:v>
                </c:pt>
                <c:pt idx="65">
                  <c:v>0.85917512959585085</c:v>
                </c:pt>
                <c:pt idx="66">
                  <c:v>0.85917512959585085</c:v>
                </c:pt>
                <c:pt idx="67">
                  <c:v>0.95127771872909239</c:v>
                </c:pt>
                <c:pt idx="68">
                  <c:v>0.95127771872909239</c:v>
                </c:pt>
                <c:pt idx="69">
                  <c:v>1.0522542255562288</c:v>
                </c:pt>
                <c:pt idx="70">
                  <c:v>1.0522542255562288</c:v>
                </c:pt>
                <c:pt idx="71">
                  <c:v>1.1652879896966826</c:v>
                </c:pt>
                <c:pt idx="72">
                  <c:v>1.1652879896966826</c:v>
                </c:pt>
                <c:pt idx="73">
                  <c:v>1.2955749870976874</c:v>
                </c:pt>
                <c:pt idx="74">
                  <c:v>1.2955749870976874</c:v>
                </c:pt>
                <c:pt idx="75">
                  <c:v>1.4525761808120046</c:v>
                </c:pt>
                <c:pt idx="76">
                  <c:v>1.4525761808120046</c:v>
                </c:pt>
                <c:pt idx="77">
                  <c:v>1.6567947658159803</c:v>
                </c:pt>
                <c:pt idx="78">
                  <c:v>1.6567947658159803</c:v>
                </c:pt>
                <c:pt idx="79">
                  <c:v>1.9705053031703283</c:v>
                </c:pt>
                <c:pt idx="80">
                  <c:v>1.9705053031703283</c:v>
                </c:pt>
                <c:pt idx="81">
                  <c:v>2.5064473464808863</c:v>
                </c:pt>
              </c:numCache>
            </c:numRef>
          </c:xVal>
          <c:yVal>
            <c:numRef>
              <c:f>Arkusz3!$N$2:$N$83</c:f>
              <c:numCache>
                <c:formatCode>General</c:formatCode>
                <c:ptCount val="82"/>
                <c:pt idx="0">
                  <c:v>-1.7777777777777777</c:v>
                </c:pt>
                <c:pt idx="1">
                  <c:v>-1.5555555555555556</c:v>
                </c:pt>
                <c:pt idx="2">
                  <c:v>-1.5555555555555556</c:v>
                </c:pt>
                <c:pt idx="3">
                  <c:v>-1.4444444444444444</c:v>
                </c:pt>
                <c:pt idx="4">
                  <c:v>-1.4444444444444444</c:v>
                </c:pt>
                <c:pt idx="5">
                  <c:v>-1.3888888888888888</c:v>
                </c:pt>
                <c:pt idx="6">
                  <c:v>-1.3888888888888888</c:v>
                </c:pt>
                <c:pt idx="7">
                  <c:v>-1.1666666666666667</c:v>
                </c:pt>
                <c:pt idx="8">
                  <c:v>-1.1666666666666667</c:v>
                </c:pt>
                <c:pt idx="9">
                  <c:v>-0.88888888888888884</c:v>
                </c:pt>
                <c:pt idx="10">
                  <c:v>-0.88888888888888884</c:v>
                </c:pt>
                <c:pt idx="11">
                  <c:v>-0.77777777777777779</c:v>
                </c:pt>
                <c:pt idx="12">
                  <c:v>-0.77777777777777779</c:v>
                </c:pt>
                <c:pt idx="13">
                  <c:v>-0.61111111111111116</c:v>
                </c:pt>
                <c:pt idx="14">
                  <c:v>-0.61111111111111116</c:v>
                </c:pt>
                <c:pt idx="15">
                  <c:v>-0.55555555555555558</c:v>
                </c:pt>
                <c:pt idx="16">
                  <c:v>-0.55555555555555558</c:v>
                </c:pt>
                <c:pt idx="17">
                  <c:v>-0.44444444444444442</c:v>
                </c:pt>
                <c:pt idx="18">
                  <c:v>-0.44444444444444442</c:v>
                </c:pt>
                <c:pt idx="19">
                  <c:v>-0.44444444444444442</c:v>
                </c:pt>
                <c:pt idx="20">
                  <c:v>-0.44444444444444442</c:v>
                </c:pt>
                <c:pt idx="21">
                  <c:v>-0.3888888888888889</c:v>
                </c:pt>
                <c:pt idx="22">
                  <c:v>-0.3888888888888889</c:v>
                </c:pt>
                <c:pt idx="23">
                  <c:v>-0.33333333333333331</c:v>
                </c:pt>
                <c:pt idx="24">
                  <c:v>-0.33333333333333331</c:v>
                </c:pt>
                <c:pt idx="25">
                  <c:v>-0.33333333333333331</c:v>
                </c:pt>
                <c:pt idx="26">
                  <c:v>-0.33333333333333331</c:v>
                </c:pt>
                <c:pt idx="27">
                  <c:v>-0.27777777777777779</c:v>
                </c:pt>
                <c:pt idx="28">
                  <c:v>-0.27777777777777779</c:v>
                </c:pt>
                <c:pt idx="29">
                  <c:v>-0.16666666666666666</c:v>
                </c:pt>
                <c:pt idx="30">
                  <c:v>-0.16666666666666666</c:v>
                </c:pt>
                <c:pt idx="31">
                  <c:v>-0.16666666666666666</c:v>
                </c:pt>
                <c:pt idx="32">
                  <c:v>-0.16666666666666666</c:v>
                </c:pt>
                <c:pt idx="33">
                  <c:v>-0.1111111111111111</c:v>
                </c:pt>
                <c:pt idx="34">
                  <c:v>-0.1111111111111111</c:v>
                </c:pt>
                <c:pt idx="35">
                  <c:v>-5.5555555555555552E-2</c:v>
                </c:pt>
                <c:pt idx="36">
                  <c:v>-5.5555555555555552E-2</c:v>
                </c:pt>
                <c:pt idx="37">
                  <c:v>-5.5555555555555552E-2</c:v>
                </c:pt>
                <c:pt idx="38">
                  <c:v>-5.5555555555555552E-2</c:v>
                </c:pt>
                <c:pt idx="39">
                  <c:v>-5.5555555555555552E-2</c:v>
                </c:pt>
                <c:pt idx="40">
                  <c:v>-5.5555555555555552E-2</c:v>
                </c:pt>
                <c:pt idx="41">
                  <c:v>0</c:v>
                </c:pt>
                <c:pt idx="42">
                  <c:v>0</c:v>
                </c:pt>
                <c:pt idx="43">
                  <c:v>5.5555555555555552E-2</c:v>
                </c:pt>
                <c:pt idx="44">
                  <c:v>5.5555555555555552E-2</c:v>
                </c:pt>
                <c:pt idx="45">
                  <c:v>0.1111111111111111</c:v>
                </c:pt>
                <c:pt idx="46">
                  <c:v>0.1111111111111111</c:v>
                </c:pt>
                <c:pt idx="47">
                  <c:v>0.16666666666666666</c:v>
                </c:pt>
                <c:pt idx="48">
                  <c:v>0.16666666666666666</c:v>
                </c:pt>
                <c:pt idx="49">
                  <c:v>0.16666666666666666</c:v>
                </c:pt>
                <c:pt idx="50">
                  <c:v>0.16666666666666666</c:v>
                </c:pt>
                <c:pt idx="51">
                  <c:v>0.3888888888888889</c:v>
                </c:pt>
                <c:pt idx="52">
                  <c:v>0.3888888888888889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0.44444444444444442</c:v>
                </c:pt>
                <c:pt idx="56">
                  <c:v>0.44444444444444442</c:v>
                </c:pt>
                <c:pt idx="57">
                  <c:v>0.55555555555555558</c:v>
                </c:pt>
                <c:pt idx="58">
                  <c:v>0.55555555555555558</c:v>
                </c:pt>
                <c:pt idx="59">
                  <c:v>0.66666666666666663</c:v>
                </c:pt>
                <c:pt idx="60">
                  <c:v>0.66666666666666663</c:v>
                </c:pt>
                <c:pt idx="61">
                  <c:v>0.66666666666666663</c:v>
                </c:pt>
                <c:pt idx="62">
                  <c:v>0.66666666666666663</c:v>
                </c:pt>
                <c:pt idx="63">
                  <c:v>0.72222222222222221</c:v>
                </c:pt>
                <c:pt idx="64">
                  <c:v>0.72222222222222221</c:v>
                </c:pt>
                <c:pt idx="65">
                  <c:v>0.88888888888888884</c:v>
                </c:pt>
                <c:pt idx="66">
                  <c:v>0.88888888888888884</c:v>
                </c:pt>
                <c:pt idx="67">
                  <c:v>0.94444444444444442</c:v>
                </c:pt>
                <c:pt idx="68">
                  <c:v>0.94444444444444442</c:v>
                </c:pt>
                <c:pt idx="69">
                  <c:v>1</c:v>
                </c:pt>
                <c:pt idx="70">
                  <c:v>1</c:v>
                </c:pt>
                <c:pt idx="71">
                  <c:v>1.2777777777777777</c:v>
                </c:pt>
                <c:pt idx="72">
                  <c:v>1.2777777777777777</c:v>
                </c:pt>
                <c:pt idx="73">
                  <c:v>1.3888888888888888</c:v>
                </c:pt>
                <c:pt idx="74">
                  <c:v>1.3888888888888888</c:v>
                </c:pt>
                <c:pt idx="75">
                  <c:v>1.4444444444444444</c:v>
                </c:pt>
                <c:pt idx="76">
                  <c:v>1.4444444444444444</c:v>
                </c:pt>
                <c:pt idx="77">
                  <c:v>2</c:v>
                </c:pt>
                <c:pt idx="78">
                  <c:v>2</c:v>
                </c:pt>
                <c:pt idx="79">
                  <c:v>2.0555555555555554</c:v>
                </c:pt>
                <c:pt idx="80">
                  <c:v>2.0555555555555554</c:v>
                </c:pt>
                <c:pt idx="81">
                  <c:v>2.3888888888888888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C3-4BE7-BA07-20DF50E08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640280"/>
        <c:axId val="536640608"/>
      </c:scatterChart>
      <c:valAx>
        <c:axId val="536640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6640608"/>
        <c:crosses val="autoZero"/>
        <c:crossBetween val="midCat"/>
      </c:valAx>
      <c:valAx>
        <c:axId val="5366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6640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Arkusz1!_srodki</c:f>
              <c:numCache>
                <c:formatCode>General</c:formatCode>
                <c:ptCount val="20"/>
                <c:pt idx="0">
                  <c:v>148</c:v>
                </c:pt>
                <c:pt idx="1">
                  <c:v>151.63157894736838</c:v>
                </c:pt>
                <c:pt idx="2">
                  <c:v>155.26315789473682</c:v>
                </c:pt>
                <c:pt idx="3">
                  <c:v>158.8947368421052</c:v>
                </c:pt>
                <c:pt idx="4">
                  <c:v>162.52631578947364</c:v>
                </c:pt>
                <c:pt idx="5">
                  <c:v>166.15789473684202</c:v>
                </c:pt>
                <c:pt idx="6">
                  <c:v>169.78947368421046</c:v>
                </c:pt>
                <c:pt idx="7">
                  <c:v>173.42105263157885</c:v>
                </c:pt>
                <c:pt idx="8">
                  <c:v>177.05263157894728</c:v>
                </c:pt>
                <c:pt idx="9">
                  <c:v>180.68421052631567</c:v>
                </c:pt>
                <c:pt idx="10">
                  <c:v>184.31578947368411</c:v>
                </c:pt>
                <c:pt idx="11">
                  <c:v>187.94736842105249</c:v>
                </c:pt>
                <c:pt idx="12">
                  <c:v>191.57894736842093</c:v>
                </c:pt>
                <c:pt idx="13">
                  <c:v>195.21052631578931</c:v>
                </c:pt>
                <c:pt idx="14">
                  <c:v>198.84210526315775</c:v>
                </c:pt>
                <c:pt idx="15">
                  <c:v>202.47368421052613</c:v>
                </c:pt>
                <c:pt idx="16">
                  <c:v>206.10526315789457</c:v>
                </c:pt>
                <c:pt idx="17">
                  <c:v>209.73684210526295</c:v>
                </c:pt>
                <c:pt idx="18">
                  <c:v>213.36842105263139</c:v>
                </c:pt>
                <c:pt idx="19">
                  <c:v>216.99999999999977</c:v>
                </c:pt>
              </c:numCache>
            </c:numRef>
          </c:cat>
          <c:val>
            <c:numRef>
              <c:f>Arkusz1!_skalm</c:f>
              <c:numCache>
                <c:formatCode>General</c:formatCode>
                <c:ptCount val="20"/>
                <c:pt idx="0">
                  <c:v>1.4366729678638942E-3</c:v>
                </c:pt>
                <c:pt idx="1">
                  <c:v>9.5778197857592938E-4</c:v>
                </c:pt>
                <c:pt idx="2">
                  <c:v>1.9155639571518588E-3</c:v>
                </c:pt>
                <c:pt idx="3">
                  <c:v>6.7044738500315051E-3</c:v>
                </c:pt>
                <c:pt idx="4">
                  <c:v>1.340894770006301E-2</c:v>
                </c:pt>
                <c:pt idx="5">
                  <c:v>1.1014492753623189E-2</c:v>
                </c:pt>
                <c:pt idx="6">
                  <c:v>3.2085696282293637E-2</c:v>
                </c:pt>
                <c:pt idx="7">
                  <c:v>3.8311279143037176E-2</c:v>
                </c:pt>
                <c:pt idx="8">
                  <c:v>2.4423440453686197E-2</c:v>
                </c:pt>
                <c:pt idx="9">
                  <c:v>3.064902331442974E-2</c:v>
                </c:pt>
                <c:pt idx="10">
                  <c:v>3.8790170132325136E-2</c:v>
                </c:pt>
                <c:pt idx="11">
                  <c:v>2.2986767485822308E-2</c:v>
                </c:pt>
                <c:pt idx="12">
                  <c:v>2.1071203528670444E-2</c:v>
                </c:pt>
                <c:pt idx="13">
                  <c:v>1.5803402646502835E-2</c:v>
                </c:pt>
                <c:pt idx="14">
                  <c:v>4.788909892879647E-3</c:v>
                </c:pt>
                <c:pt idx="15">
                  <c:v>6.7044738500315051E-3</c:v>
                </c:pt>
                <c:pt idx="16">
                  <c:v>1.9155639571518588E-3</c:v>
                </c:pt>
                <c:pt idx="17">
                  <c:v>1.9155639571518588E-3</c:v>
                </c:pt>
                <c:pt idx="18">
                  <c:v>0</c:v>
                </c:pt>
                <c:pt idx="19">
                  <c:v>4.7889098928796469E-4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9-4FDD-B8F2-E28150500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7196160"/>
        <c:axId val="47179520"/>
      </c:barChart>
      <c:scatterChart>
        <c:scatterStyle val="smooth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Arkusz1!$U$3:$U$103</c:f>
              <c:numCache>
                <c:formatCode>General</c:formatCode>
                <c:ptCount val="101"/>
                <c:pt idx="0">
                  <c:v>0.5</c:v>
                </c:pt>
                <c:pt idx="1">
                  <c:v>0.7</c:v>
                </c:pt>
                <c:pt idx="2">
                  <c:v>0.89999999999999991</c:v>
                </c:pt>
                <c:pt idx="3">
                  <c:v>1.0999999999999999</c:v>
                </c:pt>
                <c:pt idx="4">
                  <c:v>1.2999999999999998</c:v>
                </c:pt>
                <c:pt idx="5">
                  <c:v>1.4999999999999998</c:v>
                </c:pt>
                <c:pt idx="6">
                  <c:v>1.6999999999999997</c:v>
                </c:pt>
                <c:pt idx="7">
                  <c:v>1.8999999999999997</c:v>
                </c:pt>
                <c:pt idx="8">
                  <c:v>2.0999999999999996</c:v>
                </c:pt>
                <c:pt idx="9">
                  <c:v>2.2999999999999998</c:v>
                </c:pt>
                <c:pt idx="10">
                  <c:v>2.5</c:v>
                </c:pt>
                <c:pt idx="11">
                  <c:v>2.7</c:v>
                </c:pt>
                <c:pt idx="12">
                  <c:v>2.9000000000000004</c:v>
                </c:pt>
                <c:pt idx="13">
                  <c:v>3.1000000000000005</c:v>
                </c:pt>
                <c:pt idx="14">
                  <c:v>3.3000000000000007</c:v>
                </c:pt>
                <c:pt idx="15">
                  <c:v>3.5000000000000009</c:v>
                </c:pt>
                <c:pt idx="16">
                  <c:v>3.7000000000000011</c:v>
                </c:pt>
                <c:pt idx="17">
                  <c:v>3.9000000000000012</c:v>
                </c:pt>
                <c:pt idx="18">
                  <c:v>4.1000000000000014</c:v>
                </c:pt>
                <c:pt idx="19">
                  <c:v>4.3000000000000016</c:v>
                </c:pt>
                <c:pt idx="20">
                  <c:v>4.5000000000000018</c:v>
                </c:pt>
                <c:pt idx="21">
                  <c:v>4.700000000000002</c:v>
                </c:pt>
                <c:pt idx="22">
                  <c:v>4.9000000000000021</c:v>
                </c:pt>
                <c:pt idx="23">
                  <c:v>5.1000000000000023</c:v>
                </c:pt>
                <c:pt idx="24">
                  <c:v>5.3000000000000025</c:v>
                </c:pt>
                <c:pt idx="25">
                  <c:v>5.5000000000000027</c:v>
                </c:pt>
                <c:pt idx="26">
                  <c:v>5.7000000000000028</c:v>
                </c:pt>
                <c:pt idx="27">
                  <c:v>5.900000000000003</c:v>
                </c:pt>
                <c:pt idx="28">
                  <c:v>6.1000000000000032</c:v>
                </c:pt>
                <c:pt idx="29">
                  <c:v>6.3000000000000034</c:v>
                </c:pt>
                <c:pt idx="30">
                  <c:v>6.5000000000000036</c:v>
                </c:pt>
                <c:pt idx="31">
                  <c:v>6.7000000000000037</c:v>
                </c:pt>
                <c:pt idx="32">
                  <c:v>6.9000000000000039</c:v>
                </c:pt>
                <c:pt idx="33">
                  <c:v>7.1000000000000041</c:v>
                </c:pt>
                <c:pt idx="34">
                  <c:v>7.3000000000000043</c:v>
                </c:pt>
                <c:pt idx="35">
                  <c:v>7.5000000000000044</c:v>
                </c:pt>
                <c:pt idx="36">
                  <c:v>7.7000000000000046</c:v>
                </c:pt>
                <c:pt idx="37">
                  <c:v>7.9000000000000048</c:v>
                </c:pt>
                <c:pt idx="38">
                  <c:v>8.100000000000005</c:v>
                </c:pt>
                <c:pt idx="39">
                  <c:v>8.3000000000000043</c:v>
                </c:pt>
                <c:pt idx="40">
                  <c:v>8.5000000000000036</c:v>
                </c:pt>
                <c:pt idx="41">
                  <c:v>8.7000000000000028</c:v>
                </c:pt>
                <c:pt idx="42">
                  <c:v>8.9000000000000021</c:v>
                </c:pt>
                <c:pt idx="43">
                  <c:v>9.1000000000000014</c:v>
                </c:pt>
                <c:pt idx="44">
                  <c:v>9.3000000000000007</c:v>
                </c:pt>
                <c:pt idx="45">
                  <c:v>9.5</c:v>
                </c:pt>
                <c:pt idx="46">
                  <c:v>9.6999999999999993</c:v>
                </c:pt>
                <c:pt idx="47">
                  <c:v>9.8999999999999986</c:v>
                </c:pt>
                <c:pt idx="48">
                  <c:v>10.099999999999998</c:v>
                </c:pt>
                <c:pt idx="49">
                  <c:v>10.299999999999997</c:v>
                </c:pt>
                <c:pt idx="50">
                  <c:v>10.499999999999996</c:v>
                </c:pt>
                <c:pt idx="51">
                  <c:v>10.699999999999996</c:v>
                </c:pt>
                <c:pt idx="52">
                  <c:v>10.899999999999995</c:v>
                </c:pt>
                <c:pt idx="53">
                  <c:v>11.099999999999994</c:v>
                </c:pt>
                <c:pt idx="54">
                  <c:v>11.299999999999994</c:v>
                </c:pt>
                <c:pt idx="55">
                  <c:v>11.499999999999993</c:v>
                </c:pt>
                <c:pt idx="56">
                  <c:v>11.699999999999992</c:v>
                </c:pt>
                <c:pt idx="57">
                  <c:v>11.899999999999991</c:v>
                </c:pt>
                <c:pt idx="58">
                  <c:v>12.099999999999991</c:v>
                </c:pt>
                <c:pt idx="59">
                  <c:v>12.29999999999999</c:v>
                </c:pt>
                <c:pt idx="60">
                  <c:v>12.499999999999989</c:v>
                </c:pt>
                <c:pt idx="61">
                  <c:v>12.699999999999989</c:v>
                </c:pt>
                <c:pt idx="62">
                  <c:v>12.899999999999988</c:v>
                </c:pt>
                <c:pt idx="63">
                  <c:v>13.099999999999987</c:v>
                </c:pt>
                <c:pt idx="64">
                  <c:v>13.299999999999986</c:v>
                </c:pt>
                <c:pt idx="65">
                  <c:v>13.499999999999986</c:v>
                </c:pt>
                <c:pt idx="66">
                  <c:v>13.699999999999985</c:v>
                </c:pt>
                <c:pt idx="67">
                  <c:v>13.899999999999984</c:v>
                </c:pt>
                <c:pt idx="68">
                  <c:v>14.099999999999984</c:v>
                </c:pt>
                <c:pt idx="69">
                  <c:v>14.299999999999983</c:v>
                </c:pt>
                <c:pt idx="70">
                  <c:v>14.499999999999982</c:v>
                </c:pt>
                <c:pt idx="71">
                  <c:v>14.699999999999982</c:v>
                </c:pt>
                <c:pt idx="72">
                  <c:v>14.899999999999981</c:v>
                </c:pt>
                <c:pt idx="73">
                  <c:v>15.09999999999998</c:v>
                </c:pt>
                <c:pt idx="74">
                  <c:v>15.299999999999979</c:v>
                </c:pt>
                <c:pt idx="75">
                  <c:v>15.499999999999979</c:v>
                </c:pt>
                <c:pt idx="76">
                  <c:v>15.699999999999978</c:v>
                </c:pt>
                <c:pt idx="77">
                  <c:v>15.899999999999977</c:v>
                </c:pt>
                <c:pt idx="78">
                  <c:v>16.099999999999977</c:v>
                </c:pt>
                <c:pt idx="79">
                  <c:v>16.299999999999976</c:v>
                </c:pt>
                <c:pt idx="80">
                  <c:v>16.499999999999975</c:v>
                </c:pt>
                <c:pt idx="81">
                  <c:v>16.699999999999974</c:v>
                </c:pt>
                <c:pt idx="82">
                  <c:v>16.899999999999974</c:v>
                </c:pt>
                <c:pt idx="83">
                  <c:v>17.099999999999973</c:v>
                </c:pt>
                <c:pt idx="84">
                  <c:v>17.299999999999972</c:v>
                </c:pt>
                <c:pt idx="85">
                  <c:v>17.499999999999972</c:v>
                </c:pt>
                <c:pt idx="86">
                  <c:v>17.699999999999971</c:v>
                </c:pt>
                <c:pt idx="87">
                  <c:v>17.89999999999997</c:v>
                </c:pt>
                <c:pt idx="88">
                  <c:v>18.099999999999969</c:v>
                </c:pt>
                <c:pt idx="89">
                  <c:v>18.299999999999969</c:v>
                </c:pt>
                <c:pt idx="90">
                  <c:v>18.499999999999968</c:v>
                </c:pt>
                <c:pt idx="91">
                  <c:v>18.699999999999967</c:v>
                </c:pt>
                <c:pt idx="92">
                  <c:v>18.899999999999967</c:v>
                </c:pt>
                <c:pt idx="93">
                  <c:v>19.099999999999966</c:v>
                </c:pt>
                <c:pt idx="94">
                  <c:v>19.299999999999965</c:v>
                </c:pt>
                <c:pt idx="95">
                  <c:v>19.499999999999964</c:v>
                </c:pt>
                <c:pt idx="96">
                  <c:v>19.699999999999964</c:v>
                </c:pt>
                <c:pt idx="97">
                  <c:v>19.899999999999963</c:v>
                </c:pt>
                <c:pt idx="98">
                  <c:v>20.099999999999962</c:v>
                </c:pt>
                <c:pt idx="99">
                  <c:v>20.299999999999962</c:v>
                </c:pt>
                <c:pt idx="100">
                  <c:v>20.499999999999961</c:v>
                </c:pt>
              </c:numCache>
            </c:numRef>
          </c:xVal>
          <c:yVal>
            <c:numRef>
              <c:f>Arkusz1!$W$3:$W$103</c:f>
              <c:numCache>
                <c:formatCode>General</c:formatCode>
                <c:ptCount val="101"/>
                <c:pt idx="0">
                  <c:v>0</c:v>
                </c:pt>
                <c:pt idx="1">
                  <c:v>7.4239629581946071E-4</c:v>
                </c:pt>
                <c:pt idx="2">
                  <c:v>8.7563569895591012E-4</c:v>
                </c:pt>
                <c:pt idx="3">
                  <c:v>1.0290112250158528E-3</c:v>
                </c:pt>
                <c:pt idx="4">
                  <c:v>1.2048299532212573E-3</c:v>
                </c:pt>
                <c:pt idx="5">
                  <c:v>1.4055308748553805E-3</c:v>
                </c:pt>
                <c:pt idx="6">
                  <c:v>1.6336687987585855E-3</c:v>
                </c:pt>
                <c:pt idx="7">
                  <c:v>1.8918932580447557E-3</c:v>
                </c:pt>
                <c:pt idx="8">
                  <c:v>2.1829220861978881E-3</c:v>
                </c:pt>
                <c:pt idx="9">
                  <c:v>2.5095094232196443E-3</c:v>
                </c:pt>
                <c:pt idx="10">
                  <c:v>2.8744080275148517E-3</c:v>
                </c:pt>
                <c:pt idx="11">
                  <c:v>3.2803259062537627E-3</c:v>
                </c:pt>
                <c:pt idx="12">
                  <c:v>3.7298774346297371E-3</c:v>
                </c:pt>
                <c:pt idx="13">
                  <c:v>4.2255293103090575E-3</c:v>
                </c:pt>
                <c:pt idx="14">
                  <c:v>4.7695418799423451E-3</c:v>
                </c:pt>
                <c:pt idx="15">
                  <c:v>5.3639065752910092E-3</c:v>
                </c:pt>
                <c:pt idx="16">
                  <c:v>6.0102804016947805E-3</c:v>
                </c:pt>
                <c:pt idx="17">
                  <c:v>6.7099186247032809E-3</c:v>
                </c:pt>
                <c:pt idx="18">
                  <c:v>7.4636069943618188E-3</c:v>
                </c:pt>
                <c:pt idx="19">
                  <c:v>8.271595022946724E-3</c:v>
                </c:pt>
                <c:pt idx="20">
                  <c:v>9.1335319826411562E-3</c:v>
                </c:pt>
                <c:pt idx="21">
                  <c:v>1.0048407406477389E-2</c:v>
                </c:pt>
                <c:pt idx="22">
                  <c:v>1.1014497950940623E-2</c:v>
                </c:pt>
                <c:pt idx="23">
                  <c:v>1.2029322504745543E-2</c:v>
                </c:pt>
                <c:pt idx="24">
                  <c:v>1.3089607399374334E-2</c:v>
                </c:pt>
                <c:pt idx="25">
                  <c:v>1.4191263488391283E-2</c:v>
                </c:pt>
                <c:pt idx="26">
                  <c:v>1.5329376711529809E-2</c:v>
                </c:pt>
                <c:pt idx="27">
                  <c:v>1.6498213545400479E-2</c:v>
                </c:pt>
                <c:pt idx="28">
                  <c:v>1.76912424670502E-2</c:v>
                </c:pt>
                <c:pt idx="29">
                  <c:v>1.8901172223650321E-2</c:v>
                </c:pt>
                <c:pt idx="30">
                  <c:v>2.0120007317962561E-2</c:v>
                </c:pt>
                <c:pt idx="31">
                  <c:v>2.1339120694033219E-2</c:v>
                </c:pt>
                <c:pt idx="32">
                  <c:v>2.2549343152167969E-2</c:v>
                </c:pt>
                <c:pt idx="33">
                  <c:v>2.3741068549968401E-2</c:v>
                </c:pt>
                <c:pt idx="34">
                  <c:v>2.4904373371938578E-2</c:v>
                </c:pt>
                <c:pt idx="35">
                  <c:v>2.6029148789797174E-2</c:v>
                </c:pt>
                <c:pt idx="36">
                  <c:v>2.7105242905499361E-2</c:v>
                </c:pt>
                <c:pt idx="37">
                  <c:v>2.8122610485216342E-2</c:v>
                </c:pt>
                <c:pt idx="38">
                  <c:v>2.907146717039048E-2</c:v>
                </c:pt>
                <c:pt idx="39">
                  <c:v>2.9942444905179482E-2</c:v>
                </c:pt>
                <c:pt idx="40">
                  <c:v>3.0726745159636023E-2</c:v>
                </c:pt>
                <c:pt idx="41">
                  <c:v>3.1416286463600958E-2</c:v>
                </c:pt>
                <c:pt idx="42">
                  <c:v>3.2003842803063655E-2</c:v>
                </c:pt>
                <c:pt idx="43">
                  <c:v>3.2483169570648972E-2</c:v>
                </c:pt>
                <c:pt idx="44">
                  <c:v>3.2849114003164939E-2</c:v>
                </c:pt>
                <c:pt idx="45">
                  <c:v>3.3097707376241341E-2</c:v>
                </c:pt>
                <c:pt idx="46">
                  <c:v>3.3226236649809483E-2</c:v>
                </c:pt>
                <c:pt idx="47">
                  <c:v>3.323329375596637E-2</c:v>
                </c:pt>
                <c:pt idx="48">
                  <c:v>3.311880127717632E-2</c:v>
                </c:pt>
                <c:pt idx="49">
                  <c:v>3.2884013860016006E-2</c:v>
                </c:pt>
                <c:pt idx="50">
                  <c:v>3.2531495328363434E-2</c:v>
                </c:pt>
                <c:pt idx="51">
                  <c:v>3.206507207980943E-2</c:v>
                </c:pt>
                <c:pt idx="52">
                  <c:v>3.1489763949827124E-2</c:v>
                </c:pt>
                <c:pt idx="53">
                  <c:v>3.0811694290328418E-2</c:v>
                </c:pt>
                <c:pt idx="54">
                  <c:v>3.0037981514667782E-2</c:v>
                </c:pt>
                <c:pt idx="55">
                  <c:v>2.9176614794165025E-2</c:v>
                </c:pt>
                <c:pt idx="56">
                  <c:v>2.8236316938896815E-2</c:v>
                </c:pt>
                <c:pt idx="57">
                  <c:v>2.7226397748246697E-2</c:v>
                </c:pt>
                <c:pt idx="58">
                  <c:v>2.615660126852502E-2</c:v>
                </c:pt>
                <c:pt idx="59">
                  <c:v>2.5036950443671293E-2</c:v>
                </c:pt>
                <c:pt idx="60">
                  <c:v>2.387759259219098E-2</c:v>
                </c:pt>
                <c:pt idx="61">
                  <c:v>2.2688648994204429E-2</c:v>
                </c:pt>
                <c:pt idx="62">
                  <c:v>2.1480071635206741E-2</c:v>
                </c:pt>
                <c:pt idx="63">
                  <c:v>2.0261509839074949E-2</c:v>
                </c:pt>
                <c:pt idx="64">
                  <c:v>1.9042189145489913E-2</c:v>
                </c:pt>
                <c:pt idx="65">
                  <c:v>1.7830804361369395E-2</c:v>
                </c:pt>
                <c:pt idx="66">
                  <c:v>1.6635428258203033E-2</c:v>
                </c:pt>
                <c:pt idx="67">
                  <c:v>1.5463436913689522E-2</c:v>
                </c:pt>
                <c:pt idx="68">
                  <c:v>1.4321452222786558E-2</c:v>
                </c:pt>
                <c:pt idx="69">
                  <c:v>1.3215301645212988E-2</c:v>
                </c:pt>
                <c:pt idx="70">
                  <c:v>1.2149994827119532E-2</c:v>
                </c:pt>
                <c:pt idx="71">
                  <c:v>1.1129716345684064E-2</c:v>
                </c:pt>
                <c:pt idx="72">
                  <c:v>1.0157833486170401E-2</c:v>
                </c:pt>
                <c:pt idx="73">
                  <c:v>9.2369176784636593E-3</c:v>
                </c:pt>
                <c:pt idx="74">
                  <c:v>8.368777998689677E-3</c:v>
                </c:pt>
                <c:pt idx="75">
                  <c:v>7.5545049831794095E-3</c:v>
                </c:pt>
                <c:pt idx="76">
                  <c:v>6.7945229063311732E-3</c:v>
                </c:pt>
                <c:pt idx="77">
                  <c:v>6.0886486382895847E-3</c:v>
                </c:pt>
                <c:pt idx="78">
                  <c:v>5.4361552183819486E-3</c:v>
                </c:pt>
                <c:pt idx="79">
                  <c:v>4.835838349997075E-3</c:v>
                </c:pt>
                <c:pt idx="80">
                  <c:v>4.2860841349789559E-3</c:v>
                </c:pt>
                <c:pt idx="81">
                  <c:v>3.7849365127969846E-3</c:v>
                </c:pt>
                <c:pt idx="82">
                  <c:v>3.3301630435160655E-3</c:v>
                </c:pt>
                <c:pt idx="83">
                  <c:v>2.9193178656593019E-3</c:v>
                </c:pt>
                <c:pt idx="84">
                  <c:v>2.5498008624495402E-3</c:v>
                </c:pt>
                <c:pt idx="85">
                  <c:v>2.2189122752010906E-3</c:v>
                </c:pt>
                <c:pt idx="86">
                  <c:v>1.9239022041445352E-3</c:v>
                </c:pt>
                <c:pt idx="87">
                  <c:v>1.6620146289678776E-3</c:v>
                </c:pt>
                <c:pt idx="88">
                  <c:v>1.4305257591393004E-3</c:v>
                </c:pt>
                <c:pt idx="89">
                  <c:v>1.2267766840113423E-3</c:v>
                </c:pt>
                <c:pt idx="90">
                  <c:v>1.0482004322406873E-3</c:v>
                </c:pt>
                <c:pt idx="91">
                  <c:v>8.9234366766990274E-4</c:v>
                </c:pt>
                <c:pt idx="92">
                  <c:v>7.5688334393427393E-4</c:v>
                </c:pt>
                <c:pt idx="93">
                  <c:v>6.396387129456115E-4</c:v>
                </c:pt>
                <c:pt idx="94">
                  <c:v>5.3857913404488486E-4</c:v>
                </c:pt>
                <c:pt idx="95">
                  <c:v>4.5182816255989928E-4</c:v>
                </c:pt>
                <c:pt idx="96">
                  <c:v>3.7766441073814022E-4</c:v>
                </c:pt>
                <c:pt idx="97">
                  <c:v>3.1451967282761798E-4</c:v>
                </c:pt>
                <c:pt idx="98">
                  <c:v>2.6097479189425316E-4</c:v>
                </c:pt>
                <c:pt idx="99">
                  <c:v>2.1575372128669111E-4</c:v>
                </c:pt>
                <c:pt idx="100">
                  <c:v>1.7771620093184158E-4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09-4FDD-B8F2-E28150500DA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Arkusz1!$U$3:$U$103</c:f>
              <c:numCache>
                <c:formatCode>General</c:formatCode>
                <c:ptCount val="101"/>
                <c:pt idx="0">
                  <c:v>0.5</c:v>
                </c:pt>
                <c:pt idx="1">
                  <c:v>0.7</c:v>
                </c:pt>
                <c:pt idx="2">
                  <c:v>0.89999999999999991</c:v>
                </c:pt>
                <c:pt idx="3">
                  <c:v>1.0999999999999999</c:v>
                </c:pt>
                <c:pt idx="4">
                  <c:v>1.2999999999999998</c:v>
                </c:pt>
                <c:pt idx="5">
                  <c:v>1.4999999999999998</c:v>
                </c:pt>
                <c:pt idx="6">
                  <c:v>1.6999999999999997</c:v>
                </c:pt>
                <c:pt idx="7">
                  <c:v>1.8999999999999997</c:v>
                </c:pt>
                <c:pt idx="8">
                  <c:v>2.0999999999999996</c:v>
                </c:pt>
                <c:pt idx="9">
                  <c:v>2.2999999999999998</c:v>
                </c:pt>
                <c:pt idx="10">
                  <c:v>2.5</c:v>
                </c:pt>
                <c:pt idx="11">
                  <c:v>2.7</c:v>
                </c:pt>
                <c:pt idx="12">
                  <c:v>2.9000000000000004</c:v>
                </c:pt>
                <c:pt idx="13">
                  <c:v>3.1000000000000005</c:v>
                </c:pt>
                <c:pt idx="14">
                  <c:v>3.3000000000000007</c:v>
                </c:pt>
                <c:pt idx="15">
                  <c:v>3.5000000000000009</c:v>
                </c:pt>
                <c:pt idx="16">
                  <c:v>3.7000000000000011</c:v>
                </c:pt>
                <c:pt idx="17">
                  <c:v>3.9000000000000012</c:v>
                </c:pt>
                <c:pt idx="18">
                  <c:v>4.1000000000000014</c:v>
                </c:pt>
                <c:pt idx="19">
                  <c:v>4.3000000000000016</c:v>
                </c:pt>
                <c:pt idx="20">
                  <c:v>4.5000000000000018</c:v>
                </c:pt>
                <c:pt idx="21">
                  <c:v>4.700000000000002</c:v>
                </c:pt>
                <c:pt idx="22">
                  <c:v>4.9000000000000021</c:v>
                </c:pt>
                <c:pt idx="23">
                  <c:v>5.1000000000000023</c:v>
                </c:pt>
                <c:pt idx="24">
                  <c:v>5.3000000000000025</c:v>
                </c:pt>
                <c:pt idx="25">
                  <c:v>5.5000000000000027</c:v>
                </c:pt>
                <c:pt idx="26">
                  <c:v>5.7000000000000028</c:v>
                </c:pt>
                <c:pt idx="27">
                  <c:v>5.900000000000003</c:v>
                </c:pt>
                <c:pt idx="28">
                  <c:v>6.1000000000000032</c:v>
                </c:pt>
                <c:pt idx="29">
                  <c:v>6.3000000000000034</c:v>
                </c:pt>
                <c:pt idx="30">
                  <c:v>6.5000000000000036</c:v>
                </c:pt>
                <c:pt idx="31">
                  <c:v>6.7000000000000037</c:v>
                </c:pt>
                <c:pt idx="32">
                  <c:v>6.9000000000000039</c:v>
                </c:pt>
                <c:pt idx="33">
                  <c:v>7.1000000000000041</c:v>
                </c:pt>
                <c:pt idx="34">
                  <c:v>7.3000000000000043</c:v>
                </c:pt>
                <c:pt idx="35">
                  <c:v>7.5000000000000044</c:v>
                </c:pt>
                <c:pt idx="36">
                  <c:v>7.7000000000000046</c:v>
                </c:pt>
                <c:pt idx="37">
                  <c:v>7.9000000000000048</c:v>
                </c:pt>
                <c:pt idx="38">
                  <c:v>8.100000000000005</c:v>
                </c:pt>
                <c:pt idx="39">
                  <c:v>8.3000000000000043</c:v>
                </c:pt>
                <c:pt idx="40">
                  <c:v>8.5000000000000036</c:v>
                </c:pt>
                <c:pt idx="41">
                  <c:v>8.7000000000000028</c:v>
                </c:pt>
                <c:pt idx="42">
                  <c:v>8.9000000000000021</c:v>
                </c:pt>
                <c:pt idx="43">
                  <c:v>9.1000000000000014</c:v>
                </c:pt>
                <c:pt idx="44">
                  <c:v>9.3000000000000007</c:v>
                </c:pt>
                <c:pt idx="45">
                  <c:v>9.5</c:v>
                </c:pt>
                <c:pt idx="46">
                  <c:v>9.6999999999999993</c:v>
                </c:pt>
                <c:pt idx="47">
                  <c:v>9.8999999999999986</c:v>
                </c:pt>
                <c:pt idx="48">
                  <c:v>10.099999999999998</c:v>
                </c:pt>
                <c:pt idx="49">
                  <c:v>10.299999999999997</c:v>
                </c:pt>
                <c:pt idx="50">
                  <c:v>10.499999999999996</c:v>
                </c:pt>
                <c:pt idx="51">
                  <c:v>10.699999999999996</c:v>
                </c:pt>
                <c:pt idx="52">
                  <c:v>10.899999999999995</c:v>
                </c:pt>
                <c:pt idx="53">
                  <c:v>11.099999999999994</c:v>
                </c:pt>
                <c:pt idx="54">
                  <c:v>11.299999999999994</c:v>
                </c:pt>
                <c:pt idx="55">
                  <c:v>11.499999999999993</c:v>
                </c:pt>
                <c:pt idx="56">
                  <c:v>11.699999999999992</c:v>
                </c:pt>
                <c:pt idx="57">
                  <c:v>11.899999999999991</c:v>
                </c:pt>
                <c:pt idx="58">
                  <c:v>12.099999999999991</c:v>
                </c:pt>
                <c:pt idx="59">
                  <c:v>12.29999999999999</c:v>
                </c:pt>
                <c:pt idx="60">
                  <c:v>12.499999999999989</c:v>
                </c:pt>
                <c:pt idx="61">
                  <c:v>12.699999999999989</c:v>
                </c:pt>
                <c:pt idx="62">
                  <c:v>12.899999999999988</c:v>
                </c:pt>
                <c:pt idx="63">
                  <c:v>13.099999999999987</c:v>
                </c:pt>
                <c:pt idx="64">
                  <c:v>13.299999999999986</c:v>
                </c:pt>
                <c:pt idx="65">
                  <c:v>13.499999999999986</c:v>
                </c:pt>
                <c:pt idx="66">
                  <c:v>13.699999999999985</c:v>
                </c:pt>
                <c:pt idx="67">
                  <c:v>13.899999999999984</c:v>
                </c:pt>
                <c:pt idx="68">
                  <c:v>14.099999999999984</c:v>
                </c:pt>
                <c:pt idx="69">
                  <c:v>14.299999999999983</c:v>
                </c:pt>
                <c:pt idx="70">
                  <c:v>14.499999999999982</c:v>
                </c:pt>
                <c:pt idx="71">
                  <c:v>14.699999999999982</c:v>
                </c:pt>
                <c:pt idx="72">
                  <c:v>14.899999999999981</c:v>
                </c:pt>
                <c:pt idx="73">
                  <c:v>15.09999999999998</c:v>
                </c:pt>
                <c:pt idx="74">
                  <c:v>15.299999999999979</c:v>
                </c:pt>
                <c:pt idx="75">
                  <c:v>15.499999999999979</c:v>
                </c:pt>
                <c:pt idx="76">
                  <c:v>15.699999999999978</c:v>
                </c:pt>
                <c:pt idx="77">
                  <c:v>15.899999999999977</c:v>
                </c:pt>
                <c:pt idx="78">
                  <c:v>16.099999999999977</c:v>
                </c:pt>
                <c:pt idx="79">
                  <c:v>16.299999999999976</c:v>
                </c:pt>
                <c:pt idx="80">
                  <c:v>16.499999999999975</c:v>
                </c:pt>
                <c:pt idx="81">
                  <c:v>16.699999999999974</c:v>
                </c:pt>
                <c:pt idx="82">
                  <c:v>16.899999999999974</c:v>
                </c:pt>
                <c:pt idx="83">
                  <c:v>17.099999999999973</c:v>
                </c:pt>
                <c:pt idx="84">
                  <c:v>17.299999999999972</c:v>
                </c:pt>
                <c:pt idx="85">
                  <c:v>17.499999999999972</c:v>
                </c:pt>
                <c:pt idx="86">
                  <c:v>17.699999999999971</c:v>
                </c:pt>
                <c:pt idx="87">
                  <c:v>17.89999999999997</c:v>
                </c:pt>
                <c:pt idx="88">
                  <c:v>18.099999999999969</c:v>
                </c:pt>
                <c:pt idx="89">
                  <c:v>18.299999999999969</c:v>
                </c:pt>
                <c:pt idx="90">
                  <c:v>18.499999999999968</c:v>
                </c:pt>
                <c:pt idx="91">
                  <c:v>18.699999999999967</c:v>
                </c:pt>
                <c:pt idx="92">
                  <c:v>18.899999999999967</c:v>
                </c:pt>
                <c:pt idx="93">
                  <c:v>19.099999999999966</c:v>
                </c:pt>
                <c:pt idx="94">
                  <c:v>19.299999999999965</c:v>
                </c:pt>
                <c:pt idx="95">
                  <c:v>19.499999999999964</c:v>
                </c:pt>
                <c:pt idx="96">
                  <c:v>19.699999999999964</c:v>
                </c:pt>
                <c:pt idx="97">
                  <c:v>19.899999999999963</c:v>
                </c:pt>
                <c:pt idx="98">
                  <c:v>20.099999999999962</c:v>
                </c:pt>
                <c:pt idx="99">
                  <c:v>20.299999999999962</c:v>
                </c:pt>
                <c:pt idx="100">
                  <c:v>20.499999999999961</c:v>
                </c:pt>
              </c:numCache>
            </c:numRef>
          </c:xVal>
          <c:yVal>
            <c:numRef>
              <c:f>Arkusz1!$Z$3:$Z$103</c:f>
              <c:numCache>
                <c:formatCode>General</c:formatCode>
                <c:ptCount val="101"/>
                <c:pt idx="0">
                  <c:v>5.8125571455054583E-4</c:v>
                </c:pt>
                <c:pt idx="1">
                  <c:v>6.8719851996948509E-4</c:v>
                </c:pt>
                <c:pt idx="2">
                  <c:v>7.9244006097114626E-4</c:v>
                </c:pt>
                <c:pt idx="3">
                  <c:v>8.9708947071903884E-4</c:v>
                </c:pt>
                <c:pt idx="4">
                  <c:v>1.0046151371898679E-3</c:v>
                </c:pt>
                <c:pt idx="5">
                  <c:v>1.1221094595175148E-3</c:v>
                </c:pt>
                <c:pt idx="6">
                  <c:v>1.2599742363004712E-3</c:v>
                </c:pt>
                <c:pt idx="7">
                  <c:v>1.4311429275534028E-3</c:v>
                </c:pt>
                <c:pt idx="8">
                  <c:v>1.6500110559649207E-3</c:v>
                </c:pt>
                <c:pt idx="9">
                  <c:v>1.9312018693352904E-3</c:v>
                </c:pt>
                <c:pt idx="10">
                  <c:v>2.2882040520292479E-3</c:v>
                </c:pt>
                <c:pt idx="11">
                  <c:v>2.7318664780913741E-3</c:v>
                </c:pt>
                <c:pt idx="12">
                  <c:v>3.2687840145606013E-3</c:v>
                </c:pt>
                <c:pt idx="13">
                  <c:v>3.8997561573374745E-3</c:v>
                </c:pt>
                <c:pt idx="14">
                  <c:v>4.6186772248007569E-3</c:v>
                </c:pt>
                <c:pt idx="15">
                  <c:v>5.4123217683995648E-3</c:v>
                </c:pt>
                <c:pt idx="16">
                  <c:v>6.2614401914041617E-3</c:v>
                </c:pt>
                <c:pt idx="17">
                  <c:v>7.1433521867985518E-3</c:v>
                </c:pt>
                <c:pt idx="18">
                  <c:v>8.0358589368082073E-3</c:v>
                </c:pt>
                <c:pt idx="19">
                  <c:v>8.9218782738326469E-3</c:v>
                </c:pt>
                <c:pt idx="20">
                  <c:v>9.7938564694539515E-3</c:v>
                </c:pt>
                <c:pt idx="21">
                  <c:v>1.0656845902493292E-2</c:v>
                </c:pt>
                <c:pt idx="22">
                  <c:v>1.1529254343893004E-2</c:v>
                </c:pt>
                <c:pt idx="23">
                  <c:v>1.2440700156700488E-2</c:v>
                </c:pt>
                <c:pt idx="24">
                  <c:v>1.3427078800739692E-2</c:v>
                </c:pt>
                <c:pt idx="25">
                  <c:v>1.4523681351886619E-2</c:v>
                </c:pt>
                <c:pt idx="26">
                  <c:v>1.5757764079249181E-2</c:v>
                </c:pt>
                <c:pt idx="27">
                  <c:v>1.7142141072748019E-2</c:v>
                </c:pt>
                <c:pt idx="28">
                  <c:v>1.8671087072576295E-2</c:v>
                </c:pt>
                <c:pt idx="29">
                  <c:v>2.031920812801484E-2</c:v>
                </c:pt>
                <c:pt idx="30">
                  <c:v>2.2043217955438267E-2</c:v>
                </c:pt>
                <c:pt idx="31">
                  <c:v>2.3786019230424314E-2</c:v>
                </c:pt>
                <c:pt idx="32">
                  <c:v>2.5482281656672618E-2</c:v>
                </c:pt>
                <c:pt idx="33">
                  <c:v>2.7064791691961691E-2</c:v>
                </c:pt>
                <c:pt idx="34">
                  <c:v>2.8471034341556727E-2</c:v>
                </c:pt>
                <c:pt idx="35">
                  <c:v>2.964955284994766E-2</c:v>
                </c:pt>
                <c:pt idx="36">
                  <c:v>3.0565537996828349E-2</c:v>
                </c:pt>
                <c:pt idx="37">
                  <c:v>3.1204921920167012E-2</c:v>
                </c:pt>
                <c:pt idx="38">
                  <c:v>3.1576196491790422E-2</c:v>
                </c:pt>
                <c:pt idx="39">
                  <c:v>3.1709408338071211E-2</c:v>
                </c:pt>
                <c:pt idx="40">
                  <c:v>3.165230005483298E-2</c:v>
                </c:pt>
                <c:pt idx="41">
                  <c:v>3.1464183245056794E-2</c:v>
                </c:pt>
                <c:pt idx="42">
                  <c:v>3.1208579184856401E-2</c:v>
                </c:pt>
                <c:pt idx="43">
                  <c:v>3.0945768812115096E-2</c:v>
                </c:pt>
                <c:pt idx="44">
                  <c:v>3.0726172126336486E-2</c:v>
                </c:pt>
                <c:pt idx="45">
                  <c:v>3.0585118196775295E-2</c:v>
                </c:pt>
                <c:pt idx="46">
                  <c:v>3.0539296755079107E-2</c:v>
                </c:pt>
                <c:pt idx="47">
                  <c:v>3.0585106347280538E-2</c:v>
                </c:pt>
                <c:pt idx="48">
                  <c:v>3.0699153585399423E-2</c:v>
                </c:pt>
                <c:pt idx="49">
                  <c:v>3.0841122552483058E-2</c:v>
                </c:pt>
                <c:pt idx="50">
                  <c:v>3.0958973321539435E-2</c:v>
                </c:pt>
                <c:pt idx="51">
                  <c:v>3.0995956869559291E-2</c:v>
                </c:pt>
                <c:pt idx="52">
                  <c:v>3.0898430220047492E-2</c:v>
                </c:pt>
                <c:pt idx="53">
                  <c:v>3.0623156003730015E-2</c:v>
                </c:pt>
                <c:pt idx="54">
                  <c:v>3.0142822911636329E-2</c:v>
                </c:pt>
                <c:pt idx="55">
                  <c:v>2.944891105780208E-2</c:v>
                </c:pt>
                <c:pt idx="56">
                  <c:v>2.8551597601111634E-2</c:v>
                </c:pt>
                <c:pt idx="57">
                  <c:v>2.7476966709972423E-2</c:v>
                </c:pt>
                <c:pt idx="58">
                  <c:v>2.6262224558045149E-2</c:v>
                </c:pt>
                <c:pt idx="59">
                  <c:v>2.4949879734435843E-2</c:v>
                </c:pt>
                <c:pt idx="60">
                  <c:v>2.3581938882591112E-2</c:v>
                </c:pt>
                <c:pt idx="61">
                  <c:v>2.2195097107412565E-2</c:v>
                </c:pt>
                <c:pt idx="62">
                  <c:v>2.0817671369656982E-2</c:v>
                </c:pt>
                <c:pt idx="63">
                  <c:v>1.9468643569632682E-2</c:v>
                </c:pt>
                <c:pt idx="64">
                  <c:v>1.8158705550846338E-2</c:v>
                </c:pt>
                <c:pt idx="65">
                  <c:v>1.6892741350641824E-2</c:v>
                </c:pt>
                <c:pt idx="66">
                  <c:v>1.5672873083917058E-2</c:v>
                </c:pt>
                <c:pt idx="67">
                  <c:v>1.4501132035308711E-2</c:v>
                </c:pt>
                <c:pt idx="68">
                  <c:v>1.338101658899033E-2</c:v>
                </c:pt>
                <c:pt idx="69">
                  <c:v>1.2317601769023103E-2</c:v>
                </c:pt>
                <c:pt idx="70">
                  <c:v>1.1316351127128624E-2</c:v>
                </c:pt>
                <c:pt idx="71">
                  <c:v>1.0381208780002999E-2</c:v>
                </c:pt>
                <c:pt idx="72">
                  <c:v>9.5127896761556859E-3</c:v>
                </c:pt>
                <c:pt idx="73">
                  <c:v>8.70745655366853E-3</c:v>
                </c:pt>
                <c:pt idx="74">
                  <c:v>7.9577630542267928E-3</c:v>
                </c:pt>
                <c:pt idx="75">
                  <c:v>7.2542382672581103E-3</c:v>
                </c:pt>
                <c:pt idx="76">
                  <c:v>6.5879591277248194E-3</c:v>
                </c:pt>
                <c:pt idx="77">
                  <c:v>5.953010245327078E-3</c:v>
                </c:pt>
                <c:pt idx="78">
                  <c:v>5.3479236912493547E-3</c:v>
                </c:pt>
                <c:pt idx="79">
                  <c:v>4.7755511753042063E-3</c:v>
                </c:pt>
                <c:pt idx="80">
                  <c:v>4.2414148568944423E-3</c:v>
                </c:pt>
                <c:pt idx="81">
                  <c:v>3.7511666527431545E-3</c:v>
                </c:pt>
                <c:pt idx="82">
                  <c:v>3.3081140043312788E-3</c:v>
                </c:pt>
                <c:pt idx="83">
                  <c:v>2.9117105664741533E-3</c:v>
                </c:pt>
                <c:pt idx="84">
                  <c:v>2.5575028586026631E-3</c:v>
                </c:pt>
                <c:pt idx="85">
                  <c:v>2.2384538046603475E-3</c:v>
                </c:pt>
                <c:pt idx="86">
                  <c:v>1.9470694730294299E-3</c:v>
                </c:pt>
                <c:pt idx="87">
                  <c:v>1.6775198419322675E-3</c:v>
                </c:pt>
                <c:pt idx="88">
                  <c:v>1.42702720523114E-3</c:v>
                </c:pt>
                <c:pt idx="89">
                  <c:v>1.1961255017357011E-3</c:v>
                </c:pt>
                <c:pt idx="90">
                  <c:v>9.8781766813401924E-4</c:v>
                </c:pt>
                <c:pt idx="91">
                  <c:v>8.0601457005538167E-4</c:v>
                </c:pt>
                <c:pt idx="92">
                  <c:v>6.5381884062372549E-4</c:v>
                </c:pt>
                <c:pt idx="93">
                  <c:v>5.3219092259628982E-4</c:v>
                </c:pt>
                <c:pt idx="94">
                  <c:v>4.3934654435805306E-4</c:v>
                </c:pt>
                <c:pt idx="95">
                  <c:v>3.7097104082398243E-4</c:v>
                </c:pt>
                <c:pt idx="96">
                  <c:v>3.2108872223536637E-4</c:v>
                </c:pt>
                <c:pt idx="97">
                  <c:v>2.8326450237049446E-4</c:v>
                </c:pt>
                <c:pt idx="98">
                  <c:v>2.5177204828369528E-4</c:v>
                </c:pt>
                <c:pt idx="99">
                  <c:v>2.2243046939393108E-4</c:v>
                </c:pt>
                <c:pt idx="100">
                  <c:v>1.9295237919483306E-4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59-4926-A7D2-CAB9AFC0619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Arkusz1!$U$3:$U$103</c:f>
              <c:numCache>
                <c:formatCode>General</c:formatCode>
                <c:ptCount val="101"/>
                <c:pt idx="0">
                  <c:v>0.5</c:v>
                </c:pt>
                <c:pt idx="1">
                  <c:v>0.7</c:v>
                </c:pt>
                <c:pt idx="2">
                  <c:v>0.89999999999999991</c:v>
                </c:pt>
                <c:pt idx="3">
                  <c:v>1.0999999999999999</c:v>
                </c:pt>
                <c:pt idx="4">
                  <c:v>1.2999999999999998</c:v>
                </c:pt>
                <c:pt idx="5">
                  <c:v>1.4999999999999998</c:v>
                </c:pt>
                <c:pt idx="6">
                  <c:v>1.6999999999999997</c:v>
                </c:pt>
                <c:pt idx="7">
                  <c:v>1.8999999999999997</c:v>
                </c:pt>
                <c:pt idx="8">
                  <c:v>2.0999999999999996</c:v>
                </c:pt>
                <c:pt idx="9">
                  <c:v>2.2999999999999998</c:v>
                </c:pt>
                <c:pt idx="10">
                  <c:v>2.5</c:v>
                </c:pt>
                <c:pt idx="11">
                  <c:v>2.7</c:v>
                </c:pt>
                <c:pt idx="12">
                  <c:v>2.9000000000000004</c:v>
                </c:pt>
                <c:pt idx="13">
                  <c:v>3.1000000000000005</c:v>
                </c:pt>
                <c:pt idx="14">
                  <c:v>3.3000000000000007</c:v>
                </c:pt>
                <c:pt idx="15">
                  <c:v>3.5000000000000009</c:v>
                </c:pt>
                <c:pt idx="16">
                  <c:v>3.7000000000000011</c:v>
                </c:pt>
                <c:pt idx="17">
                  <c:v>3.9000000000000012</c:v>
                </c:pt>
                <c:pt idx="18">
                  <c:v>4.1000000000000014</c:v>
                </c:pt>
                <c:pt idx="19">
                  <c:v>4.3000000000000016</c:v>
                </c:pt>
                <c:pt idx="20">
                  <c:v>4.5000000000000018</c:v>
                </c:pt>
                <c:pt idx="21">
                  <c:v>4.700000000000002</c:v>
                </c:pt>
                <c:pt idx="22">
                  <c:v>4.9000000000000021</c:v>
                </c:pt>
                <c:pt idx="23">
                  <c:v>5.1000000000000023</c:v>
                </c:pt>
                <c:pt idx="24">
                  <c:v>5.3000000000000025</c:v>
                </c:pt>
                <c:pt idx="25">
                  <c:v>5.5000000000000027</c:v>
                </c:pt>
                <c:pt idx="26">
                  <c:v>5.7000000000000028</c:v>
                </c:pt>
                <c:pt idx="27">
                  <c:v>5.900000000000003</c:v>
                </c:pt>
                <c:pt idx="28">
                  <c:v>6.1000000000000032</c:v>
                </c:pt>
                <c:pt idx="29">
                  <c:v>6.3000000000000034</c:v>
                </c:pt>
                <c:pt idx="30">
                  <c:v>6.5000000000000036</c:v>
                </c:pt>
                <c:pt idx="31">
                  <c:v>6.7000000000000037</c:v>
                </c:pt>
                <c:pt idx="32">
                  <c:v>6.9000000000000039</c:v>
                </c:pt>
                <c:pt idx="33">
                  <c:v>7.1000000000000041</c:v>
                </c:pt>
                <c:pt idx="34">
                  <c:v>7.3000000000000043</c:v>
                </c:pt>
                <c:pt idx="35">
                  <c:v>7.5000000000000044</c:v>
                </c:pt>
                <c:pt idx="36">
                  <c:v>7.7000000000000046</c:v>
                </c:pt>
                <c:pt idx="37">
                  <c:v>7.9000000000000048</c:v>
                </c:pt>
                <c:pt idx="38">
                  <c:v>8.100000000000005</c:v>
                </c:pt>
                <c:pt idx="39">
                  <c:v>8.3000000000000043</c:v>
                </c:pt>
                <c:pt idx="40">
                  <c:v>8.5000000000000036</c:v>
                </c:pt>
                <c:pt idx="41">
                  <c:v>8.7000000000000028</c:v>
                </c:pt>
                <c:pt idx="42">
                  <c:v>8.9000000000000021</c:v>
                </c:pt>
                <c:pt idx="43">
                  <c:v>9.1000000000000014</c:v>
                </c:pt>
                <c:pt idx="44">
                  <c:v>9.3000000000000007</c:v>
                </c:pt>
                <c:pt idx="45">
                  <c:v>9.5</c:v>
                </c:pt>
                <c:pt idx="46">
                  <c:v>9.6999999999999993</c:v>
                </c:pt>
                <c:pt idx="47">
                  <c:v>9.8999999999999986</c:v>
                </c:pt>
                <c:pt idx="48">
                  <c:v>10.099999999999998</c:v>
                </c:pt>
                <c:pt idx="49">
                  <c:v>10.299999999999997</c:v>
                </c:pt>
                <c:pt idx="50">
                  <c:v>10.499999999999996</c:v>
                </c:pt>
                <c:pt idx="51">
                  <c:v>10.699999999999996</c:v>
                </c:pt>
                <c:pt idx="52">
                  <c:v>10.899999999999995</c:v>
                </c:pt>
                <c:pt idx="53">
                  <c:v>11.099999999999994</c:v>
                </c:pt>
                <c:pt idx="54">
                  <c:v>11.299999999999994</c:v>
                </c:pt>
                <c:pt idx="55">
                  <c:v>11.499999999999993</c:v>
                </c:pt>
                <c:pt idx="56">
                  <c:v>11.699999999999992</c:v>
                </c:pt>
                <c:pt idx="57">
                  <c:v>11.899999999999991</c:v>
                </c:pt>
                <c:pt idx="58">
                  <c:v>12.099999999999991</c:v>
                </c:pt>
                <c:pt idx="59">
                  <c:v>12.29999999999999</c:v>
                </c:pt>
                <c:pt idx="60">
                  <c:v>12.499999999999989</c:v>
                </c:pt>
                <c:pt idx="61">
                  <c:v>12.699999999999989</c:v>
                </c:pt>
                <c:pt idx="62">
                  <c:v>12.899999999999988</c:v>
                </c:pt>
                <c:pt idx="63">
                  <c:v>13.099999999999987</c:v>
                </c:pt>
                <c:pt idx="64">
                  <c:v>13.299999999999986</c:v>
                </c:pt>
                <c:pt idx="65">
                  <c:v>13.499999999999986</c:v>
                </c:pt>
                <c:pt idx="66">
                  <c:v>13.699999999999985</c:v>
                </c:pt>
                <c:pt idx="67">
                  <c:v>13.899999999999984</c:v>
                </c:pt>
                <c:pt idx="68">
                  <c:v>14.099999999999984</c:v>
                </c:pt>
                <c:pt idx="69">
                  <c:v>14.299999999999983</c:v>
                </c:pt>
                <c:pt idx="70">
                  <c:v>14.499999999999982</c:v>
                </c:pt>
                <c:pt idx="71">
                  <c:v>14.699999999999982</c:v>
                </c:pt>
                <c:pt idx="72">
                  <c:v>14.899999999999981</c:v>
                </c:pt>
                <c:pt idx="73">
                  <c:v>15.09999999999998</c:v>
                </c:pt>
                <c:pt idx="74">
                  <c:v>15.299999999999979</c:v>
                </c:pt>
                <c:pt idx="75">
                  <c:v>15.499999999999979</c:v>
                </c:pt>
                <c:pt idx="76">
                  <c:v>15.699999999999978</c:v>
                </c:pt>
                <c:pt idx="77">
                  <c:v>15.899999999999977</c:v>
                </c:pt>
                <c:pt idx="78">
                  <c:v>16.099999999999977</c:v>
                </c:pt>
                <c:pt idx="79">
                  <c:v>16.299999999999976</c:v>
                </c:pt>
                <c:pt idx="80">
                  <c:v>16.499999999999975</c:v>
                </c:pt>
                <c:pt idx="81">
                  <c:v>16.699999999999974</c:v>
                </c:pt>
                <c:pt idx="82">
                  <c:v>16.899999999999974</c:v>
                </c:pt>
                <c:pt idx="83">
                  <c:v>17.099999999999973</c:v>
                </c:pt>
                <c:pt idx="84">
                  <c:v>17.299999999999972</c:v>
                </c:pt>
                <c:pt idx="85">
                  <c:v>17.499999999999972</c:v>
                </c:pt>
                <c:pt idx="86">
                  <c:v>17.699999999999971</c:v>
                </c:pt>
                <c:pt idx="87">
                  <c:v>17.89999999999997</c:v>
                </c:pt>
                <c:pt idx="88">
                  <c:v>18.099999999999969</c:v>
                </c:pt>
                <c:pt idx="89">
                  <c:v>18.299999999999969</c:v>
                </c:pt>
                <c:pt idx="90">
                  <c:v>18.499999999999968</c:v>
                </c:pt>
                <c:pt idx="91">
                  <c:v>18.699999999999967</c:v>
                </c:pt>
                <c:pt idx="92">
                  <c:v>18.899999999999967</c:v>
                </c:pt>
                <c:pt idx="93">
                  <c:v>19.099999999999966</c:v>
                </c:pt>
                <c:pt idx="94">
                  <c:v>19.299999999999965</c:v>
                </c:pt>
                <c:pt idx="95">
                  <c:v>19.499999999999964</c:v>
                </c:pt>
                <c:pt idx="96">
                  <c:v>19.699999999999964</c:v>
                </c:pt>
                <c:pt idx="97">
                  <c:v>19.899999999999963</c:v>
                </c:pt>
                <c:pt idx="98">
                  <c:v>20.099999999999962</c:v>
                </c:pt>
                <c:pt idx="99">
                  <c:v>20.299999999999962</c:v>
                </c:pt>
                <c:pt idx="100">
                  <c:v>20.499999999999961</c:v>
                </c:pt>
              </c:numCache>
            </c:numRef>
          </c:xVal>
          <c:yVal>
            <c:numRef>
              <c:f>Arkusz1!$AA$3:$AA$103</c:f>
              <c:numCache>
                <c:formatCode>General</c:formatCode>
                <c:ptCount val="101"/>
                <c:pt idx="0">
                  <c:v>5.3831399831251188E-4</c:v>
                </c:pt>
                <c:pt idx="1">
                  <c:v>6.3919471161694001E-4</c:v>
                </c:pt>
                <c:pt idx="2">
                  <c:v>7.4170733096941602E-4</c:v>
                </c:pt>
                <c:pt idx="3">
                  <c:v>8.4705466764519886E-4</c:v>
                </c:pt>
                <c:pt idx="4">
                  <c:v>9.3008500273571723E-4</c:v>
                </c:pt>
                <c:pt idx="5">
                  <c:v>1.0240562558763093E-3</c:v>
                </c:pt>
                <c:pt idx="6">
                  <c:v>1.1494536852495198E-3</c:v>
                </c:pt>
                <c:pt idx="7">
                  <c:v>1.4058912811050429E-3</c:v>
                </c:pt>
                <c:pt idx="8">
                  <c:v>1.687411721975438E-3</c:v>
                </c:pt>
                <c:pt idx="9">
                  <c:v>1.9981140003660866E-3</c:v>
                </c:pt>
                <c:pt idx="10">
                  <c:v>2.342552846323486E-3</c:v>
                </c:pt>
                <c:pt idx="11">
                  <c:v>2.86434559767419E-3</c:v>
                </c:pt>
                <c:pt idx="12">
                  <c:v>3.4494159211620741E-3</c:v>
                </c:pt>
                <c:pt idx="13">
                  <c:v>4.0827787617193443E-3</c:v>
                </c:pt>
                <c:pt idx="14">
                  <c:v>4.8354577592844682E-3</c:v>
                </c:pt>
                <c:pt idx="15">
                  <c:v>5.5806892925053782E-3</c:v>
                </c:pt>
                <c:pt idx="16">
                  <c:v>6.3280073715097189E-3</c:v>
                </c:pt>
                <c:pt idx="17">
                  <c:v>7.0570888343131832E-3</c:v>
                </c:pt>
                <c:pt idx="18">
                  <c:v>7.7704936054860145E-3</c:v>
                </c:pt>
                <c:pt idx="19">
                  <c:v>8.5009346734339474E-3</c:v>
                </c:pt>
                <c:pt idx="20">
                  <c:v>9.3123961655767629E-3</c:v>
                </c:pt>
                <c:pt idx="21">
                  <c:v>1.0285057035910913E-2</c:v>
                </c:pt>
                <c:pt idx="22">
                  <c:v>1.1416621119792742E-2</c:v>
                </c:pt>
                <c:pt idx="23">
                  <c:v>1.2494615703380656E-2</c:v>
                </c:pt>
                <c:pt idx="24">
                  <c:v>1.3583171290005242E-2</c:v>
                </c:pt>
                <c:pt idx="25">
                  <c:v>1.4872890679755698E-2</c:v>
                </c:pt>
                <c:pt idx="26">
                  <c:v>1.6194717991257646E-2</c:v>
                </c:pt>
                <c:pt idx="27">
                  <c:v>1.7579669286491212E-2</c:v>
                </c:pt>
                <c:pt idx="28">
                  <c:v>1.9074131536299443E-2</c:v>
                </c:pt>
                <c:pt idx="29">
                  <c:v>2.0805345890575366E-2</c:v>
                </c:pt>
                <c:pt idx="30">
                  <c:v>2.2444160213027649E-2</c:v>
                </c:pt>
                <c:pt idx="31">
                  <c:v>2.3900523867243728E-2</c:v>
                </c:pt>
                <c:pt idx="32">
                  <c:v>2.5239543962359542E-2</c:v>
                </c:pt>
                <c:pt idx="33">
                  <c:v>2.667649320714759E-2</c:v>
                </c:pt>
                <c:pt idx="34">
                  <c:v>2.797904060756852E-2</c:v>
                </c:pt>
                <c:pt idx="35">
                  <c:v>2.9113079242663736E-2</c:v>
                </c:pt>
                <c:pt idx="36">
                  <c:v>3.0107641269833039E-2</c:v>
                </c:pt>
                <c:pt idx="37">
                  <c:v>3.0876461160385671E-2</c:v>
                </c:pt>
                <c:pt idx="38">
                  <c:v>3.1288466407757912E-2</c:v>
                </c:pt>
                <c:pt idx="39">
                  <c:v>3.1334124395865824E-2</c:v>
                </c:pt>
                <c:pt idx="40">
                  <c:v>3.1372349245873267E-2</c:v>
                </c:pt>
                <c:pt idx="41">
                  <c:v>3.1442134254338241E-2</c:v>
                </c:pt>
                <c:pt idx="42">
                  <c:v>3.1454517911301355E-2</c:v>
                </c:pt>
                <c:pt idx="43">
                  <c:v>3.1426101853382196E-2</c:v>
                </c:pt>
                <c:pt idx="44">
                  <c:v>3.1310870242305153E-2</c:v>
                </c:pt>
                <c:pt idx="45">
                  <c:v>3.1168350286463264E-2</c:v>
                </c:pt>
                <c:pt idx="46">
                  <c:v>3.1032277839808758E-2</c:v>
                </c:pt>
                <c:pt idx="47">
                  <c:v>3.0899115109852666E-2</c:v>
                </c:pt>
                <c:pt idx="48">
                  <c:v>3.0941112125396835E-2</c:v>
                </c:pt>
                <c:pt idx="49">
                  <c:v>3.0909997659921331E-2</c:v>
                </c:pt>
                <c:pt idx="50">
                  <c:v>3.0856630016686096E-2</c:v>
                </c:pt>
                <c:pt idx="51">
                  <c:v>3.082924026045394E-2</c:v>
                </c:pt>
                <c:pt idx="52">
                  <c:v>3.0603812513143439E-2</c:v>
                </c:pt>
                <c:pt idx="53">
                  <c:v>3.0114631569407798E-2</c:v>
                </c:pt>
                <c:pt idx="54">
                  <c:v>2.9503108761993555E-2</c:v>
                </c:pt>
                <c:pt idx="55">
                  <c:v>2.8958009087667876E-2</c:v>
                </c:pt>
                <c:pt idx="56">
                  <c:v>2.827567930655564E-2</c:v>
                </c:pt>
                <c:pt idx="57">
                  <c:v>2.7436244441504058E-2</c:v>
                </c:pt>
                <c:pt idx="58">
                  <c:v>2.6451616483363156E-2</c:v>
                </c:pt>
                <c:pt idx="59">
                  <c:v>2.5231912161063491E-2</c:v>
                </c:pt>
                <c:pt idx="60">
                  <c:v>2.3836495016848515E-2</c:v>
                </c:pt>
                <c:pt idx="61">
                  <c:v>2.239215542437676E-2</c:v>
                </c:pt>
                <c:pt idx="62">
                  <c:v>2.103978322327776E-2</c:v>
                </c:pt>
                <c:pt idx="63">
                  <c:v>1.9647015252090796E-2</c:v>
                </c:pt>
                <c:pt idx="64">
                  <c:v>1.821348546069318E-2</c:v>
                </c:pt>
                <c:pt idx="65">
                  <c:v>1.6778312818374375E-2</c:v>
                </c:pt>
                <c:pt idx="66">
                  <c:v>1.5548375187136329E-2</c:v>
                </c:pt>
                <c:pt idx="67">
                  <c:v>1.4387697524759975E-2</c:v>
                </c:pt>
                <c:pt idx="68">
                  <c:v>1.3253189089740866E-2</c:v>
                </c:pt>
                <c:pt idx="69">
                  <c:v>1.2402232116250458E-2</c:v>
                </c:pt>
                <c:pt idx="70">
                  <c:v>1.1503639529068802E-2</c:v>
                </c:pt>
                <c:pt idx="71">
                  <c:v>1.0553078785795289E-2</c:v>
                </c:pt>
                <c:pt idx="72">
                  <c:v>9.59108911241063E-3</c:v>
                </c:pt>
                <c:pt idx="73">
                  <c:v>8.7698257112519811E-3</c:v>
                </c:pt>
                <c:pt idx="74">
                  <c:v>7.9439068050325707E-3</c:v>
                </c:pt>
                <c:pt idx="75">
                  <c:v>7.1123399365362874E-3</c:v>
                </c:pt>
                <c:pt idx="76">
                  <c:v>6.4086844145031059E-3</c:v>
                </c:pt>
                <c:pt idx="77">
                  <c:v>5.8536956795692437E-3</c:v>
                </c:pt>
                <c:pt idx="78">
                  <c:v>5.3166539920861729E-3</c:v>
                </c:pt>
                <c:pt idx="79">
                  <c:v>4.7624945095720156E-3</c:v>
                </c:pt>
                <c:pt idx="80">
                  <c:v>4.2625105051120335E-3</c:v>
                </c:pt>
                <c:pt idx="81">
                  <c:v>3.84428260395509E-3</c:v>
                </c:pt>
                <c:pt idx="82">
                  <c:v>3.461354159796327E-3</c:v>
                </c:pt>
                <c:pt idx="83">
                  <c:v>3.0304927937867816E-3</c:v>
                </c:pt>
                <c:pt idx="84">
                  <c:v>2.6253125883044497E-3</c:v>
                </c:pt>
                <c:pt idx="85">
                  <c:v>2.2214354969663586E-3</c:v>
                </c:pt>
                <c:pt idx="86">
                  <c:v>1.828619474196862E-3</c:v>
                </c:pt>
                <c:pt idx="87">
                  <c:v>1.4897984128619624E-3</c:v>
                </c:pt>
                <c:pt idx="88">
                  <c:v>1.3019820838348951E-3</c:v>
                </c:pt>
                <c:pt idx="89">
                  <c:v>1.1621138916162704E-3</c:v>
                </c:pt>
                <c:pt idx="90">
                  <c:v>1.0308917704937904E-3</c:v>
                </c:pt>
                <c:pt idx="91">
                  <c:v>9.0231151115838422E-4</c:v>
                </c:pt>
                <c:pt idx="92">
                  <c:v>7.6631702787386693E-4</c:v>
                </c:pt>
                <c:pt idx="93">
                  <c:v>6.2534780924632767E-4</c:v>
                </c:pt>
                <c:pt idx="94">
                  <c:v>4.8636325278984615E-4</c:v>
                </c:pt>
                <c:pt idx="95">
                  <c:v>3.8468246566028449E-4</c:v>
                </c:pt>
                <c:pt idx="96">
                  <c:v>2.9260078619720587E-4</c:v>
                </c:pt>
                <c:pt idx="97">
                  <c:v>2.116800939800714E-4</c:v>
                </c:pt>
                <c:pt idx="98">
                  <c:v>1.8095378744963173E-4</c:v>
                </c:pt>
                <c:pt idx="99">
                  <c:v>1.6900291366056167E-4</c:v>
                </c:pt>
                <c:pt idx="100">
                  <c:v>1.6262662749334171E-4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59-4926-A7D2-CAB9AFC06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6160"/>
        <c:axId val="47179520"/>
      </c:scatterChart>
      <c:catAx>
        <c:axId val="4719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179520"/>
        <c:crosses val="autoZero"/>
        <c:auto val="1"/>
        <c:lblAlgn val="ctr"/>
        <c:lblOffset val="100"/>
        <c:noMultiLvlLbl val="0"/>
      </c:catAx>
      <c:valAx>
        <c:axId val="471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19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 skumulowany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Arkusz1!_dystr_x</c:f>
              <c:numCache>
                <c:formatCode>General</c:formatCode>
                <c:ptCount val="21"/>
                <c:pt idx="0">
                  <c:v>146.18421052631578</c:v>
                </c:pt>
                <c:pt idx="1">
                  <c:v>149.81578947368419</c:v>
                </c:pt>
                <c:pt idx="2">
                  <c:v>153.4473684210526</c:v>
                </c:pt>
                <c:pt idx="3">
                  <c:v>157.07894736842101</c:v>
                </c:pt>
                <c:pt idx="4">
                  <c:v>160.71052631578942</c:v>
                </c:pt>
                <c:pt idx="5">
                  <c:v>164.34210526315783</c:v>
                </c:pt>
                <c:pt idx="6">
                  <c:v>167.97368421052624</c:v>
                </c:pt>
                <c:pt idx="7">
                  <c:v>171.60526315789465</c:v>
                </c:pt>
                <c:pt idx="8">
                  <c:v>175.23684210526307</c:v>
                </c:pt>
                <c:pt idx="9">
                  <c:v>178.86842105263148</c:v>
                </c:pt>
                <c:pt idx="10">
                  <c:v>182.49999999999989</c:v>
                </c:pt>
                <c:pt idx="11">
                  <c:v>186.1315789473683</c:v>
                </c:pt>
                <c:pt idx="12">
                  <c:v>189.76315789473671</c:v>
                </c:pt>
                <c:pt idx="13">
                  <c:v>193.39473684210512</c:v>
                </c:pt>
                <c:pt idx="14">
                  <c:v>197.02631578947353</c:v>
                </c:pt>
                <c:pt idx="15">
                  <c:v>200.65789473684194</c:v>
                </c:pt>
                <c:pt idx="16">
                  <c:v>204.28947368421035</c:v>
                </c:pt>
                <c:pt idx="17">
                  <c:v>207.92105263157876</c:v>
                </c:pt>
                <c:pt idx="18">
                  <c:v>211.55263157894717</c:v>
                </c:pt>
                <c:pt idx="19">
                  <c:v>215.18421052631558</c:v>
                </c:pt>
                <c:pt idx="20">
                  <c:v>218.81578947368399</c:v>
                </c:pt>
              </c:numCache>
            </c:numRef>
          </c:cat>
          <c:val>
            <c:numRef>
              <c:f>Arkusz1!_dystr_Phi</c:f>
              <c:numCache>
                <c:formatCode>General</c:formatCode>
                <c:ptCount val="21"/>
                <c:pt idx="0">
                  <c:v>0</c:v>
                </c:pt>
                <c:pt idx="1">
                  <c:v>5.2173913043478265E-3</c:v>
                </c:pt>
                <c:pt idx="2">
                  <c:v>8.6956521739130436E-3</c:v>
                </c:pt>
                <c:pt idx="3">
                  <c:v>1.5652173913043479E-2</c:v>
                </c:pt>
                <c:pt idx="4">
                  <c:v>0.04</c:v>
                </c:pt>
                <c:pt idx="5">
                  <c:v>8.8695652173913037E-2</c:v>
                </c:pt>
                <c:pt idx="6">
                  <c:v>0.12869565217391304</c:v>
                </c:pt>
                <c:pt idx="7">
                  <c:v>0.24521739130434783</c:v>
                </c:pt>
                <c:pt idx="8">
                  <c:v>0.3843478260869565</c:v>
                </c:pt>
                <c:pt idx="9">
                  <c:v>0.47304347826086957</c:v>
                </c:pt>
                <c:pt idx="10">
                  <c:v>0.58434782608695657</c:v>
                </c:pt>
                <c:pt idx="11">
                  <c:v>0.72521739130434781</c:v>
                </c:pt>
                <c:pt idx="12">
                  <c:v>0.80869565217391304</c:v>
                </c:pt>
                <c:pt idx="13">
                  <c:v>0.88521739130434784</c:v>
                </c:pt>
                <c:pt idx="14">
                  <c:v>0.94260869565217387</c:v>
                </c:pt>
                <c:pt idx="15">
                  <c:v>0.96</c:v>
                </c:pt>
                <c:pt idx="16">
                  <c:v>0.98434782608695648</c:v>
                </c:pt>
                <c:pt idx="17">
                  <c:v>0.99130434782608701</c:v>
                </c:pt>
                <c:pt idx="18">
                  <c:v>0.99826086956521742</c:v>
                </c:pt>
                <c:pt idx="19">
                  <c:v>0.99826086956521742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9-48BC-8C99-AA16F1676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414592"/>
        <c:axId val="97436224"/>
      </c:barChart>
      <c:scatterChart>
        <c:scatterStyle val="smooth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Arkusz1!$X$3:$X$103</c:f>
              <c:numCache>
                <c:formatCode>General</c:formatCode>
                <c:ptCount val="101"/>
                <c:pt idx="0">
                  <c:v>0.5</c:v>
                </c:pt>
                <c:pt idx="1">
                  <c:v>0.71</c:v>
                </c:pt>
                <c:pt idx="2">
                  <c:v>0.91999999999999993</c:v>
                </c:pt>
                <c:pt idx="3">
                  <c:v>1.1299999999999999</c:v>
                </c:pt>
                <c:pt idx="4">
                  <c:v>1.3399999999999999</c:v>
                </c:pt>
                <c:pt idx="5">
                  <c:v>1.5499999999999998</c:v>
                </c:pt>
                <c:pt idx="6">
                  <c:v>1.7599999999999998</c:v>
                </c:pt>
                <c:pt idx="7">
                  <c:v>1.9699999999999998</c:v>
                </c:pt>
                <c:pt idx="8">
                  <c:v>2.1799999999999997</c:v>
                </c:pt>
                <c:pt idx="9">
                  <c:v>2.3899999999999997</c:v>
                </c:pt>
                <c:pt idx="10">
                  <c:v>2.5999999999999996</c:v>
                </c:pt>
                <c:pt idx="11">
                  <c:v>2.8099999999999996</c:v>
                </c:pt>
                <c:pt idx="12">
                  <c:v>3.0199999999999996</c:v>
                </c:pt>
                <c:pt idx="13">
                  <c:v>3.2299999999999995</c:v>
                </c:pt>
                <c:pt idx="14">
                  <c:v>3.4399999999999995</c:v>
                </c:pt>
                <c:pt idx="15">
                  <c:v>3.6499999999999995</c:v>
                </c:pt>
                <c:pt idx="16">
                  <c:v>3.8599999999999994</c:v>
                </c:pt>
                <c:pt idx="17">
                  <c:v>4.0699999999999994</c:v>
                </c:pt>
                <c:pt idx="18">
                  <c:v>4.2799999999999994</c:v>
                </c:pt>
                <c:pt idx="19">
                  <c:v>4.4899999999999993</c:v>
                </c:pt>
                <c:pt idx="20">
                  <c:v>4.6999999999999993</c:v>
                </c:pt>
                <c:pt idx="21">
                  <c:v>4.9099999999999993</c:v>
                </c:pt>
                <c:pt idx="22">
                  <c:v>5.1199999999999992</c:v>
                </c:pt>
                <c:pt idx="23">
                  <c:v>5.3299999999999992</c:v>
                </c:pt>
                <c:pt idx="24">
                  <c:v>5.5399999999999991</c:v>
                </c:pt>
                <c:pt idx="25">
                  <c:v>5.7499999999999991</c:v>
                </c:pt>
                <c:pt idx="26">
                  <c:v>5.9599999999999991</c:v>
                </c:pt>
                <c:pt idx="27">
                  <c:v>6.169999999999999</c:v>
                </c:pt>
                <c:pt idx="28">
                  <c:v>6.379999999999999</c:v>
                </c:pt>
                <c:pt idx="29">
                  <c:v>6.589999999999999</c:v>
                </c:pt>
                <c:pt idx="30">
                  <c:v>6.7999999999999989</c:v>
                </c:pt>
                <c:pt idx="31">
                  <c:v>7.0099999999999989</c:v>
                </c:pt>
                <c:pt idx="32">
                  <c:v>7.2199999999999989</c:v>
                </c:pt>
                <c:pt idx="33">
                  <c:v>7.4299999999999988</c:v>
                </c:pt>
                <c:pt idx="34">
                  <c:v>7.6399999999999988</c:v>
                </c:pt>
                <c:pt idx="35">
                  <c:v>7.8499999999999988</c:v>
                </c:pt>
                <c:pt idx="36">
                  <c:v>8.0599999999999987</c:v>
                </c:pt>
                <c:pt idx="37">
                  <c:v>8.27</c:v>
                </c:pt>
                <c:pt idx="38">
                  <c:v>8.48</c:v>
                </c:pt>
                <c:pt idx="39">
                  <c:v>8.6900000000000013</c:v>
                </c:pt>
                <c:pt idx="40">
                  <c:v>8.9000000000000021</c:v>
                </c:pt>
                <c:pt idx="41">
                  <c:v>9.110000000000003</c:v>
                </c:pt>
                <c:pt idx="42">
                  <c:v>9.3200000000000038</c:v>
                </c:pt>
                <c:pt idx="43">
                  <c:v>9.5300000000000047</c:v>
                </c:pt>
                <c:pt idx="44">
                  <c:v>9.7400000000000055</c:v>
                </c:pt>
                <c:pt idx="45">
                  <c:v>9.9500000000000064</c:v>
                </c:pt>
                <c:pt idx="46">
                  <c:v>10.160000000000007</c:v>
                </c:pt>
                <c:pt idx="47">
                  <c:v>10.370000000000008</c:v>
                </c:pt>
                <c:pt idx="48">
                  <c:v>10.580000000000009</c:v>
                </c:pt>
                <c:pt idx="49">
                  <c:v>10.79000000000001</c:v>
                </c:pt>
                <c:pt idx="50">
                  <c:v>11.000000000000011</c:v>
                </c:pt>
                <c:pt idx="51">
                  <c:v>11.210000000000012</c:v>
                </c:pt>
                <c:pt idx="52">
                  <c:v>11.420000000000012</c:v>
                </c:pt>
                <c:pt idx="53">
                  <c:v>11.630000000000013</c:v>
                </c:pt>
                <c:pt idx="54">
                  <c:v>11.840000000000014</c:v>
                </c:pt>
                <c:pt idx="55">
                  <c:v>12.050000000000015</c:v>
                </c:pt>
                <c:pt idx="56">
                  <c:v>12.260000000000016</c:v>
                </c:pt>
                <c:pt idx="57">
                  <c:v>12.470000000000017</c:v>
                </c:pt>
                <c:pt idx="58">
                  <c:v>12.680000000000017</c:v>
                </c:pt>
                <c:pt idx="59">
                  <c:v>12.890000000000018</c:v>
                </c:pt>
                <c:pt idx="60">
                  <c:v>13.100000000000019</c:v>
                </c:pt>
                <c:pt idx="61">
                  <c:v>13.31000000000002</c:v>
                </c:pt>
                <c:pt idx="62">
                  <c:v>13.520000000000021</c:v>
                </c:pt>
                <c:pt idx="63">
                  <c:v>13.730000000000022</c:v>
                </c:pt>
                <c:pt idx="64">
                  <c:v>13.940000000000023</c:v>
                </c:pt>
                <c:pt idx="65">
                  <c:v>14.150000000000023</c:v>
                </c:pt>
                <c:pt idx="66">
                  <c:v>14.360000000000024</c:v>
                </c:pt>
                <c:pt idx="67">
                  <c:v>14.570000000000025</c:v>
                </c:pt>
                <c:pt idx="68">
                  <c:v>14.780000000000026</c:v>
                </c:pt>
                <c:pt idx="69">
                  <c:v>14.990000000000027</c:v>
                </c:pt>
                <c:pt idx="70">
                  <c:v>15.200000000000028</c:v>
                </c:pt>
                <c:pt idx="71">
                  <c:v>15.410000000000029</c:v>
                </c:pt>
                <c:pt idx="72">
                  <c:v>15.620000000000029</c:v>
                </c:pt>
                <c:pt idx="73">
                  <c:v>15.83000000000003</c:v>
                </c:pt>
                <c:pt idx="74">
                  <c:v>16.040000000000031</c:v>
                </c:pt>
                <c:pt idx="75">
                  <c:v>16.250000000000032</c:v>
                </c:pt>
                <c:pt idx="76">
                  <c:v>16.460000000000033</c:v>
                </c:pt>
                <c:pt idx="77">
                  <c:v>16.670000000000034</c:v>
                </c:pt>
                <c:pt idx="78">
                  <c:v>16.880000000000035</c:v>
                </c:pt>
                <c:pt idx="79">
                  <c:v>17.090000000000035</c:v>
                </c:pt>
                <c:pt idx="80">
                  <c:v>17.300000000000036</c:v>
                </c:pt>
                <c:pt idx="81">
                  <c:v>17.510000000000037</c:v>
                </c:pt>
                <c:pt idx="82">
                  <c:v>17.720000000000038</c:v>
                </c:pt>
                <c:pt idx="83">
                  <c:v>17.930000000000039</c:v>
                </c:pt>
                <c:pt idx="84">
                  <c:v>18.14000000000004</c:v>
                </c:pt>
                <c:pt idx="85">
                  <c:v>18.350000000000041</c:v>
                </c:pt>
                <c:pt idx="86">
                  <c:v>18.560000000000041</c:v>
                </c:pt>
                <c:pt idx="87">
                  <c:v>18.770000000000042</c:v>
                </c:pt>
                <c:pt idx="88">
                  <c:v>18.980000000000043</c:v>
                </c:pt>
                <c:pt idx="89">
                  <c:v>19.190000000000044</c:v>
                </c:pt>
                <c:pt idx="90">
                  <c:v>19.400000000000045</c:v>
                </c:pt>
                <c:pt idx="91">
                  <c:v>19.610000000000046</c:v>
                </c:pt>
                <c:pt idx="92">
                  <c:v>19.820000000000046</c:v>
                </c:pt>
                <c:pt idx="93">
                  <c:v>20.030000000000047</c:v>
                </c:pt>
                <c:pt idx="94">
                  <c:v>20.240000000000048</c:v>
                </c:pt>
                <c:pt idx="95">
                  <c:v>20.450000000000049</c:v>
                </c:pt>
                <c:pt idx="96">
                  <c:v>20.66000000000005</c:v>
                </c:pt>
                <c:pt idx="97">
                  <c:v>20.870000000000051</c:v>
                </c:pt>
                <c:pt idx="98">
                  <c:v>21.080000000000052</c:v>
                </c:pt>
                <c:pt idx="99">
                  <c:v>21.290000000000052</c:v>
                </c:pt>
                <c:pt idx="100">
                  <c:v>21.500000000000053</c:v>
                </c:pt>
              </c:numCache>
            </c:numRef>
          </c:xVal>
          <c:yVal>
            <c:numRef>
              <c:f>Arkusz1!$Y$3:$Y$103</c:f>
              <c:numCache>
                <c:formatCode>General</c:formatCode>
                <c:ptCount val="101"/>
                <c:pt idx="0">
                  <c:v>0</c:v>
                </c:pt>
                <c:pt idx="1">
                  <c:v>2.9126513767938488E-3</c:v>
                </c:pt>
                <c:pt idx="2">
                  <c:v>3.499100824871254E-3</c:v>
                </c:pt>
                <c:pt idx="3">
                  <c:v>4.1895013447597763E-3</c:v>
                </c:pt>
                <c:pt idx="4">
                  <c:v>4.9993075738053502E-3</c:v>
                </c:pt>
                <c:pt idx="5">
                  <c:v>5.9456985525778222E-3</c:v>
                </c:pt>
                <c:pt idx="6">
                  <c:v>7.0476679808839874E-3</c:v>
                </c:pt>
                <c:pt idx="7">
                  <c:v>8.3261009911978039E-3</c:v>
                </c:pt>
                <c:pt idx="8">
                  <c:v>9.8038336833838335E-3</c:v>
                </c:pt>
                <c:pt idx="9">
                  <c:v>1.1505691455805676E-2</c:v>
                </c:pt>
                <c:pt idx="10">
                  <c:v>1.3458502034493452E-2</c:v>
                </c:pt>
                <c:pt idx="11">
                  <c:v>1.569107906022359E-2</c:v>
                </c:pt>
                <c:pt idx="12">
                  <c:v>1.8234172158692382E-2</c:v>
                </c:pt>
                <c:pt idx="13">
                  <c:v>2.112037960560641E-2</c:v>
                </c:pt>
                <c:pt idx="14">
                  <c:v>2.4384020018479554E-2</c:v>
                </c:pt>
                <c:pt idx="15">
                  <c:v>2.8060959969289628E-2</c:v>
                </c:pt>
                <c:pt idx="16">
                  <c:v>3.2188395022271679E-2</c:v>
                </c:pt>
                <c:pt idx="17">
                  <c:v>3.6804582459939089E-2</c:v>
                </c:pt>
                <c:pt idx="18">
                  <c:v>4.1948524863789832E-2</c:v>
                </c:pt>
                <c:pt idx="19">
                  <c:v>4.7659604754373371E-2</c:v>
                </c:pt>
                <c:pt idx="20">
                  <c:v>5.397717165286809E-2</c:v>
                </c:pt>
                <c:pt idx="21">
                  <c:v>6.0940084181441319E-2</c:v>
                </c:pt>
                <c:pt idx="22">
                  <c:v>6.8586211144939874E-2</c:v>
                </c:pt>
                <c:pt idx="23">
                  <c:v>7.6951896898886082E-2</c:v>
                </c:pt>
                <c:pt idx="24">
                  <c:v>8.6071397670490712E-2</c:v>
                </c:pt>
                <c:pt idx="25">
                  <c:v>9.5976296818687162E-2</c:v>
                </c:pt>
                <c:pt idx="26">
                  <c:v>0.10669490825158577</c:v>
                </c:pt>
                <c:pt idx="27">
                  <c:v>0.11825167831949675</c:v>
                </c:pt>
                <c:pt idx="28">
                  <c:v>0.13066659742338604</c:v>
                </c:pt>
                <c:pt idx="29">
                  <c:v>0.14395463327901023</c:v>
                </c:pt>
                <c:pt idx="30">
                  <c:v>0.15812519821664583</c:v>
                </c:pt>
                <c:pt idx="31">
                  <c:v>0.17318166304164495</c:v>
                </c:pt>
                <c:pt idx="32">
                  <c:v>0.18912092980581827</c:v>
                </c:pt>
                <c:pt idx="33">
                  <c:v>0.20593307532666558</c:v>
                </c:pt>
                <c:pt idx="34">
                  <c:v>0.22360107643381272</c:v>
                </c:pt>
                <c:pt idx="35">
                  <c:v>0.24210062672394306</c:v>
                </c:pt>
                <c:pt idx="36">
                  <c:v>0.26140005308306147</c:v>
                </c:pt>
                <c:pt idx="37">
                  <c:v>0.28146033841594498</c:v>
                </c:pt>
                <c:pt idx="38">
                  <c:v>0.30223525494642689</c:v>
                </c:pt>
                <c:pt idx="39">
                  <c:v>0.32367161016856349</c:v>
                </c:pt>
                <c:pt idx="40">
                  <c:v>0.34570960509679904</c:v>
                </c:pt>
                <c:pt idx="41">
                  <c:v>0.36828330194939973</c:v>
                </c:pt>
                <c:pt idx="42">
                  <c:v>0.39132119587533637</c:v>
                </c:pt>
                <c:pt idx="43">
                  <c:v>0.41474688287485345</c:v>
                </c:pt>
                <c:pt idx="44">
                  <c:v>0.43847981374267708</c:v>
                </c:pt>
                <c:pt idx="45">
                  <c:v>0.46243612175201099</c:v>
                </c:pt>
                <c:pt idx="46">
                  <c:v>0.48652950996363203</c:v>
                </c:pt>
                <c:pt idx="47">
                  <c:v>0.51067218254606017</c:v>
                </c:pt>
                <c:pt idx="48">
                  <c:v>0.53477580337830377</c:v>
                </c:pt>
                <c:pt idx="49">
                  <c:v>0.55875246451229343</c:v>
                </c:pt>
                <c:pt idx="50">
                  <c:v>0.58251564682052803</c:v>
                </c:pt>
                <c:pt idx="51">
                  <c:v>0.60598115535389541</c:v>
                </c:pt>
                <c:pt idx="52">
                  <c:v>0.6290680125785697</c:v>
                </c:pt>
                <c:pt idx="53">
                  <c:v>0.65169929372826885</c:v>
                </c:pt>
                <c:pt idx="54">
                  <c:v>0.67380288996424631</c:v>
                </c:pt>
                <c:pt idx="55">
                  <c:v>0.69531218683315799</c:v>
                </c:pt>
                <c:pt idx="56">
                  <c:v>0.71616664759491222</c:v>
                </c:pt>
                <c:pt idx="57">
                  <c:v>0.73631229329309655</c:v>
                </c:pt>
                <c:pt idx="58">
                  <c:v>0.75570207388823252</c:v>
                </c:pt>
                <c:pt idx="59">
                  <c:v>0.77429612729460273</c:v>
                </c:pt>
                <c:pt idx="60">
                  <c:v>0.79206192568017597</c:v>
                </c:pt>
                <c:pt idx="61">
                  <c:v>0.80897431083410987</c:v>
                </c:pt>
                <c:pt idx="62">
                  <c:v>0.8250154227102926</c:v>
                </c:pt>
                <c:pt idx="63">
                  <c:v>0.84017452735838127</c:v>
                </c:pt>
                <c:pt idx="64">
                  <c:v>0.85444775230482639</c:v>
                </c:pt>
                <c:pt idx="65">
                  <c:v>0.86783773900485406</c:v>
                </c:pt>
                <c:pt idx="66">
                  <c:v>0.88035322322310361</c:v>
                </c:pt>
                <c:pt idx="67">
                  <c:v>0.8920085550981911</c:v>
                </c:pt>
                <c:pt idx="68">
                  <c:v>0.90282317119925937</c:v>
                </c:pt>
                <c:pt idx="69">
                  <c:v>0.91282103109627355</c:v>
                </c:pt>
                <c:pt idx="70">
                  <c:v>0.9220300308564835</c:v>
                </c:pt>
                <c:pt idx="71">
                  <c:v>0.93048140547233571</c:v>
                </c:pt>
                <c:pt idx="72">
                  <c:v>0.93820913155403929</c:v>
                </c:pt>
                <c:pt idx="73">
                  <c:v>0.94524934072177602</c:v>
                </c:pt>
                <c:pt idx="74">
                  <c:v>0.95163975305113335</c:v>
                </c:pt>
                <c:pt idx="75">
                  <c:v>0.95741913870596873</c:v>
                </c:pt>
                <c:pt idx="76">
                  <c:v>0.96262681458138599</c:v>
                </c:pt>
                <c:pt idx="77">
                  <c:v>0.96730218142047686</c:v>
                </c:pt>
                <c:pt idx="78">
                  <c:v>0.97148430550411913</c:v>
                </c:pt>
                <c:pt idx="79">
                  <c:v>0.97521154768174201</c:v>
                </c:pt>
                <c:pt idx="80">
                  <c:v>0.97852124124619966</c:v>
                </c:pt>
                <c:pt idx="81">
                  <c:v>0.98144941898587368</c:v>
                </c:pt>
                <c:pt idx="82">
                  <c:v>0.98403058869416749</c:v>
                </c:pt>
                <c:pt idx="83">
                  <c:v>0.98629755549694742</c:v>
                </c:pt>
                <c:pt idx="84">
                  <c:v>0.98828128858259567</c:v>
                </c:pt>
                <c:pt idx="85">
                  <c:v>0.99001082929193651</c:v>
                </c:pt>
                <c:pt idx="86">
                  <c:v>0.9915132370459937</c:v>
                </c:pt>
                <c:pt idx="87">
                  <c:v>0.99281356925346775</c:v>
                </c:pt>
                <c:pt idx="88">
                  <c:v>0.99393489113828237</c:v>
                </c:pt>
                <c:pt idx="89">
                  <c:v>0.99489831134885387</c:v>
                </c:pt>
                <c:pt idx="90">
                  <c:v>0.99572303924090699</c:v>
                </c:pt>
                <c:pt idx="91">
                  <c:v>0.99642645984928757</c:v>
                </c:pt>
                <c:pt idx="92">
                  <c:v>0.99702422276510283</c:v>
                </c:pt>
                <c:pt idx="93">
                  <c:v>0.99753034139638208</c:v>
                </c:pt>
                <c:pt idx="94">
                  <c:v>0.99795729939745048</c:v>
                </c:pt>
                <c:pt idx="95">
                  <c:v>0.99831616138945878</c:v>
                </c:pt>
                <c:pt idx="96">
                  <c:v>0.99861668544840021</c:v>
                </c:pt>
                <c:pt idx="97">
                  <c:v>0.99886743519542454</c:v>
                </c:pt>
                <c:pt idx="98">
                  <c:v>0.99907588967699945</c:v>
                </c:pt>
                <c:pt idx="99">
                  <c:v>0.99924854956094944</c:v>
                </c:pt>
                <c:pt idx="100">
                  <c:v>0.99939103849188904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09-48BC-8C99-AA16F16769C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Arkusz1!$X$3:$X$103</c:f>
              <c:numCache>
                <c:formatCode>General</c:formatCode>
                <c:ptCount val="101"/>
                <c:pt idx="0">
                  <c:v>0.5</c:v>
                </c:pt>
                <c:pt idx="1">
                  <c:v>0.71</c:v>
                </c:pt>
                <c:pt idx="2">
                  <c:v>0.91999999999999993</c:v>
                </c:pt>
                <c:pt idx="3">
                  <c:v>1.1299999999999999</c:v>
                </c:pt>
                <c:pt idx="4">
                  <c:v>1.3399999999999999</c:v>
                </c:pt>
                <c:pt idx="5">
                  <c:v>1.5499999999999998</c:v>
                </c:pt>
                <c:pt idx="6">
                  <c:v>1.7599999999999998</c:v>
                </c:pt>
                <c:pt idx="7">
                  <c:v>1.9699999999999998</c:v>
                </c:pt>
                <c:pt idx="8">
                  <c:v>2.1799999999999997</c:v>
                </c:pt>
                <c:pt idx="9">
                  <c:v>2.3899999999999997</c:v>
                </c:pt>
                <c:pt idx="10">
                  <c:v>2.5999999999999996</c:v>
                </c:pt>
                <c:pt idx="11">
                  <c:v>2.8099999999999996</c:v>
                </c:pt>
                <c:pt idx="12">
                  <c:v>3.0199999999999996</c:v>
                </c:pt>
                <c:pt idx="13">
                  <c:v>3.2299999999999995</c:v>
                </c:pt>
                <c:pt idx="14">
                  <c:v>3.4399999999999995</c:v>
                </c:pt>
                <c:pt idx="15">
                  <c:v>3.6499999999999995</c:v>
                </c:pt>
                <c:pt idx="16">
                  <c:v>3.8599999999999994</c:v>
                </c:pt>
                <c:pt idx="17">
                  <c:v>4.0699999999999994</c:v>
                </c:pt>
                <c:pt idx="18">
                  <c:v>4.2799999999999994</c:v>
                </c:pt>
                <c:pt idx="19">
                  <c:v>4.4899999999999993</c:v>
                </c:pt>
                <c:pt idx="20">
                  <c:v>4.6999999999999993</c:v>
                </c:pt>
                <c:pt idx="21">
                  <c:v>4.9099999999999993</c:v>
                </c:pt>
                <c:pt idx="22">
                  <c:v>5.1199999999999992</c:v>
                </c:pt>
                <c:pt idx="23">
                  <c:v>5.3299999999999992</c:v>
                </c:pt>
                <c:pt idx="24">
                  <c:v>5.5399999999999991</c:v>
                </c:pt>
                <c:pt idx="25">
                  <c:v>5.7499999999999991</c:v>
                </c:pt>
                <c:pt idx="26">
                  <c:v>5.9599999999999991</c:v>
                </c:pt>
                <c:pt idx="27">
                  <c:v>6.169999999999999</c:v>
                </c:pt>
                <c:pt idx="28">
                  <c:v>6.379999999999999</c:v>
                </c:pt>
                <c:pt idx="29">
                  <c:v>6.589999999999999</c:v>
                </c:pt>
                <c:pt idx="30">
                  <c:v>6.7999999999999989</c:v>
                </c:pt>
                <c:pt idx="31">
                  <c:v>7.0099999999999989</c:v>
                </c:pt>
                <c:pt idx="32">
                  <c:v>7.2199999999999989</c:v>
                </c:pt>
                <c:pt idx="33">
                  <c:v>7.4299999999999988</c:v>
                </c:pt>
                <c:pt idx="34">
                  <c:v>7.6399999999999988</c:v>
                </c:pt>
                <c:pt idx="35">
                  <c:v>7.8499999999999988</c:v>
                </c:pt>
                <c:pt idx="36">
                  <c:v>8.0599999999999987</c:v>
                </c:pt>
                <c:pt idx="37">
                  <c:v>8.27</c:v>
                </c:pt>
                <c:pt idx="38">
                  <c:v>8.48</c:v>
                </c:pt>
                <c:pt idx="39">
                  <c:v>8.6900000000000013</c:v>
                </c:pt>
                <c:pt idx="40">
                  <c:v>8.9000000000000021</c:v>
                </c:pt>
                <c:pt idx="41">
                  <c:v>9.110000000000003</c:v>
                </c:pt>
                <c:pt idx="42">
                  <c:v>9.3200000000000038</c:v>
                </c:pt>
                <c:pt idx="43">
                  <c:v>9.5300000000000047</c:v>
                </c:pt>
                <c:pt idx="44">
                  <c:v>9.7400000000000055</c:v>
                </c:pt>
                <c:pt idx="45">
                  <c:v>9.9500000000000064</c:v>
                </c:pt>
                <c:pt idx="46">
                  <c:v>10.160000000000007</c:v>
                </c:pt>
                <c:pt idx="47">
                  <c:v>10.370000000000008</c:v>
                </c:pt>
                <c:pt idx="48">
                  <c:v>10.580000000000009</c:v>
                </c:pt>
                <c:pt idx="49">
                  <c:v>10.79000000000001</c:v>
                </c:pt>
                <c:pt idx="50">
                  <c:v>11.000000000000011</c:v>
                </c:pt>
                <c:pt idx="51">
                  <c:v>11.210000000000012</c:v>
                </c:pt>
                <c:pt idx="52">
                  <c:v>11.420000000000012</c:v>
                </c:pt>
                <c:pt idx="53">
                  <c:v>11.630000000000013</c:v>
                </c:pt>
                <c:pt idx="54">
                  <c:v>11.840000000000014</c:v>
                </c:pt>
                <c:pt idx="55">
                  <c:v>12.050000000000015</c:v>
                </c:pt>
                <c:pt idx="56">
                  <c:v>12.260000000000016</c:v>
                </c:pt>
                <c:pt idx="57">
                  <c:v>12.470000000000017</c:v>
                </c:pt>
                <c:pt idx="58">
                  <c:v>12.680000000000017</c:v>
                </c:pt>
                <c:pt idx="59">
                  <c:v>12.890000000000018</c:v>
                </c:pt>
                <c:pt idx="60">
                  <c:v>13.100000000000019</c:v>
                </c:pt>
                <c:pt idx="61">
                  <c:v>13.31000000000002</c:v>
                </c:pt>
                <c:pt idx="62">
                  <c:v>13.520000000000021</c:v>
                </c:pt>
                <c:pt idx="63">
                  <c:v>13.730000000000022</c:v>
                </c:pt>
                <c:pt idx="64">
                  <c:v>13.940000000000023</c:v>
                </c:pt>
                <c:pt idx="65">
                  <c:v>14.150000000000023</c:v>
                </c:pt>
                <c:pt idx="66">
                  <c:v>14.360000000000024</c:v>
                </c:pt>
                <c:pt idx="67">
                  <c:v>14.570000000000025</c:v>
                </c:pt>
                <c:pt idx="68">
                  <c:v>14.780000000000026</c:v>
                </c:pt>
                <c:pt idx="69">
                  <c:v>14.990000000000027</c:v>
                </c:pt>
                <c:pt idx="70">
                  <c:v>15.200000000000028</c:v>
                </c:pt>
                <c:pt idx="71">
                  <c:v>15.410000000000029</c:v>
                </c:pt>
                <c:pt idx="72">
                  <c:v>15.620000000000029</c:v>
                </c:pt>
                <c:pt idx="73">
                  <c:v>15.83000000000003</c:v>
                </c:pt>
                <c:pt idx="74">
                  <c:v>16.040000000000031</c:v>
                </c:pt>
                <c:pt idx="75">
                  <c:v>16.250000000000032</c:v>
                </c:pt>
                <c:pt idx="76">
                  <c:v>16.460000000000033</c:v>
                </c:pt>
                <c:pt idx="77">
                  <c:v>16.670000000000034</c:v>
                </c:pt>
                <c:pt idx="78">
                  <c:v>16.880000000000035</c:v>
                </c:pt>
                <c:pt idx="79">
                  <c:v>17.090000000000035</c:v>
                </c:pt>
                <c:pt idx="80">
                  <c:v>17.300000000000036</c:v>
                </c:pt>
                <c:pt idx="81">
                  <c:v>17.510000000000037</c:v>
                </c:pt>
                <c:pt idx="82">
                  <c:v>17.720000000000038</c:v>
                </c:pt>
                <c:pt idx="83">
                  <c:v>17.930000000000039</c:v>
                </c:pt>
                <c:pt idx="84">
                  <c:v>18.14000000000004</c:v>
                </c:pt>
                <c:pt idx="85">
                  <c:v>18.350000000000041</c:v>
                </c:pt>
                <c:pt idx="86">
                  <c:v>18.560000000000041</c:v>
                </c:pt>
                <c:pt idx="87">
                  <c:v>18.770000000000042</c:v>
                </c:pt>
                <c:pt idx="88">
                  <c:v>18.980000000000043</c:v>
                </c:pt>
                <c:pt idx="89">
                  <c:v>19.190000000000044</c:v>
                </c:pt>
                <c:pt idx="90">
                  <c:v>19.400000000000045</c:v>
                </c:pt>
                <c:pt idx="91">
                  <c:v>19.610000000000046</c:v>
                </c:pt>
                <c:pt idx="92">
                  <c:v>19.820000000000046</c:v>
                </c:pt>
                <c:pt idx="93">
                  <c:v>20.030000000000047</c:v>
                </c:pt>
                <c:pt idx="94">
                  <c:v>20.240000000000048</c:v>
                </c:pt>
                <c:pt idx="95">
                  <c:v>20.450000000000049</c:v>
                </c:pt>
                <c:pt idx="96">
                  <c:v>20.66000000000005</c:v>
                </c:pt>
                <c:pt idx="97">
                  <c:v>20.870000000000051</c:v>
                </c:pt>
                <c:pt idx="98">
                  <c:v>21.080000000000052</c:v>
                </c:pt>
                <c:pt idx="99">
                  <c:v>21.290000000000052</c:v>
                </c:pt>
                <c:pt idx="100">
                  <c:v>21.500000000000053</c:v>
                </c:pt>
              </c:numCache>
            </c:numRef>
          </c:xVal>
          <c:yVal>
            <c:numRef>
              <c:f>Arkusz1!$AB$3:$AB$103</c:f>
              <c:numCache>
                <c:formatCode>General</c:formatCode>
                <c:ptCount val="101"/>
                <c:pt idx="0">
                  <c:v>1.9694128672350351E-4</c:v>
                </c:pt>
                <c:pt idx="1">
                  <c:v>6.3538579422412617E-4</c:v>
                </c:pt>
                <c:pt idx="2">
                  <c:v>1.4962399131441975E-3</c:v>
                </c:pt>
                <c:pt idx="3">
                  <c:v>2.6761604532040233E-3</c:v>
                </c:pt>
                <c:pt idx="4">
                  <c:v>3.8237406088805106E-3</c:v>
                </c:pt>
                <c:pt idx="5">
                  <c:v>4.6318141491393239E-3</c:v>
                </c:pt>
                <c:pt idx="6">
                  <c:v>5.079425837863207E-3</c:v>
                </c:pt>
                <c:pt idx="7">
                  <c:v>5.4029097084093468E-3</c:v>
                </c:pt>
                <c:pt idx="8">
                  <c:v>5.9292027238484089E-3</c:v>
                </c:pt>
                <c:pt idx="9">
                  <c:v>6.8761366873996161E-3</c:v>
                </c:pt>
                <c:pt idx="10">
                  <c:v>8.1850342576866679E-3</c:v>
                </c:pt>
                <c:pt idx="11">
                  <c:v>9.5818831893463782E-3</c:v>
                </c:pt>
                <c:pt idx="12">
                  <c:v>1.0854404266680382E-2</c:v>
                </c:pt>
                <c:pt idx="13">
                  <c:v>1.2085530541241268E-2</c:v>
                </c:pt>
                <c:pt idx="14">
                  <c:v>1.3724618436002228E-2</c:v>
                </c:pt>
                <c:pt idx="15">
                  <c:v>1.6380673957089083E-2</c:v>
                </c:pt>
                <c:pt idx="16">
                  <c:v>2.0326561424996149E-2</c:v>
                </c:pt>
                <c:pt idx="17">
                  <c:v>2.527626438029601E-2</c:v>
                </c:pt>
                <c:pt idx="18">
                  <c:v>3.0887934109811551E-2</c:v>
                </c:pt>
                <c:pt idx="19">
                  <c:v>3.7303734455314631E-2</c:v>
                </c:pt>
                <c:pt idx="20">
                  <c:v>4.4888947600684043E-2</c:v>
                </c:pt>
                <c:pt idx="21">
                  <c:v>5.3619208697580356E-2</c:v>
                </c:pt>
                <c:pt idx="22">
                  <c:v>6.2945339496363439E-2</c:v>
                </c:pt>
                <c:pt idx="23">
                  <c:v>7.2136596778802048E-2</c:v>
                </c:pt>
                <c:pt idx="24">
                  <c:v>8.0747430405966977E-2</c:v>
                </c:pt>
                <c:pt idx="25">
                  <c:v>8.8928250870030034E-2</c:v>
                </c:pt>
                <c:pt idx="26">
                  <c:v>9.7244788661972198E-2</c:v>
                </c:pt>
                <c:pt idx="27">
                  <c:v>0.10631323140762555</c:v>
                </c:pt>
                <c:pt idx="28">
                  <c:v>0.11690154762276672</c:v>
                </c:pt>
                <c:pt idx="29">
                  <c:v>0.12990963335913863</c:v>
                </c:pt>
                <c:pt idx="30">
                  <c:v>0.14555173410031041</c:v>
                </c:pt>
                <c:pt idx="31">
                  <c:v>0.16294567992740175</c:v>
                </c:pt>
                <c:pt idx="32">
                  <c:v>0.18124962795458735</c:v>
                </c:pt>
                <c:pt idx="33">
                  <c:v>0.20079116716097364</c:v>
                </c:pt>
                <c:pt idx="34">
                  <c:v>0.22230892256542453</c:v>
                </c:pt>
                <c:pt idx="35">
                  <c:v>0.24572755028327112</c:v>
                </c:pt>
                <c:pt idx="36">
                  <c:v>0.27060335439084016</c:v>
                </c:pt>
                <c:pt idx="37">
                  <c:v>0.29679487567264229</c:v>
                </c:pt>
                <c:pt idx="38">
                  <c:v>0.32368128897299558</c:v>
                </c:pt>
                <c:pt idx="39">
                  <c:v>0.34975288920648839</c:v>
                </c:pt>
                <c:pt idx="40">
                  <c:v>0.37378928210922169</c:v>
                </c:pt>
                <c:pt idx="41">
                  <c:v>0.39593443864394945</c:v>
                </c:pt>
                <c:pt idx="42">
                  <c:v>0.41735083170916559</c:v>
                </c:pt>
                <c:pt idx="43">
                  <c:v>0.43910685017421319</c:v>
                </c:pt>
                <c:pt idx="44">
                  <c:v>0.46139870119200888</c:v>
                </c:pt>
                <c:pt idx="45">
                  <c:v>0.48352255836510699</c:v>
                </c:pt>
                <c:pt idx="46">
                  <c:v>0.50456315408525032</c:v>
                </c:pt>
                <c:pt idx="47">
                  <c:v>0.52438818311465885</c:v>
                </c:pt>
                <c:pt idx="48">
                  <c:v>0.54402104474955915</c:v>
                </c:pt>
                <c:pt idx="49">
                  <c:v>0.56493063832091528</c:v>
                </c:pt>
                <c:pt idx="50">
                  <c:v>0.58795786684581908</c:v>
                </c:pt>
                <c:pt idx="51">
                  <c:v>0.61275997646179514</c:v>
                </c:pt>
                <c:pt idx="52">
                  <c:v>0.63809777824994718</c:v>
                </c:pt>
                <c:pt idx="53">
                  <c:v>0.66284842955679779</c:v>
                </c:pt>
                <c:pt idx="54">
                  <c:v>0.68683232150407425</c:v>
                </c:pt>
                <c:pt idx="55">
                  <c:v>0.71039607066368304</c:v>
                </c:pt>
                <c:pt idx="56">
                  <c:v>0.7335094314314029</c:v>
                </c:pt>
                <c:pt idx="57">
                  <c:v>0.75573139945849366</c:v>
                </c:pt>
                <c:pt idx="58">
                  <c:v>0.77652215343594844</c:v>
                </c:pt>
                <c:pt idx="59">
                  <c:v>0.79540644197447574</c:v>
                </c:pt>
                <c:pt idx="60">
                  <c:v>0.81236752811926105</c:v>
                </c:pt>
                <c:pt idx="61">
                  <c:v>0.8279210442985323</c:v>
                </c:pt>
                <c:pt idx="62">
                  <c:v>0.84255697468831525</c:v>
                </c:pt>
                <c:pt idx="63">
                  <c:v>0.85647444390707039</c:v>
                </c:pt>
                <c:pt idx="64">
                  <c:v>0.86984634572250641</c:v>
                </c:pt>
                <c:pt idx="65">
                  <c:v>0.8827581413897615</c:v>
                </c:pt>
                <c:pt idx="66">
                  <c:v>0.89487157284271468</c:v>
                </c:pt>
                <c:pt idx="67">
                  <c:v>0.90571082083013743</c:v>
                </c:pt>
                <c:pt idx="68">
                  <c:v>0.91534551165374189</c:v>
                </c:pt>
                <c:pt idx="69">
                  <c:v>0.92430753336977289</c:v>
                </c:pt>
                <c:pt idx="70">
                  <c:v>0.93271792692467659</c:v>
                </c:pt>
                <c:pt idx="71">
                  <c:v>0.9400605256151483</c:v>
                </c:pt>
                <c:pt idx="72">
                  <c:v>0.94607180012253889</c:v>
                </c:pt>
                <c:pt idx="73">
                  <c:v>0.95125061826025148</c:v>
                </c:pt>
                <c:pt idx="74">
                  <c:v>0.95630796233984139</c:v>
                </c:pt>
                <c:pt idx="75">
                  <c:v>0.96165973863756971</c:v>
                </c:pt>
                <c:pt idx="76">
                  <c:v>0.9673604623911336</c:v>
                </c:pt>
                <c:pt idx="77">
                  <c:v>0.97299679788920412</c:v>
                </c:pt>
                <c:pt idx="78">
                  <c:v>0.97779712231411609</c:v>
                </c:pt>
                <c:pt idx="79">
                  <c:v>0.98125751458946797</c:v>
                </c:pt>
                <c:pt idx="80">
                  <c:v>0.98354693151575601</c:v>
                </c:pt>
                <c:pt idx="81">
                  <c:v>0.98520948203587189</c:v>
                </c:pt>
                <c:pt idx="82">
                  <c:v>0.98672334635099068</c:v>
                </c:pt>
                <c:pt idx="83">
                  <c:v>0.98834429379692867</c:v>
                </c:pt>
                <c:pt idx="84">
                  <c:v>0.99011722068273866</c:v>
                </c:pt>
                <c:pt idx="85">
                  <c:v>0.99196531589036963</c:v>
                </c:pt>
                <c:pt idx="86">
                  <c:v>0.99379611080086172</c:v>
                </c:pt>
                <c:pt idx="87">
                  <c:v>0.9954801598293227</c:v>
                </c:pt>
                <c:pt idx="88">
                  <c:v>0.99681610301977308</c:v>
                </c:pt>
                <c:pt idx="89">
                  <c:v>0.99766366422501584</c:v>
                </c:pt>
                <c:pt idx="90">
                  <c:v>0.99807234036581494</c:v>
                </c:pt>
                <c:pt idx="91">
                  <c:v>0.99821701645873362</c:v>
                </c:pt>
                <c:pt idx="92">
                  <c:v>0.99825390068786679</c:v>
                </c:pt>
                <c:pt idx="93">
                  <c:v>0.99826325129210325</c:v>
                </c:pt>
                <c:pt idx="94">
                  <c:v>0.9982817091731836</c:v>
                </c:pt>
                <c:pt idx="95">
                  <c:v>0.99835392691106339</c:v>
                </c:pt>
                <c:pt idx="96">
                  <c:v>0.99855089061896485</c:v>
                </c:pt>
                <c:pt idx="97">
                  <c:v>0.99891060021444145</c:v>
                </c:pt>
                <c:pt idx="98">
                  <c:v>0.99935026934736171</c:v>
                </c:pt>
                <c:pt idx="99">
                  <c:v>0.99970997880982038</c:v>
                </c:pt>
                <c:pt idx="100">
                  <c:v>0.9999069389382863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F9-4C89-81C2-38616A33F0A1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Arkusz1!$X$3:$X$103</c:f>
              <c:numCache>
                <c:formatCode>General</c:formatCode>
                <c:ptCount val="101"/>
                <c:pt idx="0">
                  <c:v>0.5</c:v>
                </c:pt>
                <c:pt idx="1">
                  <c:v>0.71</c:v>
                </c:pt>
                <c:pt idx="2">
                  <c:v>0.91999999999999993</c:v>
                </c:pt>
                <c:pt idx="3">
                  <c:v>1.1299999999999999</c:v>
                </c:pt>
                <c:pt idx="4">
                  <c:v>1.3399999999999999</c:v>
                </c:pt>
                <c:pt idx="5">
                  <c:v>1.5499999999999998</c:v>
                </c:pt>
                <c:pt idx="6">
                  <c:v>1.7599999999999998</c:v>
                </c:pt>
                <c:pt idx="7">
                  <c:v>1.9699999999999998</c:v>
                </c:pt>
                <c:pt idx="8">
                  <c:v>2.1799999999999997</c:v>
                </c:pt>
                <c:pt idx="9">
                  <c:v>2.3899999999999997</c:v>
                </c:pt>
                <c:pt idx="10">
                  <c:v>2.5999999999999996</c:v>
                </c:pt>
                <c:pt idx="11">
                  <c:v>2.8099999999999996</c:v>
                </c:pt>
                <c:pt idx="12">
                  <c:v>3.0199999999999996</c:v>
                </c:pt>
                <c:pt idx="13">
                  <c:v>3.2299999999999995</c:v>
                </c:pt>
                <c:pt idx="14">
                  <c:v>3.4399999999999995</c:v>
                </c:pt>
                <c:pt idx="15">
                  <c:v>3.6499999999999995</c:v>
                </c:pt>
                <c:pt idx="16">
                  <c:v>3.8599999999999994</c:v>
                </c:pt>
                <c:pt idx="17">
                  <c:v>4.0699999999999994</c:v>
                </c:pt>
                <c:pt idx="18">
                  <c:v>4.2799999999999994</c:v>
                </c:pt>
                <c:pt idx="19">
                  <c:v>4.4899999999999993</c:v>
                </c:pt>
                <c:pt idx="20">
                  <c:v>4.6999999999999993</c:v>
                </c:pt>
                <c:pt idx="21">
                  <c:v>4.9099999999999993</c:v>
                </c:pt>
                <c:pt idx="22">
                  <c:v>5.1199999999999992</c:v>
                </c:pt>
                <c:pt idx="23">
                  <c:v>5.3299999999999992</c:v>
                </c:pt>
                <c:pt idx="24">
                  <c:v>5.5399999999999991</c:v>
                </c:pt>
                <c:pt idx="25">
                  <c:v>5.7499999999999991</c:v>
                </c:pt>
                <c:pt idx="26">
                  <c:v>5.9599999999999991</c:v>
                </c:pt>
                <c:pt idx="27">
                  <c:v>6.169999999999999</c:v>
                </c:pt>
                <c:pt idx="28">
                  <c:v>6.379999999999999</c:v>
                </c:pt>
                <c:pt idx="29">
                  <c:v>6.589999999999999</c:v>
                </c:pt>
                <c:pt idx="30">
                  <c:v>6.7999999999999989</c:v>
                </c:pt>
                <c:pt idx="31">
                  <c:v>7.0099999999999989</c:v>
                </c:pt>
                <c:pt idx="32">
                  <c:v>7.2199999999999989</c:v>
                </c:pt>
                <c:pt idx="33">
                  <c:v>7.4299999999999988</c:v>
                </c:pt>
                <c:pt idx="34">
                  <c:v>7.6399999999999988</c:v>
                </c:pt>
                <c:pt idx="35">
                  <c:v>7.8499999999999988</c:v>
                </c:pt>
                <c:pt idx="36">
                  <c:v>8.0599999999999987</c:v>
                </c:pt>
                <c:pt idx="37">
                  <c:v>8.27</c:v>
                </c:pt>
                <c:pt idx="38">
                  <c:v>8.48</c:v>
                </c:pt>
                <c:pt idx="39">
                  <c:v>8.6900000000000013</c:v>
                </c:pt>
                <c:pt idx="40">
                  <c:v>8.9000000000000021</c:v>
                </c:pt>
                <c:pt idx="41">
                  <c:v>9.110000000000003</c:v>
                </c:pt>
                <c:pt idx="42">
                  <c:v>9.3200000000000038</c:v>
                </c:pt>
                <c:pt idx="43">
                  <c:v>9.5300000000000047</c:v>
                </c:pt>
                <c:pt idx="44">
                  <c:v>9.7400000000000055</c:v>
                </c:pt>
                <c:pt idx="45">
                  <c:v>9.9500000000000064</c:v>
                </c:pt>
                <c:pt idx="46">
                  <c:v>10.160000000000007</c:v>
                </c:pt>
                <c:pt idx="47">
                  <c:v>10.370000000000008</c:v>
                </c:pt>
                <c:pt idx="48">
                  <c:v>10.580000000000009</c:v>
                </c:pt>
                <c:pt idx="49">
                  <c:v>10.79000000000001</c:v>
                </c:pt>
                <c:pt idx="50">
                  <c:v>11.000000000000011</c:v>
                </c:pt>
                <c:pt idx="51">
                  <c:v>11.210000000000012</c:v>
                </c:pt>
                <c:pt idx="52">
                  <c:v>11.420000000000012</c:v>
                </c:pt>
                <c:pt idx="53">
                  <c:v>11.630000000000013</c:v>
                </c:pt>
                <c:pt idx="54">
                  <c:v>11.840000000000014</c:v>
                </c:pt>
                <c:pt idx="55">
                  <c:v>12.050000000000015</c:v>
                </c:pt>
                <c:pt idx="56">
                  <c:v>12.260000000000016</c:v>
                </c:pt>
                <c:pt idx="57">
                  <c:v>12.470000000000017</c:v>
                </c:pt>
                <c:pt idx="58">
                  <c:v>12.680000000000017</c:v>
                </c:pt>
                <c:pt idx="59">
                  <c:v>12.890000000000018</c:v>
                </c:pt>
                <c:pt idx="60">
                  <c:v>13.100000000000019</c:v>
                </c:pt>
                <c:pt idx="61">
                  <c:v>13.31000000000002</c:v>
                </c:pt>
                <c:pt idx="62">
                  <c:v>13.520000000000021</c:v>
                </c:pt>
                <c:pt idx="63">
                  <c:v>13.730000000000022</c:v>
                </c:pt>
                <c:pt idx="64">
                  <c:v>13.940000000000023</c:v>
                </c:pt>
                <c:pt idx="65">
                  <c:v>14.150000000000023</c:v>
                </c:pt>
                <c:pt idx="66">
                  <c:v>14.360000000000024</c:v>
                </c:pt>
                <c:pt idx="67">
                  <c:v>14.570000000000025</c:v>
                </c:pt>
                <c:pt idx="68">
                  <c:v>14.780000000000026</c:v>
                </c:pt>
                <c:pt idx="69">
                  <c:v>14.990000000000027</c:v>
                </c:pt>
                <c:pt idx="70">
                  <c:v>15.200000000000028</c:v>
                </c:pt>
                <c:pt idx="71">
                  <c:v>15.410000000000029</c:v>
                </c:pt>
                <c:pt idx="72">
                  <c:v>15.620000000000029</c:v>
                </c:pt>
                <c:pt idx="73">
                  <c:v>15.83000000000003</c:v>
                </c:pt>
                <c:pt idx="74">
                  <c:v>16.040000000000031</c:v>
                </c:pt>
                <c:pt idx="75">
                  <c:v>16.250000000000032</c:v>
                </c:pt>
                <c:pt idx="76">
                  <c:v>16.460000000000033</c:v>
                </c:pt>
                <c:pt idx="77">
                  <c:v>16.670000000000034</c:v>
                </c:pt>
                <c:pt idx="78">
                  <c:v>16.880000000000035</c:v>
                </c:pt>
                <c:pt idx="79">
                  <c:v>17.090000000000035</c:v>
                </c:pt>
                <c:pt idx="80">
                  <c:v>17.300000000000036</c:v>
                </c:pt>
                <c:pt idx="81">
                  <c:v>17.510000000000037</c:v>
                </c:pt>
                <c:pt idx="82">
                  <c:v>17.720000000000038</c:v>
                </c:pt>
                <c:pt idx="83">
                  <c:v>17.930000000000039</c:v>
                </c:pt>
                <c:pt idx="84">
                  <c:v>18.14000000000004</c:v>
                </c:pt>
                <c:pt idx="85">
                  <c:v>18.350000000000041</c:v>
                </c:pt>
                <c:pt idx="86">
                  <c:v>18.560000000000041</c:v>
                </c:pt>
                <c:pt idx="87">
                  <c:v>18.770000000000042</c:v>
                </c:pt>
                <c:pt idx="88">
                  <c:v>18.980000000000043</c:v>
                </c:pt>
                <c:pt idx="89">
                  <c:v>19.190000000000044</c:v>
                </c:pt>
                <c:pt idx="90">
                  <c:v>19.400000000000045</c:v>
                </c:pt>
                <c:pt idx="91">
                  <c:v>19.610000000000046</c:v>
                </c:pt>
                <c:pt idx="92">
                  <c:v>19.820000000000046</c:v>
                </c:pt>
                <c:pt idx="93">
                  <c:v>20.030000000000047</c:v>
                </c:pt>
                <c:pt idx="94">
                  <c:v>20.240000000000048</c:v>
                </c:pt>
                <c:pt idx="95">
                  <c:v>20.450000000000049</c:v>
                </c:pt>
                <c:pt idx="96">
                  <c:v>20.66000000000005</c:v>
                </c:pt>
                <c:pt idx="97">
                  <c:v>20.870000000000051</c:v>
                </c:pt>
                <c:pt idx="98">
                  <c:v>21.080000000000052</c:v>
                </c:pt>
                <c:pt idx="99">
                  <c:v>21.290000000000052</c:v>
                </c:pt>
                <c:pt idx="100">
                  <c:v>21.500000000000053</c:v>
                </c:pt>
              </c:numCache>
            </c:numRef>
          </c:xVal>
          <c:yVal>
            <c:numRef>
              <c:f>Arkusz1!$AC$3:$AC$103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3.4782608695652175E-3</c:v>
                </c:pt>
                <c:pt idx="4">
                  <c:v>5.2173913043478265E-3</c:v>
                </c:pt>
                <c:pt idx="5">
                  <c:v>5.2173913043478265E-3</c:v>
                </c:pt>
                <c:pt idx="6">
                  <c:v>5.2173913043478265E-3</c:v>
                </c:pt>
                <c:pt idx="7">
                  <c:v>5.2173913043478265E-3</c:v>
                </c:pt>
                <c:pt idx="8">
                  <c:v>5.2173913043478265E-3</c:v>
                </c:pt>
                <c:pt idx="9">
                  <c:v>5.2173913043478265E-3</c:v>
                </c:pt>
                <c:pt idx="10">
                  <c:v>8.6956521739130436E-3</c:v>
                </c:pt>
                <c:pt idx="11">
                  <c:v>1.0434782608695653E-2</c:v>
                </c:pt>
                <c:pt idx="12">
                  <c:v>1.0434782608695653E-2</c:v>
                </c:pt>
                <c:pt idx="13">
                  <c:v>1.2173913043478261E-2</c:v>
                </c:pt>
                <c:pt idx="14">
                  <c:v>1.2173913043478261E-2</c:v>
                </c:pt>
                <c:pt idx="15">
                  <c:v>1.5652173913043479E-2</c:v>
                </c:pt>
                <c:pt idx="16">
                  <c:v>1.5652173913043479E-2</c:v>
                </c:pt>
                <c:pt idx="17">
                  <c:v>2.6086956521739129E-2</c:v>
                </c:pt>
                <c:pt idx="18">
                  <c:v>3.1304347826086959E-2</c:v>
                </c:pt>
                <c:pt idx="19">
                  <c:v>3.209979536494896E-2</c:v>
                </c:pt>
                <c:pt idx="20">
                  <c:v>0.04</c:v>
                </c:pt>
                <c:pt idx="21">
                  <c:v>5.3913043478260869E-2</c:v>
                </c:pt>
                <c:pt idx="22">
                  <c:v>6.7826086956521744E-2</c:v>
                </c:pt>
                <c:pt idx="23">
                  <c:v>6.7826086956521744E-2</c:v>
                </c:pt>
                <c:pt idx="24">
                  <c:v>8.1739130434782606E-2</c:v>
                </c:pt>
                <c:pt idx="25">
                  <c:v>8.8695652173913037E-2</c:v>
                </c:pt>
                <c:pt idx="26">
                  <c:v>0.10260869565217391</c:v>
                </c:pt>
                <c:pt idx="27">
                  <c:v>0.10260869565217391</c:v>
                </c:pt>
                <c:pt idx="28">
                  <c:v>0.11304347826086956</c:v>
                </c:pt>
                <c:pt idx="29">
                  <c:v>0.12869565217391304</c:v>
                </c:pt>
                <c:pt idx="30">
                  <c:v>0.12869565217391304</c:v>
                </c:pt>
                <c:pt idx="31">
                  <c:v>0.16</c:v>
                </c:pt>
                <c:pt idx="32">
                  <c:v>0.18260869565217391</c:v>
                </c:pt>
                <c:pt idx="33">
                  <c:v>0.20347826086956522</c:v>
                </c:pt>
                <c:pt idx="34">
                  <c:v>0.20347826086956522</c:v>
                </c:pt>
                <c:pt idx="35">
                  <c:v>0.24521739130434783</c:v>
                </c:pt>
                <c:pt idx="36">
                  <c:v>0.27130434782608698</c:v>
                </c:pt>
                <c:pt idx="37">
                  <c:v>0.31304347826086959</c:v>
                </c:pt>
                <c:pt idx="38">
                  <c:v>0.31304347826086959</c:v>
                </c:pt>
                <c:pt idx="39">
                  <c:v>0.35478260869565215</c:v>
                </c:pt>
                <c:pt idx="40">
                  <c:v>0.3843478260869565</c:v>
                </c:pt>
                <c:pt idx="41">
                  <c:v>0.3843478260869565</c:v>
                </c:pt>
                <c:pt idx="42">
                  <c:v>0.41043478260869565</c:v>
                </c:pt>
                <c:pt idx="43">
                  <c:v>0.44</c:v>
                </c:pt>
                <c:pt idx="44">
                  <c:v>0.47304347826086957</c:v>
                </c:pt>
                <c:pt idx="45">
                  <c:v>0.47304347826086957</c:v>
                </c:pt>
                <c:pt idx="46">
                  <c:v>0.50608695652173918</c:v>
                </c:pt>
                <c:pt idx="47">
                  <c:v>0.52869565217391301</c:v>
                </c:pt>
                <c:pt idx="48">
                  <c:v>0.55304347826086953</c:v>
                </c:pt>
                <c:pt idx="49">
                  <c:v>0.55304347826086953</c:v>
                </c:pt>
                <c:pt idx="50">
                  <c:v>0.58434782608695657</c:v>
                </c:pt>
                <c:pt idx="51">
                  <c:v>0.62260869565217392</c:v>
                </c:pt>
                <c:pt idx="52">
                  <c:v>0.62260869565217392</c:v>
                </c:pt>
                <c:pt idx="53">
                  <c:v>0.66086956521739126</c:v>
                </c:pt>
                <c:pt idx="54">
                  <c:v>0.68695652173913047</c:v>
                </c:pt>
                <c:pt idx="55">
                  <c:v>0.72521739130434781</c:v>
                </c:pt>
                <c:pt idx="56">
                  <c:v>0.72521739130434781</c:v>
                </c:pt>
                <c:pt idx="57">
                  <c:v>0.75304347826086959</c:v>
                </c:pt>
                <c:pt idx="58">
                  <c:v>0.7860869565217391</c:v>
                </c:pt>
                <c:pt idx="59">
                  <c:v>0.80869565217391304</c:v>
                </c:pt>
                <c:pt idx="60">
                  <c:v>0.80869565217391304</c:v>
                </c:pt>
                <c:pt idx="61">
                  <c:v>0.82782608695652171</c:v>
                </c:pt>
                <c:pt idx="62">
                  <c:v>0.85043478260869565</c:v>
                </c:pt>
                <c:pt idx="63">
                  <c:v>0.85043478260869565</c:v>
                </c:pt>
                <c:pt idx="64">
                  <c:v>0.86608695652173917</c:v>
                </c:pt>
                <c:pt idx="65">
                  <c:v>0.88521739130434784</c:v>
                </c:pt>
                <c:pt idx="66">
                  <c:v>0.90434782608695652</c:v>
                </c:pt>
                <c:pt idx="67">
                  <c:v>0.90434782608695652</c:v>
                </c:pt>
                <c:pt idx="68">
                  <c:v>0.9147826086956522</c:v>
                </c:pt>
                <c:pt idx="69">
                  <c:v>0.92521739130434788</c:v>
                </c:pt>
                <c:pt idx="70">
                  <c:v>0.94260869565217387</c:v>
                </c:pt>
                <c:pt idx="71">
                  <c:v>0.94260869565217387</c:v>
                </c:pt>
                <c:pt idx="72">
                  <c:v>0.94608695652173913</c:v>
                </c:pt>
                <c:pt idx="73">
                  <c:v>0.95304347826086955</c:v>
                </c:pt>
                <c:pt idx="74">
                  <c:v>0.95304347826086955</c:v>
                </c:pt>
                <c:pt idx="75">
                  <c:v>0.96</c:v>
                </c:pt>
                <c:pt idx="76">
                  <c:v>0.96695652173913038</c:v>
                </c:pt>
                <c:pt idx="77">
                  <c:v>0.97913043478260875</c:v>
                </c:pt>
                <c:pt idx="78">
                  <c:v>0.97913043478260875</c:v>
                </c:pt>
                <c:pt idx="79">
                  <c:v>0.9826086956521739</c:v>
                </c:pt>
                <c:pt idx="80">
                  <c:v>0.98434782608695648</c:v>
                </c:pt>
                <c:pt idx="81">
                  <c:v>0.9859278670139775</c:v>
                </c:pt>
                <c:pt idx="82">
                  <c:v>0.98608695652173917</c:v>
                </c:pt>
                <c:pt idx="83">
                  <c:v>0.98782608695652174</c:v>
                </c:pt>
                <c:pt idx="84">
                  <c:v>0.99130434782608701</c:v>
                </c:pt>
                <c:pt idx="85">
                  <c:v>0.99130434782608701</c:v>
                </c:pt>
                <c:pt idx="86">
                  <c:v>0.99304347826086958</c:v>
                </c:pt>
                <c:pt idx="87">
                  <c:v>0.99652173913043474</c:v>
                </c:pt>
                <c:pt idx="88">
                  <c:v>0.99826086956521742</c:v>
                </c:pt>
                <c:pt idx="89">
                  <c:v>0.99826086956521742</c:v>
                </c:pt>
                <c:pt idx="90">
                  <c:v>0.99826086956521742</c:v>
                </c:pt>
                <c:pt idx="91">
                  <c:v>0.99826086956521742</c:v>
                </c:pt>
                <c:pt idx="92">
                  <c:v>0.99826086956521742</c:v>
                </c:pt>
                <c:pt idx="93">
                  <c:v>0.99826086956521742</c:v>
                </c:pt>
                <c:pt idx="94">
                  <c:v>0.99826086956521742</c:v>
                </c:pt>
                <c:pt idx="95">
                  <c:v>0.99826086956521742</c:v>
                </c:pt>
                <c:pt idx="96">
                  <c:v>0.99826086956521742</c:v>
                </c:pt>
                <c:pt idx="97">
                  <c:v>0.99826086956521742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F9-4C89-81C2-38616A33F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14592"/>
        <c:axId val="97436224"/>
      </c:scatterChart>
      <c:catAx>
        <c:axId val="9741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36224"/>
        <c:crosses val="autoZero"/>
        <c:auto val="1"/>
        <c:lblAlgn val="ctr"/>
        <c:lblOffset val="100"/>
        <c:noMultiLvlLbl val="0"/>
      </c:catAx>
      <c:valAx>
        <c:axId val="9743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Arkusz4!$G$2:$G$203</c:f>
              <c:numCache>
                <c:formatCode>General</c:formatCode>
                <c:ptCount val="202"/>
                <c:pt idx="0">
                  <c:v>145</c:v>
                </c:pt>
                <c:pt idx="1">
                  <c:v>148</c:v>
                </c:pt>
                <c:pt idx="2">
                  <c:v>148</c:v>
                </c:pt>
                <c:pt idx="3">
                  <c:v>154</c:v>
                </c:pt>
                <c:pt idx="4">
                  <c:v>154</c:v>
                </c:pt>
                <c:pt idx="5">
                  <c:v>158</c:v>
                </c:pt>
                <c:pt idx="6">
                  <c:v>158</c:v>
                </c:pt>
                <c:pt idx="7">
                  <c:v>161</c:v>
                </c:pt>
                <c:pt idx="8">
                  <c:v>161</c:v>
                </c:pt>
                <c:pt idx="9">
                  <c:v>162</c:v>
                </c:pt>
                <c:pt idx="10">
                  <c:v>162</c:v>
                </c:pt>
                <c:pt idx="11">
                  <c:v>162</c:v>
                </c:pt>
                <c:pt idx="12">
                  <c:v>162</c:v>
                </c:pt>
                <c:pt idx="13">
                  <c:v>162</c:v>
                </c:pt>
                <c:pt idx="14">
                  <c:v>162</c:v>
                </c:pt>
                <c:pt idx="15">
                  <c:v>164</c:v>
                </c:pt>
                <c:pt idx="16">
                  <c:v>164</c:v>
                </c:pt>
                <c:pt idx="17">
                  <c:v>165</c:v>
                </c:pt>
                <c:pt idx="18">
                  <c:v>165</c:v>
                </c:pt>
                <c:pt idx="19">
                  <c:v>167</c:v>
                </c:pt>
                <c:pt idx="20">
                  <c:v>167</c:v>
                </c:pt>
                <c:pt idx="21">
                  <c:v>167</c:v>
                </c:pt>
                <c:pt idx="22">
                  <c:v>167</c:v>
                </c:pt>
                <c:pt idx="23">
                  <c:v>168</c:v>
                </c:pt>
                <c:pt idx="24">
                  <c:v>168</c:v>
                </c:pt>
                <c:pt idx="25">
                  <c:v>168</c:v>
                </c:pt>
                <c:pt idx="26">
                  <c:v>168</c:v>
                </c:pt>
                <c:pt idx="27">
                  <c:v>169</c:v>
                </c:pt>
                <c:pt idx="28">
                  <c:v>169</c:v>
                </c:pt>
                <c:pt idx="29">
                  <c:v>169</c:v>
                </c:pt>
                <c:pt idx="30">
                  <c:v>169</c:v>
                </c:pt>
                <c:pt idx="31">
                  <c:v>170</c:v>
                </c:pt>
                <c:pt idx="32">
                  <c:v>170</c:v>
                </c:pt>
                <c:pt idx="33">
                  <c:v>170</c:v>
                </c:pt>
                <c:pt idx="34">
                  <c:v>170</c:v>
                </c:pt>
                <c:pt idx="35">
                  <c:v>170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171</c:v>
                </c:pt>
                <c:pt idx="40">
                  <c:v>171</c:v>
                </c:pt>
                <c:pt idx="41">
                  <c:v>171</c:v>
                </c:pt>
                <c:pt idx="42">
                  <c:v>171</c:v>
                </c:pt>
                <c:pt idx="43">
                  <c:v>171</c:v>
                </c:pt>
                <c:pt idx="44">
                  <c:v>171</c:v>
                </c:pt>
                <c:pt idx="45">
                  <c:v>171</c:v>
                </c:pt>
                <c:pt idx="46">
                  <c:v>171</c:v>
                </c:pt>
                <c:pt idx="47">
                  <c:v>172</c:v>
                </c:pt>
                <c:pt idx="48">
                  <c:v>172</c:v>
                </c:pt>
                <c:pt idx="49">
                  <c:v>172</c:v>
                </c:pt>
                <c:pt idx="50">
                  <c:v>172</c:v>
                </c:pt>
                <c:pt idx="51">
                  <c:v>172</c:v>
                </c:pt>
                <c:pt idx="52">
                  <c:v>172</c:v>
                </c:pt>
                <c:pt idx="53">
                  <c:v>172</c:v>
                </c:pt>
                <c:pt idx="54">
                  <c:v>172</c:v>
                </c:pt>
                <c:pt idx="55">
                  <c:v>173</c:v>
                </c:pt>
                <c:pt idx="56">
                  <c:v>173</c:v>
                </c:pt>
                <c:pt idx="57">
                  <c:v>173</c:v>
                </c:pt>
                <c:pt idx="58">
                  <c:v>173</c:v>
                </c:pt>
                <c:pt idx="59">
                  <c:v>174</c:v>
                </c:pt>
                <c:pt idx="60">
                  <c:v>174</c:v>
                </c:pt>
                <c:pt idx="61">
                  <c:v>174</c:v>
                </c:pt>
                <c:pt idx="62">
                  <c:v>174</c:v>
                </c:pt>
                <c:pt idx="63">
                  <c:v>174</c:v>
                </c:pt>
                <c:pt idx="64">
                  <c:v>174</c:v>
                </c:pt>
                <c:pt idx="65">
                  <c:v>174</c:v>
                </c:pt>
                <c:pt idx="66">
                  <c:v>174</c:v>
                </c:pt>
                <c:pt idx="67">
                  <c:v>174</c:v>
                </c:pt>
                <c:pt idx="68">
                  <c:v>174</c:v>
                </c:pt>
                <c:pt idx="69">
                  <c:v>174</c:v>
                </c:pt>
                <c:pt idx="70">
                  <c:v>174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175</c:v>
                </c:pt>
                <c:pt idx="81">
                  <c:v>176</c:v>
                </c:pt>
                <c:pt idx="82">
                  <c:v>176</c:v>
                </c:pt>
                <c:pt idx="83">
                  <c:v>176</c:v>
                </c:pt>
                <c:pt idx="84">
                  <c:v>176</c:v>
                </c:pt>
                <c:pt idx="85">
                  <c:v>177</c:v>
                </c:pt>
                <c:pt idx="86">
                  <c:v>177</c:v>
                </c:pt>
                <c:pt idx="87">
                  <c:v>177</c:v>
                </c:pt>
                <c:pt idx="88">
                  <c:v>177</c:v>
                </c:pt>
                <c:pt idx="89">
                  <c:v>177</c:v>
                </c:pt>
                <c:pt idx="90">
                  <c:v>177</c:v>
                </c:pt>
                <c:pt idx="91">
                  <c:v>178</c:v>
                </c:pt>
                <c:pt idx="92">
                  <c:v>178</c:v>
                </c:pt>
                <c:pt idx="93">
                  <c:v>178</c:v>
                </c:pt>
                <c:pt idx="94">
                  <c:v>178</c:v>
                </c:pt>
                <c:pt idx="95">
                  <c:v>178</c:v>
                </c:pt>
                <c:pt idx="96">
                  <c:v>178</c:v>
                </c:pt>
                <c:pt idx="97">
                  <c:v>179</c:v>
                </c:pt>
                <c:pt idx="98">
                  <c:v>179</c:v>
                </c:pt>
                <c:pt idx="99">
                  <c:v>179</c:v>
                </c:pt>
                <c:pt idx="100">
                  <c:v>179</c:v>
                </c:pt>
                <c:pt idx="101">
                  <c:v>179</c:v>
                </c:pt>
                <c:pt idx="102">
                  <c:v>179</c:v>
                </c:pt>
                <c:pt idx="103">
                  <c:v>179</c:v>
                </c:pt>
                <c:pt idx="104">
                  <c:v>179</c:v>
                </c:pt>
                <c:pt idx="105">
                  <c:v>179</c:v>
                </c:pt>
                <c:pt idx="106">
                  <c:v>179</c:v>
                </c:pt>
                <c:pt idx="107">
                  <c:v>180</c:v>
                </c:pt>
                <c:pt idx="108">
                  <c:v>180</c:v>
                </c:pt>
                <c:pt idx="109">
                  <c:v>180</c:v>
                </c:pt>
                <c:pt idx="110">
                  <c:v>180</c:v>
                </c:pt>
                <c:pt idx="111">
                  <c:v>181</c:v>
                </c:pt>
                <c:pt idx="112">
                  <c:v>181</c:v>
                </c:pt>
                <c:pt idx="113">
                  <c:v>181</c:v>
                </c:pt>
                <c:pt idx="114">
                  <c:v>181</c:v>
                </c:pt>
                <c:pt idx="115">
                  <c:v>181</c:v>
                </c:pt>
                <c:pt idx="116">
                  <c:v>181</c:v>
                </c:pt>
                <c:pt idx="117">
                  <c:v>182</c:v>
                </c:pt>
                <c:pt idx="118">
                  <c:v>182</c:v>
                </c:pt>
                <c:pt idx="119">
                  <c:v>183</c:v>
                </c:pt>
                <c:pt idx="120">
                  <c:v>183</c:v>
                </c:pt>
                <c:pt idx="121">
                  <c:v>183</c:v>
                </c:pt>
                <c:pt idx="122">
                  <c:v>183</c:v>
                </c:pt>
                <c:pt idx="123">
                  <c:v>183</c:v>
                </c:pt>
                <c:pt idx="124">
                  <c:v>183</c:v>
                </c:pt>
                <c:pt idx="125">
                  <c:v>184</c:v>
                </c:pt>
                <c:pt idx="126">
                  <c:v>184</c:v>
                </c:pt>
                <c:pt idx="127">
                  <c:v>184</c:v>
                </c:pt>
                <c:pt idx="128">
                  <c:v>184</c:v>
                </c:pt>
                <c:pt idx="129">
                  <c:v>184</c:v>
                </c:pt>
                <c:pt idx="130">
                  <c:v>184</c:v>
                </c:pt>
                <c:pt idx="131">
                  <c:v>185</c:v>
                </c:pt>
                <c:pt idx="132">
                  <c:v>185</c:v>
                </c:pt>
                <c:pt idx="133">
                  <c:v>185</c:v>
                </c:pt>
                <c:pt idx="134">
                  <c:v>185</c:v>
                </c:pt>
                <c:pt idx="135">
                  <c:v>185</c:v>
                </c:pt>
                <c:pt idx="136">
                  <c:v>185</c:v>
                </c:pt>
                <c:pt idx="137">
                  <c:v>186</c:v>
                </c:pt>
                <c:pt idx="138">
                  <c:v>186</c:v>
                </c:pt>
                <c:pt idx="139">
                  <c:v>186</c:v>
                </c:pt>
                <c:pt idx="140">
                  <c:v>186</c:v>
                </c:pt>
                <c:pt idx="141">
                  <c:v>186</c:v>
                </c:pt>
                <c:pt idx="142">
                  <c:v>186</c:v>
                </c:pt>
                <c:pt idx="143">
                  <c:v>186</c:v>
                </c:pt>
                <c:pt idx="144">
                  <c:v>186</c:v>
                </c:pt>
                <c:pt idx="145">
                  <c:v>186</c:v>
                </c:pt>
                <c:pt idx="146">
                  <c:v>186</c:v>
                </c:pt>
                <c:pt idx="147">
                  <c:v>187</c:v>
                </c:pt>
                <c:pt idx="148">
                  <c:v>187</c:v>
                </c:pt>
                <c:pt idx="149">
                  <c:v>187</c:v>
                </c:pt>
                <c:pt idx="150">
                  <c:v>187</c:v>
                </c:pt>
                <c:pt idx="151">
                  <c:v>187</c:v>
                </c:pt>
                <c:pt idx="152">
                  <c:v>187</c:v>
                </c:pt>
                <c:pt idx="153">
                  <c:v>187</c:v>
                </c:pt>
                <c:pt idx="154">
                  <c:v>187</c:v>
                </c:pt>
                <c:pt idx="155">
                  <c:v>187</c:v>
                </c:pt>
                <c:pt idx="156">
                  <c:v>187</c:v>
                </c:pt>
                <c:pt idx="157">
                  <c:v>188</c:v>
                </c:pt>
                <c:pt idx="158">
                  <c:v>188</c:v>
                </c:pt>
                <c:pt idx="159">
                  <c:v>188</c:v>
                </c:pt>
                <c:pt idx="160">
                  <c:v>188</c:v>
                </c:pt>
                <c:pt idx="161">
                  <c:v>188</c:v>
                </c:pt>
                <c:pt idx="162">
                  <c:v>188</c:v>
                </c:pt>
                <c:pt idx="163">
                  <c:v>188</c:v>
                </c:pt>
                <c:pt idx="164">
                  <c:v>188</c:v>
                </c:pt>
                <c:pt idx="165">
                  <c:v>189</c:v>
                </c:pt>
                <c:pt idx="166">
                  <c:v>189</c:v>
                </c:pt>
                <c:pt idx="167">
                  <c:v>189</c:v>
                </c:pt>
                <c:pt idx="168">
                  <c:v>189</c:v>
                </c:pt>
                <c:pt idx="169">
                  <c:v>190</c:v>
                </c:pt>
                <c:pt idx="170">
                  <c:v>190</c:v>
                </c:pt>
                <c:pt idx="171">
                  <c:v>190</c:v>
                </c:pt>
                <c:pt idx="172">
                  <c:v>190</c:v>
                </c:pt>
                <c:pt idx="173">
                  <c:v>191</c:v>
                </c:pt>
                <c:pt idx="174">
                  <c:v>191</c:v>
                </c:pt>
                <c:pt idx="175">
                  <c:v>191</c:v>
                </c:pt>
                <c:pt idx="176">
                  <c:v>191</c:v>
                </c:pt>
                <c:pt idx="177">
                  <c:v>192</c:v>
                </c:pt>
                <c:pt idx="178">
                  <c:v>192</c:v>
                </c:pt>
                <c:pt idx="179">
                  <c:v>192</c:v>
                </c:pt>
                <c:pt idx="180">
                  <c:v>192</c:v>
                </c:pt>
                <c:pt idx="181">
                  <c:v>194</c:v>
                </c:pt>
                <c:pt idx="182">
                  <c:v>194</c:v>
                </c:pt>
                <c:pt idx="183">
                  <c:v>194</c:v>
                </c:pt>
                <c:pt idx="184">
                  <c:v>194</c:v>
                </c:pt>
                <c:pt idx="185">
                  <c:v>194</c:v>
                </c:pt>
                <c:pt idx="186">
                  <c:v>194</c:v>
                </c:pt>
                <c:pt idx="187">
                  <c:v>194</c:v>
                </c:pt>
                <c:pt idx="188">
                  <c:v>194</c:v>
                </c:pt>
                <c:pt idx="189">
                  <c:v>195</c:v>
                </c:pt>
                <c:pt idx="190">
                  <c:v>195</c:v>
                </c:pt>
                <c:pt idx="191">
                  <c:v>195</c:v>
                </c:pt>
                <c:pt idx="192">
                  <c:v>195</c:v>
                </c:pt>
                <c:pt idx="193">
                  <c:v>197</c:v>
                </c:pt>
                <c:pt idx="194">
                  <c:v>197</c:v>
                </c:pt>
                <c:pt idx="195">
                  <c:v>197</c:v>
                </c:pt>
                <c:pt idx="196">
                  <c:v>197</c:v>
                </c:pt>
                <c:pt idx="197">
                  <c:v>201</c:v>
                </c:pt>
                <c:pt idx="198">
                  <c:v>201</c:v>
                </c:pt>
                <c:pt idx="199">
                  <c:v>210</c:v>
                </c:pt>
                <c:pt idx="200">
                  <c:v>210</c:v>
                </c:pt>
                <c:pt idx="201">
                  <c:v>205</c:v>
                </c:pt>
              </c:numCache>
            </c:numRef>
          </c:xVal>
          <c:yVal>
            <c:numRef>
              <c:f>Arkusz4!$H$2:$H$203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0.01</c:v>
                </c:pt>
                <c:pt idx="4">
                  <c:v>0.02</c:v>
                </c:pt>
                <c:pt idx="5">
                  <c:v>0.02</c:v>
                </c:pt>
                <c:pt idx="6">
                  <c:v>0.03</c:v>
                </c:pt>
                <c:pt idx="7">
                  <c:v>0.03</c:v>
                </c:pt>
                <c:pt idx="8">
                  <c:v>0.04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7.0000000000000007E-2</c:v>
                </c:pt>
                <c:pt idx="13">
                  <c:v>0.04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0.08</c:v>
                </c:pt>
                <c:pt idx="18">
                  <c:v>0.09</c:v>
                </c:pt>
                <c:pt idx="19">
                  <c:v>0.09</c:v>
                </c:pt>
                <c:pt idx="20">
                  <c:v>0.11</c:v>
                </c:pt>
                <c:pt idx="21">
                  <c:v>0.09</c:v>
                </c:pt>
                <c:pt idx="22">
                  <c:v>0.11</c:v>
                </c:pt>
                <c:pt idx="23">
                  <c:v>0.11</c:v>
                </c:pt>
                <c:pt idx="24">
                  <c:v>0.13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0.15</c:v>
                </c:pt>
                <c:pt idx="29">
                  <c:v>0.13</c:v>
                </c:pt>
                <c:pt idx="30">
                  <c:v>0.15</c:v>
                </c:pt>
                <c:pt idx="31">
                  <c:v>0.15</c:v>
                </c:pt>
                <c:pt idx="32">
                  <c:v>0.19</c:v>
                </c:pt>
                <c:pt idx="33">
                  <c:v>0.15</c:v>
                </c:pt>
                <c:pt idx="34">
                  <c:v>0.19</c:v>
                </c:pt>
                <c:pt idx="35">
                  <c:v>0.15</c:v>
                </c:pt>
                <c:pt idx="36">
                  <c:v>0.19</c:v>
                </c:pt>
                <c:pt idx="37">
                  <c:v>0.15</c:v>
                </c:pt>
                <c:pt idx="38">
                  <c:v>0.19</c:v>
                </c:pt>
                <c:pt idx="39">
                  <c:v>0.19</c:v>
                </c:pt>
                <c:pt idx="40">
                  <c:v>0.23</c:v>
                </c:pt>
                <c:pt idx="41">
                  <c:v>0.19</c:v>
                </c:pt>
                <c:pt idx="42">
                  <c:v>0.23</c:v>
                </c:pt>
                <c:pt idx="43">
                  <c:v>0.19</c:v>
                </c:pt>
                <c:pt idx="44">
                  <c:v>0.23</c:v>
                </c:pt>
                <c:pt idx="45">
                  <c:v>0.19</c:v>
                </c:pt>
                <c:pt idx="46">
                  <c:v>0.23</c:v>
                </c:pt>
                <c:pt idx="47">
                  <c:v>0.23</c:v>
                </c:pt>
                <c:pt idx="48">
                  <c:v>0.27</c:v>
                </c:pt>
                <c:pt idx="49">
                  <c:v>0.23</c:v>
                </c:pt>
                <c:pt idx="50">
                  <c:v>0.27</c:v>
                </c:pt>
                <c:pt idx="51">
                  <c:v>0.23</c:v>
                </c:pt>
                <c:pt idx="52">
                  <c:v>0.27</c:v>
                </c:pt>
                <c:pt idx="53">
                  <c:v>0.23</c:v>
                </c:pt>
                <c:pt idx="54">
                  <c:v>0.27</c:v>
                </c:pt>
                <c:pt idx="55">
                  <c:v>0.27</c:v>
                </c:pt>
                <c:pt idx="56">
                  <c:v>0.28999999999999998</c:v>
                </c:pt>
                <c:pt idx="57">
                  <c:v>0.27</c:v>
                </c:pt>
                <c:pt idx="58">
                  <c:v>0.28999999999999998</c:v>
                </c:pt>
                <c:pt idx="59">
                  <c:v>0.28999999999999998</c:v>
                </c:pt>
                <c:pt idx="60">
                  <c:v>0.35</c:v>
                </c:pt>
                <c:pt idx="61">
                  <c:v>0.28999999999999998</c:v>
                </c:pt>
                <c:pt idx="62">
                  <c:v>0.35</c:v>
                </c:pt>
                <c:pt idx="63">
                  <c:v>0.28999999999999998</c:v>
                </c:pt>
                <c:pt idx="64">
                  <c:v>0.35</c:v>
                </c:pt>
                <c:pt idx="65">
                  <c:v>0.28999999999999998</c:v>
                </c:pt>
                <c:pt idx="66">
                  <c:v>0.35</c:v>
                </c:pt>
                <c:pt idx="67">
                  <c:v>0.28999999999999998</c:v>
                </c:pt>
                <c:pt idx="68">
                  <c:v>0.35</c:v>
                </c:pt>
                <c:pt idx="69">
                  <c:v>0.28999999999999998</c:v>
                </c:pt>
                <c:pt idx="70">
                  <c:v>0.35</c:v>
                </c:pt>
                <c:pt idx="71">
                  <c:v>0.35</c:v>
                </c:pt>
                <c:pt idx="72">
                  <c:v>0.4</c:v>
                </c:pt>
                <c:pt idx="73">
                  <c:v>0.35</c:v>
                </c:pt>
                <c:pt idx="74">
                  <c:v>0.4</c:v>
                </c:pt>
                <c:pt idx="75">
                  <c:v>0.35</c:v>
                </c:pt>
                <c:pt idx="76">
                  <c:v>0.4</c:v>
                </c:pt>
                <c:pt idx="77">
                  <c:v>0.35</c:v>
                </c:pt>
                <c:pt idx="78">
                  <c:v>0.4</c:v>
                </c:pt>
                <c:pt idx="79">
                  <c:v>0.35</c:v>
                </c:pt>
                <c:pt idx="80">
                  <c:v>0.4</c:v>
                </c:pt>
                <c:pt idx="81">
                  <c:v>0.4</c:v>
                </c:pt>
                <c:pt idx="82">
                  <c:v>0.42</c:v>
                </c:pt>
                <c:pt idx="83">
                  <c:v>0.4</c:v>
                </c:pt>
                <c:pt idx="84">
                  <c:v>0.42</c:v>
                </c:pt>
                <c:pt idx="85">
                  <c:v>0.42</c:v>
                </c:pt>
                <c:pt idx="86">
                  <c:v>0.45</c:v>
                </c:pt>
                <c:pt idx="87">
                  <c:v>0.42</c:v>
                </c:pt>
                <c:pt idx="88">
                  <c:v>0.45</c:v>
                </c:pt>
                <c:pt idx="89">
                  <c:v>0.42</c:v>
                </c:pt>
                <c:pt idx="90">
                  <c:v>0.45</c:v>
                </c:pt>
                <c:pt idx="91">
                  <c:v>0.45</c:v>
                </c:pt>
                <c:pt idx="92">
                  <c:v>0.48</c:v>
                </c:pt>
                <c:pt idx="93">
                  <c:v>0.45</c:v>
                </c:pt>
                <c:pt idx="94">
                  <c:v>0.48</c:v>
                </c:pt>
                <c:pt idx="95">
                  <c:v>0.45</c:v>
                </c:pt>
                <c:pt idx="96">
                  <c:v>0.48</c:v>
                </c:pt>
                <c:pt idx="97">
                  <c:v>0.48</c:v>
                </c:pt>
                <c:pt idx="98">
                  <c:v>0.53</c:v>
                </c:pt>
                <c:pt idx="99">
                  <c:v>0.48</c:v>
                </c:pt>
                <c:pt idx="100">
                  <c:v>0.53</c:v>
                </c:pt>
                <c:pt idx="101">
                  <c:v>0.48</c:v>
                </c:pt>
                <c:pt idx="102">
                  <c:v>0.53</c:v>
                </c:pt>
                <c:pt idx="103">
                  <c:v>0.48</c:v>
                </c:pt>
                <c:pt idx="104">
                  <c:v>0.53</c:v>
                </c:pt>
                <c:pt idx="105">
                  <c:v>0.48</c:v>
                </c:pt>
                <c:pt idx="106">
                  <c:v>0.53</c:v>
                </c:pt>
                <c:pt idx="107">
                  <c:v>0.53</c:v>
                </c:pt>
                <c:pt idx="108">
                  <c:v>0.55000000000000004</c:v>
                </c:pt>
                <c:pt idx="109">
                  <c:v>0.53</c:v>
                </c:pt>
                <c:pt idx="110">
                  <c:v>0.55000000000000004</c:v>
                </c:pt>
                <c:pt idx="111">
                  <c:v>0.55000000000000004</c:v>
                </c:pt>
                <c:pt idx="112">
                  <c:v>0.57999999999999996</c:v>
                </c:pt>
                <c:pt idx="113">
                  <c:v>0.55000000000000004</c:v>
                </c:pt>
                <c:pt idx="114">
                  <c:v>0.57999999999999996</c:v>
                </c:pt>
                <c:pt idx="115">
                  <c:v>0.55000000000000004</c:v>
                </c:pt>
                <c:pt idx="116">
                  <c:v>0.57999999999999996</c:v>
                </c:pt>
                <c:pt idx="117">
                  <c:v>0.57999999999999996</c:v>
                </c:pt>
                <c:pt idx="118">
                  <c:v>0.59</c:v>
                </c:pt>
                <c:pt idx="119">
                  <c:v>0.59</c:v>
                </c:pt>
                <c:pt idx="120">
                  <c:v>0.62</c:v>
                </c:pt>
                <c:pt idx="121">
                  <c:v>0.59</c:v>
                </c:pt>
                <c:pt idx="122">
                  <c:v>0.62</c:v>
                </c:pt>
                <c:pt idx="123">
                  <c:v>0.59</c:v>
                </c:pt>
                <c:pt idx="124">
                  <c:v>0.62</c:v>
                </c:pt>
                <c:pt idx="125">
                  <c:v>0.62</c:v>
                </c:pt>
                <c:pt idx="126">
                  <c:v>0.65</c:v>
                </c:pt>
                <c:pt idx="127">
                  <c:v>0.62</c:v>
                </c:pt>
                <c:pt idx="128">
                  <c:v>0.65</c:v>
                </c:pt>
                <c:pt idx="129">
                  <c:v>0.62</c:v>
                </c:pt>
                <c:pt idx="130">
                  <c:v>0.65</c:v>
                </c:pt>
                <c:pt idx="131">
                  <c:v>0.65</c:v>
                </c:pt>
                <c:pt idx="132">
                  <c:v>0.68</c:v>
                </c:pt>
                <c:pt idx="133">
                  <c:v>0.65</c:v>
                </c:pt>
                <c:pt idx="134">
                  <c:v>0.68</c:v>
                </c:pt>
                <c:pt idx="135">
                  <c:v>0.65</c:v>
                </c:pt>
                <c:pt idx="136">
                  <c:v>0.68</c:v>
                </c:pt>
                <c:pt idx="137">
                  <c:v>0.68</c:v>
                </c:pt>
                <c:pt idx="138">
                  <c:v>0.73</c:v>
                </c:pt>
                <c:pt idx="139">
                  <c:v>0.68</c:v>
                </c:pt>
                <c:pt idx="140">
                  <c:v>0.73</c:v>
                </c:pt>
                <c:pt idx="141">
                  <c:v>0.68</c:v>
                </c:pt>
                <c:pt idx="142">
                  <c:v>0.73</c:v>
                </c:pt>
                <c:pt idx="143">
                  <c:v>0.68</c:v>
                </c:pt>
                <c:pt idx="144">
                  <c:v>0.73</c:v>
                </c:pt>
                <c:pt idx="145">
                  <c:v>0.68</c:v>
                </c:pt>
                <c:pt idx="146">
                  <c:v>0.73</c:v>
                </c:pt>
                <c:pt idx="147">
                  <c:v>0.73</c:v>
                </c:pt>
                <c:pt idx="148">
                  <c:v>0.78</c:v>
                </c:pt>
                <c:pt idx="149">
                  <c:v>0.73</c:v>
                </c:pt>
                <c:pt idx="150">
                  <c:v>0.78</c:v>
                </c:pt>
                <c:pt idx="151">
                  <c:v>0.73</c:v>
                </c:pt>
                <c:pt idx="152">
                  <c:v>0.78</c:v>
                </c:pt>
                <c:pt idx="153">
                  <c:v>0.73</c:v>
                </c:pt>
                <c:pt idx="154">
                  <c:v>0.78</c:v>
                </c:pt>
                <c:pt idx="155">
                  <c:v>0.73</c:v>
                </c:pt>
                <c:pt idx="156">
                  <c:v>0.78</c:v>
                </c:pt>
                <c:pt idx="157">
                  <c:v>0.78</c:v>
                </c:pt>
                <c:pt idx="158">
                  <c:v>0.82</c:v>
                </c:pt>
                <c:pt idx="159">
                  <c:v>0.78</c:v>
                </c:pt>
                <c:pt idx="160">
                  <c:v>0.82</c:v>
                </c:pt>
                <c:pt idx="161">
                  <c:v>0.78</c:v>
                </c:pt>
                <c:pt idx="162">
                  <c:v>0.82</c:v>
                </c:pt>
                <c:pt idx="163">
                  <c:v>0.78</c:v>
                </c:pt>
                <c:pt idx="164">
                  <c:v>0.82</c:v>
                </c:pt>
                <c:pt idx="165">
                  <c:v>0.82</c:v>
                </c:pt>
                <c:pt idx="166">
                  <c:v>0.84</c:v>
                </c:pt>
                <c:pt idx="167">
                  <c:v>0.82</c:v>
                </c:pt>
                <c:pt idx="168">
                  <c:v>0.84</c:v>
                </c:pt>
                <c:pt idx="169">
                  <c:v>0.84</c:v>
                </c:pt>
                <c:pt idx="170">
                  <c:v>0.86</c:v>
                </c:pt>
                <c:pt idx="171">
                  <c:v>0.84</c:v>
                </c:pt>
                <c:pt idx="172">
                  <c:v>0.86</c:v>
                </c:pt>
                <c:pt idx="173">
                  <c:v>0.86</c:v>
                </c:pt>
                <c:pt idx="174">
                  <c:v>0.88</c:v>
                </c:pt>
                <c:pt idx="175">
                  <c:v>0.86</c:v>
                </c:pt>
                <c:pt idx="176">
                  <c:v>0.88</c:v>
                </c:pt>
                <c:pt idx="177">
                  <c:v>0.88</c:v>
                </c:pt>
                <c:pt idx="178">
                  <c:v>0.9</c:v>
                </c:pt>
                <c:pt idx="179">
                  <c:v>0.88</c:v>
                </c:pt>
                <c:pt idx="180">
                  <c:v>0.9</c:v>
                </c:pt>
                <c:pt idx="181">
                  <c:v>0.9</c:v>
                </c:pt>
                <c:pt idx="182">
                  <c:v>0.94</c:v>
                </c:pt>
                <c:pt idx="183">
                  <c:v>0.9</c:v>
                </c:pt>
                <c:pt idx="184">
                  <c:v>0.94</c:v>
                </c:pt>
                <c:pt idx="185">
                  <c:v>0.9</c:v>
                </c:pt>
                <c:pt idx="186">
                  <c:v>0.94</c:v>
                </c:pt>
                <c:pt idx="187">
                  <c:v>0.9</c:v>
                </c:pt>
                <c:pt idx="188">
                  <c:v>0.94</c:v>
                </c:pt>
                <c:pt idx="189">
                  <c:v>0.94</c:v>
                </c:pt>
                <c:pt idx="190">
                  <c:v>0.96</c:v>
                </c:pt>
                <c:pt idx="191">
                  <c:v>0.94</c:v>
                </c:pt>
                <c:pt idx="192">
                  <c:v>0.96</c:v>
                </c:pt>
                <c:pt idx="193">
                  <c:v>0.96</c:v>
                </c:pt>
                <c:pt idx="194">
                  <c:v>0.98</c:v>
                </c:pt>
                <c:pt idx="195">
                  <c:v>0.96</c:v>
                </c:pt>
                <c:pt idx="196">
                  <c:v>0.98</c:v>
                </c:pt>
                <c:pt idx="197">
                  <c:v>0.98</c:v>
                </c:pt>
                <c:pt idx="198">
                  <c:v>0.99</c:v>
                </c:pt>
                <c:pt idx="199">
                  <c:v>0.99</c:v>
                </c:pt>
                <c:pt idx="200">
                  <c:v>1</c:v>
                </c:pt>
                <c:pt idx="201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7-4387-8726-58EBA8BB83A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Arkusz4!$G$2:$G$203</c:f>
              <c:numCache>
                <c:formatCode>General</c:formatCode>
                <c:ptCount val="202"/>
                <c:pt idx="0">
                  <c:v>145</c:v>
                </c:pt>
                <c:pt idx="1">
                  <c:v>148</c:v>
                </c:pt>
                <c:pt idx="2">
                  <c:v>148</c:v>
                </c:pt>
                <c:pt idx="3">
                  <c:v>154</c:v>
                </c:pt>
                <c:pt idx="4">
                  <c:v>154</c:v>
                </c:pt>
                <c:pt idx="5">
                  <c:v>158</c:v>
                </c:pt>
                <c:pt idx="6">
                  <c:v>158</c:v>
                </c:pt>
                <c:pt idx="7">
                  <c:v>161</c:v>
                </c:pt>
                <c:pt idx="8">
                  <c:v>161</c:v>
                </c:pt>
                <c:pt idx="9">
                  <c:v>162</c:v>
                </c:pt>
                <c:pt idx="10">
                  <c:v>162</c:v>
                </c:pt>
                <c:pt idx="11">
                  <c:v>162</c:v>
                </c:pt>
                <c:pt idx="12">
                  <c:v>162</c:v>
                </c:pt>
                <c:pt idx="13">
                  <c:v>162</c:v>
                </c:pt>
                <c:pt idx="14">
                  <c:v>162</c:v>
                </c:pt>
                <c:pt idx="15">
                  <c:v>164</c:v>
                </c:pt>
                <c:pt idx="16">
                  <c:v>164</c:v>
                </c:pt>
                <c:pt idx="17">
                  <c:v>165</c:v>
                </c:pt>
                <c:pt idx="18">
                  <c:v>165</c:v>
                </c:pt>
                <c:pt idx="19">
                  <c:v>167</c:v>
                </c:pt>
                <c:pt idx="20">
                  <c:v>167</c:v>
                </c:pt>
                <c:pt idx="21">
                  <c:v>167</c:v>
                </c:pt>
                <c:pt idx="22">
                  <c:v>167</c:v>
                </c:pt>
                <c:pt idx="23">
                  <c:v>168</c:v>
                </c:pt>
                <c:pt idx="24">
                  <c:v>168</c:v>
                </c:pt>
                <c:pt idx="25">
                  <c:v>168</c:v>
                </c:pt>
                <c:pt idx="26">
                  <c:v>168</c:v>
                </c:pt>
                <c:pt idx="27">
                  <c:v>169</c:v>
                </c:pt>
                <c:pt idx="28">
                  <c:v>169</c:v>
                </c:pt>
                <c:pt idx="29">
                  <c:v>169</c:v>
                </c:pt>
                <c:pt idx="30">
                  <c:v>169</c:v>
                </c:pt>
                <c:pt idx="31">
                  <c:v>170</c:v>
                </c:pt>
                <c:pt idx="32">
                  <c:v>170</c:v>
                </c:pt>
                <c:pt idx="33">
                  <c:v>170</c:v>
                </c:pt>
                <c:pt idx="34">
                  <c:v>170</c:v>
                </c:pt>
                <c:pt idx="35">
                  <c:v>170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171</c:v>
                </c:pt>
                <c:pt idx="40">
                  <c:v>171</c:v>
                </c:pt>
                <c:pt idx="41">
                  <c:v>171</c:v>
                </c:pt>
                <c:pt idx="42">
                  <c:v>171</c:v>
                </c:pt>
                <c:pt idx="43">
                  <c:v>171</c:v>
                </c:pt>
                <c:pt idx="44">
                  <c:v>171</c:v>
                </c:pt>
                <c:pt idx="45">
                  <c:v>171</c:v>
                </c:pt>
                <c:pt idx="46">
                  <c:v>171</c:v>
                </c:pt>
                <c:pt idx="47">
                  <c:v>172</c:v>
                </c:pt>
                <c:pt idx="48">
                  <c:v>172</c:v>
                </c:pt>
                <c:pt idx="49">
                  <c:v>172</c:v>
                </c:pt>
                <c:pt idx="50">
                  <c:v>172</c:v>
                </c:pt>
                <c:pt idx="51">
                  <c:v>172</c:v>
                </c:pt>
                <c:pt idx="52">
                  <c:v>172</c:v>
                </c:pt>
                <c:pt idx="53">
                  <c:v>172</c:v>
                </c:pt>
                <c:pt idx="54">
                  <c:v>172</c:v>
                </c:pt>
                <c:pt idx="55">
                  <c:v>173</c:v>
                </c:pt>
                <c:pt idx="56">
                  <c:v>173</c:v>
                </c:pt>
                <c:pt idx="57">
                  <c:v>173</c:v>
                </c:pt>
                <c:pt idx="58">
                  <c:v>173</c:v>
                </c:pt>
                <c:pt idx="59">
                  <c:v>174</c:v>
                </c:pt>
                <c:pt idx="60">
                  <c:v>174</c:v>
                </c:pt>
                <c:pt idx="61">
                  <c:v>174</c:v>
                </c:pt>
                <c:pt idx="62">
                  <c:v>174</c:v>
                </c:pt>
                <c:pt idx="63">
                  <c:v>174</c:v>
                </c:pt>
                <c:pt idx="64">
                  <c:v>174</c:v>
                </c:pt>
                <c:pt idx="65">
                  <c:v>174</c:v>
                </c:pt>
                <c:pt idx="66">
                  <c:v>174</c:v>
                </c:pt>
                <c:pt idx="67">
                  <c:v>174</c:v>
                </c:pt>
                <c:pt idx="68">
                  <c:v>174</c:v>
                </c:pt>
                <c:pt idx="69">
                  <c:v>174</c:v>
                </c:pt>
                <c:pt idx="70">
                  <c:v>174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175</c:v>
                </c:pt>
                <c:pt idx="81">
                  <c:v>176</c:v>
                </c:pt>
                <c:pt idx="82">
                  <c:v>176</c:v>
                </c:pt>
                <c:pt idx="83">
                  <c:v>176</c:v>
                </c:pt>
                <c:pt idx="84">
                  <c:v>176</c:v>
                </c:pt>
                <c:pt idx="85">
                  <c:v>177</c:v>
                </c:pt>
                <c:pt idx="86">
                  <c:v>177</c:v>
                </c:pt>
                <c:pt idx="87">
                  <c:v>177</c:v>
                </c:pt>
                <c:pt idx="88">
                  <c:v>177</c:v>
                </c:pt>
                <c:pt idx="89">
                  <c:v>177</c:v>
                </c:pt>
                <c:pt idx="90">
                  <c:v>177</c:v>
                </c:pt>
                <c:pt idx="91">
                  <c:v>178</c:v>
                </c:pt>
                <c:pt idx="92">
                  <c:v>178</c:v>
                </c:pt>
                <c:pt idx="93">
                  <c:v>178</c:v>
                </c:pt>
                <c:pt idx="94">
                  <c:v>178</c:v>
                </c:pt>
                <c:pt idx="95">
                  <c:v>178</c:v>
                </c:pt>
                <c:pt idx="96">
                  <c:v>178</c:v>
                </c:pt>
                <c:pt idx="97">
                  <c:v>179</c:v>
                </c:pt>
                <c:pt idx="98">
                  <c:v>179</c:v>
                </c:pt>
                <c:pt idx="99">
                  <c:v>179</c:v>
                </c:pt>
                <c:pt idx="100">
                  <c:v>179</c:v>
                </c:pt>
                <c:pt idx="101">
                  <c:v>179</c:v>
                </c:pt>
                <c:pt idx="102">
                  <c:v>179</c:v>
                </c:pt>
                <c:pt idx="103">
                  <c:v>179</c:v>
                </c:pt>
                <c:pt idx="104">
                  <c:v>179</c:v>
                </c:pt>
                <c:pt idx="105">
                  <c:v>179</c:v>
                </c:pt>
                <c:pt idx="106">
                  <c:v>179</c:v>
                </c:pt>
                <c:pt idx="107">
                  <c:v>180</c:v>
                </c:pt>
                <c:pt idx="108">
                  <c:v>180</c:v>
                </c:pt>
                <c:pt idx="109">
                  <c:v>180</c:v>
                </c:pt>
                <c:pt idx="110">
                  <c:v>180</c:v>
                </c:pt>
                <c:pt idx="111">
                  <c:v>181</c:v>
                </c:pt>
                <c:pt idx="112">
                  <c:v>181</c:v>
                </c:pt>
                <c:pt idx="113">
                  <c:v>181</c:v>
                </c:pt>
                <c:pt idx="114">
                  <c:v>181</c:v>
                </c:pt>
                <c:pt idx="115">
                  <c:v>181</c:v>
                </c:pt>
                <c:pt idx="116">
                  <c:v>181</c:v>
                </c:pt>
                <c:pt idx="117">
                  <c:v>182</c:v>
                </c:pt>
                <c:pt idx="118">
                  <c:v>182</c:v>
                </c:pt>
                <c:pt idx="119">
                  <c:v>183</c:v>
                </c:pt>
                <c:pt idx="120">
                  <c:v>183</c:v>
                </c:pt>
                <c:pt idx="121">
                  <c:v>183</c:v>
                </c:pt>
                <c:pt idx="122">
                  <c:v>183</c:v>
                </c:pt>
                <c:pt idx="123">
                  <c:v>183</c:v>
                </c:pt>
                <c:pt idx="124">
                  <c:v>183</c:v>
                </c:pt>
                <c:pt idx="125">
                  <c:v>184</c:v>
                </c:pt>
                <c:pt idx="126">
                  <c:v>184</c:v>
                </c:pt>
                <c:pt idx="127">
                  <c:v>184</c:v>
                </c:pt>
                <c:pt idx="128">
                  <c:v>184</c:v>
                </c:pt>
                <c:pt idx="129">
                  <c:v>184</c:v>
                </c:pt>
                <c:pt idx="130">
                  <c:v>184</c:v>
                </c:pt>
                <c:pt idx="131">
                  <c:v>185</c:v>
                </c:pt>
                <c:pt idx="132">
                  <c:v>185</c:v>
                </c:pt>
                <c:pt idx="133">
                  <c:v>185</c:v>
                </c:pt>
                <c:pt idx="134">
                  <c:v>185</c:v>
                </c:pt>
                <c:pt idx="135">
                  <c:v>185</c:v>
                </c:pt>
                <c:pt idx="136">
                  <c:v>185</c:v>
                </c:pt>
                <c:pt idx="137">
                  <c:v>186</c:v>
                </c:pt>
                <c:pt idx="138">
                  <c:v>186</c:v>
                </c:pt>
                <c:pt idx="139">
                  <c:v>186</c:v>
                </c:pt>
                <c:pt idx="140">
                  <c:v>186</c:v>
                </c:pt>
                <c:pt idx="141">
                  <c:v>186</c:v>
                </c:pt>
                <c:pt idx="142">
                  <c:v>186</c:v>
                </c:pt>
                <c:pt idx="143">
                  <c:v>186</c:v>
                </c:pt>
                <c:pt idx="144">
                  <c:v>186</c:v>
                </c:pt>
                <c:pt idx="145">
                  <c:v>186</c:v>
                </c:pt>
                <c:pt idx="146">
                  <c:v>186</c:v>
                </c:pt>
                <c:pt idx="147">
                  <c:v>187</c:v>
                </c:pt>
                <c:pt idx="148">
                  <c:v>187</c:v>
                </c:pt>
                <c:pt idx="149">
                  <c:v>187</c:v>
                </c:pt>
                <c:pt idx="150">
                  <c:v>187</c:v>
                </c:pt>
                <c:pt idx="151">
                  <c:v>187</c:v>
                </c:pt>
                <c:pt idx="152">
                  <c:v>187</c:v>
                </c:pt>
                <c:pt idx="153">
                  <c:v>187</c:v>
                </c:pt>
                <c:pt idx="154">
                  <c:v>187</c:v>
                </c:pt>
                <c:pt idx="155">
                  <c:v>187</c:v>
                </c:pt>
                <c:pt idx="156">
                  <c:v>187</c:v>
                </c:pt>
                <c:pt idx="157">
                  <c:v>188</c:v>
                </c:pt>
                <c:pt idx="158">
                  <c:v>188</c:v>
                </c:pt>
                <c:pt idx="159">
                  <c:v>188</c:v>
                </c:pt>
                <c:pt idx="160">
                  <c:v>188</c:v>
                </c:pt>
                <c:pt idx="161">
                  <c:v>188</c:v>
                </c:pt>
                <c:pt idx="162">
                  <c:v>188</c:v>
                </c:pt>
                <c:pt idx="163">
                  <c:v>188</c:v>
                </c:pt>
                <c:pt idx="164">
                  <c:v>188</c:v>
                </c:pt>
                <c:pt idx="165">
                  <c:v>189</c:v>
                </c:pt>
                <c:pt idx="166">
                  <c:v>189</c:v>
                </c:pt>
                <c:pt idx="167">
                  <c:v>189</c:v>
                </c:pt>
                <c:pt idx="168">
                  <c:v>189</c:v>
                </c:pt>
                <c:pt idx="169">
                  <c:v>190</c:v>
                </c:pt>
                <c:pt idx="170">
                  <c:v>190</c:v>
                </c:pt>
                <c:pt idx="171">
                  <c:v>190</c:v>
                </c:pt>
                <c:pt idx="172">
                  <c:v>190</c:v>
                </c:pt>
                <c:pt idx="173">
                  <c:v>191</c:v>
                </c:pt>
                <c:pt idx="174">
                  <c:v>191</c:v>
                </c:pt>
                <c:pt idx="175">
                  <c:v>191</c:v>
                </c:pt>
                <c:pt idx="176">
                  <c:v>191</c:v>
                </c:pt>
                <c:pt idx="177">
                  <c:v>192</c:v>
                </c:pt>
                <c:pt idx="178">
                  <c:v>192</c:v>
                </c:pt>
                <c:pt idx="179">
                  <c:v>192</c:v>
                </c:pt>
                <c:pt idx="180">
                  <c:v>192</c:v>
                </c:pt>
                <c:pt idx="181">
                  <c:v>194</c:v>
                </c:pt>
                <c:pt idx="182">
                  <c:v>194</c:v>
                </c:pt>
                <c:pt idx="183">
                  <c:v>194</c:v>
                </c:pt>
                <c:pt idx="184">
                  <c:v>194</c:v>
                </c:pt>
                <c:pt idx="185">
                  <c:v>194</c:v>
                </c:pt>
                <c:pt idx="186">
                  <c:v>194</c:v>
                </c:pt>
                <c:pt idx="187">
                  <c:v>194</c:v>
                </c:pt>
                <c:pt idx="188">
                  <c:v>194</c:v>
                </c:pt>
                <c:pt idx="189">
                  <c:v>195</c:v>
                </c:pt>
                <c:pt idx="190">
                  <c:v>195</c:v>
                </c:pt>
                <c:pt idx="191">
                  <c:v>195</c:v>
                </c:pt>
                <c:pt idx="192">
                  <c:v>195</c:v>
                </c:pt>
                <c:pt idx="193">
                  <c:v>197</c:v>
                </c:pt>
                <c:pt idx="194">
                  <c:v>197</c:v>
                </c:pt>
                <c:pt idx="195">
                  <c:v>197</c:v>
                </c:pt>
                <c:pt idx="196">
                  <c:v>197</c:v>
                </c:pt>
                <c:pt idx="197">
                  <c:v>201</c:v>
                </c:pt>
                <c:pt idx="198">
                  <c:v>201</c:v>
                </c:pt>
                <c:pt idx="199">
                  <c:v>210</c:v>
                </c:pt>
                <c:pt idx="200">
                  <c:v>210</c:v>
                </c:pt>
                <c:pt idx="201">
                  <c:v>205</c:v>
                </c:pt>
              </c:numCache>
            </c:numRef>
          </c:xVal>
          <c:yVal>
            <c:numRef>
              <c:f>Arkusz4!$I$2:$I$203</c:f>
              <c:numCache>
                <c:formatCode>General</c:formatCode>
                <c:ptCount val="202"/>
                <c:pt idx="0">
                  <c:v>1.7689682391110516E-3</c:v>
                </c:pt>
                <c:pt idx="1">
                  <c:v>3.8303805675897356E-3</c:v>
                </c:pt>
                <c:pt idx="2">
                  <c:v>3.8303805675897356E-3</c:v>
                </c:pt>
                <c:pt idx="3">
                  <c:v>1.5130140010235814E-2</c:v>
                </c:pt>
                <c:pt idx="4">
                  <c:v>1.5130140010235814E-2</c:v>
                </c:pt>
                <c:pt idx="5">
                  <c:v>3.337650758481725E-2</c:v>
                </c:pt>
                <c:pt idx="6">
                  <c:v>3.337650758481725E-2</c:v>
                </c:pt>
                <c:pt idx="7">
                  <c:v>5.6672754609762913E-2</c:v>
                </c:pt>
                <c:pt idx="8">
                  <c:v>5.6672754609762913E-2</c:v>
                </c:pt>
                <c:pt idx="9">
                  <c:v>6.6807201268858057E-2</c:v>
                </c:pt>
                <c:pt idx="10">
                  <c:v>6.6807201268858057E-2</c:v>
                </c:pt>
                <c:pt idx="11">
                  <c:v>6.6807201268858057E-2</c:v>
                </c:pt>
                <c:pt idx="12">
                  <c:v>6.6807201268858057E-2</c:v>
                </c:pt>
                <c:pt idx="13">
                  <c:v>6.6807201268858057E-2</c:v>
                </c:pt>
                <c:pt idx="14">
                  <c:v>6.6807201268858057E-2</c:v>
                </c:pt>
                <c:pt idx="15">
                  <c:v>9.1211219725867876E-2</c:v>
                </c:pt>
                <c:pt idx="16">
                  <c:v>9.1211219725867876E-2</c:v>
                </c:pt>
                <c:pt idx="17">
                  <c:v>0.10564977366685525</c:v>
                </c:pt>
                <c:pt idx="18">
                  <c:v>0.10564977366685525</c:v>
                </c:pt>
                <c:pt idx="19">
                  <c:v>0.13933024744962202</c:v>
                </c:pt>
                <c:pt idx="20">
                  <c:v>0.13933024744962202</c:v>
                </c:pt>
                <c:pt idx="21">
                  <c:v>0.13933024744962202</c:v>
                </c:pt>
                <c:pt idx="22">
                  <c:v>0.13933024744962202</c:v>
                </c:pt>
                <c:pt idx="23">
                  <c:v>0.15865525393145699</c:v>
                </c:pt>
                <c:pt idx="24">
                  <c:v>0.15865525393145699</c:v>
                </c:pt>
                <c:pt idx="25">
                  <c:v>0.15865525393145699</c:v>
                </c:pt>
                <c:pt idx="26">
                  <c:v>0.15865525393145699</c:v>
                </c:pt>
                <c:pt idx="27">
                  <c:v>0.1796586691647854</c:v>
                </c:pt>
                <c:pt idx="28">
                  <c:v>0.1796586691647854</c:v>
                </c:pt>
                <c:pt idx="29">
                  <c:v>0.1796586691647854</c:v>
                </c:pt>
                <c:pt idx="30">
                  <c:v>0.1796586691647854</c:v>
                </c:pt>
                <c:pt idx="31">
                  <c:v>0.20232838096364303</c:v>
                </c:pt>
                <c:pt idx="32">
                  <c:v>0.20232838096364303</c:v>
                </c:pt>
                <c:pt idx="33">
                  <c:v>0.20232838096364303</c:v>
                </c:pt>
                <c:pt idx="34">
                  <c:v>0.20232838096364303</c:v>
                </c:pt>
                <c:pt idx="35">
                  <c:v>0.20232838096364303</c:v>
                </c:pt>
                <c:pt idx="36">
                  <c:v>0.20232838096364303</c:v>
                </c:pt>
                <c:pt idx="37">
                  <c:v>0.20232838096364303</c:v>
                </c:pt>
                <c:pt idx="38">
                  <c:v>0.20232838096364303</c:v>
                </c:pt>
                <c:pt idx="39">
                  <c:v>0.22662735237686821</c:v>
                </c:pt>
                <c:pt idx="40">
                  <c:v>0.22662735237686821</c:v>
                </c:pt>
                <c:pt idx="41">
                  <c:v>0.22662735237686821</c:v>
                </c:pt>
                <c:pt idx="42">
                  <c:v>0.22662735237686821</c:v>
                </c:pt>
                <c:pt idx="43">
                  <c:v>0.22662735237686821</c:v>
                </c:pt>
                <c:pt idx="44">
                  <c:v>0.22662735237686821</c:v>
                </c:pt>
                <c:pt idx="45">
                  <c:v>0.22662735237686821</c:v>
                </c:pt>
                <c:pt idx="46">
                  <c:v>0.22662735237686821</c:v>
                </c:pt>
                <c:pt idx="47">
                  <c:v>0.25249253754692291</c:v>
                </c:pt>
                <c:pt idx="48">
                  <c:v>0.25249253754692291</c:v>
                </c:pt>
                <c:pt idx="49">
                  <c:v>0.25249253754692291</c:v>
                </c:pt>
                <c:pt idx="50">
                  <c:v>0.25249253754692291</c:v>
                </c:pt>
                <c:pt idx="51">
                  <c:v>0.25249253754692291</c:v>
                </c:pt>
                <c:pt idx="52">
                  <c:v>0.25249253754692291</c:v>
                </c:pt>
                <c:pt idx="53">
                  <c:v>0.25249253754692291</c:v>
                </c:pt>
                <c:pt idx="54">
                  <c:v>0.25249253754692291</c:v>
                </c:pt>
                <c:pt idx="55">
                  <c:v>0.27983446359970565</c:v>
                </c:pt>
                <c:pt idx="56">
                  <c:v>0.27983446359970565</c:v>
                </c:pt>
                <c:pt idx="57">
                  <c:v>0.27983446359970565</c:v>
                </c:pt>
                <c:pt idx="58">
                  <c:v>0.27983446359970565</c:v>
                </c:pt>
                <c:pt idx="59">
                  <c:v>0.30853753872598688</c:v>
                </c:pt>
                <c:pt idx="60">
                  <c:v>0.30853753872598688</c:v>
                </c:pt>
                <c:pt idx="61">
                  <c:v>0.30853753872598688</c:v>
                </c:pt>
                <c:pt idx="62">
                  <c:v>0.30853753872598688</c:v>
                </c:pt>
                <c:pt idx="63">
                  <c:v>0.30853753872598688</c:v>
                </c:pt>
                <c:pt idx="64">
                  <c:v>0.30853753872598688</c:v>
                </c:pt>
                <c:pt idx="65">
                  <c:v>0.30853753872598688</c:v>
                </c:pt>
                <c:pt idx="66">
                  <c:v>0.30853753872598688</c:v>
                </c:pt>
                <c:pt idx="67">
                  <c:v>0.30853753872598688</c:v>
                </c:pt>
                <c:pt idx="68">
                  <c:v>0.30853753872598688</c:v>
                </c:pt>
                <c:pt idx="69">
                  <c:v>0.30853753872598688</c:v>
                </c:pt>
                <c:pt idx="70">
                  <c:v>0.30853753872598688</c:v>
                </c:pt>
                <c:pt idx="71">
                  <c:v>0.33846111951068963</c:v>
                </c:pt>
                <c:pt idx="72">
                  <c:v>0.33846111951068963</c:v>
                </c:pt>
                <c:pt idx="73">
                  <c:v>0.33846111951068963</c:v>
                </c:pt>
                <c:pt idx="74">
                  <c:v>0.33846111951068963</c:v>
                </c:pt>
                <c:pt idx="75">
                  <c:v>0.33846111951068963</c:v>
                </c:pt>
                <c:pt idx="76">
                  <c:v>0.33846111951068963</c:v>
                </c:pt>
                <c:pt idx="77">
                  <c:v>0.33846111951068963</c:v>
                </c:pt>
                <c:pt idx="78">
                  <c:v>0.33846111951068963</c:v>
                </c:pt>
                <c:pt idx="79">
                  <c:v>0.33846111951068963</c:v>
                </c:pt>
                <c:pt idx="80">
                  <c:v>0.33846111951068963</c:v>
                </c:pt>
                <c:pt idx="81">
                  <c:v>0.36944134018176361</c:v>
                </c:pt>
                <c:pt idx="82">
                  <c:v>0.36944134018176361</c:v>
                </c:pt>
                <c:pt idx="83">
                  <c:v>0.36944134018176361</c:v>
                </c:pt>
                <c:pt idx="84">
                  <c:v>0.36944134018176361</c:v>
                </c:pt>
                <c:pt idx="85">
                  <c:v>0.4012936743170763</c:v>
                </c:pt>
                <c:pt idx="86">
                  <c:v>0.4012936743170763</c:v>
                </c:pt>
                <c:pt idx="87">
                  <c:v>0.4012936743170763</c:v>
                </c:pt>
                <c:pt idx="88">
                  <c:v>0.4012936743170763</c:v>
                </c:pt>
                <c:pt idx="89">
                  <c:v>0.4012936743170763</c:v>
                </c:pt>
                <c:pt idx="90">
                  <c:v>0.4012936743170763</c:v>
                </c:pt>
                <c:pt idx="91">
                  <c:v>0.43381616738909634</c:v>
                </c:pt>
                <c:pt idx="92">
                  <c:v>0.43381616738909634</c:v>
                </c:pt>
                <c:pt idx="93">
                  <c:v>0.43381616738909634</c:v>
                </c:pt>
                <c:pt idx="94">
                  <c:v>0.43381616738909634</c:v>
                </c:pt>
                <c:pt idx="95">
                  <c:v>0.43381616738909634</c:v>
                </c:pt>
                <c:pt idx="96">
                  <c:v>0.43381616738909634</c:v>
                </c:pt>
                <c:pt idx="97">
                  <c:v>0.46679324814737772</c:v>
                </c:pt>
                <c:pt idx="98">
                  <c:v>0.46679324814737772</c:v>
                </c:pt>
                <c:pt idx="99">
                  <c:v>0.46679324814737772</c:v>
                </c:pt>
                <c:pt idx="100">
                  <c:v>0.46679324814737772</c:v>
                </c:pt>
                <c:pt idx="101">
                  <c:v>0.46679324814737772</c:v>
                </c:pt>
                <c:pt idx="102">
                  <c:v>0.46679324814737772</c:v>
                </c:pt>
                <c:pt idx="103">
                  <c:v>0.46679324814737772</c:v>
                </c:pt>
                <c:pt idx="104">
                  <c:v>0.46679324814737772</c:v>
                </c:pt>
                <c:pt idx="105">
                  <c:v>0.46679324814737772</c:v>
                </c:pt>
                <c:pt idx="106">
                  <c:v>0.46679324814737772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0.53320675185262223</c:v>
                </c:pt>
                <c:pt idx="112">
                  <c:v>0.53320675185262223</c:v>
                </c:pt>
                <c:pt idx="113">
                  <c:v>0.53320675185262223</c:v>
                </c:pt>
                <c:pt idx="114">
                  <c:v>0.53320675185262223</c:v>
                </c:pt>
                <c:pt idx="115">
                  <c:v>0.53320675185262223</c:v>
                </c:pt>
                <c:pt idx="116">
                  <c:v>0.53320675185262223</c:v>
                </c:pt>
                <c:pt idx="117">
                  <c:v>0.56618383261090366</c:v>
                </c:pt>
                <c:pt idx="118">
                  <c:v>0.56618383261090366</c:v>
                </c:pt>
                <c:pt idx="119">
                  <c:v>0.5987063256829237</c:v>
                </c:pt>
                <c:pt idx="120">
                  <c:v>0.5987063256829237</c:v>
                </c:pt>
                <c:pt idx="121">
                  <c:v>0.5987063256829237</c:v>
                </c:pt>
                <c:pt idx="122">
                  <c:v>0.5987063256829237</c:v>
                </c:pt>
                <c:pt idx="123">
                  <c:v>0.5987063256829237</c:v>
                </c:pt>
                <c:pt idx="124">
                  <c:v>0.5987063256829237</c:v>
                </c:pt>
                <c:pt idx="125">
                  <c:v>0.63055865981823644</c:v>
                </c:pt>
                <c:pt idx="126">
                  <c:v>0.63055865981823644</c:v>
                </c:pt>
                <c:pt idx="127">
                  <c:v>0.63055865981823644</c:v>
                </c:pt>
                <c:pt idx="128">
                  <c:v>0.63055865981823644</c:v>
                </c:pt>
                <c:pt idx="129">
                  <c:v>0.63055865981823644</c:v>
                </c:pt>
                <c:pt idx="130">
                  <c:v>0.63055865981823644</c:v>
                </c:pt>
                <c:pt idx="131">
                  <c:v>0.66153888048931031</c:v>
                </c:pt>
                <c:pt idx="132">
                  <c:v>0.66153888048931031</c:v>
                </c:pt>
                <c:pt idx="133">
                  <c:v>0.66153888048931031</c:v>
                </c:pt>
                <c:pt idx="134">
                  <c:v>0.66153888048931031</c:v>
                </c:pt>
                <c:pt idx="135">
                  <c:v>0.66153888048931031</c:v>
                </c:pt>
                <c:pt idx="136">
                  <c:v>0.66153888048931031</c:v>
                </c:pt>
                <c:pt idx="137">
                  <c:v>0.69146246127401312</c:v>
                </c:pt>
                <c:pt idx="138">
                  <c:v>0.69146246127401312</c:v>
                </c:pt>
                <c:pt idx="139">
                  <c:v>0.69146246127401312</c:v>
                </c:pt>
                <c:pt idx="140">
                  <c:v>0.69146246127401312</c:v>
                </c:pt>
                <c:pt idx="141">
                  <c:v>0.69146246127401312</c:v>
                </c:pt>
                <c:pt idx="142">
                  <c:v>0.69146246127401312</c:v>
                </c:pt>
                <c:pt idx="143">
                  <c:v>0.69146246127401312</c:v>
                </c:pt>
                <c:pt idx="144">
                  <c:v>0.69146246127401312</c:v>
                </c:pt>
                <c:pt idx="145">
                  <c:v>0.69146246127401312</c:v>
                </c:pt>
                <c:pt idx="146">
                  <c:v>0.69146246127401312</c:v>
                </c:pt>
                <c:pt idx="147">
                  <c:v>0.72016553640029435</c:v>
                </c:pt>
                <c:pt idx="148">
                  <c:v>0.72016553640029435</c:v>
                </c:pt>
                <c:pt idx="149">
                  <c:v>0.72016553640029435</c:v>
                </c:pt>
                <c:pt idx="150">
                  <c:v>0.72016553640029435</c:v>
                </c:pt>
                <c:pt idx="151">
                  <c:v>0.72016553640029435</c:v>
                </c:pt>
                <c:pt idx="152">
                  <c:v>0.72016553640029435</c:v>
                </c:pt>
                <c:pt idx="153">
                  <c:v>0.72016553640029435</c:v>
                </c:pt>
                <c:pt idx="154">
                  <c:v>0.72016553640029435</c:v>
                </c:pt>
                <c:pt idx="155">
                  <c:v>0.72016553640029435</c:v>
                </c:pt>
                <c:pt idx="156">
                  <c:v>0.72016553640029435</c:v>
                </c:pt>
                <c:pt idx="157">
                  <c:v>0.74750746245307709</c:v>
                </c:pt>
                <c:pt idx="158">
                  <c:v>0.74750746245307709</c:v>
                </c:pt>
                <c:pt idx="159">
                  <c:v>0.74750746245307709</c:v>
                </c:pt>
                <c:pt idx="160">
                  <c:v>0.74750746245307709</c:v>
                </c:pt>
                <c:pt idx="161">
                  <c:v>0.74750746245307709</c:v>
                </c:pt>
                <c:pt idx="162">
                  <c:v>0.74750746245307709</c:v>
                </c:pt>
                <c:pt idx="163">
                  <c:v>0.74750746245307709</c:v>
                </c:pt>
                <c:pt idx="164">
                  <c:v>0.74750746245307709</c:v>
                </c:pt>
                <c:pt idx="165">
                  <c:v>0.77337264762313174</c:v>
                </c:pt>
                <c:pt idx="166">
                  <c:v>0.77337264762313174</c:v>
                </c:pt>
                <c:pt idx="167">
                  <c:v>0.77337264762313174</c:v>
                </c:pt>
                <c:pt idx="168">
                  <c:v>0.77337264762313174</c:v>
                </c:pt>
                <c:pt idx="169">
                  <c:v>0.79767161903635697</c:v>
                </c:pt>
                <c:pt idx="170">
                  <c:v>0.79767161903635697</c:v>
                </c:pt>
                <c:pt idx="171">
                  <c:v>0.79767161903635697</c:v>
                </c:pt>
                <c:pt idx="172">
                  <c:v>0.79767161903635697</c:v>
                </c:pt>
                <c:pt idx="173">
                  <c:v>0.82034133083521454</c:v>
                </c:pt>
                <c:pt idx="174">
                  <c:v>0.82034133083521454</c:v>
                </c:pt>
                <c:pt idx="175">
                  <c:v>0.82034133083521454</c:v>
                </c:pt>
                <c:pt idx="176">
                  <c:v>0.82034133083521454</c:v>
                </c:pt>
                <c:pt idx="177">
                  <c:v>0.84134474606854304</c:v>
                </c:pt>
                <c:pt idx="178">
                  <c:v>0.84134474606854304</c:v>
                </c:pt>
                <c:pt idx="179">
                  <c:v>0.84134474606854304</c:v>
                </c:pt>
                <c:pt idx="180">
                  <c:v>0.84134474606854304</c:v>
                </c:pt>
                <c:pt idx="181">
                  <c:v>0.87832749542561872</c:v>
                </c:pt>
                <c:pt idx="182">
                  <c:v>0.87832749542561872</c:v>
                </c:pt>
                <c:pt idx="183">
                  <c:v>0.87832749542561872</c:v>
                </c:pt>
                <c:pt idx="184">
                  <c:v>0.87832749542561872</c:v>
                </c:pt>
                <c:pt idx="185">
                  <c:v>0.87832749542561872</c:v>
                </c:pt>
                <c:pt idx="186">
                  <c:v>0.87832749542561872</c:v>
                </c:pt>
                <c:pt idx="187">
                  <c:v>0.87832749542561872</c:v>
                </c:pt>
                <c:pt idx="188">
                  <c:v>0.87832749542561872</c:v>
                </c:pt>
                <c:pt idx="189">
                  <c:v>0.89435022633314476</c:v>
                </c:pt>
                <c:pt idx="190">
                  <c:v>0.89435022633314476</c:v>
                </c:pt>
                <c:pt idx="191">
                  <c:v>0.89435022633314476</c:v>
                </c:pt>
                <c:pt idx="192">
                  <c:v>0.89435022633314476</c:v>
                </c:pt>
                <c:pt idx="193">
                  <c:v>0.92170979645518258</c:v>
                </c:pt>
                <c:pt idx="194">
                  <c:v>0.92170979645518258</c:v>
                </c:pt>
                <c:pt idx="195">
                  <c:v>0.92170979645518258</c:v>
                </c:pt>
                <c:pt idx="196">
                  <c:v>0.92170979645518258</c:v>
                </c:pt>
                <c:pt idx="197">
                  <c:v>0.95994084313618289</c:v>
                </c:pt>
                <c:pt idx="198">
                  <c:v>0.95994084313618289</c:v>
                </c:pt>
                <c:pt idx="199">
                  <c:v>0.99379033467422384</c:v>
                </c:pt>
                <c:pt idx="200">
                  <c:v>0.99379033467422384</c:v>
                </c:pt>
                <c:pt idx="201">
                  <c:v>0.98138957481011369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B7-4387-8726-58EBA8BB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61343"/>
        <c:axId val="52861759"/>
      </c:scatterChart>
      <c:valAx>
        <c:axId val="52861343"/>
        <c:scaling>
          <c:orientation val="minMax"/>
          <c:max val="205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861759"/>
        <c:crosses val="autoZero"/>
        <c:crossBetween val="midCat"/>
      </c:valAx>
      <c:valAx>
        <c:axId val="5286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86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Arkusz4!$M$3:$M$102</c:f>
              <c:numCache>
                <c:formatCode>General</c:formatCode>
                <c:ptCount val="100"/>
                <c:pt idx="0">
                  <c:v>148</c:v>
                </c:pt>
                <c:pt idx="1">
                  <c:v>154</c:v>
                </c:pt>
                <c:pt idx="2">
                  <c:v>158</c:v>
                </c:pt>
                <c:pt idx="3">
                  <c:v>161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164</c:v>
                </c:pt>
                <c:pt idx="8">
                  <c:v>165</c:v>
                </c:pt>
                <c:pt idx="9">
                  <c:v>167</c:v>
                </c:pt>
                <c:pt idx="10">
                  <c:v>167</c:v>
                </c:pt>
                <c:pt idx="11">
                  <c:v>168</c:v>
                </c:pt>
                <c:pt idx="12">
                  <c:v>168</c:v>
                </c:pt>
                <c:pt idx="13">
                  <c:v>169</c:v>
                </c:pt>
                <c:pt idx="14">
                  <c:v>169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171</c:v>
                </c:pt>
                <c:pt idx="20">
                  <c:v>171</c:v>
                </c:pt>
                <c:pt idx="21">
                  <c:v>171</c:v>
                </c:pt>
                <c:pt idx="22">
                  <c:v>171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173</c:v>
                </c:pt>
                <c:pt idx="28">
                  <c:v>173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174</c:v>
                </c:pt>
                <c:pt idx="34">
                  <c:v>174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176</c:v>
                </c:pt>
                <c:pt idx="41">
                  <c:v>176</c:v>
                </c:pt>
                <c:pt idx="42">
                  <c:v>177</c:v>
                </c:pt>
                <c:pt idx="43">
                  <c:v>177</c:v>
                </c:pt>
                <c:pt idx="44">
                  <c:v>177</c:v>
                </c:pt>
                <c:pt idx="45">
                  <c:v>178</c:v>
                </c:pt>
                <c:pt idx="46">
                  <c:v>178</c:v>
                </c:pt>
                <c:pt idx="47">
                  <c:v>178</c:v>
                </c:pt>
                <c:pt idx="48">
                  <c:v>179</c:v>
                </c:pt>
                <c:pt idx="49">
                  <c:v>179</c:v>
                </c:pt>
                <c:pt idx="50">
                  <c:v>179</c:v>
                </c:pt>
                <c:pt idx="51">
                  <c:v>179</c:v>
                </c:pt>
                <c:pt idx="52">
                  <c:v>179</c:v>
                </c:pt>
                <c:pt idx="53">
                  <c:v>180</c:v>
                </c:pt>
                <c:pt idx="54">
                  <c:v>180</c:v>
                </c:pt>
                <c:pt idx="55">
                  <c:v>181</c:v>
                </c:pt>
                <c:pt idx="56">
                  <c:v>181</c:v>
                </c:pt>
                <c:pt idx="57">
                  <c:v>181</c:v>
                </c:pt>
                <c:pt idx="58">
                  <c:v>182</c:v>
                </c:pt>
                <c:pt idx="59">
                  <c:v>183</c:v>
                </c:pt>
                <c:pt idx="60">
                  <c:v>183</c:v>
                </c:pt>
                <c:pt idx="61">
                  <c:v>183</c:v>
                </c:pt>
                <c:pt idx="62">
                  <c:v>184</c:v>
                </c:pt>
                <c:pt idx="63">
                  <c:v>184</c:v>
                </c:pt>
                <c:pt idx="64">
                  <c:v>184</c:v>
                </c:pt>
                <c:pt idx="65">
                  <c:v>185</c:v>
                </c:pt>
                <c:pt idx="66">
                  <c:v>185</c:v>
                </c:pt>
                <c:pt idx="67">
                  <c:v>185</c:v>
                </c:pt>
                <c:pt idx="68">
                  <c:v>186</c:v>
                </c:pt>
                <c:pt idx="69">
                  <c:v>186</c:v>
                </c:pt>
                <c:pt idx="70">
                  <c:v>186</c:v>
                </c:pt>
                <c:pt idx="71">
                  <c:v>186</c:v>
                </c:pt>
                <c:pt idx="72">
                  <c:v>186</c:v>
                </c:pt>
                <c:pt idx="73">
                  <c:v>187</c:v>
                </c:pt>
                <c:pt idx="74">
                  <c:v>187</c:v>
                </c:pt>
                <c:pt idx="75">
                  <c:v>187</c:v>
                </c:pt>
                <c:pt idx="76">
                  <c:v>187</c:v>
                </c:pt>
                <c:pt idx="77">
                  <c:v>187</c:v>
                </c:pt>
                <c:pt idx="78">
                  <c:v>188</c:v>
                </c:pt>
                <c:pt idx="79">
                  <c:v>188</c:v>
                </c:pt>
                <c:pt idx="80">
                  <c:v>188</c:v>
                </c:pt>
                <c:pt idx="81">
                  <c:v>188</c:v>
                </c:pt>
                <c:pt idx="82">
                  <c:v>189</c:v>
                </c:pt>
                <c:pt idx="83">
                  <c:v>189</c:v>
                </c:pt>
                <c:pt idx="84">
                  <c:v>190</c:v>
                </c:pt>
                <c:pt idx="85">
                  <c:v>190</c:v>
                </c:pt>
                <c:pt idx="86">
                  <c:v>191</c:v>
                </c:pt>
                <c:pt idx="87">
                  <c:v>191</c:v>
                </c:pt>
                <c:pt idx="88">
                  <c:v>192</c:v>
                </c:pt>
                <c:pt idx="89">
                  <c:v>192</c:v>
                </c:pt>
                <c:pt idx="90">
                  <c:v>194</c:v>
                </c:pt>
                <c:pt idx="91">
                  <c:v>194</c:v>
                </c:pt>
                <c:pt idx="92">
                  <c:v>194</c:v>
                </c:pt>
                <c:pt idx="93">
                  <c:v>194</c:v>
                </c:pt>
                <c:pt idx="94">
                  <c:v>195</c:v>
                </c:pt>
                <c:pt idx="95">
                  <c:v>195</c:v>
                </c:pt>
                <c:pt idx="96">
                  <c:v>197</c:v>
                </c:pt>
                <c:pt idx="97">
                  <c:v>197</c:v>
                </c:pt>
                <c:pt idx="98">
                  <c:v>201</c:v>
                </c:pt>
                <c:pt idx="99">
                  <c:v>210</c:v>
                </c:pt>
              </c:numCache>
            </c:numRef>
          </c:xVal>
          <c:yVal>
            <c:numRef>
              <c:f>Arkusz4!$N$3:$N$102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9C-4C8A-BFE3-FDD06535120F}"/>
            </c:ext>
          </c:extLst>
        </c:ser>
        <c:ser>
          <c:idx val="1"/>
          <c:order val="1"/>
          <c:tx>
            <c:strRef>
              <c:f>Arkusz4!$M$3:$M$102</c:f>
              <c:strCache>
                <c:ptCount val="100"/>
                <c:pt idx="0">
                  <c:v>148</c:v>
                </c:pt>
                <c:pt idx="1">
                  <c:v>154</c:v>
                </c:pt>
                <c:pt idx="2">
                  <c:v>158</c:v>
                </c:pt>
                <c:pt idx="3">
                  <c:v>161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164</c:v>
                </c:pt>
                <c:pt idx="8">
                  <c:v>165</c:v>
                </c:pt>
                <c:pt idx="9">
                  <c:v>167</c:v>
                </c:pt>
                <c:pt idx="10">
                  <c:v>167</c:v>
                </c:pt>
                <c:pt idx="11">
                  <c:v>168</c:v>
                </c:pt>
                <c:pt idx="12">
                  <c:v>168</c:v>
                </c:pt>
                <c:pt idx="13">
                  <c:v>169</c:v>
                </c:pt>
                <c:pt idx="14">
                  <c:v>169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171</c:v>
                </c:pt>
                <c:pt idx="20">
                  <c:v>171</c:v>
                </c:pt>
                <c:pt idx="21">
                  <c:v>171</c:v>
                </c:pt>
                <c:pt idx="22">
                  <c:v>171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173</c:v>
                </c:pt>
                <c:pt idx="28">
                  <c:v>173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174</c:v>
                </c:pt>
                <c:pt idx="34">
                  <c:v>174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176</c:v>
                </c:pt>
                <c:pt idx="41">
                  <c:v>176</c:v>
                </c:pt>
                <c:pt idx="42">
                  <c:v>177</c:v>
                </c:pt>
                <c:pt idx="43">
                  <c:v>177</c:v>
                </c:pt>
                <c:pt idx="44">
                  <c:v>177</c:v>
                </c:pt>
                <c:pt idx="45">
                  <c:v>178</c:v>
                </c:pt>
                <c:pt idx="46">
                  <c:v>178</c:v>
                </c:pt>
                <c:pt idx="47">
                  <c:v>178</c:v>
                </c:pt>
                <c:pt idx="48">
                  <c:v>179</c:v>
                </c:pt>
                <c:pt idx="49">
                  <c:v>179</c:v>
                </c:pt>
                <c:pt idx="50">
                  <c:v>179</c:v>
                </c:pt>
                <c:pt idx="51">
                  <c:v>179</c:v>
                </c:pt>
                <c:pt idx="52">
                  <c:v>179</c:v>
                </c:pt>
                <c:pt idx="53">
                  <c:v>180</c:v>
                </c:pt>
                <c:pt idx="54">
                  <c:v>180</c:v>
                </c:pt>
                <c:pt idx="55">
                  <c:v>181</c:v>
                </c:pt>
                <c:pt idx="56">
                  <c:v>181</c:v>
                </c:pt>
                <c:pt idx="57">
                  <c:v>181</c:v>
                </c:pt>
                <c:pt idx="58">
                  <c:v>182</c:v>
                </c:pt>
                <c:pt idx="59">
                  <c:v>183</c:v>
                </c:pt>
                <c:pt idx="60">
                  <c:v>183</c:v>
                </c:pt>
                <c:pt idx="61">
                  <c:v>183</c:v>
                </c:pt>
                <c:pt idx="62">
                  <c:v>184</c:v>
                </c:pt>
                <c:pt idx="63">
                  <c:v>184</c:v>
                </c:pt>
                <c:pt idx="64">
                  <c:v>184</c:v>
                </c:pt>
                <c:pt idx="65">
                  <c:v>185</c:v>
                </c:pt>
                <c:pt idx="66">
                  <c:v>185</c:v>
                </c:pt>
                <c:pt idx="67">
                  <c:v>185</c:v>
                </c:pt>
                <c:pt idx="68">
                  <c:v>186</c:v>
                </c:pt>
                <c:pt idx="69">
                  <c:v>186</c:v>
                </c:pt>
                <c:pt idx="70">
                  <c:v>186</c:v>
                </c:pt>
                <c:pt idx="71">
                  <c:v>186</c:v>
                </c:pt>
                <c:pt idx="72">
                  <c:v>186</c:v>
                </c:pt>
                <c:pt idx="73">
                  <c:v>187</c:v>
                </c:pt>
                <c:pt idx="74">
                  <c:v>187</c:v>
                </c:pt>
                <c:pt idx="75">
                  <c:v>187</c:v>
                </c:pt>
                <c:pt idx="76">
                  <c:v>187</c:v>
                </c:pt>
                <c:pt idx="77">
                  <c:v>187</c:v>
                </c:pt>
                <c:pt idx="78">
                  <c:v>188</c:v>
                </c:pt>
                <c:pt idx="79">
                  <c:v>188</c:v>
                </c:pt>
                <c:pt idx="80">
                  <c:v>188</c:v>
                </c:pt>
                <c:pt idx="81">
                  <c:v>188</c:v>
                </c:pt>
                <c:pt idx="82">
                  <c:v>189</c:v>
                </c:pt>
                <c:pt idx="83">
                  <c:v>189</c:v>
                </c:pt>
                <c:pt idx="84">
                  <c:v>190</c:v>
                </c:pt>
                <c:pt idx="85">
                  <c:v>190</c:v>
                </c:pt>
                <c:pt idx="86">
                  <c:v>191</c:v>
                </c:pt>
                <c:pt idx="87">
                  <c:v>191</c:v>
                </c:pt>
                <c:pt idx="88">
                  <c:v>192</c:v>
                </c:pt>
                <c:pt idx="89">
                  <c:v>192</c:v>
                </c:pt>
                <c:pt idx="90">
                  <c:v>194</c:v>
                </c:pt>
                <c:pt idx="91">
                  <c:v>194</c:v>
                </c:pt>
                <c:pt idx="92">
                  <c:v>194</c:v>
                </c:pt>
                <c:pt idx="93">
                  <c:v>194</c:v>
                </c:pt>
                <c:pt idx="94">
                  <c:v>195</c:v>
                </c:pt>
                <c:pt idx="95">
                  <c:v>195</c:v>
                </c:pt>
                <c:pt idx="96">
                  <c:v>197</c:v>
                </c:pt>
                <c:pt idx="97">
                  <c:v>197</c:v>
                </c:pt>
                <c:pt idx="98">
                  <c:v>201</c:v>
                </c:pt>
                <c:pt idx="99">
                  <c:v>210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Arkusz4!$M$3:$M$102</c:f>
              <c:numCache>
                <c:formatCode>General</c:formatCode>
                <c:ptCount val="100"/>
                <c:pt idx="0">
                  <c:v>148</c:v>
                </c:pt>
                <c:pt idx="1">
                  <c:v>154</c:v>
                </c:pt>
                <c:pt idx="2">
                  <c:v>158</c:v>
                </c:pt>
                <c:pt idx="3">
                  <c:v>161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164</c:v>
                </c:pt>
                <c:pt idx="8">
                  <c:v>165</c:v>
                </c:pt>
                <c:pt idx="9">
                  <c:v>167</c:v>
                </c:pt>
                <c:pt idx="10">
                  <c:v>167</c:v>
                </c:pt>
                <c:pt idx="11">
                  <c:v>168</c:v>
                </c:pt>
                <c:pt idx="12">
                  <c:v>168</c:v>
                </c:pt>
                <c:pt idx="13">
                  <c:v>169</c:v>
                </c:pt>
                <c:pt idx="14">
                  <c:v>169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171</c:v>
                </c:pt>
                <c:pt idx="20">
                  <c:v>171</c:v>
                </c:pt>
                <c:pt idx="21">
                  <c:v>171</c:v>
                </c:pt>
                <c:pt idx="22">
                  <c:v>171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173</c:v>
                </c:pt>
                <c:pt idx="28">
                  <c:v>173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174</c:v>
                </c:pt>
                <c:pt idx="34">
                  <c:v>174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176</c:v>
                </c:pt>
                <c:pt idx="41">
                  <c:v>176</c:v>
                </c:pt>
                <c:pt idx="42">
                  <c:v>177</c:v>
                </c:pt>
                <c:pt idx="43">
                  <c:v>177</c:v>
                </c:pt>
                <c:pt idx="44">
                  <c:v>177</c:v>
                </c:pt>
                <c:pt idx="45">
                  <c:v>178</c:v>
                </c:pt>
                <c:pt idx="46">
                  <c:v>178</c:v>
                </c:pt>
                <c:pt idx="47">
                  <c:v>178</c:v>
                </c:pt>
                <c:pt idx="48">
                  <c:v>179</c:v>
                </c:pt>
                <c:pt idx="49">
                  <c:v>179</c:v>
                </c:pt>
                <c:pt idx="50">
                  <c:v>179</c:v>
                </c:pt>
                <c:pt idx="51">
                  <c:v>179</c:v>
                </c:pt>
                <c:pt idx="52">
                  <c:v>179</c:v>
                </c:pt>
                <c:pt idx="53">
                  <c:v>180</c:v>
                </c:pt>
                <c:pt idx="54">
                  <c:v>180</c:v>
                </c:pt>
                <c:pt idx="55">
                  <c:v>181</c:v>
                </c:pt>
                <c:pt idx="56">
                  <c:v>181</c:v>
                </c:pt>
                <c:pt idx="57">
                  <c:v>181</c:v>
                </c:pt>
                <c:pt idx="58">
                  <c:v>182</c:v>
                </c:pt>
                <c:pt idx="59">
                  <c:v>183</c:v>
                </c:pt>
                <c:pt idx="60">
                  <c:v>183</c:v>
                </c:pt>
                <c:pt idx="61">
                  <c:v>183</c:v>
                </c:pt>
                <c:pt idx="62">
                  <c:v>184</c:v>
                </c:pt>
                <c:pt idx="63">
                  <c:v>184</c:v>
                </c:pt>
                <c:pt idx="64">
                  <c:v>184</c:v>
                </c:pt>
                <c:pt idx="65">
                  <c:v>185</c:v>
                </c:pt>
                <c:pt idx="66">
                  <c:v>185</c:v>
                </c:pt>
                <c:pt idx="67">
                  <c:v>185</c:v>
                </c:pt>
                <c:pt idx="68">
                  <c:v>186</c:v>
                </c:pt>
                <c:pt idx="69">
                  <c:v>186</c:v>
                </c:pt>
                <c:pt idx="70">
                  <c:v>186</c:v>
                </c:pt>
                <c:pt idx="71">
                  <c:v>186</c:v>
                </c:pt>
                <c:pt idx="72">
                  <c:v>186</c:v>
                </c:pt>
                <c:pt idx="73">
                  <c:v>187</c:v>
                </c:pt>
                <c:pt idx="74">
                  <c:v>187</c:v>
                </c:pt>
                <c:pt idx="75">
                  <c:v>187</c:v>
                </c:pt>
                <c:pt idx="76">
                  <c:v>187</c:v>
                </c:pt>
                <c:pt idx="77">
                  <c:v>187</c:v>
                </c:pt>
                <c:pt idx="78">
                  <c:v>188</c:v>
                </c:pt>
                <c:pt idx="79">
                  <c:v>188</c:v>
                </c:pt>
                <c:pt idx="80">
                  <c:v>188</c:v>
                </c:pt>
                <c:pt idx="81">
                  <c:v>188</c:v>
                </c:pt>
                <c:pt idx="82">
                  <c:v>189</c:v>
                </c:pt>
                <c:pt idx="83">
                  <c:v>189</c:v>
                </c:pt>
                <c:pt idx="84">
                  <c:v>190</c:v>
                </c:pt>
                <c:pt idx="85">
                  <c:v>190</c:v>
                </c:pt>
                <c:pt idx="86">
                  <c:v>191</c:v>
                </c:pt>
                <c:pt idx="87">
                  <c:v>191</c:v>
                </c:pt>
                <c:pt idx="88">
                  <c:v>192</c:v>
                </c:pt>
                <c:pt idx="89">
                  <c:v>192</c:v>
                </c:pt>
                <c:pt idx="90">
                  <c:v>194</c:v>
                </c:pt>
                <c:pt idx="91">
                  <c:v>194</c:v>
                </c:pt>
                <c:pt idx="92">
                  <c:v>194</c:v>
                </c:pt>
                <c:pt idx="93">
                  <c:v>194</c:v>
                </c:pt>
                <c:pt idx="94">
                  <c:v>195</c:v>
                </c:pt>
                <c:pt idx="95">
                  <c:v>195</c:v>
                </c:pt>
                <c:pt idx="96">
                  <c:v>197</c:v>
                </c:pt>
                <c:pt idx="97">
                  <c:v>197</c:v>
                </c:pt>
                <c:pt idx="98">
                  <c:v>201</c:v>
                </c:pt>
                <c:pt idx="99">
                  <c:v>210</c:v>
                </c:pt>
              </c:numCache>
            </c:numRef>
          </c:xVal>
          <c:yVal>
            <c:numRef>
              <c:f>Arkusz4!$M$3:$M$102</c:f>
              <c:numCache>
                <c:formatCode>General</c:formatCode>
                <c:ptCount val="100"/>
                <c:pt idx="0">
                  <c:v>148</c:v>
                </c:pt>
                <c:pt idx="1">
                  <c:v>154</c:v>
                </c:pt>
                <c:pt idx="2">
                  <c:v>158</c:v>
                </c:pt>
                <c:pt idx="3">
                  <c:v>161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164</c:v>
                </c:pt>
                <c:pt idx="8">
                  <c:v>165</c:v>
                </c:pt>
                <c:pt idx="9">
                  <c:v>167</c:v>
                </c:pt>
                <c:pt idx="10">
                  <c:v>167</c:v>
                </c:pt>
                <c:pt idx="11">
                  <c:v>168</c:v>
                </c:pt>
                <c:pt idx="12">
                  <c:v>168</c:v>
                </c:pt>
                <c:pt idx="13">
                  <c:v>169</c:v>
                </c:pt>
                <c:pt idx="14">
                  <c:v>169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171</c:v>
                </c:pt>
                <c:pt idx="20">
                  <c:v>171</c:v>
                </c:pt>
                <c:pt idx="21">
                  <c:v>171</c:v>
                </c:pt>
                <c:pt idx="22">
                  <c:v>171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173</c:v>
                </c:pt>
                <c:pt idx="28">
                  <c:v>173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174</c:v>
                </c:pt>
                <c:pt idx="34">
                  <c:v>174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176</c:v>
                </c:pt>
                <c:pt idx="41">
                  <c:v>176</c:v>
                </c:pt>
                <c:pt idx="42">
                  <c:v>177</c:v>
                </c:pt>
                <c:pt idx="43">
                  <c:v>177</c:v>
                </c:pt>
                <c:pt idx="44">
                  <c:v>177</c:v>
                </c:pt>
                <c:pt idx="45">
                  <c:v>178</c:v>
                </c:pt>
                <c:pt idx="46">
                  <c:v>178</c:v>
                </c:pt>
                <c:pt idx="47">
                  <c:v>178</c:v>
                </c:pt>
                <c:pt idx="48">
                  <c:v>179</c:v>
                </c:pt>
                <c:pt idx="49">
                  <c:v>179</c:v>
                </c:pt>
                <c:pt idx="50">
                  <c:v>179</c:v>
                </c:pt>
                <c:pt idx="51">
                  <c:v>179</c:v>
                </c:pt>
                <c:pt idx="52">
                  <c:v>179</c:v>
                </c:pt>
                <c:pt idx="53">
                  <c:v>180</c:v>
                </c:pt>
                <c:pt idx="54">
                  <c:v>180</c:v>
                </c:pt>
                <c:pt idx="55">
                  <c:v>181</c:v>
                </c:pt>
                <c:pt idx="56">
                  <c:v>181</c:v>
                </c:pt>
                <c:pt idx="57">
                  <c:v>181</c:v>
                </c:pt>
                <c:pt idx="58">
                  <c:v>182</c:v>
                </c:pt>
                <c:pt idx="59">
                  <c:v>183</c:v>
                </c:pt>
                <c:pt idx="60">
                  <c:v>183</c:v>
                </c:pt>
                <c:pt idx="61">
                  <c:v>183</c:v>
                </c:pt>
                <c:pt idx="62">
                  <c:v>184</c:v>
                </c:pt>
                <c:pt idx="63">
                  <c:v>184</c:v>
                </c:pt>
                <c:pt idx="64">
                  <c:v>184</c:v>
                </c:pt>
                <c:pt idx="65">
                  <c:v>185</c:v>
                </c:pt>
                <c:pt idx="66">
                  <c:v>185</c:v>
                </c:pt>
                <c:pt idx="67">
                  <c:v>185</c:v>
                </c:pt>
                <c:pt idx="68">
                  <c:v>186</c:v>
                </c:pt>
                <c:pt idx="69">
                  <c:v>186</c:v>
                </c:pt>
                <c:pt idx="70">
                  <c:v>186</c:v>
                </c:pt>
                <c:pt idx="71">
                  <c:v>186</c:v>
                </c:pt>
                <c:pt idx="72">
                  <c:v>186</c:v>
                </c:pt>
                <c:pt idx="73">
                  <c:v>187</c:v>
                </c:pt>
                <c:pt idx="74">
                  <c:v>187</c:v>
                </c:pt>
                <c:pt idx="75">
                  <c:v>187</c:v>
                </c:pt>
                <c:pt idx="76">
                  <c:v>187</c:v>
                </c:pt>
                <c:pt idx="77">
                  <c:v>187</c:v>
                </c:pt>
                <c:pt idx="78">
                  <c:v>188</c:v>
                </c:pt>
                <c:pt idx="79">
                  <c:v>188</c:v>
                </c:pt>
                <c:pt idx="80">
                  <c:v>188</c:v>
                </c:pt>
                <c:pt idx="81">
                  <c:v>188</c:v>
                </c:pt>
                <c:pt idx="82">
                  <c:v>189</c:v>
                </c:pt>
                <c:pt idx="83">
                  <c:v>189</c:v>
                </c:pt>
                <c:pt idx="84">
                  <c:v>190</c:v>
                </c:pt>
                <c:pt idx="85">
                  <c:v>190</c:v>
                </c:pt>
                <c:pt idx="86">
                  <c:v>191</c:v>
                </c:pt>
                <c:pt idx="87">
                  <c:v>191</c:v>
                </c:pt>
                <c:pt idx="88">
                  <c:v>192</c:v>
                </c:pt>
                <c:pt idx="89">
                  <c:v>192</c:v>
                </c:pt>
                <c:pt idx="90">
                  <c:v>194</c:v>
                </c:pt>
                <c:pt idx="91">
                  <c:v>194</c:v>
                </c:pt>
                <c:pt idx="92">
                  <c:v>194</c:v>
                </c:pt>
                <c:pt idx="93">
                  <c:v>194</c:v>
                </c:pt>
                <c:pt idx="94">
                  <c:v>195</c:v>
                </c:pt>
                <c:pt idx="95">
                  <c:v>195</c:v>
                </c:pt>
                <c:pt idx="96">
                  <c:v>197</c:v>
                </c:pt>
                <c:pt idx="97">
                  <c:v>197</c:v>
                </c:pt>
                <c:pt idx="98">
                  <c:v>201</c:v>
                </c:pt>
                <c:pt idx="99">
                  <c:v>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9C-4C8A-BFE3-FDD065351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174832"/>
        <c:axId val="975675904"/>
      </c:scatterChart>
      <c:valAx>
        <c:axId val="975174832"/>
        <c:scaling>
          <c:orientation val="minMax"/>
          <c:max val="210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5675904"/>
        <c:crosses val="autoZero"/>
        <c:crossBetween val="midCat"/>
      </c:valAx>
      <c:valAx>
        <c:axId val="975675904"/>
        <c:scaling>
          <c:orientation val="minMax"/>
          <c:max val="210"/>
          <c:min val="1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517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480060</xdr:colOff>
      <xdr:row>1</xdr:row>
      <xdr:rowOff>95250</xdr:rowOff>
    </xdr:from>
    <xdr:to>
      <xdr:col>15</xdr:col>
      <xdr:colOff>464820</xdr:colOff>
      <xdr:row>16</xdr:row>
      <xdr:rowOff>95250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77FFD08E-64E1-A82F-A914-BBDCEEA49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</xdr:colOff>
      <xdr:row>1</xdr:row>
      <xdr:rowOff>160020</xdr:rowOff>
    </xdr:from>
    <xdr:to>
      <xdr:col>27</xdr:col>
      <xdr:colOff>306705</xdr:colOff>
      <xdr:row>16</xdr:row>
      <xdr:rowOff>160020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48E1B28-7ED6-4D39-A41A-BF6883734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26670</xdr:colOff>
      <xdr:row>17</xdr:row>
      <xdr:rowOff>78105</xdr:rowOff>
    </xdr:from>
    <xdr:to>
      <xdr:col>27</xdr:col>
      <xdr:colOff>331470</xdr:colOff>
      <xdr:row>32</xdr:row>
      <xdr:rowOff>78105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FC06781-13FC-49D5-AE1C-6D1806445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117475</xdr:colOff>
      <xdr:row>3</xdr:row>
      <xdr:rowOff>155575</xdr:rowOff>
    </xdr:from>
    <xdr:to>
      <xdr:col>18</xdr:col>
      <xdr:colOff>422275</xdr:colOff>
      <xdr:row>18</xdr:row>
      <xdr:rowOff>136525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5D72F97-C5C6-49BA-AE19-6D7604E92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20</xdr:row>
      <xdr:rowOff>9525</xdr:rowOff>
    </xdr:from>
    <xdr:to>
      <xdr:col>19</xdr:col>
      <xdr:colOff>561975</xdr:colOff>
      <xdr:row>34</xdr:row>
      <xdr:rowOff>174625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10509848-69F6-4012-82C5-2639B0C5A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174625</xdr:colOff>
      <xdr:row>8</xdr:row>
      <xdr:rowOff>88900</xdr:rowOff>
    </xdr:from>
    <xdr:to>
      <xdr:col>8</xdr:col>
      <xdr:colOff>479425</xdr:colOff>
      <xdr:row>23</xdr:row>
      <xdr:rowOff>69850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2165E13-58FA-414B-9CC4-6FDECBDC0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533399</xdr:colOff>
      <xdr:row>1</xdr:row>
      <xdr:rowOff>33337</xdr:rowOff>
    </xdr:from>
    <xdr:to>
      <xdr:col>20</xdr:col>
      <xdr:colOff>161924</xdr:colOff>
      <xdr:row>20</xdr:row>
      <xdr:rowOff>142875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6B614E2-9AAB-422E-AC0F-3912C4EE8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aj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3 (2)"/>
      <sheetName val="Arkusz1"/>
      <sheetName val="Arkusz2"/>
    </sheetNames>
    <definedNames>
      <definedName name="_mi" refersTo="='Arkusz1'!$E$2"/>
      <definedName name="_sigma" refersTo="='Arkusz1'!$E$3"/>
    </definedNames>
    <sheetDataSet>
      <sheetData sheetId="0" refreshError="1"/>
      <sheetData sheetId="1">
        <row r="2">
          <cell r="C2">
            <v>184</v>
          </cell>
          <cell r="E2">
            <v>177</v>
          </cell>
          <cell r="R2">
            <v>0</v>
          </cell>
        </row>
        <row r="3">
          <cell r="C3">
            <v>180</v>
          </cell>
          <cell r="E3">
            <v>18</v>
          </cell>
          <cell r="K3">
            <v>126</v>
          </cell>
          <cell r="O3">
            <v>3.9922815889280723E-4</v>
          </cell>
          <cell r="P3">
            <v>4.003388758116235E-4</v>
          </cell>
        </row>
        <row r="4">
          <cell r="C4">
            <v>202</v>
          </cell>
        </row>
        <row r="5">
          <cell r="C5">
            <v>174</v>
          </cell>
        </row>
        <row r="6">
          <cell r="C6">
            <v>203</v>
          </cell>
        </row>
        <row r="7">
          <cell r="C7">
            <v>176</v>
          </cell>
          <cell r="E7">
            <v>399</v>
          </cell>
        </row>
        <row r="8">
          <cell r="C8">
            <v>151</v>
          </cell>
        </row>
        <row r="9">
          <cell r="C9">
            <v>163</v>
          </cell>
        </row>
        <row r="10">
          <cell r="C10">
            <v>167</v>
          </cell>
        </row>
        <row r="11">
          <cell r="C11">
            <v>193</v>
          </cell>
        </row>
        <row r="12">
          <cell r="C12">
            <v>195</v>
          </cell>
          <cell r="E12">
            <v>10</v>
          </cell>
        </row>
        <row r="13">
          <cell r="C13">
            <v>174</v>
          </cell>
          <cell r="E13">
            <v>12.555555555555555</v>
          </cell>
        </row>
        <row r="14">
          <cell r="C14">
            <v>189</v>
          </cell>
        </row>
        <row r="15">
          <cell r="C15">
            <v>166</v>
          </cell>
        </row>
        <row r="16">
          <cell r="C16">
            <v>169</v>
          </cell>
        </row>
        <row r="17">
          <cell r="C17">
            <v>180</v>
          </cell>
        </row>
        <row r="18">
          <cell r="C18">
            <v>171</v>
          </cell>
        </row>
        <row r="19">
          <cell r="C19">
            <v>213</v>
          </cell>
        </row>
        <row r="20">
          <cell r="C20">
            <v>177</v>
          </cell>
        </row>
        <row r="21">
          <cell r="C21">
            <v>169</v>
          </cell>
        </row>
        <row r="22">
          <cell r="C22">
            <v>176</v>
          </cell>
        </row>
        <row r="23">
          <cell r="C23">
            <v>152</v>
          </cell>
        </row>
        <row r="24">
          <cell r="C24">
            <v>170</v>
          </cell>
        </row>
        <row r="25">
          <cell r="C25">
            <v>175</v>
          </cell>
        </row>
        <row r="26">
          <cell r="C26">
            <v>178</v>
          </cell>
        </row>
        <row r="27">
          <cell r="C27">
            <v>156</v>
          </cell>
        </row>
        <row r="28">
          <cell r="C28">
            <v>214</v>
          </cell>
        </row>
        <row r="29">
          <cell r="C29">
            <v>179</v>
          </cell>
        </row>
        <row r="30">
          <cell r="C30">
            <v>185</v>
          </cell>
        </row>
        <row r="31">
          <cell r="C31">
            <v>194</v>
          </cell>
        </row>
        <row r="32">
          <cell r="C32">
            <v>171</v>
          </cell>
        </row>
        <row r="33">
          <cell r="C33">
            <v>189</v>
          </cell>
        </row>
        <row r="34">
          <cell r="C34">
            <v>149</v>
          </cell>
        </row>
        <row r="35">
          <cell r="C35">
            <v>161</v>
          </cell>
        </row>
        <row r="36">
          <cell r="C36">
            <v>187</v>
          </cell>
        </row>
        <row r="37">
          <cell r="C37">
            <v>172</v>
          </cell>
        </row>
        <row r="38">
          <cell r="C38">
            <v>184</v>
          </cell>
        </row>
        <row r="39">
          <cell r="C39">
            <v>200</v>
          </cell>
        </row>
        <row r="40">
          <cell r="C40">
            <v>176</v>
          </cell>
        </row>
        <row r="41">
          <cell r="C41">
            <v>190</v>
          </cell>
        </row>
      </sheetData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gordin" refreshedDate="44635.540009027776" createdVersion="7" refreshedVersion="7" minRefreshableVersion="3" recordCount="575" xr:uid="{C51EF4BE-35A5-41C8-9671-25FC620DBCFE}">
  <cacheSource type="worksheet">
    <worksheetSource ref="C1:C576" sheet="Arkusz1"/>
  </cacheSource>
  <cacheFields count="1">
    <cacheField name="Wzrost" numFmtId="0">
      <sharedItems containsSemiMixedTypes="0" containsString="0" containsNumber="1" containsInteger="1" minValue="148" maxValue="217" count="59">
        <n v="171"/>
        <n v="180"/>
        <n v="197"/>
        <n v="187"/>
        <n v="178"/>
        <n v="166"/>
        <n v="190"/>
        <n v="183"/>
        <n v="170"/>
        <n v="148"/>
        <n v="168"/>
        <n v="186"/>
        <n v="175"/>
        <n v="154"/>
        <n v="189"/>
        <n v="191"/>
        <n v="174"/>
        <n v="173"/>
        <n v="201"/>
        <n v="188"/>
        <n v="185"/>
        <n v="172"/>
        <n v="184"/>
        <n v="176"/>
        <n v="195"/>
        <n v="192"/>
        <n v="179"/>
        <n v="162"/>
        <n v="181"/>
        <n v="194"/>
        <n v="177"/>
        <n v="158"/>
        <n v="164"/>
        <n v="167"/>
        <n v="169"/>
        <n v="165"/>
        <n v="182"/>
        <n v="161"/>
        <n v="205"/>
        <n v="196"/>
        <n v="193"/>
        <n v="160"/>
        <n v="203"/>
        <n v="217"/>
        <n v="209"/>
        <n v="202"/>
        <n v="198"/>
        <n v="163"/>
        <n v="207"/>
        <n v="149"/>
        <n v="157"/>
        <n v="159"/>
        <n v="153"/>
        <n v="199"/>
        <n v="200"/>
        <n v="208"/>
        <n v="155"/>
        <n v="206"/>
        <n v="204"/>
      </sharedItems>
      <fieldGroup base="0">
        <rangePr autoStart="0" autoEnd="0" startNum="139.375" endNum="217" groupInterval="17.25"/>
        <groupItems count="7">
          <s v="&lt;139,375"/>
          <s v="139,375-156,625"/>
          <s v="156,625-173,875"/>
          <s v="173,875-191,125"/>
          <s v="191,125-208,375"/>
          <s v="208,375-225,625"/>
          <s v="&gt;225,6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5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4"/>
  </r>
  <r>
    <x v="8"/>
  </r>
  <r>
    <x v="11"/>
  </r>
  <r>
    <x v="12"/>
  </r>
  <r>
    <x v="13"/>
  </r>
  <r>
    <x v="14"/>
  </r>
  <r>
    <x v="15"/>
  </r>
  <r>
    <x v="1"/>
  </r>
  <r>
    <x v="16"/>
  </r>
  <r>
    <x v="1"/>
  </r>
  <r>
    <x v="17"/>
  </r>
  <r>
    <x v="0"/>
  </r>
  <r>
    <x v="18"/>
  </r>
  <r>
    <x v="6"/>
  </r>
  <r>
    <x v="19"/>
  </r>
  <r>
    <x v="20"/>
  </r>
  <r>
    <x v="21"/>
  </r>
  <r>
    <x v="12"/>
  </r>
  <r>
    <x v="22"/>
  </r>
  <r>
    <x v="0"/>
  </r>
  <r>
    <x v="23"/>
  </r>
  <r>
    <x v="24"/>
  </r>
  <r>
    <x v="25"/>
  </r>
  <r>
    <x v="16"/>
  </r>
  <r>
    <x v="26"/>
  </r>
  <r>
    <x v="12"/>
  </r>
  <r>
    <x v="19"/>
  </r>
  <r>
    <x v="22"/>
  </r>
  <r>
    <x v="27"/>
  </r>
  <r>
    <x v="16"/>
  </r>
  <r>
    <x v="11"/>
  </r>
  <r>
    <x v="7"/>
  </r>
  <r>
    <x v="28"/>
  </r>
  <r>
    <x v="22"/>
  </r>
  <r>
    <x v="29"/>
  </r>
  <r>
    <x v="30"/>
  </r>
  <r>
    <x v="26"/>
  </r>
  <r>
    <x v="2"/>
  </r>
  <r>
    <x v="3"/>
  </r>
  <r>
    <x v="28"/>
  </r>
  <r>
    <x v="20"/>
  </r>
  <r>
    <x v="21"/>
  </r>
  <r>
    <x v="3"/>
  </r>
  <r>
    <x v="19"/>
  </r>
  <r>
    <x v="11"/>
  </r>
  <r>
    <x v="27"/>
  </r>
  <r>
    <x v="19"/>
  </r>
  <r>
    <x v="4"/>
  </r>
  <r>
    <x v="7"/>
  </r>
  <r>
    <x v="31"/>
  </r>
  <r>
    <x v="32"/>
  </r>
  <r>
    <x v="33"/>
  </r>
  <r>
    <x v="26"/>
  </r>
  <r>
    <x v="3"/>
  </r>
  <r>
    <x v="12"/>
  </r>
  <r>
    <x v="21"/>
  </r>
  <r>
    <x v="17"/>
  </r>
  <r>
    <x v="0"/>
  </r>
  <r>
    <x v="8"/>
  </r>
  <r>
    <x v="12"/>
  </r>
  <r>
    <x v="33"/>
  </r>
  <r>
    <x v="29"/>
  </r>
  <r>
    <x v="34"/>
  </r>
  <r>
    <x v="28"/>
  </r>
  <r>
    <x v="30"/>
  </r>
  <r>
    <x v="16"/>
  </r>
  <r>
    <x v="35"/>
  </r>
  <r>
    <x v="8"/>
  </r>
  <r>
    <x v="4"/>
  </r>
  <r>
    <x v="29"/>
  </r>
  <r>
    <x v="23"/>
  </r>
  <r>
    <x v="10"/>
  </r>
  <r>
    <x v="26"/>
  </r>
  <r>
    <x v="6"/>
  </r>
  <r>
    <x v="36"/>
  </r>
  <r>
    <x v="25"/>
  </r>
  <r>
    <x v="11"/>
  </r>
  <r>
    <x v="21"/>
  </r>
  <r>
    <x v="3"/>
  </r>
  <r>
    <x v="2"/>
  </r>
  <r>
    <x v="34"/>
  </r>
  <r>
    <x v="0"/>
  </r>
  <r>
    <x v="16"/>
  </r>
  <r>
    <x v="37"/>
  </r>
  <r>
    <x v="26"/>
  </r>
  <r>
    <x v="29"/>
  </r>
  <r>
    <x v="20"/>
  </r>
  <r>
    <x v="24"/>
  </r>
  <r>
    <x v="3"/>
  </r>
  <r>
    <x v="38"/>
  </r>
  <r>
    <x v="30"/>
  </r>
  <r>
    <x v="39"/>
  </r>
  <r>
    <x v="31"/>
  </r>
  <r>
    <x v="17"/>
  </r>
  <r>
    <x v="25"/>
  </r>
  <r>
    <x v="36"/>
  </r>
  <r>
    <x v="40"/>
  </r>
  <r>
    <x v="36"/>
  </r>
  <r>
    <x v="14"/>
  </r>
  <r>
    <x v="2"/>
  </r>
  <r>
    <x v="19"/>
  </r>
  <r>
    <x v="20"/>
  </r>
  <r>
    <x v="34"/>
  </r>
  <r>
    <x v="26"/>
  </r>
  <r>
    <x v="33"/>
  </r>
  <r>
    <x v="14"/>
  </r>
  <r>
    <x v="2"/>
  </r>
  <r>
    <x v="10"/>
  </r>
  <r>
    <x v="0"/>
  </r>
  <r>
    <x v="22"/>
  </r>
  <r>
    <x v="5"/>
  </r>
  <r>
    <x v="3"/>
  </r>
  <r>
    <x v="4"/>
  </r>
  <r>
    <x v="20"/>
  </r>
  <r>
    <x v="3"/>
  </r>
  <r>
    <x v="17"/>
  </r>
  <r>
    <x v="4"/>
  </r>
  <r>
    <x v="35"/>
  </r>
  <r>
    <x v="10"/>
  </r>
  <r>
    <x v="36"/>
  </r>
  <r>
    <x v="1"/>
  </r>
  <r>
    <x v="16"/>
  </r>
  <r>
    <x v="17"/>
  </r>
  <r>
    <x v="5"/>
  </r>
  <r>
    <x v="14"/>
  </r>
  <r>
    <x v="40"/>
  </r>
  <r>
    <x v="26"/>
  </r>
  <r>
    <x v="4"/>
  </r>
  <r>
    <x v="28"/>
  </r>
  <r>
    <x v="30"/>
  </r>
  <r>
    <x v="36"/>
  </r>
  <r>
    <x v="23"/>
  </r>
  <r>
    <x v="0"/>
  </r>
  <r>
    <x v="15"/>
  </r>
  <r>
    <x v="7"/>
  </r>
  <r>
    <x v="37"/>
  </r>
  <r>
    <x v="14"/>
  </r>
  <r>
    <x v="20"/>
  </r>
  <r>
    <x v="25"/>
  </r>
  <r>
    <x v="28"/>
  </r>
  <r>
    <x v="10"/>
  </r>
  <r>
    <x v="28"/>
  </r>
  <r>
    <x v="41"/>
  </r>
  <r>
    <x v="34"/>
  </r>
  <r>
    <x v="18"/>
  </r>
  <r>
    <x v="14"/>
  </r>
  <r>
    <x v="17"/>
  </r>
  <r>
    <x v="17"/>
  </r>
  <r>
    <x v="39"/>
  </r>
  <r>
    <x v="6"/>
  </r>
  <r>
    <x v="19"/>
  </r>
  <r>
    <x v="40"/>
  </r>
  <r>
    <x v="39"/>
  </r>
  <r>
    <x v="11"/>
  </r>
  <r>
    <x v="42"/>
  </r>
  <r>
    <x v="10"/>
  </r>
  <r>
    <x v="28"/>
  </r>
  <r>
    <x v="10"/>
  </r>
  <r>
    <x v="8"/>
  </r>
  <r>
    <x v="16"/>
  </r>
  <r>
    <x v="3"/>
  </r>
  <r>
    <x v="32"/>
  </r>
  <r>
    <x v="43"/>
  </r>
  <r>
    <x v="16"/>
  </r>
  <r>
    <x v="34"/>
  </r>
  <r>
    <x v="21"/>
  </r>
  <r>
    <x v="0"/>
  </r>
  <r>
    <x v="17"/>
  </r>
  <r>
    <x v="28"/>
  </r>
  <r>
    <x v="8"/>
  </r>
  <r>
    <x v="40"/>
  </r>
  <r>
    <x v="10"/>
  </r>
  <r>
    <x v="36"/>
  </r>
  <r>
    <x v="44"/>
  </r>
  <r>
    <x v="25"/>
  </r>
  <r>
    <x v="7"/>
  </r>
  <r>
    <x v="40"/>
  </r>
  <r>
    <x v="26"/>
  </r>
  <r>
    <x v="3"/>
  </r>
  <r>
    <x v="45"/>
  </r>
  <r>
    <x v="17"/>
  </r>
  <r>
    <x v="10"/>
  </r>
  <r>
    <x v="22"/>
  </r>
  <r>
    <x v="11"/>
  </r>
  <r>
    <x v="46"/>
  </r>
  <r>
    <x v="22"/>
  </r>
  <r>
    <x v="47"/>
  </r>
  <r>
    <x v="11"/>
  </r>
  <r>
    <x v="23"/>
  </r>
  <r>
    <x v="5"/>
  </r>
  <r>
    <x v="21"/>
  </r>
  <r>
    <x v="0"/>
  </r>
  <r>
    <x v="23"/>
  </r>
  <r>
    <x v="4"/>
  </r>
  <r>
    <x v="27"/>
  </r>
  <r>
    <x v="26"/>
  </r>
  <r>
    <x v="2"/>
  </r>
  <r>
    <x v="40"/>
  </r>
  <r>
    <x v="14"/>
  </r>
  <r>
    <x v="1"/>
  </r>
  <r>
    <x v="48"/>
  </r>
  <r>
    <x v="4"/>
  </r>
  <r>
    <x v="26"/>
  </r>
  <r>
    <x v="19"/>
  </r>
  <r>
    <x v="10"/>
  </r>
  <r>
    <x v="41"/>
  </r>
  <r>
    <x v="27"/>
  </r>
  <r>
    <x v="47"/>
  </r>
  <r>
    <x v="8"/>
  </r>
  <r>
    <x v="29"/>
  </r>
  <r>
    <x v="0"/>
  </r>
  <r>
    <x v="17"/>
  </r>
  <r>
    <x v="7"/>
  </r>
  <r>
    <x v="49"/>
  </r>
  <r>
    <x v="10"/>
  </r>
  <r>
    <x v="30"/>
  </r>
  <r>
    <x v="6"/>
  </r>
  <r>
    <x v="50"/>
  </r>
  <r>
    <x v="28"/>
  </r>
  <r>
    <x v="27"/>
  </r>
  <r>
    <x v="22"/>
  </r>
  <r>
    <x v="15"/>
  </r>
  <r>
    <x v="33"/>
  </r>
  <r>
    <x v="27"/>
  </r>
  <r>
    <x v="1"/>
  </r>
  <r>
    <x v="21"/>
  </r>
  <r>
    <x v="23"/>
  </r>
  <r>
    <x v="45"/>
  </r>
  <r>
    <x v="7"/>
  </r>
  <r>
    <x v="12"/>
  </r>
  <r>
    <x v="1"/>
  </r>
  <r>
    <x v="7"/>
  </r>
  <r>
    <x v="4"/>
  </r>
  <r>
    <x v="26"/>
  </r>
  <r>
    <x v="4"/>
  </r>
  <r>
    <x v="1"/>
  </r>
  <r>
    <x v="11"/>
  </r>
  <r>
    <x v="12"/>
  </r>
  <r>
    <x v="45"/>
  </r>
  <r>
    <x v="35"/>
  </r>
  <r>
    <x v="46"/>
  </r>
  <r>
    <x v="20"/>
  </r>
  <r>
    <x v="34"/>
  </r>
  <r>
    <x v="0"/>
  </r>
  <r>
    <x v="29"/>
  </r>
  <r>
    <x v="25"/>
  </r>
  <r>
    <x v="0"/>
  </r>
  <r>
    <x v="20"/>
  </r>
  <r>
    <x v="17"/>
  </r>
  <r>
    <x v="1"/>
  </r>
  <r>
    <x v="26"/>
  </r>
  <r>
    <x v="3"/>
  </r>
  <r>
    <x v="31"/>
  </r>
  <r>
    <x v="40"/>
  </r>
  <r>
    <x v="42"/>
  </r>
  <r>
    <x v="0"/>
  </r>
  <r>
    <x v="48"/>
  </r>
  <r>
    <x v="39"/>
  </r>
  <r>
    <x v="12"/>
  </r>
  <r>
    <x v="51"/>
  </r>
  <r>
    <x v="8"/>
  </r>
  <r>
    <x v="22"/>
  </r>
  <r>
    <x v="11"/>
  </r>
  <r>
    <x v="15"/>
  </r>
  <r>
    <x v="45"/>
  </r>
  <r>
    <x v="6"/>
  </r>
  <r>
    <x v="4"/>
  </r>
  <r>
    <x v="12"/>
  </r>
  <r>
    <x v="37"/>
  </r>
  <r>
    <x v="10"/>
  </r>
  <r>
    <x v="30"/>
  </r>
  <r>
    <x v="11"/>
  </r>
  <r>
    <x v="11"/>
  </r>
  <r>
    <x v="33"/>
  </r>
  <r>
    <x v="19"/>
  </r>
  <r>
    <x v="6"/>
  </r>
  <r>
    <x v="7"/>
  </r>
  <r>
    <x v="0"/>
  </r>
  <r>
    <x v="19"/>
  </r>
  <r>
    <x v="16"/>
  </r>
  <r>
    <x v="17"/>
  </r>
  <r>
    <x v="7"/>
  </r>
  <r>
    <x v="32"/>
  </r>
  <r>
    <x v="0"/>
  </r>
  <r>
    <x v="36"/>
  </r>
  <r>
    <x v="11"/>
  </r>
  <r>
    <x v="41"/>
  </r>
  <r>
    <x v="7"/>
  </r>
  <r>
    <x v="24"/>
  </r>
  <r>
    <x v="15"/>
  </r>
  <r>
    <x v="30"/>
  </r>
  <r>
    <x v="24"/>
  </r>
  <r>
    <x v="19"/>
  </r>
  <r>
    <x v="31"/>
  </r>
  <r>
    <x v="44"/>
  </r>
  <r>
    <x v="52"/>
  </r>
  <r>
    <x v="15"/>
  </r>
  <r>
    <x v="29"/>
  </r>
  <r>
    <x v="8"/>
  </r>
  <r>
    <x v="20"/>
  </r>
  <r>
    <x v="21"/>
  </r>
  <r>
    <x v="0"/>
  </r>
  <r>
    <x v="22"/>
  </r>
  <r>
    <x v="7"/>
  </r>
  <r>
    <x v="12"/>
  </r>
  <r>
    <x v="17"/>
  </r>
  <r>
    <x v="53"/>
  </r>
  <r>
    <x v="16"/>
  </r>
  <r>
    <x v="6"/>
  </r>
  <r>
    <x v="15"/>
  </r>
  <r>
    <x v="2"/>
  </r>
  <r>
    <x v="5"/>
  </r>
  <r>
    <x v="36"/>
  </r>
  <r>
    <x v="3"/>
  </r>
  <r>
    <x v="2"/>
  </r>
  <r>
    <x v="17"/>
  </r>
  <r>
    <x v="6"/>
  </r>
  <r>
    <x v="4"/>
  </r>
  <r>
    <x v="11"/>
  </r>
  <r>
    <x v="2"/>
  </r>
  <r>
    <x v="3"/>
  </r>
  <r>
    <x v="34"/>
  </r>
  <r>
    <x v="16"/>
  </r>
  <r>
    <x v="19"/>
  </r>
  <r>
    <x v="25"/>
  </r>
  <r>
    <x v="15"/>
  </r>
  <r>
    <x v="24"/>
  </r>
  <r>
    <x v="23"/>
  </r>
  <r>
    <x v="9"/>
  </r>
  <r>
    <x v="3"/>
  </r>
  <r>
    <x v="10"/>
  </r>
  <r>
    <x v="18"/>
  </r>
  <r>
    <x v="16"/>
  </r>
  <r>
    <x v="10"/>
  </r>
  <r>
    <x v="21"/>
  </r>
  <r>
    <x v="37"/>
  </r>
  <r>
    <x v="3"/>
  </r>
  <r>
    <x v="17"/>
  </r>
  <r>
    <x v="37"/>
  </r>
  <r>
    <x v="26"/>
  </r>
  <r>
    <x v="17"/>
  </r>
  <r>
    <x v="0"/>
  </r>
  <r>
    <x v="7"/>
  </r>
  <r>
    <x v="19"/>
  </r>
  <r>
    <x v="36"/>
  </r>
  <r>
    <x v="36"/>
  </r>
  <r>
    <x v="17"/>
  </r>
  <r>
    <x v="0"/>
  </r>
  <r>
    <x v="15"/>
  </r>
  <r>
    <x v="11"/>
  </r>
  <r>
    <x v="7"/>
  </r>
  <r>
    <x v="16"/>
  </r>
  <r>
    <x v="7"/>
  </r>
  <r>
    <x v="32"/>
  </r>
  <r>
    <x v="1"/>
  </r>
  <r>
    <x v="29"/>
  </r>
  <r>
    <x v="37"/>
  </r>
  <r>
    <x v="47"/>
  </r>
  <r>
    <x v="22"/>
  </r>
  <r>
    <x v="0"/>
  </r>
  <r>
    <x v="6"/>
  </r>
  <r>
    <x v="15"/>
  </r>
  <r>
    <x v="22"/>
  </r>
  <r>
    <x v="30"/>
  </r>
  <r>
    <x v="26"/>
  </r>
  <r>
    <x v="30"/>
  </r>
  <r>
    <x v="16"/>
  </r>
  <r>
    <x v="7"/>
  </r>
  <r>
    <x v="26"/>
  </r>
  <r>
    <x v="37"/>
  </r>
  <r>
    <x v="29"/>
  </r>
  <r>
    <x v="7"/>
  </r>
  <r>
    <x v="15"/>
  </r>
  <r>
    <x v="30"/>
  </r>
  <r>
    <x v="12"/>
  </r>
  <r>
    <x v="39"/>
  </r>
  <r>
    <x v="8"/>
  </r>
  <r>
    <x v="20"/>
  </r>
  <r>
    <x v="2"/>
  </r>
  <r>
    <x v="21"/>
  </r>
  <r>
    <x v="54"/>
  </r>
  <r>
    <x v="22"/>
  </r>
  <r>
    <x v="23"/>
  </r>
  <r>
    <x v="26"/>
  </r>
  <r>
    <x v="19"/>
  </r>
  <r>
    <x v="40"/>
  </r>
  <r>
    <x v="5"/>
  </r>
  <r>
    <x v="55"/>
  </r>
  <r>
    <x v="1"/>
  </r>
  <r>
    <x v="16"/>
  </r>
  <r>
    <x v="34"/>
  </r>
  <r>
    <x v="30"/>
  </r>
  <r>
    <x v="34"/>
  </r>
  <r>
    <x v="30"/>
  </r>
  <r>
    <x v="54"/>
  </r>
  <r>
    <x v="34"/>
  </r>
  <r>
    <x v="36"/>
  </r>
  <r>
    <x v="14"/>
  </r>
  <r>
    <x v="7"/>
  </r>
  <r>
    <x v="28"/>
  </r>
  <r>
    <x v="36"/>
  </r>
  <r>
    <x v="34"/>
  </r>
  <r>
    <x v="41"/>
  </r>
  <r>
    <x v="4"/>
  </r>
  <r>
    <x v="17"/>
  </r>
  <r>
    <x v="22"/>
  </r>
  <r>
    <x v="35"/>
  </r>
  <r>
    <x v="1"/>
  </r>
  <r>
    <x v="28"/>
  </r>
  <r>
    <x v="0"/>
  </r>
  <r>
    <x v="31"/>
  </r>
  <r>
    <x v="4"/>
  </r>
  <r>
    <x v="47"/>
  </r>
  <r>
    <x v="23"/>
  </r>
  <r>
    <x v="30"/>
  </r>
  <r>
    <x v="7"/>
  </r>
  <r>
    <x v="11"/>
  </r>
  <r>
    <x v="12"/>
  </r>
  <r>
    <x v="45"/>
  </r>
  <r>
    <x v="52"/>
  </r>
  <r>
    <x v="0"/>
  </r>
  <r>
    <x v="36"/>
  </r>
  <r>
    <x v="11"/>
  </r>
  <r>
    <x v="33"/>
  </r>
  <r>
    <x v="35"/>
  </r>
  <r>
    <x v="31"/>
  </r>
  <r>
    <x v="7"/>
  </r>
  <r>
    <x v="47"/>
  </r>
  <r>
    <x v="23"/>
  </r>
  <r>
    <x v="4"/>
  </r>
  <r>
    <x v="22"/>
  </r>
  <r>
    <x v="36"/>
  </r>
  <r>
    <x v="23"/>
  </r>
  <r>
    <x v="54"/>
  </r>
  <r>
    <x v="16"/>
  </r>
  <r>
    <x v="20"/>
  </r>
  <r>
    <x v="2"/>
  </r>
  <r>
    <x v="36"/>
  </r>
  <r>
    <x v="22"/>
  </r>
  <r>
    <x v="19"/>
  </r>
  <r>
    <x v="12"/>
  </r>
  <r>
    <x v="16"/>
  </r>
  <r>
    <x v="56"/>
  </r>
  <r>
    <x v="21"/>
  </r>
  <r>
    <x v="4"/>
  </r>
  <r>
    <x v="33"/>
  </r>
  <r>
    <x v="16"/>
  </r>
  <r>
    <x v="0"/>
  </r>
  <r>
    <x v="47"/>
  </r>
  <r>
    <x v="10"/>
  </r>
  <r>
    <x v="14"/>
  </r>
  <r>
    <x v="57"/>
  </r>
  <r>
    <x v="33"/>
  </r>
  <r>
    <x v="45"/>
  </r>
  <r>
    <x v="16"/>
  </r>
  <r>
    <x v="25"/>
  </r>
  <r>
    <x v="21"/>
  </r>
  <r>
    <x v="29"/>
  </r>
  <r>
    <x v="19"/>
  </r>
  <r>
    <x v="23"/>
  </r>
  <r>
    <x v="4"/>
  </r>
  <r>
    <x v="10"/>
  </r>
  <r>
    <x v="33"/>
  </r>
  <r>
    <x v="40"/>
  </r>
  <r>
    <x v="16"/>
  </r>
  <r>
    <x v="27"/>
  </r>
  <r>
    <x v="53"/>
  </r>
  <r>
    <x v="6"/>
  </r>
  <r>
    <x v="47"/>
  </r>
  <r>
    <x v="3"/>
  </r>
  <r>
    <x v="1"/>
  </r>
  <r>
    <x v="19"/>
  </r>
  <r>
    <x v="23"/>
  </r>
  <r>
    <x v="58"/>
  </r>
  <r>
    <x v="51"/>
  </r>
  <r>
    <x v="14"/>
  </r>
  <r>
    <x v="50"/>
  </r>
  <r>
    <x v="0"/>
  </r>
  <r>
    <x v="54"/>
  </r>
  <r>
    <x v="11"/>
  </r>
  <r>
    <x v="0"/>
  </r>
  <r>
    <x v="37"/>
  </r>
  <r>
    <x v="19"/>
  </r>
  <r>
    <x v="26"/>
  </r>
  <r>
    <x v="24"/>
  </r>
  <r>
    <x v="35"/>
  </r>
  <r>
    <x v="12"/>
  </r>
  <r>
    <x v="34"/>
  </r>
  <r>
    <x v="22"/>
  </r>
  <r>
    <x v="28"/>
  </r>
  <r>
    <x v="18"/>
  </r>
  <r>
    <x v="28"/>
  </r>
  <r>
    <x v="10"/>
  </r>
  <r>
    <x v="8"/>
  </r>
  <r>
    <x v="16"/>
  </r>
  <r>
    <x v="47"/>
  </r>
  <r>
    <x v="53"/>
  </r>
  <r>
    <x v="29"/>
  </r>
  <r>
    <x v="45"/>
  </r>
  <r>
    <x v="20"/>
  </r>
  <r>
    <x v="26"/>
  </r>
  <r>
    <x v="12"/>
  </r>
  <r>
    <x v="30"/>
  </r>
  <r>
    <x v="12"/>
  </r>
  <r>
    <x v="17"/>
  </r>
  <r>
    <x v="19"/>
  </r>
  <r>
    <x v="21"/>
  </r>
  <r>
    <x v="26"/>
  </r>
  <r>
    <x v="20"/>
  </r>
  <r>
    <x v="6"/>
  </r>
  <r>
    <x v="23"/>
  </r>
  <r>
    <x v="36"/>
  </r>
  <r>
    <x v="17"/>
  </r>
  <r>
    <x v="20"/>
  </r>
  <r>
    <x v="0"/>
  </r>
  <r>
    <x v="11"/>
  </r>
  <r>
    <x v="22"/>
  </r>
  <r>
    <x v="14"/>
  </r>
  <r>
    <x v="20"/>
  </r>
  <r>
    <x v="41"/>
  </r>
  <r>
    <x v="4"/>
  </r>
  <r>
    <x v="28"/>
  </r>
  <r>
    <x v="34"/>
  </r>
  <r>
    <x v="35"/>
  </r>
  <r>
    <x v="7"/>
  </r>
  <r>
    <x v="36"/>
  </r>
  <r>
    <x v="30"/>
  </r>
  <r>
    <x v="11"/>
  </r>
  <r>
    <x v="17"/>
  </r>
  <r>
    <x v="14"/>
  </r>
  <r>
    <x v="22"/>
  </r>
  <r>
    <x v="19"/>
  </r>
  <r>
    <x v="11"/>
  </r>
  <r>
    <x v="22"/>
  </r>
  <r>
    <x v="40"/>
  </r>
  <r>
    <x v="30"/>
  </r>
  <r>
    <x v="15"/>
  </r>
  <r>
    <x v="3"/>
  </r>
  <r>
    <x v="12"/>
  </r>
  <r>
    <x v="23"/>
  </r>
  <r>
    <x v="22"/>
  </r>
  <r>
    <x v="8"/>
  </r>
  <r>
    <x v="22"/>
  </r>
  <r>
    <x v="40"/>
  </r>
  <r>
    <x v="16"/>
  </r>
  <r>
    <x v="25"/>
  </r>
  <r>
    <x v="1"/>
  </r>
  <r>
    <x v="21"/>
  </r>
  <r>
    <x v="35"/>
  </r>
  <r>
    <x v="22"/>
  </r>
  <r>
    <x v="16"/>
  </r>
  <r>
    <x v="10"/>
  </r>
  <r>
    <x v="11"/>
  </r>
  <r>
    <x v="17"/>
  </r>
  <r>
    <x v="39"/>
  </r>
  <r>
    <x v="4"/>
  </r>
  <r>
    <x v="51"/>
  </r>
  <r>
    <x v="17"/>
  </r>
  <r>
    <x v="36"/>
  </r>
  <r>
    <x v="53"/>
  </r>
  <r>
    <x v="5"/>
  </r>
  <r>
    <x v="21"/>
  </r>
  <r>
    <x v="7"/>
  </r>
  <r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41CEA0-A960-4FE9-BA1A-DCF15497D862}" name="Tabela przestawna1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3:B9" firstHeaderRow="1" firstDataRow="1" firstDataCol="1"/>
  <pivotFields count="1">
    <pivotField axis="axisRow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Liczba z Wzros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030B-A593-469D-BC81-D4D0B7E75BF9}">
  <sheetPr codeName="Arkusz6"/>
  <dimension ref="A1:X576"/>
  <sheetViews>
    <sheetView topLeftCell="F1" workbookViewId="0">
      <selection activeCell="L17" sqref="L17"/>
    </sheetView>
  </sheetViews>
  <sheetFormatPr defaultRowHeight="14.4" x14ac:dyDescent="0.3"/>
  <cols>
    <col min="7" max="7" width="13.5546875" bestFit="1" customWidth="1"/>
    <col min="8" max="8" width="9.109375" bestFit="1" customWidth="1"/>
    <col min="13" max="13" width="31.33203125" bestFit="1" customWidth="1"/>
    <col min="19" max="19" width="12.88671875" bestFit="1" customWidth="1"/>
  </cols>
  <sheetData>
    <row r="1" spans="1:24" x14ac:dyDescent="0.3">
      <c r="A1" t="s">
        <v>0</v>
      </c>
      <c r="B1" t="s">
        <v>1</v>
      </c>
      <c r="C1" t="s">
        <v>7</v>
      </c>
      <c r="D1" t="s">
        <v>55</v>
      </c>
      <c r="E1" t="s">
        <v>56</v>
      </c>
      <c r="G1" t="s">
        <v>2</v>
      </c>
      <c r="H1">
        <v>180</v>
      </c>
      <c r="J1" t="s">
        <v>43</v>
      </c>
      <c r="K1" t="s">
        <v>15</v>
      </c>
      <c r="L1" t="s">
        <v>16</v>
      </c>
      <c r="M1" t="s">
        <v>49</v>
      </c>
      <c r="N1" t="s">
        <v>48</v>
      </c>
      <c r="O1" t="s">
        <v>50</v>
      </c>
      <c r="Q1" t="s">
        <v>58</v>
      </c>
      <c r="S1" t="s">
        <v>57</v>
      </c>
      <c r="U1" t="s">
        <v>26</v>
      </c>
      <c r="W1" t="s">
        <v>59</v>
      </c>
    </row>
    <row r="2" spans="1:24" x14ac:dyDescent="0.3">
      <c r="A2" cm="1">
        <f t="array" ref="A2">Losuj()</f>
        <v>0.38668173551559448</v>
      </c>
      <c r="B2">
        <f t="shared" ref="B2:B65" si="0">_xlfn.NORM.INV(A2,_mu,_sigma)</f>
        <v>176.54426230597539</v>
      </c>
      <c r="C2">
        <f>INT(B2+1/2)</f>
        <v>177</v>
      </c>
      <c r="D2" cm="1">
        <f t="array" ref="D2">Losuj()</f>
        <v>0.71105676889419556</v>
      </c>
      <c r="E2">
        <f>C2+D2</f>
        <v>177.7110567688942</v>
      </c>
      <c r="G2" t="s">
        <v>3</v>
      </c>
      <c r="H2">
        <v>12</v>
      </c>
      <c r="J2">
        <v>1</v>
      </c>
      <c r="K2">
        <f>H16-1</f>
        <v>147</v>
      </c>
      <c r="L2">
        <f t="shared" ref="L2:L31" si="1">IF(J2&lt;__k,NORMINV(J2/__k,$H$1,$H$2),$H$17+1)</f>
        <v>157.99302437020901</v>
      </c>
      <c r="M2">
        <f>COUNTIF(E:E,"&lt;="&amp;L2)-COUNTIF(E:E,"&lt;="&amp;K2)</f>
        <v>8</v>
      </c>
      <c r="N2">
        <f t="shared" ref="N2:N31" si="2">IF(J2&lt;=__k,$H$10/__k,0)</f>
        <v>19.166666666666668</v>
      </c>
      <c r="O2">
        <f t="shared" ref="O2:O31" si="3">IF(J2&lt;=__k,(M2-N2)^2/N2,0)</f>
        <v>6.5057971014492759</v>
      </c>
      <c r="Q2">
        <f>M2/(L2-K2)/$H$14</f>
        <v>1.265624727983418E-3</v>
      </c>
      <c r="S2">
        <v>1</v>
      </c>
      <c r="T2">
        <f>ROUNDUP(S2/3,0)</f>
        <v>1</v>
      </c>
      <c r="U2">
        <f ca="1">OFFSET($K$1,T2,0)</f>
        <v>147</v>
      </c>
      <c r="V2">
        <v>0</v>
      </c>
      <c r="W2">
        <v>147</v>
      </c>
      <c r="X2" t="e" cm="1">
        <f t="array" ref="X2">DNorm(W2)</f>
        <v>#VALUE!</v>
      </c>
    </row>
    <row r="3" spans="1:24" x14ac:dyDescent="0.3">
      <c r="A3" cm="1">
        <f t="array" ref="A3">Losuj()</f>
        <v>0.37614536285400391</v>
      </c>
      <c r="B3">
        <f t="shared" si="0"/>
        <v>176.21255637074287</v>
      </c>
      <c r="C3">
        <f t="shared" ref="C3:C66" si="4">INT(B3+1/2)</f>
        <v>176</v>
      </c>
      <c r="D3" cm="1">
        <f t="array" ref="D3">Losuj()</f>
        <v>0.77913570404052734</v>
      </c>
      <c r="E3">
        <f t="shared" ref="E3:E66" si="5">C3+D3</f>
        <v>176.77913570404053</v>
      </c>
      <c r="J3">
        <v>2</v>
      </c>
      <c r="K3">
        <f>L2</f>
        <v>157.99302437020901</v>
      </c>
      <c r="L3">
        <f t="shared" si="1"/>
        <v>161.98696864747171</v>
      </c>
      <c r="M3">
        <f t="shared" ref="M3:M31" si="6">COUNTIF(E:E,"&lt;="&amp;L3)-COUNTIF(E:E,"&lt;="&amp;K3)</f>
        <v>20</v>
      </c>
      <c r="N3">
        <f t="shared" si="2"/>
        <v>19.166666666666668</v>
      </c>
      <c r="O3">
        <f t="shared" si="3"/>
        <v>3.6231884057970905E-2</v>
      </c>
      <c r="Q3">
        <f t="shared" ref="Q3:Q32" si="7">M3/(L3-K3)/$H$14</f>
        <v>8.7088367490922736E-3</v>
      </c>
      <c r="S3">
        <v>2</v>
      </c>
      <c r="T3">
        <f t="shared" ref="T3:T66" si="8">ROUNDUP(S3/3,0)</f>
        <v>1</v>
      </c>
      <c r="U3">
        <f t="shared" ref="U3:U66" ca="1" si="9">OFFSET($K$1,T3,0)</f>
        <v>147</v>
      </c>
      <c r="V3">
        <v>0</v>
      </c>
      <c r="W3">
        <v>147.25</v>
      </c>
      <c r="X3" t="e" cm="1">
        <f t="array" ref="X3">DNorm(W3)</f>
        <v>#VALUE!</v>
      </c>
    </row>
    <row r="4" spans="1:24" x14ac:dyDescent="0.3">
      <c r="A4" cm="1">
        <f t="array" ref="A4">Losuj()</f>
        <v>0.70682626962661743</v>
      </c>
      <c r="B4">
        <f t="shared" si="0"/>
        <v>186.52963946733794</v>
      </c>
      <c r="C4">
        <f t="shared" si="4"/>
        <v>187</v>
      </c>
      <c r="D4" cm="1">
        <f t="array" ref="D4">Losuj()</f>
        <v>5.7568728923797607E-2</v>
      </c>
      <c r="E4">
        <f t="shared" si="5"/>
        <v>187.0575687289238</v>
      </c>
      <c r="G4" t="s">
        <v>4</v>
      </c>
      <c r="H4">
        <f>AVERAGE(B:B)</f>
        <v>180.10509598373491</v>
      </c>
      <c r="J4">
        <v>3</v>
      </c>
      <c r="K4">
        <f t="shared" ref="K4:K32" si="10">L3</f>
        <v>161.98696864747171</v>
      </c>
      <c r="L4">
        <f t="shared" si="1"/>
        <v>164.62138121346479</v>
      </c>
      <c r="M4">
        <f t="shared" si="6"/>
        <v>20</v>
      </c>
      <c r="N4">
        <f t="shared" si="2"/>
        <v>19.166666666666668</v>
      </c>
      <c r="O4">
        <f t="shared" si="3"/>
        <v>3.6231884057970905E-2</v>
      </c>
      <c r="Q4">
        <f t="shared" si="7"/>
        <v>1.3203174455152376E-2</v>
      </c>
      <c r="S4">
        <v>3</v>
      </c>
      <c r="T4">
        <f t="shared" si="8"/>
        <v>1</v>
      </c>
      <c r="U4">
        <f t="shared" ca="1" si="9"/>
        <v>147</v>
      </c>
      <c r="V4">
        <f ca="1">OFFSET($Q$1,T4,0)</f>
        <v>1.265624727983418E-3</v>
      </c>
      <c r="W4">
        <v>147.5</v>
      </c>
      <c r="X4" t="e" cm="1">
        <f t="array" ref="X4">DNorm(W4)</f>
        <v>#VALUE!</v>
      </c>
    </row>
    <row r="5" spans="1:24" x14ac:dyDescent="0.3">
      <c r="A5" cm="1">
        <f t="array" ref="A5">Losuj()</f>
        <v>0.22730475664138794</v>
      </c>
      <c r="B5">
        <f t="shared" si="0"/>
        <v>171.02697110254513</v>
      </c>
      <c r="C5">
        <f t="shared" si="4"/>
        <v>171</v>
      </c>
      <c r="D5" cm="1">
        <f t="array" ref="D5">Losuj()</f>
        <v>0.97893160581588745</v>
      </c>
      <c r="E5">
        <f t="shared" si="5"/>
        <v>171.97893160581589</v>
      </c>
      <c r="G5" t="s">
        <v>5</v>
      </c>
      <c r="H5">
        <f>_xlfn.STDEV.S(B:B)</f>
        <v>11.300721762415771</v>
      </c>
      <c r="J5">
        <v>4</v>
      </c>
      <c r="K5">
        <f t="shared" si="10"/>
        <v>164.62138121346479</v>
      </c>
      <c r="L5">
        <f t="shared" si="1"/>
        <v>166.67074060035856</v>
      </c>
      <c r="M5">
        <f t="shared" si="6"/>
        <v>13</v>
      </c>
      <c r="N5">
        <f t="shared" si="2"/>
        <v>19.166666666666668</v>
      </c>
      <c r="O5">
        <f t="shared" si="3"/>
        <v>1.9840579710144934</v>
      </c>
      <c r="Q5">
        <f t="shared" si="7"/>
        <v>1.1032079486283807E-2</v>
      </c>
      <c r="S5">
        <v>4</v>
      </c>
      <c r="T5">
        <f t="shared" si="8"/>
        <v>2</v>
      </c>
      <c r="U5">
        <f t="shared" ca="1" si="9"/>
        <v>157.99302437020901</v>
      </c>
      <c r="V5">
        <f ca="1">OFFSET($Q$1,T5-1,0)</f>
        <v>1.265624727983418E-3</v>
      </c>
      <c r="W5">
        <v>147.75</v>
      </c>
      <c r="X5" t="e" cm="1">
        <f t="array" ref="X5">DNorm(W5)</f>
        <v>#VALUE!</v>
      </c>
    </row>
    <row r="6" spans="1:24" x14ac:dyDescent="0.3">
      <c r="A6" cm="1">
        <f t="array" ref="A6">Losuj()</f>
        <v>0.85624879598617554</v>
      </c>
      <c r="B6">
        <f t="shared" si="0"/>
        <v>192.76339949858834</v>
      </c>
      <c r="C6">
        <f t="shared" si="4"/>
        <v>193</v>
      </c>
      <c r="D6" cm="1">
        <f t="array" ref="D6">Losuj()</f>
        <v>0.96060019731521606</v>
      </c>
      <c r="E6">
        <f t="shared" si="5"/>
        <v>193.96060019731522</v>
      </c>
      <c r="G6" t="s">
        <v>6</v>
      </c>
      <c r="H6">
        <f>COUNT(B:B)</f>
        <v>575</v>
      </c>
      <c r="J6">
        <v>5</v>
      </c>
      <c r="K6">
        <f t="shared" si="10"/>
        <v>166.67074060035856</v>
      </c>
      <c r="L6">
        <f t="shared" si="1"/>
        <v>168.39094120677959</v>
      </c>
      <c r="M6">
        <f t="shared" si="6"/>
        <v>12</v>
      </c>
      <c r="N6">
        <f t="shared" si="2"/>
        <v>19.166666666666668</v>
      </c>
      <c r="O6">
        <f t="shared" si="3"/>
        <v>2.6797101449275371</v>
      </c>
      <c r="Q6">
        <f t="shared" si="7"/>
        <v>1.2132053168386883E-2</v>
      </c>
      <c r="S6">
        <v>5</v>
      </c>
      <c r="T6">
        <f t="shared" si="8"/>
        <v>2</v>
      </c>
      <c r="U6">
        <f t="shared" ca="1" si="9"/>
        <v>157.99302437020901</v>
      </c>
      <c r="V6">
        <f>V3</f>
        <v>0</v>
      </c>
      <c r="W6">
        <v>148</v>
      </c>
      <c r="X6" t="e" cm="1">
        <f t="array" ref="X6">DNorm(W6)</f>
        <v>#VALUE!</v>
      </c>
    </row>
    <row r="7" spans="1:24" x14ac:dyDescent="0.3">
      <c r="A7" cm="1">
        <f t="array" ref="A7">Losuj()</f>
        <v>0.23709166049957275</v>
      </c>
      <c r="B7">
        <f t="shared" si="0"/>
        <v>171.41173037743948</v>
      </c>
      <c r="C7">
        <f t="shared" si="4"/>
        <v>171</v>
      </c>
      <c r="D7" cm="1">
        <f t="array" ref="D7">Losuj()</f>
        <v>0.14706802368164063</v>
      </c>
      <c r="E7">
        <f t="shared" si="5"/>
        <v>171.14706802368164</v>
      </c>
      <c r="J7">
        <v>6</v>
      </c>
      <c r="K7">
        <f t="shared" si="10"/>
        <v>168.39094120677959</v>
      </c>
      <c r="L7">
        <f t="shared" si="1"/>
        <v>169.90054519712504</v>
      </c>
      <c r="M7">
        <f t="shared" si="6"/>
        <v>27</v>
      </c>
      <c r="N7">
        <f t="shared" si="2"/>
        <v>19.166666666666668</v>
      </c>
      <c r="O7">
        <f t="shared" si="3"/>
        <v>3.2014492753623176</v>
      </c>
      <c r="Q7">
        <f t="shared" si="7"/>
        <v>3.1105191851264931E-2</v>
      </c>
      <c r="S7">
        <v>6</v>
      </c>
      <c r="T7">
        <f t="shared" si="8"/>
        <v>2</v>
      </c>
      <c r="U7">
        <f t="shared" ca="1" si="9"/>
        <v>157.99302437020901</v>
      </c>
      <c r="V7">
        <f t="shared" ref="V7" ca="1" si="11">OFFSET($Q$1,T7,0)</f>
        <v>8.7088367490922736E-3</v>
      </c>
      <c r="W7">
        <v>148.25</v>
      </c>
      <c r="X7" t="e" cm="1">
        <f t="array" ref="X7">DNorm(W7)</f>
        <v>#VALUE!</v>
      </c>
    </row>
    <row r="8" spans="1:24" x14ac:dyDescent="0.3">
      <c r="A8" cm="1">
        <f t="array" ref="A8">Losuj()</f>
        <v>0.41115415096282959</v>
      </c>
      <c r="B8">
        <f t="shared" si="0"/>
        <v>177.30507511661671</v>
      </c>
      <c r="C8">
        <f t="shared" si="4"/>
        <v>177</v>
      </c>
      <c r="D8" cm="1">
        <f t="array" ref="D8">Losuj()</f>
        <v>0.29105204343795776</v>
      </c>
      <c r="E8">
        <f t="shared" si="5"/>
        <v>177.29105204343796</v>
      </c>
      <c r="G8" t="s">
        <v>4</v>
      </c>
      <c r="H8">
        <f>AVERAGE(C:C)</f>
        <v>180.10086956521738</v>
      </c>
      <c r="J8">
        <v>7</v>
      </c>
      <c r="K8">
        <f t="shared" si="10"/>
        <v>169.90054519712504</v>
      </c>
      <c r="L8">
        <f t="shared" si="1"/>
        <v>171.26504050942026</v>
      </c>
      <c r="M8">
        <f t="shared" si="6"/>
        <v>19</v>
      </c>
      <c r="N8">
        <f t="shared" si="2"/>
        <v>19.166666666666668</v>
      </c>
      <c r="O8">
        <f t="shared" si="3"/>
        <v>1.449275362318861E-3</v>
      </c>
      <c r="Q8">
        <f t="shared" si="7"/>
        <v>2.4216630107205792E-2</v>
      </c>
      <c r="S8">
        <v>7</v>
      </c>
      <c r="T8">
        <f t="shared" si="8"/>
        <v>3</v>
      </c>
      <c r="U8">
        <f t="shared" ca="1" si="9"/>
        <v>161.98696864747171</v>
      </c>
      <c r="V8">
        <f t="shared" ref="V8" ca="1" si="12">OFFSET($Q$1,T8-1,0)</f>
        <v>8.7088367490922736E-3</v>
      </c>
      <c r="W8">
        <v>148.5</v>
      </c>
      <c r="X8" t="e" cm="1">
        <f t="array" ref="X8">DNorm(W8)</f>
        <v>#VALUE!</v>
      </c>
    </row>
    <row r="9" spans="1:24" x14ac:dyDescent="0.3">
      <c r="A9">
        <v>0.59955913913534242</v>
      </c>
      <c r="B9">
        <f t="shared" si="0"/>
        <v>183.02647384592296</v>
      </c>
      <c r="C9">
        <f t="shared" si="4"/>
        <v>183</v>
      </c>
      <c r="D9" cm="1">
        <f t="array" ref="D9">Losuj()</f>
        <v>0.27521193027496338</v>
      </c>
      <c r="E9">
        <f t="shared" si="5"/>
        <v>183.27521193027496</v>
      </c>
      <c r="G9" t="s">
        <v>5</v>
      </c>
      <c r="H9">
        <f>_xlfn.STDEV.S(C:C)</f>
        <v>11.32849307454879</v>
      </c>
      <c r="J9">
        <v>8</v>
      </c>
      <c r="K9">
        <f t="shared" si="10"/>
        <v>171.26504050942026</v>
      </c>
      <c r="L9">
        <f t="shared" si="1"/>
        <v>172.52489132147895</v>
      </c>
      <c r="M9">
        <f t="shared" si="6"/>
        <v>21</v>
      </c>
      <c r="N9">
        <f t="shared" si="2"/>
        <v>19.166666666666668</v>
      </c>
      <c r="O9">
        <f t="shared" si="3"/>
        <v>0.17536231884057946</v>
      </c>
      <c r="Q9">
        <f t="shared" si="7"/>
        <v>2.8988939627506864E-2</v>
      </c>
      <c r="S9">
        <v>8</v>
      </c>
      <c r="T9">
        <f t="shared" si="8"/>
        <v>3</v>
      </c>
      <c r="U9">
        <f t="shared" ca="1" si="9"/>
        <v>161.98696864747171</v>
      </c>
      <c r="V9">
        <f t="shared" ref="V9" si="13">V6</f>
        <v>0</v>
      </c>
      <c r="W9">
        <v>148.75</v>
      </c>
      <c r="X9" t="e" cm="1">
        <f t="array" ref="X9">DNorm(W9)</f>
        <v>#VALUE!</v>
      </c>
    </row>
    <row r="10" spans="1:24" x14ac:dyDescent="0.3">
      <c r="A10">
        <v>0.20925832098822394</v>
      </c>
      <c r="B10">
        <f t="shared" si="0"/>
        <v>170.29203120361876</v>
      </c>
      <c r="C10">
        <f t="shared" si="4"/>
        <v>170</v>
      </c>
      <c r="D10" cm="1">
        <f t="array" ref="D10">Losuj()</f>
        <v>0.32171565294265747</v>
      </c>
      <c r="E10">
        <f t="shared" si="5"/>
        <v>170.32171565294266</v>
      </c>
      <c r="G10" t="s">
        <v>6</v>
      </c>
      <c r="H10">
        <f>COUNT(C:C)</f>
        <v>575</v>
      </c>
      <c r="J10">
        <v>9</v>
      </c>
      <c r="K10">
        <f t="shared" si="10"/>
        <v>172.52489132147895</v>
      </c>
      <c r="L10">
        <f t="shared" si="1"/>
        <v>173.7071938475035</v>
      </c>
      <c r="M10">
        <f t="shared" si="6"/>
        <v>25</v>
      </c>
      <c r="N10">
        <f t="shared" si="2"/>
        <v>19.166666666666668</v>
      </c>
      <c r="O10">
        <f t="shared" si="3"/>
        <v>1.7753623188405789</v>
      </c>
      <c r="Q10">
        <f t="shared" si="7"/>
        <v>3.6774226488172239E-2</v>
      </c>
      <c r="S10">
        <v>9</v>
      </c>
      <c r="T10">
        <f t="shared" si="8"/>
        <v>3</v>
      </c>
      <c r="U10">
        <f t="shared" ca="1" si="9"/>
        <v>161.98696864747171</v>
      </c>
      <c r="V10">
        <f t="shared" ref="V10" ca="1" si="14">OFFSET($Q$1,T10,0)</f>
        <v>1.3203174455152376E-2</v>
      </c>
      <c r="W10">
        <v>149</v>
      </c>
      <c r="X10" t="e" cm="1">
        <f t="array" ref="X10">DNorm(W10)</f>
        <v>#VALUE!</v>
      </c>
    </row>
    <row r="11" spans="1:24" x14ac:dyDescent="0.3">
      <c r="A11">
        <v>4.098708174114285E-3</v>
      </c>
      <c r="B11">
        <f t="shared" si="0"/>
        <v>148.27405724734206</v>
      </c>
      <c r="C11">
        <f t="shared" si="4"/>
        <v>148</v>
      </c>
      <c r="D11" cm="1">
        <f t="array" ref="D11">Losuj()</f>
        <v>0.21946942806243896</v>
      </c>
      <c r="E11">
        <f t="shared" si="5"/>
        <v>148.21946942806244</v>
      </c>
      <c r="J11">
        <v>10</v>
      </c>
      <c r="K11">
        <f t="shared" si="10"/>
        <v>173.7071938475035</v>
      </c>
      <c r="L11">
        <f t="shared" si="1"/>
        <v>174.83127240845451</v>
      </c>
      <c r="M11">
        <f t="shared" si="6"/>
        <v>21</v>
      </c>
      <c r="N11">
        <f t="shared" si="2"/>
        <v>19.166666666666668</v>
      </c>
      <c r="O11">
        <f t="shared" si="3"/>
        <v>0.17536231884057946</v>
      </c>
      <c r="Q11">
        <f t="shared" si="7"/>
        <v>3.2490379586580007E-2</v>
      </c>
      <c r="S11">
        <v>10</v>
      </c>
      <c r="T11">
        <f t="shared" si="8"/>
        <v>4</v>
      </c>
      <c r="U11">
        <f t="shared" ca="1" si="9"/>
        <v>164.62138121346479</v>
      </c>
      <c r="V11">
        <f t="shared" ref="V11" ca="1" si="15">OFFSET($Q$1,T11-1,0)</f>
        <v>1.3203174455152376E-2</v>
      </c>
      <c r="W11">
        <v>149.25</v>
      </c>
      <c r="X11" t="e" cm="1">
        <f t="array" ref="X11">DNorm(W11)</f>
        <v>#VALUE!</v>
      </c>
    </row>
    <row r="12" spans="1:24" x14ac:dyDescent="0.3">
      <c r="A12">
        <v>0.17451158736417027</v>
      </c>
      <c r="B12">
        <f t="shared" si="0"/>
        <v>168.76217166763962</v>
      </c>
      <c r="C12">
        <f t="shared" si="4"/>
        <v>169</v>
      </c>
      <c r="D12" cm="1">
        <f t="array" ref="D12">Losuj()</f>
        <v>0.40203779935836792</v>
      </c>
      <c r="E12">
        <f t="shared" si="5"/>
        <v>169.40203779935837</v>
      </c>
      <c r="G12" t="s">
        <v>4</v>
      </c>
      <c r="H12">
        <f>AVERAGE(E:E)</f>
        <v>180.59177283255951</v>
      </c>
      <c r="J12">
        <v>11</v>
      </c>
      <c r="K12">
        <f t="shared" si="10"/>
        <v>174.83127240845451</v>
      </c>
      <c r="L12">
        <f t="shared" si="1"/>
        <v>175.91166207494646</v>
      </c>
      <c r="M12">
        <f t="shared" si="6"/>
        <v>26</v>
      </c>
      <c r="N12">
        <f t="shared" si="2"/>
        <v>19.166666666666668</v>
      </c>
      <c r="O12">
        <f t="shared" si="3"/>
        <v>2.4362318840579702</v>
      </c>
      <c r="Q12">
        <f t="shared" si="7"/>
        <v>4.1852854305030135E-2</v>
      </c>
      <c r="S12">
        <v>11</v>
      </c>
      <c r="T12">
        <f t="shared" si="8"/>
        <v>4</v>
      </c>
      <c r="U12">
        <f t="shared" ca="1" si="9"/>
        <v>164.62138121346479</v>
      </c>
      <c r="V12">
        <f t="shared" ref="V12" si="16">V9</f>
        <v>0</v>
      </c>
      <c r="W12">
        <v>149.5</v>
      </c>
      <c r="X12" t="e" cm="1">
        <f t="array" ref="X12">DNorm(W12)</f>
        <v>#VALUE!</v>
      </c>
    </row>
    <row r="13" spans="1:24" x14ac:dyDescent="0.3">
      <c r="A13">
        <v>0.44694762915690001</v>
      </c>
      <c r="B13">
        <f t="shared" si="0"/>
        <v>178.39947636561473</v>
      </c>
      <c r="C13">
        <f t="shared" si="4"/>
        <v>178</v>
      </c>
      <c r="D13" cm="1">
        <f t="array" ref="D13">Losuj()</f>
        <v>0.36480104923248291</v>
      </c>
      <c r="E13">
        <f t="shared" si="5"/>
        <v>178.36480104923248</v>
      </c>
      <c r="G13" t="s">
        <v>5</v>
      </c>
      <c r="H13">
        <f>_xlfn.STDEV.S(E:E)</f>
        <v>11.33976298727219</v>
      </c>
      <c r="J13">
        <v>12</v>
      </c>
      <c r="K13">
        <f t="shared" si="10"/>
        <v>175.91166207494646</v>
      </c>
      <c r="L13">
        <f t="shared" si="1"/>
        <v>176.95983476237041</v>
      </c>
      <c r="M13">
        <f t="shared" si="6"/>
        <v>20</v>
      </c>
      <c r="N13">
        <f t="shared" si="2"/>
        <v>19.166666666666668</v>
      </c>
      <c r="O13">
        <f t="shared" si="3"/>
        <v>3.6231884057970905E-2</v>
      </c>
      <c r="Q13">
        <f t="shared" si="7"/>
        <v>3.3184044111220043E-2</v>
      </c>
      <c r="S13">
        <v>12</v>
      </c>
      <c r="T13">
        <f t="shared" si="8"/>
        <v>4</v>
      </c>
      <c r="U13">
        <f t="shared" ca="1" si="9"/>
        <v>164.62138121346479</v>
      </c>
      <c r="V13">
        <f t="shared" ref="V13" ca="1" si="17">OFFSET($Q$1,T13,0)</f>
        <v>1.1032079486283807E-2</v>
      </c>
      <c r="W13">
        <v>149.75</v>
      </c>
      <c r="X13" t="e" cm="1">
        <f t="array" ref="X13">DNorm(W13)</f>
        <v>#VALUE!</v>
      </c>
    </row>
    <row r="14" spans="1:24" x14ac:dyDescent="0.3">
      <c r="A14">
        <v>0.21971961351074998</v>
      </c>
      <c r="B14">
        <f t="shared" si="0"/>
        <v>170.72231384421141</v>
      </c>
      <c r="C14">
        <f t="shared" si="4"/>
        <v>171</v>
      </c>
      <c r="D14" cm="1">
        <f t="array" ref="D14">Losuj()</f>
        <v>0.20535308122634888</v>
      </c>
      <c r="E14">
        <f t="shared" si="5"/>
        <v>171.20535308122635</v>
      </c>
      <c r="G14" t="s">
        <v>6</v>
      </c>
      <c r="H14">
        <f>COUNT(E:E)</f>
        <v>575</v>
      </c>
      <c r="J14">
        <v>13</v>
      </c>
      <c r="K14">
        <f t="shared" si="10"/>
        <v>176.95983476237041</v>
      </c>
      <c r="L14">
        <f t="shared" si="1"/>
        <v>177.98527194254274</v>
      </c>
      <c r="M14">
        <f t="shared" si="6"/>
        <v>14</v>
      </c>
      <c r="N14">
        <f t="shared" si="2"/>
        <v>19.166666666666668</v>
      </c>
      <c r="O14">
        <f t="shared" si="3"/>
        <v>1.3927536231884063</v>
      </c>
      <c r="Q14">
        <f t="shared" si="7"/>
        <v>2.3743849509011063E-2</v>
      </c>
      <c r="S14">
        <v>13</v>
      </c>
      <c r="T14">
        <f t="shared" si="8"/>
        <v>5</v>
      </c>
      <c r="U14">
        <f t="shared" ca="1" si="9"/>
        <v>166.67074060035856</v>
      </c>
      <c r="V14">
        <f t="shared" ref="V14" ca="1" si="18">OFFSET($Q$1,T14-1,0)</f>
        <v>1.1032079486283807E-2</v>
      </c>
      <c r="W14">
        <v>150</v>
      </c>
      <c r="X14" t="e" cm="1">
        <f t="array" ref="X14">DNorm(W14)</f>
        <v>#VALUE!</v>
      </c>
    </row>
    <row r="15" spans="1:24" x14ac:dyDescent="0.3">
      <c r="A15">
        <v>0.70489261633726408</v>
      </c>
      <c r="B15">
        <f t="shared" si="0"/>
        <v>186.46229796669761</v>
      </c>
      <c r="C15">
        <f t="shared" si="4"/>
        <v>186</v>
      </c>
      <c r="D15" cm="1">
        <f t="array" ref="D15">Losuj()</f>
        <v>0.27805715799331665</v>
      </c>
      <c r="E15">
        <f t="shared" si="5"/>
        <v>186.27805715799332</v>
      </c>
      <c r="J15">
        <v>14</v>
      </c>
      <c r="K15">
        <f t="shared" si="10"/>
        <v>177.98527194254274</v>
      </c>
      <c r="L15">
        <f t="shared" si="1"/>
        <v>178.99617919311444</v>
      </c>
      <c r="M15">
        <f t="shared" si="6"/>
        <v>17</v>
      </c>
      <c r="N15">
        <f t="shared" si="2"/>
        <v>19.166666666666668</v>
      </c>
      <c r="O15">
        <f t="shared" si="3"/>
        <v>0.24492753623188432</v>
      </c>
      <c r="Q15">
        <f t="shared" si="7"/>
        <v>2.9246221524857136E-2</v>
      </c>
      <c r="S15">
        <v>14</v>
      </c>
      <c r="T15">
        <f t="shared" si="8"/>
        <v>5</v>
      </c>
      <c r="U15">
        <f t="shared" ca="1" si="9"/>
        <v>166.67074060035856</v>
      </c>
      <c r="V15">
        <f t="shared" ref="V15" si="19">V12</f>
        <v>0</v>
      </c>
      <c r="W15">
        <v>150.25</v>
      </c>
      <c r="X15" t="e" cm="1">
        <f t="array" ref="X15">DNorm(W15)</f>
        <v>#VALUE!</v>
      </c>
    </row>
    <row r="16" spans="1:24" x14ac:dyDescent="0.3">
      <c r="A16">
        <v>0.35956448561373722</v>
      </c>
      <c r="B16">
        <f t="shared" si="0"/>
        <v>175.68452223416728</v>
      </c>
      <c r="C16">
        <f t="shared" si="4"/>
        <v>176</v>
      </c>
      <c r="D16" cm="1">
        <f t="array" ref="D16">Losuj()</f>
        <v>0.34656715393066406</v>
      </c>
      <c r="E16">
        <f t="shared" si="5"/>
        <v>176.34656715393066</v>
      </c>
      <c r="G16" t="s">
        <v>11</v>
      </c>
      <c r="H16">
        <f>MIN(C:C)</f>
        <v>148</v>
      </c>
      <c r="J16">
        <v>15</v>
      </c>
      <c r="K16">
        <f t="shared" si="10"/>
        <v>178.99617919311444</v>
      </c>
      <c r="L16">
        <f t="shared" si="1"/>
        <v>180</v>
      </c>
      <c r="M16">
        <f t="shared" si="6"/>
        <v>21</v>
      </c>
      <c r="N16">
        <f t="shared" si="2"/>
        <v>19.166666666666668</v>
      </c>
      <c r="O16">
        <f t="shared" si="3"/>
        <v>0.17536231884057946</v>
      </c>
      <c r="Q16">
        <f t="shared" si="7"/>
        <v>3.6382727753718043E-2</v>
      </c>
      <c r="S16">
        <v>15</v>
      </c>
      <c r="T16">
        <f t="shared" si="8"/>
        <v>5</v>
      </c>
      <c r="U16">
        <f t="shared" ca="1" si="9"/>
        <v>166.67074060035856</v>
      </c>
      <c r="V16">
        <f t="shared" ref="V16" ca="1" si="20">OFFSET($Q$1,T16,0)</f>
        <v>1.2132053168386883E-2</v>
      </c>
      <c r="W16">
        <v>150.5</v>
      </c>
      <c r="X16" t="e" cm="1">
        <f t="array" ref="X16">DNorm(W16)</f>
        <v>#VALUE!</v>
      </c>
    </row>
    <row r="17" spans="1:24" x14ac:dyDescent="0.3">
      <c r="A17">
        <v>1.6497290671740328E-2</v>
      </c>
      <c r="B17">
        <f t="shared" si="0"/>
        <v>154.41420934592833</v>
      </c>
      <c r="C17">
        <f t="shared" si="4"/>
        <v>154</v>
      </c>
      <c r="D17" cm="1">
        <f t="array" ref="D17">Losuj()</f>
        <v>0.38438284397125244</v>
      </c>
      <c r="E17">
        <f t="shared" si="5"/>
        <v>154.38438284397125</v>
      </c>
      <c r="G17" t="s">
        <v>12</v>
      </c>
      <c r="H17">
        <f>MAX(C:C)</f>
        <v>218</v>
      </c>
      <c r="J17">
        <v>16</v>
      </c>
      <c r="K17">
        <f t="shared" si="10"/>
        <v>180</v>
      </c>
      <c r="L17">
        <f t="shared" si="1"/>
        <v>181.00382080688556</v>
      </c>
      <c r="M17">
        <f t="shared" si="6"/>
        <v>15</v>
      </c>
      <c r="N17">
        <f t="shared" si="2"/>
        <v>19.166666666666668</v>
      </c>
      <c r="O17">
        <f t="shared" si="3"/>
        <v>0.90579710144927583</v>
      </c>
      <c r="Q17">
        <f t="shared" si="7"/>
        <v>2.598766268122717E-2</v>
      </c>
      <c r="S17">
        <v>16</v>
      </c>
      <c r="T17">
        <f t="shared" si="8"/>
        <v>6</v>
      </c>
      <c r="U17">
        <f t="shared" ca="1" si="9"/>
        <v>168.39094120677959</v>
      </c>
      <c r="V17">
        <f t="shared" ref="V17" ca="1" si="21">OFFSET($Q$1,T17-1,0)</f>
        <v>1.2132053168386883E-2</v>
      </c>
      <c r="W17">
        <v>150.75</v>
      </c>
      <c r="X17" t="e" cm="1">
        <f t="array" ref="X17">DNorm(W17)</f>
        <v>#VALUE!</v>
      </c>
    </row>
    <row r="18" spans="1:24" x14ac:dyDescent="0.3">
      <c r="A18">
        <v>0.77752890985289991</v>
      </c>
      <c r="B18">
        <f t="shared" si="0"/>
        <v>189.16649107159949</v>
      </c>
      <c r="C18">
        <f t="shared" si="4"/>
        <v>189</v>
      </c>
      <c r="D18" cm="1">
        <f t="array" ref="D18">Losuj()</f>
        <v>0.48065340518951416</v>
      </c>
      <c r="E18">
        <f t="shared" si="5"/>
        <v>189.48065340518951</v>
      </c>
      <c r="J18">
        <v>17</v>
      </c>
      <c r="K18">
        <f t="shared" si="10"/>
        <v>181.00382080688556</v>
      </c>
      <c r="L18">
        <f t="shared" si="1"/>
        <v>182.01472805745726</v>
      </c>
      <c r="M18">
        <f t="shared" si="6"/>
        <v>10</v>
      </c>
      <c r="N18">
        <f t="shared" si="2"/>
        <v>19.166666666666668</v>
      </c>
      <c r="O18">
        <f t="shared" si="3"/>
        <v>4.384057971014494</v>
      </c>
      <c r="Q18">
        <f t="shared" si="7"/>
        <v>1.7203659720504198E-2</v>
      </c>
      <c r="S18">
        <v>17</v>
      </c>
      <c r="T18">
        <f t="shared" si="8"/>
        <v>6</v>
      </c>
      <c r="U18">
        <f t="shared" ca="1" si="9"/>
        <v>168.39094120677959</v>
      </c>
      <c r="V18">
        <f t="shared" ref="V18" si="22">V15</f>
        <v>0</v>
      </c>
      <c r="W18">
        <v>151</v>
      </c>
      <c r="X18" t="e" cm="1">
        <f t="array" ref="X18">DNorm(W18)</f>
        <v>#VALUE!</v>
      </c>
    </row>
    <row r="19" spans="1:24" x14ac:dyDescent="0.3">
      <c r="A19">
        <v>0.82257556176624524</v>
      </c>
      <c r="B19">
        <f t="shared" si="0"/>
        <v>191.10270012474703</v>
      </c>
      <c r="C19">
        <f t="shared" si="4"/>
        <v>191</v>
      </c>
      <c r="D19" cm="1">
        <f t="array" ref="D19">Losuj()</f>
        <v>0.25798511505126953</v>
      </c>
      <c r="E19">
        <f t="shared" si="5"/>
        <v>191.25798511505127</v>
      </c>
      <c r="G19" t="s">
        <v>13</v>
      </c>
      <c r="H19">
        <v>30</v>
      </c>
      <c r="J19">
        <v>18</v>
      </c>
      <c r="K19">
        <f t="shared" si="10"/>
        <v>182.01472805745726</v>
      </c>
      <c r="L19">
        <f t="shared" si="1"/>
        <v>183.04016523762959</v>
      </c>
      <c r="M19">
        <f t="shared" si="6"/>
        <v>24</v>
      </c>
      <c r="N19">
        <f t="shared" si="2"/>
        <v>19.166666666666668</v>
      </c>
      <c r="O19">
        <f t="shared" si="3"/>
        <v>1.2188405797101443</v>
      </c>
      <c r="Q19">
        <f t="shared" si="7"/>
        <v>4.0703742015447533E-2</v>
      </c>
      <c r="S19">
        <v>18</v>
      </c>
      <c r="T19">
        <f t="shared" si="8"/>
        <v>6</v>
      </c>
      <c r="U19">
        <f t="shared" ca="1" si="9"/>
        <v>168.39094120677959</v>
      </c>
      <c r="V19">
        <f t="shared" ref="V19" ca="1" si="23">OFFSET($Q$1,T19,0)</f>
        <v>3.1105191851264931E-2</v>
      </c>
      <c r="W19">
        <v>151.25</v>
      </c>
      <c r="X19" t="e" cm="1">
        <f t="array" ref="X19">DNorm(W19)</f>
        <v>#VALUE!</v>
      </c>
    </row>
    <row r="20" spans="1:24" x14ac:dyDescent="0.3">
      <c r="A20">
        <v>0.51847346299776897</v>
      </c>
      <c r="B20">
        <f t="shared" si="0"/>
        <v>180.55587198956383</v>
      </c>
      <c r="C20">
        <f t="shared" si="4"/>
        <v>181</v>
      </c>
      <c r="D20" cm="1">
        <f t="array" ref="D20">Losuj()</f>
        <v>7.8848481178283691E-2</v>
      </c>
      <c r="E20">
        <f t="shared" si="5"/>
        <v>181.07884848117828</v>
      </c>
      <c r="J20">
        <v>19</v>
      </c>
      <c r="K20">
        <f t="shared" si="10"/>
        <v>183.04016523762959</v>
      </c>
      <c r="L20">
        <f t="shared" si="1"/>
        <v>184.08833792505354</v>
      </c>
      <c r="M20">
        <f t="shared" si="6"/>
        <v>23</v>
      </c>
      <c r="N20">
        <f t="shared" si="2"/>
        <v>19.166666666666668</v>
      </c>
      <c r="O20">
        <f t="shared" si="3"/>
        <v>0.76666666666666616</v>
      </c>
      <c r="Q20">
        <f t="shared" si="7"/>
        <v>3.8161650727903049E-2</v>
      </c>
      <c r="S20">
        <v>19</v>
      </c>
      <c r="T20">
        <f t="shared" si="8"/>
        <v>7</v>
      </c>
      <c r="U20">
        <f t="shared" ca="1" si="9"/>
        <v>169.90054519712504</v>
      </c>
      <c r="V20">
        <f t="shared" ref="V20" ca="1" si="24">OFFSET($Q$1,T20-1,0)</f>
        <v>3.1105191851264931E-2</v>
      </c>
      <c r="W20">
        <v>151.5</v>
      </c>
      <c r="X20" t="e" cm="1">
        <f t="array" ref="X20">DNorm(W20)</f>
        <v>#VALUE!</v>
      </c>
    </row>
    <row r="21" spans="1:24" x14ac:dyDescent="0.3">
      <c r="A21">
        <v>0.33801639629565405</v>
      </c>
      <c r="B21">
        <f t="shared" si="0"/>
        <v>174.98540613607881</v>
      </c>
      <c r="C21">
        <f t="shared" si="4"/>
        <v>175</v>
      </c>
      <c r="D21" cm="1">
        <f t="array" ref="D21">Losuj()</f>
        <v>0.89045542478561401</v>
      </c>
      <c r="E21">
        <f t="shared" si="5"/>
        <v>175.89045542478561</v>
      </c>
      <c r="J21">
        <v>20</v>
      </c>
      <c r="K21">
        <f t="shared" si="10"/>
        <v>184.08833792505354</v>
      </c>
      <c r="L21">
        <f t="shared" si="1"/>
        <v>185.16872759154549</v>
      </c>
      <c r="M21">
        <f t="shared" si="6"/>
        <v>14</v>
      </c>
      <c r="N21">
        <f t="shared" si="2"/>
        <v>19.166666666666668</v>
      </c>
      <c r="O21">
        <f t="shared" si="3"/>
        <v>1.3927536231884063</v>
      </c>
      <c r="Q21">
        <f t="shared" si="7"/>
        <v>2.2536152318093149E-2</v>
      </c>
      <c r="S21">
        <v>20</v>
      </c>
      <c r="T21">
        <f t="shared" si="8"/>
        <v>7</v>
      </c>
      <c r="U21">
        <f t="shared" ca="1" si="9"/>
        <v>169.90054519712504</v>
      </c>
      <c r="V21">
        <f t="shared" ref="V21" si="25">V18</f>
        <v>0</v>
      </c>
      <c r="W21">
        <v>151.75</v>
      </c>
      <c r="X21" t="e" cm="1">
        <f t="array" ref="X21">DNorm(W21)</f>
        <v>#VALUE!</v>
      </c>
    </row>
    <row r="22" spans="1:24" x14ac:dyDescent="0.3">
      <c r="A22">
        <v>0.52477961713984778</v>
      </c>
      <c r="B22">
        <f t="shared" si="0"/>
        <v>180.74583938941507</v>
      </c>
      <c r="C22">
        <f t="shared" si="4"/>
        <v>181</v>
      </c>
      <c r="D22" cm="1">
        <f t="array" ref="D22">Losuj()</f>
        <v>0.57924199104309082</v>
      </c>
      <c r="E22">
        <f t="shared" si="5"/>
        <v>181.57924199104309</v>
      </c>
      <c r="G22" t="s">
        <v>51</v>
      </c>
      <c r="H22">
        <f>O32</f>
        <v>35.173913043478258</v>
      </c>
      <c r="J22">
        <v>21</v>
      </c>
      <c r="K22">
        <f t="shared" si="10"/>
        <v>185.16872759154549</v>
      </c>
      <c r="L22">
        <f t="shared" si="1"/>
        <v>186.2928061524965</v>
      </c>
      <c r="M22">
        <f t="shared" si="6"/>
        <v>28</v>
      </c>
      <c r="N22">
        <f t="shared" si="2"/>
        <v>19.166666666666668</v>
      </c>
      <c r="O22">
        <f t="shared" si="3"/>
        <v>4.0710144927536218</v>
      </c>
      <c r="Q22">
        <f t="shared" si="7"/>
        <v>4.3320506115440013E-2</v>
      </c>
      <c r="S22">
        <v>21</v>
      </c>
      <c r="T22">
        <f t="shared" si="8"/>
        <v>7</v>
      </c>
      <c r="U22">
        <f t="shared" ca="1" si="9"/>
        <v>169.90054519712504</v>
      </c>
      <c r="V22">
        <f t="shared" ref="V22" ca="1" si="26">OFFSET($Q$1,T22,0)</f>
        <v>2.4216630107205792E-2</v>
      </c>
      <c r="W22">
        <v>152</v>
      </c>
      <c r="X22" t="e" cm="1">
        <f t="array" ref="X22">DNorm(W22)</f>
        <v>#VALUE!</v>
      </c>
    </row>
    <row r="23" spans="1:24" x14ac:dyDescent="0.3">
      <c r="A23">
        <v>0.27985219889352675</v>
      </c>
      <c r="B23">
        <f t="shared" si="0"/>
        <v>173.00063240205623</v>
      </c>
      <c r="C23">
        <f t="shared" si="4"/>
        <v>173</v>
      </c>
      <c r="D23" cm="1">
        <f t="array" ref="D23">Losuj()</f>
        <v>0.98126411437988281</v>
      </c>
      <c r="E23">
        <f t="shared" si="5"/>
        <v>173.98126411437988</v>
      </c>
      <c r="J23">
        <v>22</v>
      </c>
      <c r="K23">
        <f t="shared" si="10"/>
        <v>186.2928061524965</v>
      </c>
      <c r="L23">
        <f t="shared" si="1"/>
        <v>187.47510867852105</v>
      </c>
      <c r="M23">
        <f t="shared" si="6"/>
        <v>20</v>
      </c>
      <c r="N23">
        <f t="shared" si="2"/>
        <v>19.166666666666668</v>
      </c>
      <c r="O23">
        <f t="shared" si="3"/>
        <v>3.6231884057970905E-2</v>
      </c>
      <c r="Q23">
        <f t="shared" si="7"/>
        <v>2.9419381190537792E-2</v>
      </c>
      <c r="S23">
        <v>22</v>
      </c>
      <c r="T23">
        <f t="shared" si="8"/>
        <v>8</v>
      </c>
      <c r="U23">
        <f t="shared" ca="1" si="9"/>
        <v>171.26504050942026</v>
      </c>
      <c r="V23">
        <f t="shared" ref="V23" ca="1" si="27">OFFSET($Q$1,T23-1,0)</f>
        <v>2.4216630107205792E-2</v>
      </c>
      <c r="W23">
        <v>152.25</v>
      </c>
      <c r="X23" t="e" cm="1">
        <f t="array" ref="X23">DNorm(W23)</f>
        <v>#VALUE!</v>
      </c>
    </row>
    <row r="24" spans="1:24" x14ac:dyDescent="0.3">
      <c r="A24">
        <v>0.23795933473187736</v>
      </c>
      <c r="B24">
        <f t="shared" si="0"/>
        <v>171.44541388742061</v>
      </c>
      <c r="C24">
        <f t="shared" si="4"/>
        <v>171</v>
      </c>
      <c r="D24" cm="1">
        <f t="array" ref="D24">Losuj()</f>
        <v>0.22031748294830322</v>
      </c>
      <c r="E24">
        <f t="shared" si="5"/>
        <v>171.2203174829483</v>
      </c>
      <c r="G24" t="s">
        <v>54</v>
      </c>
      <c r="H24">
        <f>0.05</f>
        <v>0.05</v>
      </c>
      <c r="J24">
        <v>23</v>
      </c>
      <c r="K24">
        <f t="shared" si="10"/>
        <v>187.47510867852105</v>
      </c>
      <c r="L24">
        <f t="shared" si="1"/>
        <v>188.73495949057974</v>
      </c>
      <c r="M24">
        <f t="shared" si="6"/>
        <v>23</v>
      </c>
      <c r="N24">
        <f t="shared" si="2"/>
        <v>19.166666666666668</v>
      </c>
      <c r="O24">
        <f t="shared" si="3"/>
        <v>0.76666666666666616</v>
      </c>
      <c r="Q24">
        <f t="shared" si="7"/>
        <v>3.1749791020602762E-2</v>
      </c>
      <c r="S24">
        <v>23</v>
      </c>
      <c r="T24">
        <f t="shared" si="8"/>
        <v>8</v>
      </c>
      <c r="U24">
        <f t="shared" ca="1" si="9"/>
        <v>171.26504050942026</v>
      </c>
      <c r="V24">
        <f t="shared" ref="V24" si="28">V21</f>
        <v>0</v>
      </c>
      <c r="W24">
        <v>152.5</v>
      </c>
      <c r="X24" t="e" cm="1">
        <f t="array" ref="X24">DNorm(W24)</f>
        <v>#VALUE!</v>
      </c>
    </row>
    <row r="25" spans="1:24" x14ac:dyDescent="0.3">
      <c r="A25">
        <v>0.96331496341254785</v>
      </c>
      <c r="B25">
        <f t="shared" si="0"/>
        <v>201.48626105513395</v>
      </c>
      <c r="C25">
        <f t="shared" si="4"/>
        <v>201</v>
      </c>
      <c r="D25" cm="1">
        <f t="array" ref="D25">Losuj()</f>
        <v>0.87976866960525513</v>
      </c>
      <c r="E25">
        <f t="shared" si="5"/>
        <v>201.87976866960526</v>
      </c>
      <c r="G25" t="s">
        <v>52</v>
      </c>
      <c r="H25">
        <f>_xlfn.CHISQ.INV(1-H24,__k)</f>
        <v>43.772971825742189</v>
      </c>
      <c r="J25">
        <v>24</v>
      </c>
      <c r="K25">
        <f t="shared" si="10"/>
        <v>188.73495949057974</v>
      </c>
      <c r="L25">
        <f t="shared" si="1"/>
        <v>190.09945480287499</v>
      </c>
      <c r="M25">
        <f t="shared" si="6"/>
        <v>21</v>
      </c>
      <c r="N25">
        <f t="shared" si="2"/>
        <v>19.166666666666668</v>
      </c>
      <c r="O25">
        <f t="shared" si="3"/>
        <v>0.17536231884057946</v>
      </c>
      <c r="Q25">
        <f t="shared" si="7"/>
        <v>2.6765749065858477E-2</v>
      </c>
      <c r="S25">
        <v>24</v>
      </c>
      <c r="T25">
        <f t="shared" si="8"/>
        <v>8</v>
      </c>
      <c r="U25">
        <f t="shared" ca="1" si="9"/>
        <v>171.26504050942026</v>
      </c>
      <c r="V25">
        <f t="shared" ref="V25" ca="1" si="29">OFFSET($Q$1,T25,0)</f>
        <v>2.8988939627506864E-2</v>
      </c>
      <c r="W25">
        <v>152.75</v>
      </c>
      <c r="X25" t="e" cm="1">
        <f t="array" ref="X25">DNorm(W25)</f>
        <v>#VALUE!</v>
      </c>
    </row>
    <row r="26" spans="1:24" x14ac:dyDescent="0.3">
      <c r="A26">
        <v>0.79963977055455016</v>
      </c>
      <c r="B26">
        <f t="shared" si="0"/>
        <v>190.08402264832677</v>
      </c>
      <c r="C26">
        <f t="shared" si="4"/>
        <v>190</v>
      </c>
      <c r="D26" cm="1">
        <f t="array" ref="D26">Losuj()</f>
        <v>0.3231661319732666</v>
      </c>
      <c r="E26">
        <f t="shared" si="5"/>
        <v>190.32316613197327</v>
      </c>
      <c r="G26" t="s">
        <v>53</v>
      </c>
      <c r="H26">
        <f>_xlfn.CHISQ.DIST.RT(H22,__k-1)</f>
        <v>0.19888572247137698</v>
      </c>
      <c r="J26">
        <v>25</v>
      </c>
      <c r="K26">
        <f t="shared" si="10"/>
        <v>190.09945480287499</v>
      </c>
      <c r="L26">
        <f t="shared" si="1"/>
        <v>191.60905879322041</v>
      </c>
      <c r="M26">
        <f t="shared" si="6"/>
        <v>18</v>
      </c>
      <c r="N26">
        <f t="shared" si="2"/>
        <v>19.166666666666668</v>
      </c>
      <c r="O26">
        <f t="shared" si="3"/>
        <v>7.1014492753623329E-2</v>
      </c>
      <c r="Q26">
        <f t="shared" si="7"/>
        <v>2.0736794567510344E-2</v>
      </c>
      <c r="S26">
        <v>25</v>
      </c>
      <c r="T26">
        <f t="shared" si="8"/>
        <v>9</v>
      </c>
      <c r="U26">
        <f t="shared" ca="1" si="9"/>
        <v>172.52489132147895</v>
      </c>
      <c r="V26">
        <f t="shared" ref="V26" ca="1" si="30">OFFSET($Q$1,T26-1,0)</f>
        <v>2.8988939627506864E-2</v>
      </c>
      <c r="W26">
        <v>153</v>
      </c>
      <c r="X26" t="e" cm="1">
        <f t="array" ref="X26">DNorm(W26)</f>
        <v>#VALUE!</v>
      </c>
    </row>
    <row r="27" spans="1:24" x14ac:dyDescent="0.3">
      <c r="A27">
        <v>0.74951686484577862</v>
      </c>
      <c r="B27">
        <f t="shared" si="0"/>
        <v>188.07564200968488</v>
      </c>
      <c r="C27">
        <f t="shared" si="4"/>
        <v>188</v>
      </c>
      <c r="D27" cm="1">
        <f t="array" ref="D27">Losuj()</f>
        <v>0.68287563323974609</v>
      </c>
      <c r="E27">
        <f t="shared" si="5"/>
        <v>188.68287563323975</v>
      </c>
      <c r="J27">
        <v>26</v>
      </c>
      <c r="K27">
        <f t="shared" si="10"/>
        <v>191.60905879322041</v>
      </c>
      <c r="L27">
        <f t="shared" si="1"/>
        <v>193.32925939964144</v>
      </c>
      <c r="M27">
        <f t="shared" si="6"/>
        <v>17</v>
      </c>
      <c r="N27">
        <f t="shared" si="2"/>
        <v>19.166666666666668</v>
      </c>
      <c r="O27">
        <f t="shared" si="3"/>
        <v>0.24492753623188432</v>
      </c>
      <c r="Q27">
        <f t="shared" si="7"/>
        <v>1.7187075321881417E-2</v>
      </c>
      <c r="S27">
        <v>26</v>
      </c>
      <c r="T27">
        <f t="shared" si="8"/>
        <v>9</v>
      </c>
      <c r="U27">
        <f t="shared" ca="1" si="9"/>
        <v>172.52489132147895</v>
      </c>
      <c r="V27">
        <f t="shared" ref="V27" si="31">V24</f>
        <v>0</v>
      </c>
      <c r="W27">
        <v>153.25</v>
      </c>
      <c r="X27" t="e" cm="1">
        <f t="array" ref="X27">DNorm(W27)</f>
        <v>#VALUE!</v>
      </c>
    </row>
    <row r="28" spans="1:24" x14ac:dyDescent="0.3">
      <c r="A28">
        <v>0.66812021476462613</v>
      </c>
      <c r="B28">
        <f t="shared" si="0"/>
        <v>185.21674098277526</v>
      </c>
      <c r="C28">
        <f t="shared" si="4"/>
        <v>185</v>
      </c>
      <c r="D28" cm="1">
        <f t="array" ref="D28">Losuj()</f>
        <v>0.23692035675048828</v>
      </c>
      <c r="E28">
        <f t="shared" si="5"/>
        <v>185.23692035675049</v>
      </c>
      <c r="H28" t="str">
        <f>IF(H26&lt;=H24,"Odrzucam","Nie ma podstaw do odrzucenia")</f>
        <v>Nie ma podstaw do odrzucenia</v>
      </c>
      <c r="J28">
        <v>27</v>
      </c>
      <c r="K28">
        <f t="shared" si="10"/>
        <v>193.32925939964144</v>
      </c>
      <c r="L28">
        <f t="shared" si="1"/>
        <v>195.37861878653521</v>
      </c>
      <c r="M28">
        <f t="shared" si="6"/>
        <v>21</v>
      </c>
      <c r="N28">
        <f t="shared" si="2"/>
        <v>19.166666666666668</v>
      </c>
      <c r="O28">
        <f t="shared" si="3"/>
        <v>0.17536231884057946</v>
      </c>
      <c r="Q28">
        <f t="shared" si="7"/>
        <v>1.7821051477843075E-2</v>
      </c>
      <c r="S28">
        <v>27</v>
      </c>
      <c r="T28">
        <f t="shared" si="8"/>
        <v>9</v>
      </c>
      <c r="U28">
        <f t="shared" ca="1" si="9"/>
        <v>172.52489132147895</v>
      </c>
      <c r="V28">
        <f t="shared" ref="V28" ca="1" si="32">OFFSET($Q$1,T28,0)</f>
        <v>3.6774226488172239E-2</v>
      </c>
      <c r="W28">
        <v>153.5</v>
      </c>
      <c r="X28" t="e" cm="1">
        <f t="array" ref="X28">DNorm(W28)</f>
        <v>#VALUE!</v>
      </c>
    </row>
    <row r="29" spans="1:24" x14ac:dyDescent="0.3">
      <c r="A29">
        <v>0.27167084288881249</v>
      </c>
      <c r="B29">
        <f t="shared" si="0"/>
        <v>172.7067899720235</v>
      </c>
      <c r="C29">
        <f t="shared" si="4"/>
        <v>173</v>
      </c>
      <c r="D29" cm="1">
        <f t="array" ref="D29">Losuj()</f>
        <v>0.21024447679519653</v>
      </c>
      <c r="E29">
        <f t="shared" si="5"/>
        <v>173.2102444767952</v>
      </c>
      <c r="J29">
        <v>28</v>
      </c>
      <c r="K29">
        <f t="shared" si="10"/>
        <v>195.37861878653521</v>
      </c>
      <c r="L29">
        <f t="shared" si="1"/>
        <v>198.01303135252832</v>
      </c>
      <c r="M29">
        <f t="shared" si="6"/>
        <v>18</v>
      </c>
      <c r="N29">
        <f t="shared" si="2"/>
        <v>19.166666666666668</v>
      </c>
      <c r="O29">
        <f t="shared" si="3"/>
        <v>7.1014492753623329E-2</v>
      </c>
      <c r="Q29">
        <f t="shared" si="7"/>
        <v>1.188285700963701E-2</v>
      </c>
      <c r="S29">
        <v>28</v>
      </c>
      <c r="T29">
        <f t="shared" si="8"/>
        <v>10</v>
      </c>
      <c r="U29">
        <f t="shared" ca="1" si="9"/>
        <v>173.7071938475035</v>
      </c>
      <c r="V29">
        <f t="shared" ref="V29" ca="1" si="33">OFFSET($Q$1,T29-1,0)</f>
        <v>3.6774226488172239E-2</v>
      </c>
      <c r="W29">
        <v>153.75</v>
      </c>
      <c r="X29" t="e" cm="1">
        <f t="array" ref="X29">DNorm(W29)</f>
        <v>#VALUE!</v>
      </c>
    </row>
    <row r="30" spans="1:24" x14ac:dyDescent="0.3">
      <c r="A30">
        <v>0.36159318770702575</v>
      </c>
      <c r="B30">
        <f t="shared" si="0"/>
        <v>175.74955791389343</v>
      </c>
      <c r="C30">
        <f t="shared" si="4"/>
        <v>176</v>
      </c>
      <c r="D30" cm="1">
        <f t="array" ref="D30">Losuj()</f>
        <v>0.25750410556793213</v>
      </c>
      <c r="E30">
        <f t="shared" si="5"/>
        <v>176.25750410556793</v>
      </c>
      <c r="J30">
        <v>29</v>
      </c>
      <c r="K30">
        <f t="shared" si="10"/>
        <v>198.01303135252832</v>
      </c>
      <c r="L30">
        <f t="shared" si="1"/>
        <v>202.00697562979099</v>
      </c>
      <c r="M30">
        <f t="shared" si="6"/>
        <v>20</v>
      </c>
      <c r="N30">
        <f t="shared" si="2"/>
        <v>19.166666666666668</v>
      </c>
      <c r="O30">
        <f t="shared" si="3"/>
        <v>3.6231884057970905E-2</v>
      </c>
      <c r="Q30">
        <f t="shared" si="7"/>
        <v>8.7088367490923361E-3</v>
      </c>
      <c r="S30">
        <v>29</v>
      </c>
      <c r="T30">
        <f t="shared" si="8"/>
        <v>10</v>
      </c>
      <c r="U30">
        <f t="shared" ca="1" si="9"/>
        <v>173.7071938475035</v>
      </c>
      <c r="V30">
        <f t="shared" ref="V30" si="34">V27</f>
        <v>0</v>
      </c>
      <c r="W30">
        <v>154</v>
      </c>
      <c r="X30" t="e" cm="1">
        <f t="array" ref="X30">DNorm(W30)</f>
        <v>#VALUE!</v>
      </c>
    </row>
    <row r="31" spans="1:24" x14ac:dyDescent="0.3">
      <c r="A31">
        <v>0.63145723687035471</v>
      </c>
      <c r="B31">
        <f t="shared" si="0"/>
        <v>184.02858424926671</v>
      </c>
      <c r="C31">
        <f t="shared" si="4"/>
        <v>184</v>
      </c>
      <c r="D31" cm="1">
        <f t="array" ref="D31">Losuj()</f>
        <v>0.22612577676773071</v>
      </c>
      <c r="E31">
        <f t="shared" si="5"/>
        <v>184.22612577676773</v>
      </c>
      <c r="J31">
        <v>30</v>
      </c>
      <c r="K31">
        <f t="shared" si="10"/>
        <v>202.00697562979099</v>
      </c>
      <c r="L31">
        <f t="shared" si="1"/>
        <v>219</v>
      </c>
      <c r="M31">
        <f t="shared" si="6"/>
        <v>19</v>
      </c>
      <c r="N31">
        <f t="shared" si="2"/>
        <v>19.166666666666668</v>
      </c>
      <c r="O31">
        <f t="shared" si="3"/>
        <v>1.449275362318861E-3</v>
      </c>
      <c r="Q31">
        <f t="shared" si="7"/>
        <v>1.9445319173907081E-3</v>
      </c>
      <c r="S31">
        <v>30</v>
      </c>
      <c r="T31">
        <f t="shared" si="8"/>
        <v>10</v>
      </c>
      <c r="U31">
        <f t="shared" ca="1" si="9"/>
        <v>173.7071938475035</v>
      </c>
      <c r="V31">
        <f t="shared" ref="V31" ca="1" si="35">OFFSET($Q$1,T31,0)</f>
        <v>3.2490379586580007E-2</v>
      </c>
      <c r="W31">
        <v>154.25</v>
      </c>
      <c r="X31" t="e" cm="1">
        <f t="array" ref="X31">DNorm(W31)</f>
        <v>#VALUE!</v>
      </c>
    </row>
    <row r="32" spans="1:24" x14ac:dyDescent="0.3">
      <c r="A32">
        <v>0.23861870853883516</v>
      </c>
      <c r="B32">
        <f t="shared" si="0"/>
        <v>171.47096606861058</v>
      </c>
      <c r="C32">
        <f t="shared" si="4"/>
        <v>171</v>
      </c>
      <c r="D32" cm="1">
        <f t="array" ref="D32">Losuj()</f>
        <v>0.57904297113418579</v>
      </c>
      <c r="E32">
        <f t="shared" si="5"/>
        <v>171.57904297113419</v>
      </c>
      <c r="K32">
        <f t="shared" si="10"/>
        <v>219</v>
      </c>
      <c r="M32">
        <f>SUM(M2:M31)</f>
        <v>575</v>
      </c>
      <c r="N32">
        <f t="shared" ref="N32:O32" si="36">SUM(N2:N31)</f>
        <v>575.00000000000011</v>
      </c>
      <c r="O32">
        <f t="shared" si="36"/>
        <v>35.173913043478258</v>
      </c>
      <c r="Q32">
        <f t="shared" si="7"/>
        <v>-4.5662100456621011E-3</v>
      </c>
      <c r="S32">
        <v>31</v>
      </c>
      <c r="T32">
        <f t="shared" si="8"/>
        <v>11</v>
      </c>
      <c r="U32">
        <f t="shared" ca="1" si="9"/>
        <v>174.83127240845451</v>
      </c>
      <c r="V32">
        <f t="shared" ref="V32" ca="1" si="37">OFFSET($Q$1,T32-1,0)</f>
        <v>3.2490379586580007E-2</v>
      </c>
      <c r="W32">
        <v>154.5</v>
      </c>
      <c r="X32" t="e" cm="1">
        <f t="array" ref="X32">DNorm(W32)</f>
        <v>#VALUE!</v>
      </c>
    </row>
    <row r="33" spans="1:24" x14ac:dyDescent="0.3">
      <c r="A33">
        <v>0.37841135087059963</v>
      </c>
      <c r="B33">
        <f t="shared" si="0"/>
        <v>176.28413014127841</v>
      </c>
      <c r="C33">
        <f t="shared" si="4"/>
        <v>176</v>
      </c>
      <c r="D33" cm="1">
        <f t="array" ref="D33">Losuj()</f>
        <v>0.92545050382614136</v>
      </c>
      <c r="E33">
        <f t="shared" si="5"/>
        <v>176.92545050382614</v>
      </c>
      <c r="S33">
        <v>32</v>
      </c>
      <c r="T33">
        <f t="shared" si="8"/>
        <v>11</v>
      </c>
      <c r="U33">
        <f t="shared" ca="1" si="9"/>
        <v>174.83127240845451</v>
      </c>
      <c r="V33">
        <f t="shared" ref="V33" si="38">V30</f>
        <v>0</v>
      </c>
      <c r="W33">
        <v>154.75</v>
      </c>
      <c r="X33" t="e" cm="1">
        <f t="array" ref="X33">DNorm(W33)</f>
        <v>#VALUE!</v>
      </c>
    </row>
    <row r="34" spans="1:24" x14ac:dyDescent="0.3">
      <c r="A34">
        <v>0.9066359271958585</v>
      </c>
      <c r="B34">
        <f t="shared" si="0"/>
        <v>195.84384198608348</v>
      </c>
      <c r="C34">
        <f t="shared" si="4"/>
        <v>196</v>
      </c>
      <c r="D34" cm="1">
        <f t="array" ref="D34">Losuj()</f>
        <v>0.61810046434402466</v>
      </c>
      <c r="E34">
        <f t="shared" si="5"/>
        <v>196.61810046434402</v>
      </c>
      <c r="S34">
        <v>33</v>
      </c>
      <c r="T34">
        <f t="shared" si="8"/>
        <v>11</v>
      </c>
      <c r="U34">
        <f t="shared" ca="1" si="9"/>
        <v>174.83127240845451</v>
      </c>
      <c r="V34">
        <f t="shared" ref="V34" ca="1" si="39">OFFSET($Q$1,T34,0)</f>
        <v>4.1852854305030135E-2</v>
      </c>
      <c r="W34">
        <v>155</v>
      </c>
      <c r="X34" t="e" cm="1">
        <f t="array" ref="X34">DNorm(W34)</f>
        <v>#VALUE!</v>
      </c>
    </row>
    <row r="35" spans="1:24" x14ac:dyDescent="0.3">
      <c r="A35">
        <v>0.84258705076754181</v>
      </c>
      <c r="B35">
        <f t="shared" si="0"/>
        <v>192.06176831010873</v>
      </c>
      <c r="C35">
        <f t="shared" si="4"/>
        <v>192</v>
      </c>
      <c r="D35" cm="1">
        <f t="array" ref="D35">Losuj()</f>
        <v>0.30857008695602417</v>
      </c>
      <c r="E35">
        <f t="shared" si="5"/>
        <v>192.30857008695602</v>
      </c>
      <c r="S35">
        <v>34</v>
      </c>
      <c r="T35">
        <f t="shared" si="8"/>
        <v>12</v>
      </c>
      <c r="U35">
        <f t="shared" ca="1" si="9"/>
        <v>175.91166207494646</v>
      </c>
      <c r="V35">
        <f t="shared" ref="V35" ca="1" si="40">OFFSET($Q$1,T35-1,0)</f>
        <v>4.1852854305030135E-2</v>
      </c>
      <c r="W35">
        <v>155.25</v>
      </c>
      <c r="X35" t="e" cm="1">
        <f t="array" ref="X35">DNorm(W35)</f>
        <v>#VALUE!</v>
      </c>
    </row>
    <row r="36" spans="1:24" x14ac:dyDescent="0.3">
      <c r="A36">
        <v>0.32538819272472841</v>
      </c>
      <c r="B36">
        <f t="shared" si="0"/>
        <v>174.5677933833864</v>
      </c>
      <c r="C36">
        <f t="shared" si="4"/>
        <v>175</v>
      </c>
      <c r="D36" cm="1">
        <f t="array" ref="D36">Losuj()</f>
        <v>0.61749815940856934</v>
      </c>
      <c r="E36">
        <f t="shared" si="5"/>
        <v>175.61749815940857</v>
      </c>
      <c r="S36">
        <v>35</v>
      </c>
      <c r="T36">
        <f t="shared" si="8"/>
        <v>12</v>
      </c>
      <c r="U36">
        <f t="shared" ca="1" si="9"/>
        <v>175.91166207494646</v>
      </c>
      <c r="V36">
        <f t="shared" ref="V36" si="41">V33</f>
        <v>0</v>
      </c>
      <c r="W36">
        <v>155.5</v>
      </c>
      <c r="X36" t="e" cm="1">
        <f t="array" ref="X36">DNorm(W36)</f>
        <v>#VALUE!</v>
      </c>
    </row>
    <row r="37" spans="1:24" x14ac:dyDescent="0.3">
      <c r="A37">
        <v>0.4878142563045984</v>
      </c>
      <c r="B37">
        <f t="shared" si="0"/>
        <v>179.63340142753398</v>
      </c>
      <c r="C37">
        <f t="shared" si="4"/>
        <v>180</v>
      </c>
      <c r="D37" cm="1">
        <f t="array" ref="D37">Losuj()</f>
        <v>0.28358423709869385</v>
      </c>
      <c r="E37">
        <f t="shared" si="5"/>
        <v>180.28358423709869</v>
      </c>
      <c r="S37">
        <v>36</v>
      </c>
      <c r="T37">
        <f t="shared" si="8"/>
        <v>12</v>
      </c>
      <c r="U37">
        <f t="shared" ca="1" si="9"/>
        <v>175.91166207494646</v>
      </c>
      <c r="V37">
        <f t="shared" ref="V37" ca="1" si="42">OFFSET($Q$1,T37,0)</f>
        <v>3.3184044111220043E-2</v>
      </c>
      <c r="W37">
        <v>155.75</v>
      </c>
      <c r="X37" t="e" cm="1">
        <f t="array" ref="X37">DNorm(W37)</f>
        <v>#VALUE!</v>
      </c>
    </row>
    <row r="38" spans="1:24" x14ac:dyDescent="0.3">
      <c r="A38">
        <v>0.34920586519446084</v>
      </c>
      <c r="B38">
        <f t="shared" si="0"/>
        <v>175.35041577161104</v>
      </c>
      <c r="C38">
        <f t="shared" si="4"/>
        <v>175</v>
      </c>
      <c r="D38" cm="1">
        <f t="array" ref="D38">Losuj()</f>
        <v>0.32698178291320801</v>
      </c>
      <c r="E38">
        <f t="shared" si="5"/>
        <v>175.32698178291321</v>
      </c>
      <c r="S38">
        <v>37</v>
      </c>
      <c r="T38">
        <f t="shared" si="8"/>
        <v>13</v>
      </c>
      <c r="U38">
        <f t="shared" ca="1" si="9"/>
        <v>176.95983476237041</v>
      </c>
      <c r="V38">
        <f t="shared" ref="V38" ca="1" si="43">OFFSET($Q$1,T38-1,0)</f>
        <v>3.3184044111220043E-2</v>
      </c>
      <c r="W38">
        <v>156</v>
      </c>
      <c r="X38" t="e" cm="1">
        <f t="array" ref="X38">DNorm(W38)</f>
        <v>#VALUE!</v>
      </c>
    </row>
    <row r="39" spans="1:24" x14ac:dyDescent="0.3">
      <c r="A39">
        <v>0.76124276681600589</v>
      </c>
      <c r="B39">
        <f t="shared" si="0"/>
        <v>188.52367071350147</v>
      </c>
      <c r="C39">
        <f t="shared" si="4"/>
        <v>189</v>
      </c>
      <c r="D39" cm="1">
        <f t="array" ref="D39">Losuj()</f>
        <v>0.73309344053268433</v>
      </c>
      <c r="E39">
        <f t="shared" si="5"/>
        <v>189.73309344053268</v>
      </c>
      <c r="S39">
        <v>38</v>
      </c>
      <c r="T39">
        <f t="shared" si="8"/>
        <v>13</v>
      </c>
      <c r="U39">
        <f t="shared" ca="1" si="9"/>
        <v>176.95983476237041</v>
      </c>
      <c r="V39">
        <f t="shared" ref="V39" si="44">V36</f>
        <v>0</v>
      </c>
      <c r="W39">
        <v>156.25</v>
      </c>
      <c r="X39" t="e" cm="1">
        <f t="array" ref="X39">DNorm(W39)</f>
        <v>#VALUE!</v>
      </c>
    </row>
    <row r="40" spans="1:24" x14ac:dyDescent="0.3">
      <c r="A40">
        <v>0.65719590684890306</v>
      </c>
      <c r="B40">
        <f t="shared" si="0"/>
        <v>184.85786677421808</v>
      </c>
      <c r="C40">
        <f t="shared" si="4"/>
        <v>185</v>
      </c>
      <c r="D40" cm="1">
        <f t="array" ref="D40">Losuj()</f>
        <v>0.45282816886901855</v>
      </c>
      <c r="E40">
        <f t="shared" si="5"/>
        <v>185.45282816886902</v>
      </c>
      <c r="S40">
        <v>39</v>
      </c>
      <c r="T40">
        <f t="shared" si="8"/>
        <v>13</v>
      </c>
      <c r="U40">
        <f t="shared" ca="1" si="9"/>
        <v>176.95983476237041</v>
      </c>
      <c r="V40">
        <f t="shared" ref="V40" ca="1" si="45">OFFSET($Q$1,T40,0)</f>
        <v>2.3743849509011063E-2</v>
      </c>
      <c r="W40">
        <v>156.5</v>
      </c>
      <c r="X40" t="e" cm="1">
        <f t="array" ref="X40">DNorm(W40)</f>
        <v>#VALUE!</v>
      </c>
    </row>
    <row r="41" spans="1:24" x14ac:dyDescent="0.3">
      <c r="A41">
        <v>7.0141428315509402E-2</v>
      </c>
      <c r="B41">
        <f t="shared" si="0"/>
        <v>162.30313780043011</v>
      </c>
      <c r="C41">
        <f t="shared" si="4"/>
        <v>162</v>
      </c>
      <c r="D41" cm="1">
        <f t="array" ref="D41">Losuj()</f>
        <v>0.35236090421676636</v>
      </c>
      <c r="E41">
        <f t="shared" si="5"/>
        <v>162.35236090421677</v>
      </c>
      <c r="S41">
        <v>40</v>
      </c>
      <c r="T41">
        <f t="shared" si="8"/>
        <v>14</v>
      </c>
      <c r="U41">
        <f t="shared" ca="1" si="9"/>
        <v>177.98527194254274</v>
      </c>
      <c r="V41">
        <f t="shared" ref="V41" ca="1" si="46">OFFSET($Q$1,T41-1,0)</f>
        <v>2.3743849509011063E-2</v>
      </c>
      <c r="W41">
        <v>156.75</v>
      </c>
      <c r="X41" t="e" cm="1">
        <f t="array" ref="X41">DNorm(W41)</f>
        <v>#VALUE!</v>
      </c>
    </row>
    <row r="42" spans="1:24" x14ac:dyDescent="0.3">
      <c r="A42">
        <v>0.31472480904054612</v>
      </c>
      <c r="B42">
        <f t="shared" si="0"/>
        <v>174.20998005665393</v>
      </c>
      <c r="C42">
        <f t="shared" si="4"/>
        <v>174</v>
      </c>
      <c r="D42" cm="1">
        <f t="array" ref="D42">Losuj()</f>
        <v>0.35398697853088379</v>
      </c>
      <c r="E42">
        <f t="shared" si="5"/>
        <v>174.35398697853088</v>
      </c>
      <c r="S42">
        <v>41</v>
      </c>
      <c r="T42">
        <f t="shared" si="8"/>
        <v>14</v>
      </c>
      <c r="U42">
        <f t="shared" ca="1" si="9"/>
        <v>177.98527194254274</v>
      </c>
      <c r="V42">
        <f t="shared" ref="V42" si="47">V39</f>
        <v>0</v>
      </c>
      <c r="W42">
        <v>157</v>
      </c>
      <c r="X42" t="e" cm="1">
        <f t="array" ref="X42">DNorm(W42)</f>
        <v>#VALUE!</v>
      </c>
    </row>
    <row r="43" spans="1:24" x14ac:dyDescent="0.3">
      <c r="A43">
        <v>0.71078192031077803</v>
      </c>
      <c r="B43">
        <f t="shared" si="0"/>
        <v>186.66804542784516</v>
      </c>
      <c r="C43">
        <f t="shared" si="4"/>
        <v>187</v>
      </c>
      <c r="D43" cm="1">
        <f t="array" ref="D43">Losuj()</f>
        <v>0.18422418832778931</v>
      </c>
      <c r="E43">
        <f t="shared" si="5"/>
        <v>187.18422418832779</v>
      </c>
      <c r="S43">
        <v>42</v>
      </c>
      <c r="T43">
        <f t="shared" si="8"/>
        <v>14</v>
      </c>
      <c r="U43">
        <f t="shared" ca="1" si="9"/>
        <v>177.98527194254274</v>
      </c>
      <c r="V43">
        <f t="shared" ref="V43" ca="1" si="48">OFFSET($Q$1,T43,0)</f>
        <v>2.9246221524857136E-2</v>
      </c>
      <c r="W43">
        <v>157.25</v>
      </c>
      <c r="X43" t="e" cm="1">
        <f t="array" ref="X43">DNorm(W43)</f>
        <v>#VALUE!</v>
      </c>
    </row>
    <row r="44" spans="1:24" x14ac:dyDescent="0.3">
      <c r="A44">
        <v>0.61580058009020533</v>
      </c>
      <c r="B44">
        <f t="shared" si="0"/>
        <v>183.53363912683398</v>
      </c>
      <c r="C44">
        <f t="shared" si="4"/>
        <v>184</v>
      </c>
      <c r="D44" cm="1">
        <f t="array" ref="D44">Losuj()</f>
        <v>5.6689262390136719E-2</v>
      </c>
      <c r="E44">
        <f t="shared" si="5"/>
        <v>184.05668926239014</v>
      </c>
      <c r="S44">
        <v>43</v>
      </c>
      <c r="T44">
        <f t="shared" si="8"/>
        <v>15</v>
      </c>
      <c r="U44">
        <f t="shared" ca="1" si="9"/>
        <v>178.99617919311444</v>
      </c>
      <c r="V44">
        <f t="shared" ref="V44" ca="1" si="49">OFFSET($Q$1,T44-1,0)</f>
        <v>2.9246221524857136E-2</v>
      </c>
      <c r="W44">
        <v>157.5</v>
      </c>
      <c r="X44" t="e" cm="1">
        <f t="array" ref="X44">DNorm(W44)</f>
        <v>#VALUE!</v>
      </c>
    </row>
    <row r="45" spans="1:24" x14ac:dyDescent="0.3">
      <c r="A45">
        <v>0.55587883069991351</v>
      </c>
      <c r="B45">
        <f t="shared" si="0"/>
        <v>181.68634348191574</v>
      </c>
      <c r="C45">
        <f t="shared" si="4"/>
        <v>182</v>
      </c>
      <c r="D45" cm="1">
        <f t="array" ref="D45">Losuj()</f>
        <v>0.40497094392776489</v>
      </c>
      <c r="E45">
        <f t="shared" si="5"/>
        <v>182.40497094392776</v>
      </c>
      <c r="S45">
        <v>44</v>
      </c>
      <c r="T45">
        <f t="shared" si="8"/>
        <v>15</v>
      </c>
      <c r="U45">
        <f t="shared" ca="1" si="9"/>
        <v>178.99617919311444</v>
      </c>
      <c r="V45">
        <f t="shared" ref="V45" si="50">V42</f>
        <v>0</v>
      </c>
      <c r="W45">
        <v>157.75</v>
      </c>
      <c r="X45" t="e" cm="1">
        <f t="array" ref="X45">DNorm(W45)</f>
        <v>#VALUE!</v>
      </c>
    </row>
    <row r="46" spans="1:24" x14ac:dyDescent="0.3">
      <c r="A46">
        <v>0.65727476055187373</v>
      </c>
      <c r="B46">
        <f t="shared" si="0"/>
        <v>184.86044130714868</v>
      </c>
      <c r="C46">
        <f t="shared" si="4"/>
        <v>185</v>
      </c>
      <c r="D46" cm="1">
        <f t="array" ref="D46">Losuj()</f>
        <v>0.87592625617980957</v>
      </c>
      <c r="E46">
        <f t="shared" si="5"/>
        <v>185.87592625617981</v>
      </c>
      <c r="S46">
        <v>45</v>
      </c>
      <c r="T46">
        <f t="shared" si="8"/>
        <v>15</v>
      </c>
      <c r="U46">
        <f t="shared" ca="1" si="9"/>
        <v>178.99617919311444</v>
      </c>
      <c r="V46">
        <f t="shared" ref="V46" ca="1" si="51">OFFSET($Q$1,T46,0)</f>
        <v>3.6382727753718043E-2</v>
      </c>
      <c r="W46">
        <v>158</v>
      </c>
      <c r="X46" t="e" cm="1">
        <f t="array" ref="X46">DNorm(W46)</f>
        <v>#VALUE!</v>
      </c>
    </row>
    <row r="47" spans="1:24" x14ac:dyDescent="0.3">
      <c r="A47">
        <v>0.89212699408368967</v>
      </c>
      <c r="B47">
        <f t="shared" si="0"/>
        <v>194.85503073997572</v>
      </c>
      <c r="C47">
        <f t="shared" si="4"/>
        <v>195</v>
      </c>
      <c r="D47" cm="1">
        <f t="array" ref="D47">Losuj()</f>
        <v>8.725738525390625E-2</v>
      </c>
      <c r="E47">
        <f t="shared" si="5"/>
        <v>195.08725738525391</v>
      </c>
      <c r="S47">
        <v>46</v>
      </c>
      <c r="T47">
        <f t="shared" si="8"/>
        <v>16</v>
      </c>
      <c r="U47">
        <f t="shared" ca="1" si="9"/>
        <v>180</v>
      </c>
      <c r="V47">
        <f t="shared" ref="V47" ca="1" si="52">OFFSET($Q$1,T47-1,0)</f>
        <v>3.6382727753718043E-2</v>
      </c>
      <c r="W47">
        <v>158.25</v>
      </c>
      <c r="X47" t="e" cm="1">
        <f t="array" ref="X47">DNorm(W47)</f>
        <v>#VALUE!</v>
      </c>
    </row>
    <row r="48" spans="1:24" x14ac:dyDescent="0.3">
      <c r="A48">
        <v>0.41629437103122158</v>
      </c>
      <c r="B48">
        <f t="shared" si="0"/>
        <v>177.46340893661505</v>
      </c>
      <c r="C48">
        <f t="shared" si="4"/>
        <v>177</v>
      </c>
      <c r="D48" cm="1">
        <f t="array" ref="D48">Losuj()</f>
        <v>0.93139910697937012</v>
      </c>
      <c r="E48">
        <f t="shared" si="5"/>
        <v>177.93139910697937</v>
      </c>
      <c r="S48">
        <v>47</v>
      </c>
      <c r="T48">
        <f t="shared" si="8"/>
        <v>16</v>
      </c>
      <c r="U48">
        <f t="shared" ca="1" si="9"/>
        <v>180</v>
      </c>
      <c r="V48">
        <f t="shared" ref="V48" si="53">V45</f>
        <v>0</v>
      </c>
      <c r="W48">
        <v>158.5</v>
      </c>
      <c r="X48" t="e" cm="1">
        <f t="array" ref="X48">DNorm(W48)</f>
        <v>#VALUE!</v>
      </c>
    </row>
    <row r="49" spans="1:24" x14ac:dyDescent="0.3">
      <c r="A49">
        <v>0.49625084817137433</v>
      </c>
      <c r="B49">
        <f t="shared" si="0"/>
        <v>179.88722558022965</v>
      </c>
      <c r="C49">
        <f t="shared" si="4"/>
        <v>180</v>
      </c>
      <c r="D49" cm="1">
        <f t="array" ref="D49">Losuj()</f>
        <v>0.23912602663040161</v>
      </c>
      <c r="E49">
        <f t="shared" si="5"/>
        <v>180.2391260266304</v>
      </c>
      <c r="S49">
        <v>48</v>
      </c>
      <c r="T49">
        <f t="shared" si="8"/>
        <v>16</v>
      </c>
      <c r="U49">
        <f t="shared" ca="1" si="9"/>
        <v>180</v>
      </c>
      <c r="V49">
        <f t="shared" ref="V49" ca="1" si="54">OFFSET($Q$1,T49,0)</f>
        <v>2.598766268122717E-2</v>
      </c>
      <c r="W49">
        <v>158.75</v>
      </c>
      <c r="X49" t="e" cm="1">
        <f t="array" ref="X49">DNorm(W49)</f>
        <v>#VALUE!</v>
      </c>
    </row>
    <row r="50" spans="1:24" x14ac:dyDescent="0.3">
      <c r="A50">
        <v>0.92754519418945258</v>
      </c>
      <c r="B50">
        <f t="shared" si="0"/>
        <v>197.49299360292142</v>
      </c>
      <c r="C50">
        <f t="shared" si="4"/>
        <v>197</v>
      </c>
      <c r="D50" cm="1">
        <f t="array" ref="D50">Losuj()</f>
        <v>0.23197108507156372</v>
      </c>
      <c r="E50">
        <f t="shared" si="5"/>
        <v>197.23197108507156</v>
      </c>
      <c r="S50">
        <v>49</v>
      </c>
      <c r="T50">
        <f t="shared" si="8"/>
        <v>17</v>
      </c>
      <c r="U50">
        <f t="shared" ca="1" si="9"/>
        <v>181.00382080688556</v>
      </c>
      <c r="V50">
        <f t="shared" ref="V50" ca="1" si="55">OFFSET($Q$1,T50-1,0)</f>
        <v>2.598766268122717E-2</v>
      </c>
      <c r="W50">
        <v>159</v>
      </c>
      <c r="X50" t="e" cm="1">
        <f t="array" ref="X50">DNorm(W50)</f>
        <v>#VALUE!</v>
      </c>
    </row>
    <row r="51" spans="1:24" x14ac:dyDescent="0.3">
      <c r="A51">
        <v>0.7388419484120321</v>
      </c>
      <c r="B51">
        <f t="shared" si="0"/>
        <v>187.67735139377521</v>
      </c>
      <c r="C51">
        <f t="shared" si="4"/>
        <v>188</v>
      </c>
      <c r="D51" cm="1">
        <f t="array" ref="D51">Losuj()</f>
        <v>0.35557752847671509</v>
      </c>
      <c r="E51">
        <f t="shared" si="5"/>
        <v>188.35557752847672</v>
      </c>
      <c r="S51">
        <v>50</v>
      </c>
      <c r="T51">
        <f t="shared" si="8"/>
        <v>17</v>
      </c>
      <c r="U51">
        <f t="shared" ca="1" si="9"/>
        <v>181.00382080688556</v>
      </c>
      <c r="V51">
        <f t="shared" ref="V51" si="56">V48</f>
        <v>0</v>
      </c>
      <c r="W51">
        <v>159.25</v>
      </c>
      <c r="X51" t="e" cm="1">
        <f t="array" ref="X51">DNorm(W51)</f>
        <v>#VALUE!</v>
      </c>
    </row>
    <row r="52" spans="1:24" x14ac:dyDescent="0.3">
      <c r="A52">
        <v>0.55290035725466402</v>
      </c>
      <c r="B52">
        <f t="shared" si="0"/>
        <v>181.59591040138156</v>
      </c>
      <c r="C52">
        <f t="shared" si="4"/>
        <v>182</v>
      </c>
      <c r="D52" cm="1">
        <f t="array" ref="D52">Losuj()</f>
        <v>7.8752696514129639E-2</v>
      </c>
      <c r="E52">
        <f t="shared" si="5"/>
        <v>182.07875269651413</v>
      </c>
      <c r="S52">
        <v>51</v>
      </c>
      <c r="T52">
        <f t="shared" si="8"/>
        <v>17</v>
      </c>
      <c r="U52">
        <f t="shared" ca="1" si="9"/>
        <v>181.00382080688556</v>
      </c>
      <c r="V52">
        <f t="shared" ref="V52" ca="1" si="57">OFFSET($Q$1,T52,0)</f>
        <v>1.7203659720504198E-2</v>
      </c>
      <c r="W52">
        <v>159.5</v>
      </c>
      <c r="X52" t="e" cm="1">
        <f t="array" ref="X52">DNorm(W52)</f>
        <v>#VALUE!</v>
      </c>
    </row>
    <row r="53" spans="1:24" x14ac:dyDescent="0.3">
      <c r="A53">
        <v>0.68354133684001472</v>
      </c>
      <c r="B53">
        <f t="shared" si="0"/>
        <v>185.73149675679946</v>
      </c>
      <c r="C53">
        <f t="shared" si="4"/>
        <v>186</v>
      </c>
      <c r="D53" cm="1">
        <f t="array" ref="D53">Losuj()</f>
        <v>0.3430553674697876</v>
      </c>
      <c r="E53">
        <f t="shared" si="5"/>
        <v>186.34305536746979</v>
      </c>
      <c r="S53">
        <v>52</v>
      </c>
      <c r="T53">
        <f t="shared" si="8"/>
        <v>18</v>
      </c>
      <c r="U53">
        <f t="shared" ca="1" si="9"/>
        <v>182.01472805745726</v>
      </c>
      <c r="V53">
        <f t="shared" ref="V53" ca="1" si="58">OFFSET($Q$1,T53-1,0)</f>
        <v>1.7203659720504198E-2</v>
      </c>
      <c r="W53">
        <v>159.75</v>
      </c>
      <c r="X53" t="e" cm="1">
        <f t="array" ref="X53">DNorm(W53)</f>
        <v>#VALUE!</v>
      </c>
    </row>
    <row r="54" spans="1:24" x14ac:dyDescent="0.3">
      <c r="A54">
        <v>0.26658797425520342</v>
      </c>
      <c r="B54">
        <f t="shared" si="0"/>
        <v>172.5220172505544</v>
      </c>
      <c r="C54">
        <f t="shared" si="4"/>
        <v>173</v>
      </c>
      <c r="D54" cm="1">
        <f t="array" ref="D54">Losuj()</f>
        <v>0.86162036657333374</v>
      </c>
      <c r="E54">
        <f t="shared" si="5"/>
        <v>173.86162036657333</v>
      </c>
      <c r="S54">
        <v>53</v>
      </c>
      <c r="T54">
        <f t="shared" si="8"/>
        <v>18</v>
      </c>
      <c r="U54">
        <f t="shared" ca="1" si="9"/>
        <v>182.01472805745726</v>
      </c>
      <c r="V54">
        <f t="shared" ref="V54" si="59">V51</f>
        <v>0</v>
      </c>
      <c r="W54">
        <v>160</v>
      </c>
      <c r="X54" t="e" cm="1">
        <f t="array" ref="X54">DNorm(W54)</f>
        <v>#VALUE!</v>
      </c>
    </row>
    <row r="55" spans="1:24" x14ac:dyDescent="0.3">
      <c r="A55">
        <v>0.72136079394921293</v>
      </c>
      <c r="B55">
        <f t="shared" si="0"/>
        <v>187.0426652463147</v>
      </c>
      <c r="C55">
        <f t="shared" si="4"/>
        <v>187</v>
      </c>
      <c r="D55" cm="1">
        <f t="array" ref="D55">Losuj()</f>
        <v>6.8551480770111084E-2</v>
      </c>
      <c r="E55">
        <f t="shared" si="5"/>
        <v>187.06855148077011</v>
      </c>
      <c r="S55">
        <v>54</v>
      </c>
      <c r="T55">
        <f t="shared" si="8"/>
        <v>18</v>
      </c>
      <c r="U55">
        <f t="shared" ca="1" si="9"/>
        <v>182.01472805745726</v>
      </c>
      <c r="V55">
        <f t="shared" ref="V55" ca="1" si="60">OFFSET($Q$1,T55,0)</f>
        <v>4.0703742015447533E-2</v>
      </c>
      <c r="W55">
        <v>160.25</v>
      </c>
      <c r="X55" t="e" cm="1">
        <f t="array" ref="X55">DNorm(W55)</f>
        <v>#VALUE!</v>
      </c>
    </row>
    <row r="56" spans="1:24" x14ac:dyDescent="0.3">
      <c r="A56">
        <v>0.75956995277425354</v>
      </c>
      <c r="B56">
        <f t="shared" si="0"/>
        <v>188.45903862263484</v>
      </c>
      <c r="C56">
        <f t="shared" si="4"/>
        <v>188</v>
      </c>
      <c r="D56" cm="1">
        <f t="array" ref="D56">Losuj()</f>
        <v>7.8122615814208984E-3</v>
      </c>
      <c r="E56">
        <f t="shared" si="5"/>
        <v>188.00781226158142</v>
      </c>
      <c r="S56">
        <v>55</v>
      </c>
      <c r="T56">
        <f t="shared" si="8"/>
        <v>19</v>
      </c>
      <c r="U56">
        <f t="shared" ca="1" si="9"/>
        <v>183.04016523762959</v>
      </c>
      <c r="V56">
        <f t="shared" ref="V56" ca="1" si="61">OFFSET($Q$1,T56-1,0)</f>
        <v>4.0703742015447533E-2</v>
      </c>
      <c r="W56">
        <v>160.5</v>
      </c>
      <c r="X56" t="e" cm="1">
        <f t="array" ref="X56">DNorm(W56)</f>
        <v>#VALUE!</v>
      </c>
    </row>
    <row r="57" spans="1:24" x14ac:dyDescent="0.3">
      <c r="A57">
        <v>0.70173301770959395</v>
      </c>
      <c r="B57">
        <f t="shared" si="0"/>
        <v>186.35269676876177</v>
      </c>
      <c r="C57">
        <f t="shared" si="4"/>
        <v>186</v>
      </c>
      <c r="D57" cm="1">
        <f t="array" ref="D57">Losuj()</f>
        <v>5.2632272243499756E-2</v>
      </c>
      <c r="E57">
        <f t="shared" si="5"/>
        <v>186.0526322722435</v>
      </c>
      <c r="S57">
        <v>56</v>
      </c>
      <c r="T57">
        <f t="shared" si="8"/>
        <v>19</v>
      </c>
      <c r="U57">
        <f t="shared" ca="1" si="9"/>
        <v>183.04016523762959</v>
      </c>
      <c r="V57">
        <f t="shared" ref="V57" si="62">V54</f>
        <v>0</v>
      </c>
      <c r="W57">
        <v>160.75</v>
      </c>
      <c r="X57" t="e" cm="1">
        <f t="array" ref="X57">DNorm(W57)</f>
        <v>#VALUE!</v>
      </c>
    </row>
    <row r="58" spans="1:24" x14ac:dyDescent="0.3">
      <c r="A58">
        <v>6.9262185457556913E-2</v>
      </c>
      <c r="B58">
        <f t="shared" si="0"/>
        <v>162.22429738865574</v>
      </c>
      <c r="C58">
        <f t="shared" si="4"/>
        <v>162</v>
      </c>
      <c r="D58" cm="1">
        <f t="array" ref="D58">Losuj()</f>
        <v>0.4237932562828064</v>
      </c>
      <c r="E58">
        <f t="shared" si="5"/>
        <v>162.42379325628281</v>
      </c>
      <c r="S58">
        <v>57</v>
      </c>
      <c r="T58">
        <f t="shared" si="8"/>
        <v>19</v>
      </c>
      <c r="U58">
        <f t="shared" ca="1" si="9"/>
        <v>183.04016523762959</v>
      </c>
      <c r="V58">
        <f t="shared" ref="V58" ca="1" si="63">OFFSET($Q$1,T58,0)</f>
        <v>3.8161650727903049E-2</v>
      </c>
      <c r="W58">
        <v>161</v>
      </c>
      <c r="X58" t="e" cm="1">
        <f t="array" ref="X58">DNorm(W58)</f>
        <v>#VALUE!</v>
      </c>
    </row>
    <row r="59" spans="1:24" x14ac:dyDescent="0.3">
      <c r="A59">
        <v>0.75614813593987185</v>
      </c>
      <c r="B59">
        <f t="shared" si="0"/>
        <v>188.327588236298</v>
      </c>
      <c r="C59">
        <f t="shared" si="4"/>
        <v>188</v>
      </c>
      <c r="D59" cm="1">
        <f t="array" ref="D59">Losuj()</f>
        <v>0.13563632965087891</v>
      </c>
      <c r="E59">
        <f t="shared" si="5"/>
        <v>188.13563632965088</v>
      </c>
      <c r="S59">
        <v>58</v>
      </c>
      <c r="T59">
        <f t="shared" si="8"/>
        <v>20</v>
      </c>
      <c r="U59">
        <f t="shared" ca="1" si="9"/>
        <v>184.08833792505354</v>
      </c>
      <c r="V59">
        <f t="shared" ref="V59" ca="1" si="64">OFFSET($Q$1,T59-1,0)</f>
        <v>3.8161650727903049E-2</v>
      </c>
      <c r="W59">
        <v>161.25</v>
      </c>
      <c r="X59" t="e" cm="1">
        <f t="array" ref="X59">DNorm(W59)</f>
        <v>#VALUE!</v>
      </c>
    </row>
    <row r="60" spans="1:24" x14ac:dyDescent="0.3">
      <c r="A60">
        <v>0.44316757290887754</v>
      </c>
      <c r="B60">
        <f t="shared" si="0"/>
        <v>178.28468320468201</v>
      </c>
      <c r="C60">
        <f t="shared" si="4"/>
        <v>178</v>
      </c>
      <c r="D60" cm="1">
        <f t="array" ref="D60">Losuj()</f>
        <v>0.62992399930953979</v>
      </c>
      <c r="E60">
        <f t="shared" si="5"/>
        <v>178.62992399930954</v>
      </c>
      <c r="S60">
        <v>59</v>
      </c>
      <c r="T60">
        <f t="shared" si="8"/>
        <v>20</v>
      </c>
      <c r="U60">
        <f t="shared" ca="1" si="9"/>
        <v>184.08833792505354</v>
      </c>
      <c r="V60">
        <f t="shared" ref="V60" si="65">V57</f>
        <v>0</v>
      </c>
      <c r="W60">
        <v>161.5</v>
      </c>
      <c r="X60" t="e" cm="1">
        <f t="array" ref="X60">DNorm(W60)</f>
        <v>#VALUE!</v>
      </c>
    </row>
    <row r="61" spans="1:24" x14ac:dyDescent="0.3">
      <c r="A61">
        <v>0.61668442180247041</v>
      </c>
      <c r="B61">
        <f t="shared" si="0"/>
        <v>183.56141216772113</v>
      </c>
      <c r="C61">
        <f t="shared" si="4"/>
        <v>184</v>
      </c>
      <c r="D61" cm="1">
        <f t="array" ref="D61">Losuj()</f>
        <v>0.63302290439605713</v>
      </c>
      <c r="E61">
        <f t="shared" si="5"/>
        <v>184.63302290439606</v>
      </c>
      <c r="S61">
        <v>60</v>
      </c>
      <c r="T61">
        <f t="shared" si="8"/>
        <v>20</v>
      </c>
      <c r="U61">
        <f t="shared" ca="1" si="9"/>
        <v>184.08833792505354</v>
      </c>
      <c r="V61">
        <f t="shared" ref="V61" ca="1" si="66">OFFSET($Q$1,T61,0)</f>
        <v>2.2536152318093149E-2</v>
      </c>
      <c r="W61">
        <v>161.75</v>
      </c>
      <c r="X61" t="e" cm="1">
        <f t="array" ref="X61">DNorm(W61)</f>
        <v>#VALUE!</v>
      </c>
    </row>
    <row r="62" spans="1:24" x14ac:dyDescent="0.3">
      <c r="A62">
        <v>3.9326149869122085E-2</v>
      </c>
      <c r="B62">
        <f t="shared" si="0"/>
        <v>158.89728195346751</v>
      </c>
      <c r="C62">
        <f t="shared" si="4"/>
        <v>159</v>
      </c>
      <c r="D62" cm="1">
        <f t="array" ref="D62">Losuj()</f>
        <v>0.25591117143630981</v>
      </c>
      <c r="E62">
        <f t="shared" si="5"/>
        <v>159.25591117143631</v>
      </c>
      <c r="S62">
        <v>61</v>
      </c>
      <c r="T62">
        <f t="shared" si="8"/>
        <v>21</v>
      </c>
      <c r="U62">
        <f t="shared" ca="1" si="9"/>
        <v>185.16872759154549</v>
      </c>
      <c r="V62">
        <f t="shared" ref="V62" ca="1" si="67">OFFSET($Q$1,T62-1,0)</f>
        <v>2.2536152318093149E-2</v>
      </c>
      <c r="W62">
        <v>162</v>
      </c>
      <c r="X62" t="e" cm="1">
        <f t="array" ref="X62">DNorm(W62)</f>
        <v>#VALUE!</v>
      </c>
    </row>
    <row r="63" spans="1:24" x14ac:dyDescent="0.3">
      <c r="A63">
        <v>0.10290325883749751</v>
      </c>
      <c r="B63">
        <f t="shared" si="0"/>
        <v>164.81783020541454</v>
      </c>
      <c r="C63">
        <f t="shared" si="4"/>
        <v>165</v>
      </c>
      <c r="D63" cm="1">
        <f t="array" ref="D63">Losuj()</f>
        <v>0.76786571741104126</v>
      </c>
      <c r="E63">
        <f t="shared" si="5"/>
        <v>165.76786571741104</v>
      </c>
      <c r="S63">
        <v>62</v>
      </c>
      <c r="T63">
        <f t="shared" si="8"/>
        <v>21</v>
      </c>
      <c r="U63">
        <f t="shared" ca="1" si="9"/>
        <v>185.16872759154549</v>
      </c>
      <c r="V63">
        <f t="shared" ref="V63" si="68">V60</f>
        <v>0</v>
      </c>
      <c r="W63">
        <v>162.25</v>
      </c>
      <c r="X63" t="e" cm="1">
        <f t="array" ref="X63">DNorm(W63)</f>
        <v>#VALUE!</v>
      </c>
    </row>
    <row r="64" spans="1:24" x14ac:dyDescent="0.3">
      <c r="A64">
        <v>0.14750026486792656</v>
      </c>
      <c r="B64">
        <f t="shared" si="0"/>
        <v>167.4334226316885</v>
      </c>
      <c r="C64">
        <f t="shared" si="4"/>
        <v>167</v>
      </c>
      <c r="D64" cm="1">
        <f t="array" ref="D64">Losuj()</f>
        <v>0.58282673358917236</v>
      </c>
      <c r="E64">
        <f t="shared" si="5"/>
        <v>167.58282673358917</v>
      </c>
      <c r="S64">
        <v>63</v>
      </c>
      <c r="T64">
        <f t="shared" si="8"/>
        <v>21</v>
      </c>
      <c r="U64">
        <f t="shared" ca="1" si="9"/>
        <v>185.16872759154549</v>
      </c>
      <c r="V64">
        <f t="shared" ref="V64" ca="1" si="69">OFFSET($Q$1,T64,0)</f>
        <v>4.3320506115440013E-2</v>
      </c>
      <c r="W64">
        <v>162.5</v>
      </c>
      <c r="X64" t="e" cm="1">
        <f t="array" ref="X64">DNorm(W64)</f>
        <v>#VALUE!</v>
      </c>
    </row>
    <row r="65" spans="1:24" x14ac:dyDescent="0.3">
      <c r="A65">
        <v>0.48248013968170822</v>
      </c>
      <c r="B65">
        <f t="shared" si="0"/>
        <v>179.47284116712703</v>
      </c>
      <c r="C65">
        <f t="shared" si="4"/>
        <v>179</v>
      </c>
      <c r="D65" cm="1">
        <f t="array" ref="D65">Losuj()</f>
        <v>7.0524156093597412E-2</v>
      </c>
      <c r="E65">
        <f t="shared" si="5"/>
        <v>179.0705241560936</v>
      </c>
      <c r="S65">
        <v>64</v>
      </c>
      <c r="T65">
        <f t="shared" si="8"/>
        <v>22</v>
      </c>
      <c r="U65">
        <f t="shared" ca="1" si="9"/>
        <v>186.2928061524965</v>
      </c>
      <c r="V65">
        <f t="shared" ref="V65" ca="1" si="70">OFFSET($Q$1,T65-1,0)</f>
        <v>4.3320506115440013E-2</v>
      </c>
      <c r="W65">
        <v>162.75</v>
      </c>
      <c r="X65" t="e" cm="1">
        <f t="array" ref="X65">DNorm(W65)</f>
        <v>#VALUE!</v>
      </c>
    </row>
    <row r="66" spans="1:24" x14ac:dyDescent="0.3">
      <c r="A66">
        <v>0.73491741660341703</v>
      </c>
      <c r="B66">
        <f t="shared" ref="B66:B129" si="71">_xlfn.NORM.INV(A66,_mu,_sigma)</f>
        <v>187.53304685837301</v>
      </c>
      <c r="C66">
        <f t="shared" si="4"/>
        <v>188</v>
      </c>
      <c r="D66" cm="1">
        <f t="array" ref="D66">Losuj()</f>
        <v>0.30662941932678223</v>
      </c>
      <c r="E66">
        <f t="shared" si="5"/>
        <v>188.30662941932678</v>
      </c>
      <c r="S66">
        <v>65</v>
      </c>
      <c r="T66">
        <f t="shared" si="8"/>
        <v>22</v>
      </c>
      <c r="U66">
        <f t="shared" ca="1" si="9"/>
        <v>186.2928061524965</v>
      </c>
      <c r="V66">
        <f t="shared" ref="V66" si="72">V63</f>
        <v>0</v>
      </c>
      <c r="W66">
        <v>163</v>
      </c>
      <c r="X66" t="e" cm="1">
        <f t="array" ref="X66">DNorm(W66)</f>
        <v>#VALUE!</v>
      </c>
    </row>
    <row r="67" spans="1:24" x14ac:dyDescent="0.3">
      <c r="A67">
        <v>0.34625961598306298</v>
      </c>
      <c r="B67">
        <f t="shared" si="71"/>
        <v>175.25473688466897</v>
      </c>
      <c r="C67">
        <f t="shared" ref="C67:C130" si="73">INT(B67+1/2)</f>
        <v>175</v>
      </c>
      <c r="D67" cm="1">
        <f t="array" ref="D67">Losuj()</f>
        <v>0.26992702484130859</v>
      </c>
      <c r="E67">
        <f t="shared" ref="E67:E130" si="74">C67+D67</f>
        <v>175.26992702484131</v>
      </c>
      <c r="S67">
        <v>66</v>
      </c>
      <c r="T67">
        <f t="shared" ref="T67:T94" si="75">ROUNDUP(S67/3,0)</f>
        <v>22</v>
      </c>
      <c r="U67">
        <f t="shared" ref="U67:U94" ca="1" si="76">OFFSET($K$1,T67,0)</f>
        <v>186.2928061524965</v>
      </c>
      <c r="V67">
        <f t="shared" ref="V67" ca="1" si="77">OFFSET($Q$1,T67,0)</f>
        <v>2.9419381190537792E-2</v>
      </c>
      <c r="W67">
        <v>163.25</v>
      </c>
      <c r="X67" t="e" cm="1">
        <f t="array" ref="X67">DNorm(W67)</f>
        <v>#VALUE!</v>
      </c>
    </row>
    <row r="68" spans="1:24" x14ac:dyDescent="0.3">
      <c r="A68">
        <v>0.27481169037852105</v>
      </c>
      <c r="B68">
        <f t="shared" si="71"/>
        <v>172.82010507669335</v>
      </c>
      <c r="C68">
        <f t="shared" si="73"/>
        <v>173</v>
      </c>
      <c r="D68" cm="1">
        <f t="array" ref="D68">Losuj()</f>
        <v>0.95312899351119995</v>
      </c>
      <c r="E68">
        <f t="shared" si="74"/>
        <v>173.9531289935112</v>
      </c>
      <c r="S68">
        <v>67</v>
      </c>
      <c r="T68">
        <f t="shared" si="75"/>
        <v>23</v>
      </c>
      <c r="U68">
        <f t="shared" ca="1" si="76"/>
        <v>187.47510867852105</v>
      </c>
      <c r="V68">
        <f t="shared" ref="V68" ca="1" si="78">OFFSET($Q$1,T68-1,0)</f>
        <v>2.9419381190537792E-2</v>
      </c>
      <c r="W68">
        <v>163.5</v>
      </c>
      <c r="X68" t="e" cm="1">
        <f t="array" ref="X68">DNorm(W68)</f>
        <v>#VALUE!</v>
      </c>
    </row>
    <row r="69" spans="1:24" x14ac:dyDescent="0.3">
      <c r="A69">
        <v>0.28236499832128636</v>
      </c>
      <c r="B69">
        <f t="shared" si="71"/>
        <v>173.09003827605108</v>
      </c>
      <c r="C69">
        <f t="shared" si="73"/>
        <v>173</v>
      </c>
      <c r="D69" cm="1">
        <f t="array" ref="D69">Losuj()</f>
        <v>0.20430564880371094</v>
      </c>
      <c r="E69">
        <f t="shared" si="74"/>
        <v>173.20430564880371</v>
      </c>
      <c r="S69">
        <v>68</v>
      </c>
      <c r="T69">
        <f t="shared" si="75"/>
        <v>23</v>
      </c>
      <c r="U69">
        <f t="shared" ca="1" si="76"/>
        <v>187.47510867852105</v>
      </c>
      <c r="V69">
        <f t="shared" ref="V69" si="79">V66</f>
        <v>0</v>
      </c>
      <c r="W69">
        <v>163.75</v>
      </c>
      <c r="X69" t="e" cm="1">
        <f t="array" ref="X69">DNorm(W69)</f>
        <v>#VALUE!</v>
      </c>
    </row>
    <row r="70" spans="1:24" x14ac:dyDescent="0.3">
      <c r="A70">
        <v>0.24775672161796924</v>
      </c>
      <c r="B70">
        <f t="shared" si="71"/>
        <v>171.82120843914771</v>
      </c>
      <c r="C70">
        <f t="shared" si="73"/>
        <v>172</v>
      </c>
      <c r="D70" cm="1">
        <f t="array" ref="D70">Losuj()</f>
        <v>0.64769786596298218</v>
      </c>
      <c r="E70">
        <f t="shared" si="74"/>
        <v>172.64769786596298</v>
      </c>
      <c r="S70">
        <v>69</v>
      </c>
      <c r="T70">
        <f t="shared" si="75"/>
        <v>23</v>
      </c>
      <c r="U70">
        <f t="shared" ca="1" si="76"/>
        <v>187.47510867852105</v>
      </c>
      <c r="V70">
        <f t="shared" ref="V70" ca="1" si="80">OFFSET($Q$1,T70,0)</f>
        <v>3.1749791020602762E-2</v>
      </c>
      <c r="W70">
        <v>164</v>
      </c>
      <c r="X70" t="e" cm="1">
        <f t="array" ref="X70">DNorm(W70)</f>
        <v>#VALUE!</v>
      </c>
    </row>
    <row r="71" spans="1:24" x14ac:dyDescent="0.3">
      <c r="A71">
        <v>0.22570898151717156</v>
      </c>
      <c r="B71">
        <f t="shared" si="71"/>
        <v>170.96336194431032</v>
      </c>
      <c r="C71">
        <f t="shared" si="73"/>
        <v>171</v>
      </c>
      <c r="D71" cm="1">
        <f t="array" ref="D71">Losuj()</f>
        <v>0.11843734979629517</v>
      </c>
      <c r="E71">
        <f t="shared" si="74"/>
        <v>171.1184373497963</v>
      </c>
      <c r="S71">
        <v>70</v>
      </c>
      <c r="T71">
        <f t="shared" si="75"/>
        <v>24</v>
      </c>
      <c r="U71">
        <f t="shared" ca="1" si="76"/>
        <v>188.73495949057974</v>
      </c>
      <c r="V71">
        <f t="shared" ref="V71" ca="1" si="81">OFFSET($Q$1,T71-1,0)</f>
        <v>3.1749791020602762E-2</v>
      </c>
      <c r="W71">
        <v>164.25</v>
      </c>
      <c r="X71" t="e" cm="1">
        <f t="array" ref="X71">DNorm(W71)</f>
        <v>#VALUE!</v>
      </c>
    </row>
    <row r="72" spans="1:24" x14ac:dyDescent="0.3">
      <c r="A72">
        <v>0.34702014565708872</v>
      </c>
      <c r="B72">
        <f t="shared" si="71"/>
        <v>175.27946359729833</v>
      </c>
      <c r="C72">
        <f t="shared" si="73"/>
        <v>175</v>
      </c>
      <c r="D72" cm="1">
        <f t="array" ref="D72">Losuj()</f>
        <v>5.1255941390991211E-2</v>
      </c>
      <c r="E72">
        <f t="shared" si="74"/>
        <v>175.05125594139099</v>
      </c>
      <c r="S72">
        <v>71</v>
      </c>
      <c r="T72">
        <f t="shared" si="75"/>
        <v>24</v>
      </c>
      <c r="U72">
        <f t="shared" ca="1" si="76"/>
        <v>188.73495949057974</v>
      </c>
      <c r="V72">
        <f t="shared" ref="V72" si="82">V69</f>
        <v>0</v>
      </c>
      <c r="W72">
        <v>164.5</v>
      </c>
      <c r="X72" t="e" cm="1">
        <f t="array" ref="X72">DNorm(W72)</f>
        <v>#VALUE!</v>
      </c>
    </row>
    <row r="73" spans="1:24" x14ac:dyDescent="0.3">
      <c r="A73">
        <v>0.14064307553280542</v>
      </c>
      <c r="B73">
        <f t="shared" si="71"/>
        <v>167.07078473383334</v>
      </c>
      <c r="C73">
        <f t="shared" si="73"/>
        <v>167</v>
      </c>
      <c r="D73" cm="1">
        <f t="array" ref="D73">Losuj()</f>
        <v>0.89597016572952271</v>
      </c>
      <c r="E73">
        <f t="shared" si="74"/>
        <v>167.89597016572952</v>
      </c>
      <c r="S73">
        <v>72</v>
      </c>
      <c r="T73">
        <f t="shared" si="75"/>
        <v>24</v>
      </c>
      <c r="U73">
        <f t="shared" ca="1" si="76"/>
        <v>188.73495949057974</v>
      </c>
      <c r="V73">
        <f t="shared" ref="V73" ca="1" si="83">OFFSET($Q$1,T73,0)</f>
        <v>2.6765749065858477E-2</v>
      </c>
      <c r="W73">
        <v>164.75</v>
      </c>
      <c r="X73" t="e" cm="1">
        <f t="array" ref="X73">DNorm(W73)</f>
        <v>#VALUE!</v>
      </c>
    </row>
    <row r="74" spans="1:24" x14ac:dyDescent="0.3">
      <c r="A74">
        <v>0.88113536598095665</v>
      </c>
      <c r="B74">
        <f t="shared" si="71"/>
        <v>194.1681781635906</v>
      </c>
      <c r="C74">
        <f t="shared" si="73"/>
        <v>194</v>
      </c>
      <c r="D74" cm="1">
        <f t="array" ref="D74">Losuj()</f>
        <v>0.23562759160995483</v>
      </c>
      <c r="E74">
        <f t="shared" si="74"/>
        <v>194.23562759160995</v>
      </c>
      <c r="S74">
        <v>73</v>
      </c>
      <c r="T74">
        <f t="shared" si="75"/>
        <v>25</v>
      </c>
      <c r="U74">
        <f t="shared" ca="1" si="76"/>
        <v>190.09945480287499</v>
      </c>
      <c r="V74">
        <f t="shared" ref="V74" ca="1" si="84">OFFSET($Q$1,T74-1,0)</f>
        <v>2.6765749065858477E-2</v>
      </c>
      <c r="W74">
        <v>165</v>
      </c>
      <c r="X74" t="e" cm="1">
        <f t="array" ref="X74">DNorm(W74)</f>
        <v>#VALUE!</v>
      </c>
    </row>
    <row r="75" spans="1:24" x14ac:dyDescent="0.3">
      <c r="A75">
        <v>0.18072348538018213</v>
      </c>
      <c r="B75">
        <f t="shared" si="71"/>
        <v>169.04866352517735</v>
      </c>
      <c r="C75">
        <f t="shared" si="73"/>
        <v>169</v>
      </c>
      <c r="D75" cm="1">
        <f t="array" ref="D75">Losuj()</f>
        <v>0.52894675731658936</v>
      </c>
      <c r="E75">
        <f t="shared" si="74"/>
        <v>169.52894675731659</v>
      </c>
      <c r="S75">
        <v>74</v>
      </c>
      <c r="T75">
        <f t="shared" si="75"/>
        <v>25</v>
      </c>
      <c r="U75">
        <f t="shared" ca="1" si="76"/>
        <v>190.09945480287499</v>
      </c>
      <c r="V75">
        <f t="shared" ref="V75" si="85">V72</f>
        <v>0</v>
      </c>
      <c r="W75">
        <v>165.25</v>
      </c>
      <c r="X75" t="e" cm="1">
        <f t="array" ref="X75">DNorm(W75)</f>
        <v>#VALUE!</v>
      </c>
    </row>
    <row r="76" spans="1:24" x14ac:dyDescent="0.3">
      <c r="A76">
        <v>0.55285050038404782</v>
      </c>
      <c r="B76">
        <f t="shared" si="71"/>
        <v>181.59439742119028</v>
      </c>
      <c r="C76">
        <f t="shared" si="73"/>
        <v>182</v>
      </c>
      <c r="D76" cm="1">
        <f t="array" ref="D76">Losuj()</f>
        <v>0.28577607870101929</v>
      </c>
      <c r="E76">
        <f t="shared" si="74"/>
        <v>182.28577607870102</v>
      </c>
      <c r="S76">
        <v>75</v>
      </c>
      <c r="T76">
        <f t="shared" si="75"/>
        <v>25</v>
      </c>
      <c r="U76">
        <f t="shared" ca="1" si="76"/>
        <v>190.09945480287499</v>
      </c>
      <c r="V76">
        <f t="shared" ref="V76" ca="1" si="86">OFFSET($Q$1,T76,0)</f>
        <v>2.0736794567510344E-2</v>
      </c>
      <c r="W76">
        <v>165.5</v>
      </c>
      <c r="X76" t="e" cm="1">
        <f t="array" ref="X76">DNorm(W76)</f>
        <v>#VALUE!</v>
      </c>
    </row>
    <row r="77" spans="1:24" x14ac:dyDescent="0.3">
      <c r="A77">
        <v>0.42456675794241672</v>
      </c>
      <c r="B77">
        <f t="shared" si="71"/>
        <v>177.71731063231849</v>
      </c>
      <c r="C77">
        <f t="shared" si="73"/>
        <v>178</v>
      </c>
      <c r="D77" cm="1">
        <f t="array" ref="D77">Losuj()</f>
        <v>0.32695883512496948</v>
      </c>
      <c r="E77">
        <f t="shared" si="74"/>
        <v>178.32695883512497</v>
      </c>
      <c r="S77">
        <v>76</v>
      </c>
      <c r="T77">
        <f t="shared" si="75"/>
        <v>26</v>
      </c>
      <c r="U77">
        <f t="shared" ca="1" si="76"/>
        <v>191.60905879322041</v>
      </c>
      <c r="V77">
        <f t="shared" ref="V77" ca="1" si="87">OFFSET($Q$1,T77-1,0)</f>
        <v>2.0736794567510344E-2</v>
      </c>
      <c r="W77">
        <v>165.75</v>
      </c>
      <c r="X77" t="e" cm="1">
        <f t="array" ref="X77">DNorm(W77)</f>
        <v>#VALUE!</v>
      </c>
    </row>
    <row r="78" spans="1:24" x14ac:dyDescent="0.3">
      <c r="A78">
        <v>0.31898623183284625</v>
      </c>
      <c r="B78">
        <f t="shared" si="71"/>
        <v>174.35357376922673</v>
      </c>
      <c r="C78">
        <f t="shared" si="73"/>
        <v>174</v>
      </c>
      <c r="D78" cm="1">
        <f t="array" ref="D78">Losuj()</f>
        <v>0.15125507116317749</v>
      </c>
      <c r="E78">
        <f t="shared" si="74"/>
        <v>174.15125507116318</v>
      </c>
      <c r="S78">
        <v>77</v>
      </c>
      <c r="T78">
        <f t="shared" si="75"/>
        <v>26</v>
      </c>
      <c r="U78">
        <f t="shared" ca="1" si="76"/>
        <v>191.60905879322041</v>
      </c>
      <c r="V78">
        <f t="shared" ref="V78" si="88">V75</f>
        <v>0</v>
      </c>
      <c r="W78">
        <v>166</v>
      </c>
      <c r="X78" t="e" cm="1">
        <f t="array" ref="X78">DNorm(W78)</f>
        <v>#VALUE!</v>
      </c>
    </row>
    <row r="79" spans="1:24" x14ac:dyDescent="0.3">
      <c r="A79">
        <v>0.1142673924926324</v>
      </c>
      <c r="B79">
        <f t="shared" si="71"/>
        <v>165.55029867264236</v>
      </c>
      <c r="C79">
        <f t="shared" si="73"/>
        <v>166</v>
      </c>
      <c r="D79" cm="1">
        <f t="array" ref="D79">Losuj()</f>
        <v>0.66487163305282593</v>
      </c>
      <c r="E79">
        <f t="shared" si="74"/>
        <v>166.66487163305283</v>
      </c>
      <c r="S79">
        <v>78</v>
      </c>
      <c r="T79">
        <f t="shared" si="75"/>
        <v>26</v>
      </c>
      <c r="U79">
        <f t="shared" ca="1" si="76"/>
        <v>191.60905879322041</v>
      </c>
      <c r="V79">
        <f t="shared" ref="V79" ca="1" si="89">OFFSET($Q$1,T79,0)</f>
        <v>1.7187075321881417E-2</v>
      </c>
      <c r="W79">
        <v>166.25</v>
      </c>
      <c r="X79" t="e" cm="1">
        <f t="array" ref="X79">DNorm(W79)</f>
        <v>#VALUE!</v>
      </c>
    </row>
    <row r="80" spans="1:24" x14ac:dyDescent="0.3">
      <c r="A80">
        <v>0.20283169348990215</v>
      </c>
      <c r="B80">
        <f t="shared" si="71"/>
        <v>170.02140833905128</v>
      </c>
      <c r="C80">
        <f t="shared" si="73"/>
        <v>170</v>
      </c>
      <c r="D80" cm="1">
        <f t="array" ref="D80">Losuj()</f>
        <v>0.99073207378387451</v>
      </c>
      <c r="E80">
        <f t="shared" si="74"/>
        <v>170.99073207378387</v>
      </c>
      <c r="S80">
        <v>79</v>
      </c>
      <c r="T80">
        <f t="shared" si="75"/>
        <v>27</v>
      </c>
      <c r="U80">
        <f t="shared" ca="1" si="76"/>
        <v>193.32925939964144</v>
      </c>
      <c r="V80">
        <f t="shared" ref="V80" ca="1" si="90">OFFSET($Q$1,T80-1,0)</f>
        <v>1.7187075321881417E-2</v>
      </c>
      <c r="W80">
        <v>166.5</v>
      </c>
      <c r="X80" t="e" cm="1">
        <f t="array" ref="X80">DNorm(W80)</f>
        <v>#VALUE!</v>
      </c>
    </row>
    <row r="81" spans="1:24" x14ac:dyDescent="0.3">
      <c r="A81">
        <v>0.44400571641422337</v>
      </c>
      <c r="B81">
        <f t="shared" si="71"/>
        <v>178.31014921589872</v>
      </c>
      <c r="C81">
        <f t="shared" si="73"/>
        <v>178</v>
      </c>
      <c r="D81" cm="1">
        <f t="array" ref="D81">Losuj()</f>
        <v>0.39444619417190552</v>
      </c>
      <c r="E81">
        <f t="shared" si="74"/>
        <v>178.39444619417191</v>
      </c>
      <c r="S81">
        <v>80</v>
      </c>
      <c r="T81">
        <f t="shared" si="75"/>
        <v>27</v>
      </c>
      <c r="U81">
        <f t="shared" ca="1" si="76"/>
        <v>193.32925939964144</v>
      </c>
      <c r="V81">
        <f t="shared" ref="V81" si="91">V78</f>
        <v>0</v>
      </c>
      <c r="W81">
        <v>166.75</v>
      </c>
      <c r="X81" t="e" cm="1">
        <f t="array" ref="X81">DNorm(W81)</f>
        <v>#VALUE!</v>
      </c>
    </row>
    <row r="82" spans="1:24" x14ac:dyDescent="0.3">
      <c r="A82">
        <v>0.88786427108272681</v>
      </c>
      <c r="B82">
        <f t="shared" si="71"/>
        <v>194.58297789901133</v>
      </c>
      <c r="C82">
        <f t="shared" si="73"/>
        <v>195</v>
      </c>
      <c r="D82" cm="1">
        <f t="array" ref="D82">Losuj()</f>
        <v>0.84978318214416504</v>
      </c>
      <c r="E82">
        <f t="shared" si="74"/>
        <v>195.84978318214417</v>
      </c>
      <c r="S82">
        <v>81</v>
      </c>
      <c r="T82">
        <f t="shared" si="75"/>
        <v>27</v>
      </c>
      <c r="U82">
        <f t="shared" ca="1" si="76"/>
        <v>193.32925939964144</v>
      </c>
      <c r="V82">
        <f t="shared" ref="V82" ca="1" si="92">OFFSET($Q$1,T82,0)</f>
        <v>1.7821051477843075E-2</v>
      </c>
      <c r="W82">
        <v>167</v>
      </c>
      <c r="X82" t="e" cm="1">
        <f t="array" ref="X82">DNorm(W82)</f>
        <v>#VALUE!</v>
      </c>
    </row>
    <row r="83" spans="1:24" x14ac:dyDescent="0.3">
      <c r="A83">
        <v>0.37703569092853895</v>
      </c>
      <c r="B83">
        <f t="shared" si="71"/>
        <v>176.24069431135999</v>
      </c>
      <c r="C83">
        <f t="shared" si="73"/>
        <v>176</v>
      </c>
      <c r="D83" cm="1">
        <f t="array" ref="D83">Losuj()</f>
        <v>3.313601016998291E-3</v>
      </c>
      <c r="E83">
        <f t="shared" si="74"/>
        <v>176.003313601017</v>
      </c>
      <c r="S83">
        <v>82</v>
      </c>
      <c r="T83">
        <f t="shared" si="75"/>
        <v>28</v>
      </c>
      <c r="U83">
        <f t="shared" ca="1" si="76"/>
        <v>195.37861878653521</v>
      </c>
      <c r="V83">
        <f t="shared" ref="V83" ca="1" si="93">OFFSET($Q$1,T83-1,0)</f>
        <v>1.7821051477843075E-2</v>
      </c>
      <c r="W83">
        <v>167.25</v>
      </c>
      <c r="X83" t="e" cm="1">
        <f t="array" ref="X83">DNorm(W83)</f>
        <v>#VALUE!</v>
      </c>
    </row>
    <row r="84" spans="1:24" x14ac:dyDescent="0.3">
      <c r="A84">
        <v>0.16917545780010601</v>
      </c>
      <c r="B84">
        <f t="shared" si="71"/>
        <v>168.51085553755908</v>
      </c>
      <c r="C84">
        <f t="shared" si="73"/>
        <v>169</v>
      </c>
      <c r="D84" cm="1">
        <f t="array" ref="D84">Losuj()</f>
        <v>0.6153862476348877</v>
      </c>
      <c r="E84">
        <f t="shared" si="74"/>
        <v>169.61538624763489</v>
      </c>
      <c r="S84">
        <v>83</v>
      </c>
      <c r="T84">
        <f t="shared" si="75"/>
        <v>28</v>
      </c>
      <c r="U84">
        <f t="shared" ca="1" si="76"/>
        <v>195.37861878653521</v>
      </c>
      <c r="V84">
        <f t="shared" ref="V84" si="94">V81</f>
        <v>0</v>
      </c>
      <c r="W84">
        <v>167.5</v>
      </c>
      <c r="X84" t="e" cm="1">
        <f t="array" ref="X84">DNorm(W84)</f>
        <v>#VALUE!</v>
      </c>
    </row>
    <row r="85" spans="1:24" x14ac:dyDescent="0.3">
      <c r="A85">
        <v>0.46941025099231326</v>
      </c>
      <c r="B85">
        <f t="shared" si="71"/>
        <v>179.07897095429146</v>
      </c>
      <c r="C85">
        <f t="shared" si="73"/>
        <v>179</v>
      </c>
      <c r="D85" cm="1">
        <f t="array" ref="D85">Losuj()</f>
        <v>4.4667840003967285E-2</v>
      </c>
      <c r="E85">
        <f t="shared" si="74"/>
        <v>179.04466784000397</v>
      </c>
      <c r="S85">
        <v>84</v>
      </c>
      <c r="T85">
        <f t="shared" si="75"/>
        <v>28</v>
      </c>
      <c r="U85">
        <f t="shared" ca="1" si="76"/>
        <v>195.37861878653521</v>
      </c>
      <c r="V85">
        <f t="shared" ref="V85" ca="1" si="95">OFFSET($Q$1,T85,0)</f>
        <v>1.188285700963701E-2</v>
      </c>
      <c r="W85">
        <v>167.75</v>
      </c>
      <c r="X85" t="e" cm="1">
        <f t="array" ref="X85">DNorm(W85)</f>
        <v>#VALUE!</v>
      </c>
    </row>
    <row r="86" spans="1:24" x14ac:dyDescent="0.3">
      <c r="A86">
        <v>0.80140068790650421</v>
      </c>
      <c r="B86">
        <f t="shared" si="71"/>
        <v>190.15961945955465</v>
      </c>
      <c r="C86">
        <f t="shared" si="73"/>
        <v>190</v>
      </c>
      <c r="D86" cm="1">
        <f t="array" ref="D86">Losuj()</f>
        <v>0.80959022045135498</v>
      </c>
      <c r="E86">
        <f t="shared" si="74"/>
        <v>190.80959022045135</v>
      </c>
      <c r="S86">
        <v>85</v>
      </c>
      <c r="T86">
        <f t="shared" si="75"/>
        <v>29</v>
      </c>
      <c r="U86">
        <f t="shared" ca="1" si="76"/>
        <v>198.01303135252832</v>
      </c>
      <c r="V86">
        <f t="shared" ref="V86" ca="1" si="96">OFFSET($Q$1,T86-1,0)</f>
        <v>1.188285700963701E-2</v>
      </c>
      <c r="W86">
        <v>168</v>
      </c>
      <c r="X86" t="e" cm="1">
        <f t="array" ref="X86">DNorm(W86)</f>
        <v>#VALUE!</v>
      </c>
    </row>
    <row r="87" spans="1:24" x14ac:dyDescent="0.3">
      <c r="A87">
        <v>0.57412931151409241</v>
      </c>
      <c r="B87">
        <f t="shared" si="71"/>
        <v>182.24276422094977</v>
      </c>
      <c r="C87">
        <f t="shared" si="73"/>
        <v>182</v>
      </c>
      <c r="D87" cm="1">
        <f t="array" ref="D87">Losuj()</f>
        <v>0.31896770000457764</v>
      </c>
      <c r="E87">
        <f t="shared" si="74"/>
        <v>182.31896770000458</v>
      </c>
      <c r="S87">
        <v>86</v>
      </c>
      <c r="T87">
        <f t="shared" si="75"/>
        <v>29</v>
      </c>
      <c r="U87">
        <f t="shared" ca="1" si="76"/>
        <v>198.01303135252832</v>
      </c>
      <c r="V87">
        <f t="shared" ref="V87" si="97">V84</f>
        <v>0</v>
      </c>
      <c r="W87">
        <v>168.25</v>
      </c>
      <c r="X87" t="e" cm="1">
        <f t="array" ref="X87">DNorm(W87)</f>
        <v>#VALUE!</v>
      </c>
    </row>
    <row r="88" spans="1:24" x14ac:dyDescent="0.3">
      <c r="A88">
        <v>0.85252485999684779</v>
      </c>
      <c r="B88">
        <f t="shared" si="71"/>
        <v>192.56788515263864</v>
      </c>
      <c r="C88">
        <f t="shared" si="73"/>
        <v>193</v>
      </c>
      <c r="D88" cm="1">
        <f t="array" ref="D88">Losuj()</f>
        <v>0.85697603225708008</v>
      </c>
      <c r="E88">
        <f t="shared" si="74"/>
        <v>193.85697603225708</v>
      </c>
      <c r="S88">
        <v>87</v>
      </c>
      <c r="T88">
        <f t="shared" si="75"/>
        <v>29</v>
      </c>
      <c r="U88">
        <f t="shared" ca="1" si="76"/>
        <v>198.01303135252832</v>
      </c>
      <c r="V88">
        <f t="shared" ref="V88" ca="1" si="98">OFFSET($Q$1,T88,0)</f>
        <v>8.7088367490923361E-3</v>
      </c>
      <c r="W88">
        <v>168.5</v>
      </c>
      <c r="X88" t="e" cm="1">
        <f t="array" ref="X88">DNorm(W88)</f>
        <v>#VALUE!</v>
      </c>
    </row>
    <row r="89" spans="1:24" x14ac:dyDescent="0.3">
      <c r="A89">
        <v>0.71057103588905601</v>
      </c>
      <c r="B89">
        <f t="shared" si="71"/>
        <v>186.66064443875038</v>
      </c>
      <c r="C89">
        <f t="shared" si="73"/>
        <v>187</v>
      </c>
      <c r="D89" cm="1">
        <f t="array" ref="D89">Losuj()</f>
        <v>0.42116063833236694</v>
      </c>
      <c r="E89">
        <f t="shared" si="74"/>
        <v>187.42116063833237</v>
      </c>
      <c r="S89">
        <v>88</v>
      </c>
      <c r="T89">
        <f t="shared" si="75"/>
        <v>30</v>
      </c>
      <c r="U89">
        <f t="shared" ca="1" si="76"/>
        <v>202.00697562979099</v>
      </c>
      <c r="V89">
        <f t="shared" ref="V89" ca="1" si="99">OFFSET($Q$1,T89-1,0)</f>
        <v>8.7088367490923361E-3</v>
      </c>
      <c r="W89">
        <v>168.75</v>
      </c>
      <c r="X89" t="e" cm="1">
        <f t="array" ref="X89">DNorm(W89)</f>
        <v>#VALUE!</v>
      </c>
    </row>
    <row r="90" spans="1:24" x14ac:dyDescent="0.3">
      <c r="A90">
        <v>0.2614075290818153</v>
      </c>
      <c r="B90">
        <f t="shared" si="71"/>
        <v>172.33185475909536</v>
      </c>
      <c r="C90">
        <f t="shared" si="73"/>
        <v>172</v>
      </c>
      <c r="D90" cm="1">
        <f t="array" ref="D90">Losuj()</f>
        <v>0.74123561382293701</v>
      </c>
      <c r="E90">
        <f t="shared" si="74"/>
        <v>172.74123561382294</v>
      </c>
      <c r="S90">
        <v>89</v>
      </c>
      <c r="T90">
        <f t="shared" si="75"/>
        <v>30</v>
      </c>
      <c r="U90">
        <f t="shared" ca="1" si="76"/>
        <v>202.00697562979099</v>
      </c>
      <c r="V90">
        <f t="shared" ref="V90" si="100">V87</f>
        <v>0</v>
      </c>
      <c r="W90">
        <v>169</v>
      </c>
      <c r="X90" t="e" cm="1">
        <f t="array" ref="X90">DNorm(W90)</f>
        <v>#VALUE!</v>
      </c>
    </row>
    <row r="91" spans="1:24" x14ac:dyDescent="0.3">
      <c r="A91">
        <v>0.74403398491800987</v>
      </c>
      <c r="B91">
        <f t="shared" si="71"/>
        <v>187.86998762486331</v>
      </c>
      <c r="C91">
        <f t="shared" si="73"/>
        <v>188</v>
      </c>
      <c r="D91" cm="1">
        <f t="array" ref="D91">Losuj()</f>
        <v>0.7916494607925415</v>
      </c>
      <c r="E91">
        <f t="shared" si="74"/>
        <v>188.79164946079254</v>
      </c>
      <c r="S91">
        <v>90</v>
      </c>
      <c r="T91">
        <f t="shared" si="75"/>
        <v>30</v>
      </c>
      <c r="U91">
        <f t="shared" ca="1" si="76"/>
        <v>202.00697562979099</v>
      </c>
      <c r="V91">
        <f t="shared" ref="V91" ca="1" si="101">OFFSET($Q$1,T91,0)</f>
        <v>1.9445319173907081E-3</v>
      </c>
      <c r="W91">
        <v>169.25</v>
      </c>
      <c r="X91" t="e" cm="1">
        <f t="array" ref="X91">DNorm(W91)</f>
        <v>#VALUE!</v>
      </c>
    </row>
    <row r="92" spans="1:24" x14ac:dyDescent="0.3">
      <c r="A92">
        <v>0.93186880462822042</v>
      </c>
      <c r="B92">
        <f t="shared" si="71"/>
        <v>197.87825886628133</v>
      </c>
      <c r="C92">
        <f t="shared" si="73"/>
        <v>198</v>
      </c>
      <c r="D92" cm="1">
        <f t="array" ref="D92">Losuj()</f>
        <v>0.23198920488357544</v>
      </c>
      <c r="E92">
        <f t="shared" si="74"/>
        <v>198.23198920488358</v>
      </c>
      <c r="S92">
        <v>91</v>
      </c>
      <c r="T92">
        <f t="shared" si="75"/>
        <v>31</v>
      </c>
      <c r="U92">
        <f t="shared" ca="1" si="76"/>
        <v>219</v>
      </c>
      <c r="V92">
        <f t="shared" ref="V92" ca="1" si="102">OFFSET($Q$1,T92-1,0)</f>
        <v>1.9445319173907081E-3</v>
      </c>
      <c r="W92">
        <v>169.5</v>
      </c>
      <c r="X92" t="e" cm="1">
        <f t="array" ref="X92">DNorm(W92)</f>
        <v>#VALUE!</v>
      </c>
    </row>
    <row r="93" spans="1:24" x14ac:dyDescent="0.3">
      <c r="A93">
        <v>0.18025101293971524</v>
      </c>
      <c r="B93">
        <f t="shared" si="71"/>
        <v>169.027093174236</v>
      </c>
      <c r="C93">
        <f t="shared" si="73"/>
        <v>169</v>
      </c>
      <c r="D93" cm="1">
        <f t="array" ref="D93">Losuj()</f>
        <v>0.49369299411773682</v>
      </c>
      <c r="E93">
        <f t="shared" si="74"/>
        <v>169.49369299411774</v>
      </c>
      <c r="S93">
        <v>92</v>
      </c>
      <c r="T93">
        <f t="shared" si="75"/>
        <v>31</v>
      </c>
      <c r="U93">
        <f t="shared" ca="1" si="76"/>
        <v>219</v>
      </c>
      <c r="V93">
        <f t="shared" ref="V93" si="103">V90</f>
        <v>0</v>
      </c>
      <c r="W93">
        <v>169.75</v>
      </c>
      <c r="X93" t="e" cm="1">
        <f t="array" ref="X93">DNorm(W93)</f>
        <v>#VALUE!</v>
      </c>
    </row>
    <row r="94" spans="1:24" x14ac:dyDescent="0.3">
      <c r="A94">
        <v>0.24876949217371336</v>
      </c>
      <c r="B94">
        <f t="shared" si="71"/>
        <v>171.85959518896397</v>
      </c>
      <c r="C94">
        <f t="shared" si="73"/>
        <v>172</v>
      </c>
      <c r="D94" cm="1">
        <f t="array" ref="D94">Losuj()</f>
        <v>0.71448636054992676</v>
      </c>
      <c r="E94">
        <f t="shared" si="74"/>
        <v>172.71448636054993</v>
      </c>
      <c r="S94">
        <v>93</v>
      </c>
      <c r="T94">
        <f t="shared" si="75"/>
        <v>31</v>
      </c>
      <c r="U94">
        <f t="shared" ca="1" si="76"/>
        <v>219</v>
      </c>
      <c r="V94">
        <f>0</f>
        <v>0</v>
      </c>
      <c r="W94">
        <v>170</v>
      </c>
      <c r="X94" t="e" cm="1">
        <f t="array" ref="X94">DNorm(W94)</f>
        <v>#VALUE!</v>
      </c>
    </row>
    <row r="95" spans="1:24" x14ac:dyDescent="0.3">
      <c r="A95">
        <v>0.33304140333199883</v>
      </c>
      <c r="B95">
        <f t="shared" si="71"/>
        <v>174.82163608159712</v>
      </c>
      <c r="C95">
        <f t="shared" si="73"/>
        <v>175</v>
      </c>
      <c r="D95" cm="1">
        <f t="array" ref="D95">Losuj()</f>
        <v>0.3699069619178772</v>
      </c>
      <c r="E95">
        <f t="shared" si="74"/>
        <v>175.36990696191788</v>
      </c>
      <c r="W95">
        <v>170.25</v>
      </c>
      <c r="X95" t="e" cm="1">
        <f t="array" ref="X95">DNorm(W95)</f>
        <v>#VALUE!</v>
      </c>
    </row>
    <row r="96" spans="1:24" x14ac:dyDescent="0.3">
      <c r="A96">
        <v>6.6590692484881475E-2</v>
      </c>
      <c r="B96">
        <f t="shared" si="71"/>
        <v>161.97991493420039</v>
      </c>
      <c r="C96">
        <f t="shared" si="73"/>
        <v>162</v>
      </c>
      <c r="D96" cm="1">
        <f t="array" ref="D96">Losuj()</f>
        <v>0.65417772531509399</v>
      </c>
      <c r="E96">
        <f t="shared" si="74"/>
        <v>162.65417772531509</v>
      </c>
      <c r="W96">
        <v>170.5</v>
      </c>
      <c r="X96" t="e" cm="1">
        <f t="array" ref="X96">DNorm(W96)</f>
        <v>#VALUE!</v>
      </c>
    </row>
    <row r="97" spans="1:24" x14ac:dyDescent="0.3">
      <c r="A97">
        <v>0.4980066111525725</v>
      </c>
      <c r="B97">
        <f t="shared" si="71"/>
        <v>179.94003953232721</v>
      </c>
      <c r="C97">
        <f t="shared" si="73"/>
        <v>180</v>
      </c>
      <c r="D97" cm="1">
        <f t="array" ref="D97">Losuj()</f>
        <v>0.89910072088241577</v>
      </c>
      <c r="E97">
        <f t="shared" si="74"/>
        <v>180.89910072088242</v>
      </c>
      <c r="W97">
        <v>170.75</v>
      </c>
      <c r="X97" t="e" cm="1">
        <f t="array" ref="X97">DNorm(W97)</f>
        <v>#VALUE!</v>
      </c>
    </row>
    <row r="98" spans="1:24" x14ac:dyDescent="0.3">
      <c r="A98">
        <v>0.88443801764472973</v>
      </c>
      <c r="B98">
        <f t="shared" si="71"/>
        <v>194.36962303250334</v>
      </c>
      <c r="C98">
        <f t="shared" si="73"/>
        <v>194</v>
      </c>
      <c r="D98" cm="1">
        <f t="array" ref="D98">Losuj()</f>
        <v>0.85230964422225952</v>
      </c>
      <c r="E98">
        <f t="shared" si="74"/>
        <v>194.85230964422226</v>
      </c>
      <c r="W98">
        <v>171</v>
      </c>
      <c r="X98" t="e" cm="1">
        <f t="array" ref="X98">DNorm(W98)</f>
        <v>#VALUE!</v>
      </c>
    </row>
    <row r="99" spans="1:24" x14ac:dyDescent="0.3">
      <c r="A99">
        <v>0.68332876370192985</v>
      </c>
      <c r="B99">
        <f t="shared" si="71"/>
        <v>185.7243311255715</v>
      </c>
      <c r="C99">
        <f t="shared" si="73"/>
        <v>186</v>
      </c>
      <c r="D99" cm="1">
        <f t="array" ref="D99">Losuj()</f>
        <v>0.72675049304962158</v>
      </c>
      <c r="E99">
        <f t="shared" si="74"/>
        <v>186.72675049304962</v>
      </c>
      <c r="W99">
        <v>171.25</v>
      </c>
      <c r="X99" t="e" cm="1">
        <f t="array" ref="X99">DNorm(W99)</f>
        <v>#VALUE!</v>
      </c>
    </row>
    <row r="100" spans="1:24" x14ac:dyDescent="0.3">
      <c r="A100">
        <v>0.89947269962227294</v>
      </c>
      <c r="B100">
        <f t="shared" si="71"/>
        <v>195.34263290126779</v>
      </c>
      <c r="C100">
        <f t="shared" si="73"/>
        <v>195</v>
      </c>
      <c r="D100" cm="1">
        <f t="array" ref="D100">Losuj()</f>
        <v>0.49916982650756836</v>
      </c>
      <c r="E100">
        <f t="shared" si="74"/>
        <v>195.49916982650757</v>
      </c>
      <c r="W100">
        <v>171.5</v>
      </c>
      <c r="X100" t="e" cm="1">
        <f t="array" ref="X100">DNorm(W100)</f>
        <v>#VALUE!</v>
      </c>
    </row>
    <row r="101" spans="1:24" x14ac:dyDescent="0.3">
      <c r="A101">
        <v>0.74118676375021753</v>
      </c>
      <c r="B101">
        <f t="shared" si="71"/>
        <v>187.76410143947319</v>
      </c>
      <c r="C101">
        <f t="shared" si="73"/>
        <v>188</v>
      </c>
      <c r="D101" cm="1">
        <f t="array" ref="D101">Losuj()</f>
        <v>0.18911707401275635</v>
      </c>
      <c r="E101">
        <f t="shared" si="74"/>
        <v>188.18911707401276</v>
      </c>
      <c r="W101">
        <v>171.75</v>
      </c>
      <c r="X101" t="e" cm="1">
        <f t="array" ref="X101">DNorm(W101)</f>
        <v>#VALUE!</v>
      </c>
    </row>
    <row r="102" spans="1:24" x14ac:dyDescent="0.3">
      <c r="A102">
        <v>0.98396494638559662</v>
      </c>
      <c r="B102">
        <f t="shared" si="71"/>
        <v>205.72242846179617</v>
      </c>
      <c r="C102">
        <f t="shared" si="73"/>
        <v>206</v>
      </c>
      <c r="D102" cm="1">
        <f t="array" ref="D102">Losuj()</f>
        <v>0.36346709728240967</v>
      </c>
      <c r="E102">
        <f t="shared" si="74"/>
        <v>206.36346709728241</v>
      </c>
      <c r="W102">
        <v>172</v>
      </c>
      <c r="X102" t="e" cm="1">
        <f t="array" ref="X102">DNorm(W102)</f>
        <v>#VALUE!</v>
      </c>
    </row>
    <row r="103" spans="1:24" x14ac:dyDescent="0.3">
      <c r="A103">
        <v>0.41789417099080928</v>
      </c>
      <c r="B103">
        <f t="shared" si="71"/>
        <v>177.51259619558812</v>
      </c>
      <c r="C103">
        <f t="shared" si="73"/>
        <v>178</v>
      </c>
      <c r="D103" cm="1">
        <f t="array" ref="D103">Losuj()</f>
        <v>0.7022901177406311</v>
      </c>
      <c r="E103">
        <f t="shared" si="74"/>
        <v>178.70229011774063</v>
      </c>
      <c r="W103">
        <v>172.25</v>
      </c>
      <c r="X103" t="e" cm="1">
        <f t="array" ref="X103">DNorm(W103)</f>
        <v>#VALUE!</v>
      </c>
    </row>
    <row r="104" spans="1:24" x14ac:dyDescent="0.3">
      <c r="A104">
        <v>0.91801269890931481</v>
      </c>
      <c r="B104">
        <f t="shared" si="71"/>
        <v>196.70193151137659</v>
      </c>
      <c r="C104">
        <f t="shared" si="73"/>
        <v>197</v>
      </c>
      <c r="D104" cm="1">
        <f t="array" ref="D104">Losuj()</f>
        <v>9.3396782875061035E-2</v>
      </c>
      <c r="E104">
        <f t="shared" si="74"/>
        <v>197.09339678287506</v>
      </c>
      <c r="W104">
        <v>172.5</v>
      </c>
      <c r="X104" t="e" cm="1">
        <f t="array" ref="X104">DNorm(W104)</f>
        <v>#VALUE!</v>
      </c>
    </row>
    <row r="105" spans="1:24" x14ac:dyDescent="0.3">
      <c r="A105">
        <v>3.6191286039833015E-2</v>
      </c>
      <c r="B105">
        <f t="shared" si="71"/>
        <v>158.43954810682158</v>
      </c>
      <c r="C105">
        <f t="shared" si="73"/>
        <v>158</v>
      </c>
      <c r="D105" cm="1">
        <f t="array" ref="D105">Losuj()</f>
        <v>0.17973655462265015</v>
      </c>
      <c r="E105">
        <f t="shared" si="74"/>
        <v>158.17973655462265</v>
      </c>
      <c r="W105">
        <v>172.75</v>
      </c>
      <c r="X105" t="e" cm="1">
        <f t="array" ref="X105">DNorm(W105)</f>
        <v>#VALUE!</v>
      </c>
    </row>
    <row r="106" spans="1:24" x14ac:dyDescent="0.3">
      <c r="A106">
        <v>0.28331529467078476</v>
      </c>
      <c r="B106">
        <f t="shared" si="71"/>
        <v>173.1237500222162</v>
      </c>
      <c r="C106">
        <f t="shared" si="73"/>
        <v>173</v>
      </c>
      <c r="D106" cm="1">
        <f t="array" ref="D106">Losuj()</f>
        <v>0.5928419828414917</v>
      </c>
      <c r="E106">
        <f t="shared" si="74"/>
        <v>173.59284198284149</v>
      </c>
      <c r="W106">
        <v>173</v>
      </c>
      <c r="X106" t="e" cm="1">
        <f t="array" ref="X106">DNorm(W106)</f>
        <v>#VALUE!</v>
      </c>
    </row>
    <row r="107" spans="1:24" x14ac:dyDescent="0.3">
      <c r="A107">
        <v>0.84846124480132556</v>
      </c>
      <c r="B107">
        <f t="shared" si="71"/>
        <v>192.35827449858132</v>
      </c>
      <c r="C107">
        <f t="shared" si="73"/>
        <v>192</v>
      </c>
      <c r="D107" cm="1">
        <f t="array" ref="D107">Losuj()</f>
        <v>6.3209354877471924E-2</v>
      </c>
      <c r="E107">
        <f t="shared" si="74"/>
        <v>192.06320935487747</v>
      </c>
      <c r="W107">
        <v>173.25</v>
      </c>
      <c r="X107" t="e" cm="1">
        <f t="array" ref="X107">DNorm(W107)</f>
        <v>#VALUE!</v>
      </c>
    </row>
    <row r="108" spans="1:24" x14ac:dyDescent="0.3">
      <c r="A108">
        <v>0.58105074278918334</v>
      </c>
      <c r="B108">
        <f t="shared" si="71"/>
        <v>182.45498715523848</v>
      </c>
      <c r="C108">
        <f t="shared" si="73"/>
        <v>182</v>
      </c>
      <c r="D108" cm="1">
        <f t="array" ref="D108">Losuj()</f>
        <v>0.8343963623046875</v>
      </c>
      <c r="E108">
        <f t="shared" si="74"/>
        <v>182.83439636230469</v>
      </c>
      <c r="W108">
        <v>173.5</v>
      </c>
      <c r="X108" t="e" cm="1">
        <f t="array" ref="X108">DNorm(W108)</f>
        <v>#VALUE!</v>
      </c>
    </row>
    <row r="109" spans="1:24" x14ac:dyDescent="0.3">
      <c r="A109">
        <v>0.87776012569959005</v>
      </c>
      <c r="B109">
        <f t="shared" si="71"/>
        <v>193.9663497087088</v>
      </c>
      <c r="C109">
        <f t="shared" si="73"/>
        <v>194</v>
      </c>
      <c r="D109" cm="1">
        <f t="array" ref="D109">Losuj()</f>
        <v>0.87825316190719604</v>
      </c>
      <c r="E109">
        <f t="shared" si="74"/>
        <v>194.8782531619072</v>
      </c>
      <c r="W109">
        <v>173.75</v>
      </c>
      <c r="X109" t="e" cm="1">
        <f t="array" ref="X109">DNorm(W109)</f>
        <v>#VALUE!</v>
      </c>
    </row>
    <row r="110" spans="1:24" x14ac:dyDescent="0.3">
      <c r="A110">
        <v>0.57237684042582782</v>
      </c>
      <c r="B110">
        <f t="shared" si="71"/>
        <v>182.18914417375638</v>
      </c>
      <c r="C110">
        <f t="shared" si="73"/>
        <v>182</v>
      </c>
      <c r="D110" cm="1">
        <f t="array" ref="D110">Losuj()</f>
        <v>0.40162360668182373</v>
      </c>
      <c r="E110">
        <f t="shared" si="74"/>
        <v>182.40162360668182</v>
      </c>
      <c r="W110">
        <v>174</v>
      </c>
      <c r="X110" t="e" cm="1">
        <f t="array" ref="X110">DNorm(W110)</f>
        <v>#VALUE!</v>
      </c>
    </row>
    <row r="111" spans="1:24" x14ac:dyDescent="0.3">
      <c r="A111">
        <v>0.77654591428777808</v>
      </c>
      <c r="B111">
        <f t="shared" si="71"/>
        <v>189.12695594054298</v>
      </c>
      <c r="C111">
        <f t="shared" si="73"/>
        <v>189</v>
      </c>
      <c r="D111" cm="1">
        <f t="array" ref="D111">Losuj()</f>
        <v>0.60895305871963501</v>
      </c>
      <c r="E111">
        <f t="shared" si="74"/>
        <v>189.60895305871964</v>
      </c>
      <c r="W111">
        <v>174.25</v>
      </c>
      <c r="X111" t="e" cm="1">
        <f t="array" ref="X111">DNorm(W111)</f>
        <v>#VALUE!</v>
      </c>
    </row>
    <row r="112" spans="1:24" x14ac:dyDescent="0.3">
      <c r="A112">
        <v>0.93044695811961209</v>
      </c>
      <c r="B112">
        <f t="shared" si="71"/>
        <v>197.74953709013027</v>
      </c>
      <c r="C112">
        <f t="shared" si="73"/>
        <v>198</v>
      </c>
      <c r="D112" cm="1">
        <f t="array" ref="D112">Losuj()</f>
        <v>0.22621417045593262</v>
      </c>
      <c r="E112">
        <f t="shared" si="74"/>
        <v>198.22621417045593</v>
      </c>
      <c r="W112">
        <v>174.5</v>
      </c>
      <c r="X112" t="e" cm="1">
        <f t="array" ref="X112">DNorm(W112)</f>
        <v>#VALUE!</v>
      </c>
    </row>
    <row r="113" spans="1:24" x14ac:dyDescent="0.3">
      <c r="A113">
        <v>0.755360755374474</v>
      </c>
      <c r="B113">
        <f t="shared" si="71"/>
        <v>188.29748218513879</v>
      </c>
      <c r="C113">
        <f t="shared" si="73"/>
        <v>188</v>
      </c>
      <c r="D113" cm="1">
        <f t="array" ref="D113">Losuj()</f>
        <v>0.83855807781219482</v>
      </c>
      <c r="E113">
        <f t="shared" si="74"/>
        <v>188.83855807781219</v>
      </c>
      <c r="W113">
        <v>174.75</v>
      </c>
      <c r="X113" t="e" cm="1">
        <f t="array" ref="X113">DNorm(W113)</f>
        <v>#VALUE!</v>
      </c>
    </row>
    <row r="114" spans="1:24" x14ac:dyDescent="0.3">
      <c r="A114">
        <v>0.66720003932939675</v>
      </c>
      <c r="B114">
        <f t="shared" si="71"/>
        <v>185.18633623048666</v>
      </c>
      <c r="C114">
        <f t="shared" si="73"/>
        <v>185</v>
      </c>
      <c r="D114" cm="1">
        <f t="array" ref="D114">Losuj()</f>
        <v>0.24148076772689819</v>
      </c>
      <c r="E114">
        <f t="shared" si="74"/>
        <v>185.2414807677269</v>
      </c>
      <c r="W114">
        <v>175</v>
      </c>
      <c r="X114" t="e" cm="1">
        <f t="array" ref="X114">DNorm(W114)</f>
        <v>#VALUE!</v>
      </c>
    </row>
    <row r="115" spans="1:24" x14ac:dyDescent="0.3">
      <c r="A115">
        <v>0.18072599027112235</v>
      </c>
      <c r="B115">
        <f t="shared" si="71"/>
        <v>169.04877778966105</v>
      </c>
      <c r="C115">
        <f t="shared" si="73"/>
        <v>169</v>
      </c>
      <c r="D115" cm="1">
        <f t="array" ref="D115">Losuj()</f>
        <v>0.67394924163818359</v>
      </c>
      <c r="E115">
        <f t="shared" si="74"/>
        <v>169.67394924163818</v>
      </c>
      <c r="W115">
        <v>175.25</v>
      </c>
      <c r="X115" t="e" cm="1">
        <f t="array" ref="X115">DNorm(W115)</f>
        <v>#VALUE!</v>
      </c>
    </row>
    <row r="116" spans="1:24" x14ac:dyDescent="0.3">
      <c r="A116">
        <v>0.49032975922688726</v>
      </c>
      <c r="B116">
        <f t="shared" si="71"/>
        <v>179.70909512210753</v>
      </c>
      <c r="C116">
        <f t="shared" si="73"/>
        <v>180</v>
      </c>
      <c r="D116" cm="1">
        <f t="array" ref="D116">Losuj()</f>
        <v>0.21312457323074341</v>
      </c>
      <c r="E116">
        <f t="shared" si="74"/>
        <v>180.21312457323074</v>
      </c>
      <c r="W116">
        <v>175.5</v>
      </c>
      <c r="X116" t="e" cm="1">
        <f t="array" ref="X116">DNorm(W116)</f>
        <v>#VALUE!</v>
      </c>
    </row>
    <row r="117" spans="1:24" x14ac:dyDescent="0.3">
      <c r="A117">
        <v>0.14601565506146941</v>
      </c>
      <c r="B117">
        <f t="shared" si="71"/>
        <v>167.3558887743871</v>
      </c>
      <c r="C117">
        <f t="shared" si="73"/>
        <v>167</v>
      </c>
      <c r="D117" cm="1">
        <f t="array" ref="D117">Losuj()</f>
        <v>0.66074329614639282</v>
      </c>
      <c r="E117">
        <f t="shared" si="74"/>
        <v>167.66074329614639</v>
      </c>
      <c r="W117">
        <v>175.75</v>
      </c>
      <c r="X117" t="e" cm="1">
        <f t="array" ref="X117">DNorm(W117)</f>
        <v>#VALUE!</v>
      </c>
    </row>
    <row r="118" spans="1:24" x14ac:dyDescent="0.3">
      <c r="A118">
        <v>0.79457664297959096</v>
      </c>
      <c r="B118">
        <f t="shared" si="71"/>
        <v>189.86885410653457</v>
      </c>
      <c r="C118">
        <f t="shared" si="73"/>
        <v>190</v>
      </c>
      <c r="D118" cm="1">
        <f t="array" ref="D118">Losuj()</f>
        <v>0.13313281536102295</v>
      </c>
      <c r="E118">
        <f t="shared" si="74"/>
        <v>190.13313281536102</v>
      </c>
      <c r="W118">
        <v>176</v>
      </c>
      <c r="X118" t="e" cm="1">
        <f t="array" ref="X118">DNorm(W118)</f>
        <v>#VALUE!</v>
      </c>
    </row>
    <row r="119" spans="1:24" x14ac:dyDescent="0.3">
      <c r="A119">
        <v>0.93172202693403239</v>
      </c>
      <c r="B119">
        <f t="shared" si="71"/>
        <v>197.86487550592204</v>
      </c>
      <c r="C119">
        <f t="shared" si="73"/>
        <v>198</v>
      </c>
      <c r="D119" cm="1">
        <f t="array" ref="D119">Losuj()</f>
        <v>0.17358112335205078</v>
      </c>
      <c r="E119">
        <f t="shared" si="74"/>
        <v>198.17358112335205</v>
      </c>
      <c r="W119">
        <v>176.25</v>
      </c>
      <c r="X119" t="e" cm="1">
        <f t="array" ref="X119">DNorm(W119)</f>
        <v>#VALUE!</v>
      </c>
    </row>
    <row r="120" spans="1:24" x14ac:dyDescent="0.3">
      <c r="A120">
        <v>0.17098675155926013</v>
      </c>
      <c r="B120">
        <f t="shared" si="71"/>
        <v>168.59672278953096</v>
      </c>
      <c r="C120">
        <f t="shared" si="73"/>
        <v>169</v>
      </c>
      <c r="D120" cm="1">
        <f t="array" ref="D120">Losuj()</f>
        <v>0.24997323751449585</v>
      </c>
      <c r="E120">
        <f t="shared" si="74"/>
        <v>169.2499732375145</v>
      </c>
      <c r="W120">
        <v>176.5</v>
      </c>
      <c r="X120" t="e" cm="1">
        <f t="array" ref="X120">DNorm(W120)</f>
        <v>#VALUE!</v>
      </c>
    </row>
    <row r="121" spans="1:24" x14ac:dyDescent="0.3">
      <c r="A121">
        <v>0.24625557249531749</v>
      </c>
      <c r="B121">
        <f t="shared" si="71"/>
        <v>171.76415629338445</v>
      </c>
      <c r="C121">
        <f t="shared" si="73"/>
        <v>172</v>
      </c>
      <c r="D121" cm="1">
        <f t="array" ref="D121">Losuj()</f>
        <v>0.25943034887313843</v>
      </c>
      <c r="E121">
        <f t="shared" si="74"/>
        <v>172.25943034887314</v>
      </c>
      <c r="W121">
        <v>176.75</v>
      </c>
      <c r="X121" t="e" cm="1">
        <f t="array" ref="X121">DNorm(W121)</f>
        <v>#VALUE!</v>
      </c>
    </row>
    <row r="122" spans="1:24" x14ac:dyDescent="0.3">
      <c r="A122">
        <v>0.64425384731434254</v>
      </c>
      <c r="B122">
        <f t="shared" si="71"/>
        <v>184.43823144586082</v>
      </c>
      <c r="C122">
        <f t="shared" si="73"/>
        <v>184</v>
      </c>
      <c r="D122" cm="1">
        <f t="array" ref="D122">Losuj()</f>
        <v>0.6239163875579834</v>
      </c>
      <c r="E122">
        <f t="shared" si="74"/>
        <v>184.62391638755798</v>
      </c>
      <c r="W122">
        <v>177</v>
      </c>
      <c r="X122" t="e" cm="1">
        <f t="array" ref="X122">DNorm(W122)</f>
        <v>#VALUE!</v>
      </c>
    </row>
    <row r="123" spans="1:24" x14ac:dyDescent="0.3">
      <c r="A123">
        <v>0.12536500346958313</v>
      </c>
      <c r="B123">
        <f t="shared" si="71"/>
        <v>166.21706324283699</v>
      </c>
      <c r="C123">
        <f t="shared" si="73"/>
        <v>166</v>
      </c>
      <c r="D123" cm="1">
        <f t="array" ref="D123">Losuj()</f>
        <v>0.60685688257217407</v>
      </c>
      <c r="E123">
        <f t="shared" si="74"/>
        <v>166.60685688257217</v>
      </c>
      <c r="W123">
        <v>177.25</v>
      </c>
      <c r="X123" t="e" cm="1">
        <f t="array" ref="X123">DNorm(W123)</f>
        <v>#VALUE!</v>
      </c>
    </row>
    <row r="124" spans="1:24" x14ac:dyDescent="0.3">
      <c r="A124">
        <v>0.72635707216828249</v>
      </c>
      <c r="B124">
        <f t="shared" si="71"/>
        <v>187.22198609736603</v>
      </c>
      <c r="C124">
        <f t="shared" si="73"/>
        <v>187</v>
      </c>
      <c r="D124" cm="1">
        <f t="array" ref="D124">Losuj()</f>
        <v>0.92398405075073242</v>
      </c>
      <c r="E124">
        <f t="shared" si="74"/>
        <v>187.92398405075073</v>
      </c>
      <c r="W124">
        <v>177.5</v>
      </c>
      <c r="X124" t="e" cm="1">
        <f t="array" ref="X124">DNorm(W124)</f>
        <v>#VALUE!</v>
      </c>
    </row>
    <row r="125" spans="1:24" x14ac:dyDescent="0.3">
      <c r="A125">
        <v>0.457635002043565</v>
      </c>
      <c r="B125">
        <f t="shared" si="71"/>
        <v>178.72327579219925</v>
      </c>
      <c r="C125">
        <f t="shared" si="73"/>
        <v>179</v>
      </c>
      <c r="D125" cm="1">
        <f t="array" ref="D125">Losuj()</f>
        <v>0.97313100099563599</v>
      </c>
      <c r="E125">
        <f t="shared" si="74"/>
        <v>179.97313100099564</v>
      </c>
      <c r="W125">
        <v>177.75</v>
      </c>
      <c r="X125" t="e" cm="1">
        <f t="array" ref="X125">DNorm(W125)</f>
        <v>#VALUE!</v>
      </c>
    </row>
    <row r="126" spans="1:24" x14ac:dyDescent="0.3">
      <c r="A126">
        <v>0.67073263137674743</v>
      </c>
      <c r="B126">
        <f t="shared" si="71"/>
        <v>185.30324496317246</v>
      </c>
      <c r="C126">
        <f t="shared" si="73"/>
        <v>185</v>
      </c>
      <c r="D126" cm="1">
        <f t="array" ref="D126">Losuj()</f>
        <v>0.25805491209030151</v>
      </c>
      <c r="E126">
        <f t="shared" si="74"/>
        <v>185.2580549120903</v>
      </c>
      <c r="W126">
        <v>178</v>
      </c>
      <c r="X126" t="e" cm="1">
        <f t="array" ref="X126">DNorm(W126)</f>
        <v>#VALUE!</v>
      </c>
    </row>
    <row r="127" spans="1:24" x14ac:dyDescent="0.3">
      <c r="A127">
        <v>0.74096329196048039</v>
      </c>
      <c r="B127">
        <f t="shared" si="71"/>
        <v>187.75581631417677</v>
      </c>
      <c r="C127">
        <f t="shared" si="73"/>
        <v>188</v>
      </c>
      <c r="D127" cm="1">
        <f t="array" ref="D127">Losuj()</f>
        <v>0.68868309259414673</v>
      </c>
      <c r="E127">
        <f t="shared" si="74"/>
        <v>188.68868309259415</v>
      </c>
      <c r="W127">
        <v>178.25</v>
      </c>
      <c r="X127" t="e" cm="1">
        <f t="array" ref="X127">DNorm(W127)</f>
        <v>#VALUE!</v>
      </c>
    </row>
    <row r="128" spans="1:24" x14ac:dyDescent="0.3">
      <c r="A128">
        <v>0.29637411395291835</v>
      </c>
      <c r="B128">
        <f t="shared" si="71"/>
        <v>173.58170703742462</v>
      </c>
      <c r="C128">
        <f t="shared" si="73"/>
        <v>174</v>
      </c>
      <c r="D128" cm="1">
        <f t="array" ref="D128">Losuj()</f>
        <v>0.76603460311889648</v>
      </c>
      <c r="E128">
        <f t="shared" si="74"/>
        <v>174.7660346031189</v>
      </c>
      <c r="W128">
        <v>178.5</v>
      </c>
      <c r="X128" t="e" cm="1">
        <f t="array" ref="X128">DNorm(W128)</f>
        <v>#VALUE!</v>
      </c>
    </row>
    <row r="129" spans="1:24" x14ac:dyDescent="0.3">
      <c r="A129">
        <v>0.43659788016833023</v>
      </c>
      <c r="B129">
        <f t="shared" si="71"/>
        <v>178.08479362297857</v>
      </c>
      <c r="C129">
        <f t="shared" si="73"/>
        <v>178</v>
      </c>
      <c r="D129" cm="1">
        <f t="array" ref="D129">Losuj()</f>
        <v>0.16060477495193481</v>
      </c>
      <c r="E129">
        <f t="shared" si="74"/>
        <v>178.16060477495193</v>
      </c>
      <c r="W129">
        <v>178.75</v>
      </c>
      <c r="X129" t="e" cm="1">
        <f t="array" ref="X129">DNorm(W129)</f>
        <v>#VALUE!</v>
      </c>
    </row>
    <row r="130" spans="1:24" x14ac:dyDescent="0.3">
      <c r="A130">
        <v>0.11042887466428974</v>
      </c>
      <c r="B130">
        <f t="shared" ref="B130:B193" si="104">_xlfn.NORM.INV(A130,_mu,_sigma)</f>
        <v>165.3089941716915</v>
      </c>
      <c r="C130">
        <f t="shared" si="73"/>
        <v>165</v>
      </c>
      <c r="D130" cm="1">
        <f t="array" ref="D130">Losuj()</f>
        <v>0.65001785755157471</v>
      </c>
      <c r="E130">
        <f t="shared" si="74"/>
        <v>165.65001785755157</v>
      </c>
      <c r="W130">
        <v>179</v>
      </c>
      <c r="X130" t="e" cm="1">
        <f t="array" ref="X130">DNorm(W130)</f>
        <v>#VALUE!</v>
      </c>
    </row>
    <row r="131" spans="1:24" x14ac:dyDescent="0.3">
      <c r="A131">
        <v>0.16873838954971365</v>
      </c>
      <c r="B131">
        <f t="shared" si="104"/>
        <v>168.49004739016351</v>
      </c>
      <c r="C131">
        <f t="shared" ref="C131:C194" si="105">INT(B131+1/2)</f>
        <v>168</v>
      </c>
      <c r="D131" cm="1">
        <f t="array" ref="D131">Losuj()</f>
        <v>0.10019761323928833</v>
      </c>
      <c r="E131">
        <f t="shared" ref="E131:E194" si="106">C131+D131</f>
        <v>168.10019761323929</v>
      </c>
      <c r="W131">
        <v>179.25</v>
      </c>
      <c r="X131" t="e" cm="1">
        <f t="array" ref="X131">DNorm(W131)</f>
        <v>#VALUE!</v>
      </c>
    </row>
    <row r="132" spans="1:24" x14ac:dyDescent="0.3">
      <c r="A132">
        <v>0.57546256145923336</v>
      </c>
      <c r="B132">
        <f t="shared" si="104"/>
        <v>182.28358738951158</v>
      </c>
      <c r="C132">
        <f t="shared" si="105"/>
        <v>182</v>
      </c>
      <c r="D132" cm="1">
        <f t="array" ref="D132">Losuj()</f>
        <v>0.7198331356048584</v>
      </c>
      <c r="E132">
        <f t="shared" si="106"/>
        <v>182.71983313560486</v>
      </c>
      <c r="W132">
        <v>179.5</v>
      </c>
      <c r="X132" t="e" cm="1">
        <f t="array" ref="X132">DNorm(W132)</f>
        <v>#VALUE!</v>
      </c>
    </row>
    <row r="133" spans="1:24" x14ac:dyDescent="0.3">
      <c r="A133">
        <v>0.50117838233820478</v>
      </c>
      <c r="B133">
        <f t="shared" si="104"/>
        <v>180.03544524938906</v>
      </c>
      <c r="C133">
        <f t="shared" si="105"/>
        <v>180</v>
      </c>
      <c r="D133" cm="1">
        <f t="array" ref="D133">Losuj()</f>
        <v>0.78342908620834351</v>
      </c>
      <c r="E133">
        <f t="shared" si="106"/>
        <v>180.78342908620834</v>
      </c>
      <c r="W133">
        <v>179.75</v>
      </c>
      <c r="X133" t="e" cm="1">
        <f t="array" ref="X133">DNorm(W133)</f>
        <v>#VALUE!</v>
      </c>
    </row>
    <row r="134" spans="1:24" x14ac:dyDescent="0.3">
      <c r="A134">
        <v>0.33674609304233905</v>
      </c>
      <c r="B134">
        <f t="shared" si="104"/>
        <v>174.9436793895342</v>
      </c>
      <c r="C134">
        <f t="shared" si="105"/>
        <v>175</v>
      </c>
      <c r="D134" cm="1">
        <f t="array" ref="D134">Losuj()</f>
        <v>0.83637475967407227</v>
      </c>
      <c r="E134">
        <f t="shared" si="106"/>
        <v>175.83637475967407</v>
      </c>
      <c r="W134">
        <v>180</v>
      </c>
      <c r="X134" t="e" cm="1">
        <f t="array" ref="X134">DNorm(W134)</f>
        <v>#VALUE!</v>
      </c>
    </row>
    <row r="135" spans="1:24" x14ac:dyDescent="0.3">
      <c r="A135">
        <v>0.2896894219400058</v>
      </c>
      <c r="B135">
        <f t="shared" si="104"/>
        <v>173.34849283389758</v>
      </c>
      <c r="C135">
        <f t="shared" si="105"/>
        <v>173</v>
      </c>
      <c r="D135" cm="1">
        <f t="array" ref="D135">Losuj()</f>
        <v>0.57895869016647339</v>
      </c>
      <c r="E135">
        <f t="shared" si="106"/>
        <v>173.57895869016647</v>
      </c>
      <c r="W135">
        <v>180.25</v>
      </c>
      <c r="X135" t="e" cm="1">
        <f t="array" ref="X135">DNorm(W135)</f>
        <v>#VALUE!</v>
      </c>
    </row>
    <row r="136" spans="1:24" x14ac:dyDescent="0.3">
      <c r="A136">
        <v>0.13676031349188311</v>
      </c>
      <c r="B136">
        <f t="shared" si="104"/>
        <v>166.86010930285835</v>
      </c>
      <c r="C136">
        <f t="shared" si="105"/>
        <v>167</v>
      </c>
      <c r="D136" cm="1">
        <f t="array" ref="D136">Losuj()</f>
        <v>0.24069845676422119</v>
      </c>
      <c r="E136">
        <f t="shared" si="106"/>
        <v>167.24069845676422</v>
      </c>
      <c r="W136">
        <v>180.5</v>
      </c>
      <c r="X136" t="e" cm="1">
        <f t="array" ref="X136">DNorm(W136)</f>
        <v>#VALUE!</v>
      </c>
    </row>
    <row r="137" spans="1:24" x14ac:dyDescent="0.3">
      <c r="A137">
        <v>0.78841498986750458</v>
      </c>
      <c r="B137">
        <f t="shared" si="104"/>
        <v>189.61120458583807</v>
      </c>
      <c r="C137">
        <f t="shared" si="105"/>
        <v>190</v>
      </c>
      <c r="D137" cm="1">
        <f t="array" ref="D137">Losuj()</f>
        <v>0.4357457160949707</v>
      </c>
      <c r="E137">
        <f t="shared" si="106"/>
        <v>190.43574571609497</v>
      </c>
      <c r="W137">
        <v>180.75</v>
      </c>
      <c r="X137" t="e" cm="1">
        <f t="array" ref="X137">DNorm(W137)</f>
        <v>#VALUE!</v>
      </c>
    </row>
    <row r="138" spans="1:24" x14ac:dyDescent="0.3">
      <c r="A138">
        <v>0.86223536973674608</v>
      </c>
      <c r="B138">
        <f t="shared" si="104"/>
        <v>193.0850104358652</v>
      </c>
      <c r="C138">
        <f t="shared" si="105"/>
        <v>193</v>
      </c>
      <c r="D138" cm="1">
        <f t="array" ref="D138">Losuj()</f>
        <v>0.31150871515274048</v>
      </c>
      <c r="E138">
        <f t="shared" si="106"/>
        <v>193.31150871515274</v>
      </c>
      <c r="W138">
        <v>181</v>
      </c>
      <c r="X138" t="e" cm="1">
        <f t="array" ref="X138">DNorm(W138)</f>
        <v>#VALUE!</v>
      </c>
    </row>
    <row r="139" spans="1:24" x14ac:dyDescent="0.3">
      <c r="A139">
        <v>0.48054009698218392</v>
      </c>
      <c r="B139">
        <f t="shared" si="104"/>
        <v>179.41442276403566</v>
      </c>
      <c r="C139">
        <f t="shared" si="105"/>
        <v>179</v>
      </c>
      <c r="D139" cm="1">
        <f t="array" ref="D139">Losuj()</f>
        <v>0.66279101371765137</v>
      </c>
      <c r="E139">
        <f t="shared" si="106"/>
        <v>179.66279101371765</v>
      </c>
      <c r="W139">
        <v>181.25</v>
      </c>
      <c r="X139" t="e" cm="1">
        <f t="array" ref="X139">DNorm(W139)</f>
        <v>#VALUE!</v>
      </c>
    </row>
    <row r="140" spans="1:24" x14ac:dyDescent="0.3">
      <c r="A140">
        <v>0.44267656941702016</v>
      </c>
      <c r="B140">
        <f t="shared" si="104"/>
        <v>178.26976105543608</v>
      </c>
      <c r="C140">
        <f t="shared" si="105"/>
        <v>178</v>
      </c>
      <c r="D140" cm="1">
        <f t="array" ref="D140">Losuj()</f>
        <v>0.87019068002700806</v>
      </c>
      <c r="E140">
        <f t="shared" si="106"/>
        <v>178.87019068002701</v>
      </c>
      <c r="W140">
        <v>181.5</v>
      </c>
      <c r="X140" t="e" cm="1">
        <f t="array" ref="X140">DNorm(W140)</f>
        <v>#VALUE!</v>
      </c>
    </row>
    <row r="141" spans="1:24" x14ac:dyDescent="0.3">
      <c r="A141">
        <v>0.56118435724312854</v>
      </c>
      <c r="B141">
        <f t="shared" si="104"/>
        <v>181.84767202860164</v>
      </c>
      <c r="C141">
        <f t="shared" si="105"/>
        <v>182</v>
      </c>
      <c r="D141" cm="1">
        <f t="array" ref="D141">Losuj()</f>
        <v>0.92306637763977051</v>
      </c>
      <c r="E141">
        <f t="shared" si="106"/>
        <v>182.92306637763977</v>
      </c>
      <c r="W141">
        <v>181.75</v>
      </c>
      <c r="X141" t="e" cm="1">
        <f t="array" ref="X141">DNorm(W141)</f>
        <v>#VALUE!</v>
      </c>
    </row>
    <row r="142" spans="1:24" x14ac:dyDescent="0.3">
      <c r="A142">
        <v>0.43234800435610066</v>
      </c>
      <c r="B142">
        <f t="shared" si="104"/>
        <v>177.95520666193596</v>
      </c>
      <c r="C142">
        <f t="shared" si="105"/>
        <v>178</v>
      </c>
      <c r="D142" cm="1">
        <f t="array" ref="D142">Losuj()</f>
        <v>0.76001036167144775</v>
      </c>
      <c r="E142">
        <f t="shared" si="106"/>
        <v>178.76001036167145</v>
      </c>
      <c r="W142">
        <v>182</v>
      </c>
      <c r="X142" t="e" cm="1">
        <f t="array" ref="X142">DNorm(W142)</f>
        <v>#VALUE!</v>
      </c>
    </row>
    <row r="143" spans="1:24" x14ac:dyDescent="0.3">
      <c r="A143">
        <v>0.58631595312475704</v>
      </c>
      <c r="B143">
        <f t="shared" si="104"/>
        <v>182.6169397671388</v>
      </c>
      <c r="C143">
        <f t="shared" si="105"/>
        <v>183</v>
      </c>
      <c r="D143" cm="1">
        <f t="array" ref="D143">Losuj()</f>
        <v>0.77288329601287842</v>
      </c>
      <c r="E143">
        <f t="shared" si="106"/>
        <v>183.77288329601288</v>
      </c>
      <c r="W143">
        <v>182.25</v>
      </c>
      <c r="X143" t="e" cm="1">
        <f t="array" ref="X143">DNorm(W143)</f>
        <v>#VALUE!</v>
      </c>
    </row>
    <row r="144" spans="1:24" x14ac:dyDescent="0.3">
      <c r="A144">
        <v>0.38564211555347405</v>
      </c>
      <c r="B144">
        <f t="shared" si="104"/>
        <v>176.5116542757236</v>
      </c>
      <c r="C144">
        <f t="shared" si="105"/>
        <v>177</v>
      </c>
      <c r="D144" cm="1">
        <f t="array" ref="D144">Losuj()</f>
        <v>0.68157148361206055</v>
      </c>
      <c r="E144">
        <f t="shared" si="106"/>
        <v>177.68157148361206</v>
      </c>
      <c r="W144">
        <v>182.5</v>
      </c>
      <c r="X144" t="e" cm="1">
        <f t="array" ref="X144">DNorm(W144)</f>
        <v>#VALUE!</v>
      </c>
    </row>
    <row r="145" spans="1:24" x14ac:dyDescent="0.3">
      <c r="A145">
        <v>0.24059516887896604</v>
      </c>
      <c r="B145">
        <f t="shared" si="104"/>
        <v>171.54732782389135</v>
      </c>
      <c r="C145">
        <f t="shared" si="105"/>
        <v>172</v>
      </c>
      <c r="D145" cm="1">
        <f t="array" ref="D145">Losuj()</f>
        <v>0.59726119041442871</v>
      </c>
      <c r="E145">
        <f t="shared" si="106"/>
        <v>172.59726119041443</v>
      </c>
      <c r="W145">
        <v>182.75</v>
      </c>
      <c r="X145" t="e" cm="1">
        <f t="array" ref="X145">DNorm(W145)</f>
        <v>#VALUE!</v>
      </c>
    </row>
    <row r="146" spans="1:24" x14ac:dyDescent="0.3">
      <c r="A146">
        <v>0.82461916724019624</v>
      </c>
      <c r="B146">
        <f t="shared" si="104"/>
        <v>191.1973551207625</v>
      </c>
      <c r="C146">
        <f t="shared" si="105"/>
        <v>191</v>
      </c>
      <c r="D146" cm="1">
        <f t="array" ref="D146">Losuj()</f>
        <v>0.90305840969085693</v>
      </c>
      <c r="E146">
        <f t="shared" si="106"/>
        <v>191.90305840969086</v>
      </c>
      <c r="W146">
        <v>183</v>
      </c>
      <c r="X146" t="e" cm="1">
        <f t="array" ref="X146">DNorm(W146)</f>
        <v>#VALUE!</v>
      </c>
    </row>
    <row r="147" spans="1:24" x14ac:dyDescent="0.3">
      <c r="A147">
        <v>0.61184879549791493</v>
      </c>
      <c r="B147">
        <f t="shared" si="104"/>
        <v>183.40969072819328</v>
      </c>
      <c r="C147">
        <f t="shared" si="105"/>
        <v>183</v>
      </c>
      <c r="D147" cm="1">
        <f t="array" ref="D147">Losuj()</f>
        <v>0.41583240032196045</v>
      </c>
      <c r="E147">
        <f t="shared" si="106"/>
        <v>183.41583240032196</v>
      </c>
      <c r="W147">
        <v>183.25</v>
      </c>
      <c r="X147" t="e" cm="1">
        <f t="array" ref="X147">DNorm(W147)</f>
        <v>#VALUE!</v>
      </c>
    </row>
    <row r="148" spans="1:24" x14ac:dyDescent="0.3">
      <c r="A148">
        <v>6.4652510540541885E-2</v>
      </c>
      <c r="B148">
        <f t="shared" si="104"/>
        <v>161.79782191625185</v>
      </c>
      <c r="C148">
        <f t="shared" si="105"/>
        <v>162</v>
      </c>
      <c r="D148" cm="1">
        <f t="array" ref="D148">Losuj()</f>
        <v>0.15320903062820435</v>
      </c>
      <c r="E148">
        <f t="shared" si="106"/>
        <v>162.1532090306282</v>
      </c>
      <c r="W148">
        <v>183.5</v>
      </c>
      <c r="X148" t="e" cm="1">
        <f t="array" ref="X148">DNorm(W148)</f>
        <v>#VALUE!</v>
      </c>
    </row>
    <row r="149" spans="1:24" x14ac:dyDescent="0.3">
      <c r="A149">
        <v>0.77496076283458193</v>
      </c>
      <c r="B149">
        <f t="shared" si="104"/>
        <v>189.06341044945501</v>
      </c>
      <c r="C149">
        <f t="shared" si="105"/>
        <v>189</v>
      </c>
      <c r="D149" cm="1">
        <f t="array" ref="D149">Losuj()</f>
        <v>5.8765530586242676E-2</v>
      </c>
      <c r="E149">
        <f t="shared" si="106"/>
        <v>189.05876553058624</v>
      </c>
      <c r="W149">
        <v>183.75</v>
      </c>
      <c r="X149" t="e" cm="1">
        <f t="array" ref="X149">DNorm(W149)</f>
        <v>#VALUE!</v>
      </c>
    </row>
    <row r="150" spans="1:24" x14ac:dyDescent="0.3">
      <c r="A150">
        <v>0.67594066941526953</v>
      </c>
      <c r="B150">
        <f t="shared" si="104"/>
        <v>185.47652802031217</v>
      </c>
      <c r="C150">
        <f t="shared" si="105"/>
        <v>185</v>
      </c>
      <c r="D150" cm="1">
        <f t="array" ref="D150">Losuj()</f>
        <v>0.79539734125137329</v>
      </c>
      <c r="E150">
        <f t="shared" si="106"/>
        <v>185.79539734125137</v>
      </c>
      <c r="W150">
        <v>184</v>
      </c>
      <c r="X150" t="e" cm="1">
        <f t="array" ref="X150">DNorm(W150)</f>
        <v>#VALUE!</v>
      </c>
    </row>
    <row r="151" spans="1:24" x14ac:dyDescent="0.3">
      <c r="A151">
        <v>0.84894027714768561</v>
      </c>
      <c r="B151">
        <f t="shared" si="104"/>
        <v>192.38278771265638</v>
      </c>
      <c r="C151">
        <f t="shared" si="105"/>
        <v>192</v>
      </c>
      <c r="D151" cm="1">
        <f t="array" ref="D151">Losuj()</f>
        <v>3.6704897880554199E-2</v>
      </c>
      <c r="E151">
        <f t="shared" si="106"/>
        <v>192.03670489788055</v>
      </c>
      <c r="W151">
        <v>184.25</v>
      </c>
      <c r="X151" t="e" cm="1">
        <f t="array" ref="X151">DNorm(W151)</f>
        <v>#VALUE!</v>
      </c>
    </row>
    <row r="152" spans="1:24" x14ac:dyDescent="0.3">
      <c r="A152">
        <v>0.56132071029831576</v>
      </c>
      <c r="B152">
        <f t="shared" si="104"/>
        <v>181.85182248315255</v>
      </c>
      <c r="C152">
        <f t="shared" si="105"/>
        <v>182</v>
      </c>
      <c r="D152" cm="1">
        <f t="array" ref="D152">Losuj()</f>
        <v>0.62379682064056396</v>
      </c>
      <c r="E152">
        <f t="shared" si="106"/>
        <v>182.62379682064056</v>
      </c>
      <c r="W152">
        <v>184.5</v>
      </c>
      <c r="X152" t="e" cm="1">
        <f t="array" ref="X152">DNorm(W152)</f>
        <v>#VALUE!</v>
      </c>
    </row>
    <row r="153" spans="1:24" x14ac:dyDescent="0.3">
      <c r="A153">
        <v>0.16870504251721374</v>
      </c>
      <c r="B153">
        <f t="shared" si="104"/>
        <v>168.4884583681218</v>
      </c>
      <c r="C153">
        <f t="shared" si="105"/>
        <v>168</v>
      </c>
      <c r="D153" cm="1">
        <f t="array" ref="D153">Losuj()</f>
        <v>4.3932735919952393E-2</v>
      </c>
      <c r="E153">
        <f t="shared" si="106"/>
        <v>168.04393273591995</v>
      </c>
      <c r="W153">
        <v>184.75</v>
      </c>
      <c r="X153" t="e" cm="1">
        <f t="array" ref="X153">DNorm(W153)</f>
        <v>#VALUE!</v>
      </c>
    </row>
    <row r="154" spans="1:24" x14ac:dyDescent="0.3">
      <c r="A154">
        <v>0.55799957395322763</v>
      </c>
      <c r="B154">
        <f t="shared" si="104"/>
        <v>181.75079208797874</v>
      </c>
      <c r="C154">
        <f t="shared" si="105"/>
        <v>182</v>
      </c>
      <c r="D154" cm="1">
        <f t="array" ref="D154">Losuj()</f>
        <v>0.52658510208129883</v>
      </c>
      <c r="E154">
        <f t="shared" si="106"/>
        <v>182.5265851020813</v>
      </c>
      <c r="W154">
        <v>185</v>
      </c>
      <c r="X154" t="e" cm="1">
        <f t="array" ref="X154">DNorm(W154)</f>
        <v>#VALUE!</v>
      </c>
    </row>
    <row r="155" spans="1:24" x14ac:dyDescent="0.3">
      <c r="A155">
        <v>5.2715370354790569E-2</v>
      </c>
      <c r="B155">
        <f t="shared" si="104"/>
        <v>160.57107844909567</v>
      </c>
      <c r="C155">
        <f t="shared" si="105"/>
        <v>161</v>
      </c>
      <c r="D155" cm="1">
        <f t="array" ref="D155">Losuj()</f>
        <v>0.25086969137191772</v>
      </c>
      <c r="E155">
        <f t="shared" si="106"/>
        <v>161.25086969137192</v>
      </c>
      <c r="W155">
        <v>185.25</v>
      </c>
      <c r="X155" t="e" cm="1">
        <f t="array" ref="X155">DNorm(W155)</f>
        <v>#VALUE!</v>
      </c>
    </row>
    <row r="156" spans="1:24" x14ac:dyDescent="0.3">
      <c r="A156">
        <v>0.20026404855712621</v>
      </c>
      <c r="B156">
        <f t="shared" si="104"/>
        <v>169.91185861515123</v>
      </c>
      <c r="C156">
        <f t="shared" si="105"/>
        <v>170</v>
      </c>
      <c r="D156" cm="1">
        <f t="array" ref="D156">Losuj()</f>
        <v>0.32684469223022461</v>
      </c>
      <c r="E156">
        <f t="shared" si="106"/>
        <v>170.32684469223022</v>
      </c>
      <c r="W156">
        <v>185.5</v>
      </c>
      <c r="X156" t="e" cm="1">
        <f t="array" ref="X156">DNorm(W156)</f>
        <v>#VALUE!</v>
      </c>
    </row>
    <row r="157" spans="1:24" x14ac:dyDescent="0.3">
      <c r="A157">
        <v>0.96306601226499466</v>
      </c>
      <c r="B157">
        <f t="shared" si="104"/>
        <v>201.44916304688024</v>
      </c>
      <c r="C157">
        <f t="shared" si="105"/>
        <v>201</v>
      </c>
      <c r="D157" cm="1">
        <f t="array" ref="D157">Losuj()</f>
        <v>0.41244089603424072</v>
      </c>
      <c r="E157">
        <f t="shared" si="106"/>
        <v>201.41244089603424</v>
      </c>
      <c r="W157">
        <v>185.75</v>
      </c>
      <c r="X157" t="e" cm="1">
        <f t="array" ref="X157">DNorm(W157)</f>
        <v>#VALUE!</v>
      </c>
    </row>
    <row r="158" spans="1:24" x14ac:dyDescent="0.3">
      <c r="A158">
        <v>0.78341027244102535</v>
      </c>
      <c r="B158">
        <f t="shared" si="104"/>
        <v>189.40515054096039</v>
      </c>
      <c r="C158">
        <f t="shared" si="105"/>
        <v>189</v>
      </c>
      <c r="D158" cm="1">
        <f t="array" ref="D158">Losuj()</f>
        <v>0.61019665002822876</v>
      </c>
      <c r="E158">
        <f t="shared" si="106"/>
        <v>189.61019665002823</v>
      </c>
      <c r="W158">
        <v>186</v>
      </c>
      <c r="X158" t="e" cm="1">
        <f t="array" ref="X158">DNorm(W158)</f>
        <v>#VALUE!</v>
      </c>
    </row>
    <row r="159" spans="1:24" x14ac:dyDescent="0.3">
      <c r="A159">
        <v>0.30057163766773998</v>
      </c>
      <c r="B159">
        <f t="shared" si="104"/>
        <v>173.7269144266993</v>
      </c>
      <c r="C159">
        <f t="shared" si="105"/>
        <v>174</v>
      </c>
      <c r="D159" cm="1">
        <f t="array" ref="D159">Losuj()</f>
        <v>0.15130019187927246</v>
      </c>
      <c r="E159">
        <f t="shared" si="106"/>
        <v>174.15130019187927</v>
      </c>
      <c r="W159">
        <v>186.25</v>
      </c>
      <c r="X159" t="e" cm="1">
        <f t="array" ref="X159">DNorm(W159)</f>
        <v>#VALUE!</v>
      </c>
    </row>
    <row r="160" spans="1:24" x14ac:dyDescent="0.3">
      <c r="A160">
        <v>0.2852055460706272</v>
      </c>
      <c r="B160">
        <f t="shared" si="104"/>
        <v>173.1906460114912</v>
      </c>
      <c r="C160">
        <f t="shared" si="105"/>
        <v>173</v>
      </c>
      <c r="D160" cm="1">
        <f t="array" ref="D160">Losuj()</f>
        <v>5.6265056133270264E-2</v>
      </c>
      <c r="E160">
        <f t="shared" si="106"/>
        <v>173.05626505613327</v>
      </c>
      <c r="W160">
        <v>186.5</v>
      </c>
      <c r="X160" t="e" cm="1">
        <f t="array" ref="X160">DNorm(W160)</f>
        <v>#VALUE!</v>
      </c>
    </row>
    <row r="161" spans="1:24" x14ac:dyDescent="0.3">
      <c r="A161">
        <v>0.92049884218531008</v>
      </c>
      <c r="B161">
        <f t="shared" si="104"/>
        <v>196.90121942569803</v>
      </c>
      <c r="C161">
        <f t="shared" si="105"/>
        <v>197</v>
      </c>
      <c r="D161" cm="1">
        <f t="array" ref="D161">Losuj()</f>
        <v>0.49851638078689575</v>
      </c>
      <c r="E161">
        <f t="shared" si="106"/>
        <v>197.4985163807869</v>
      </c>
      <c r="W161">
        <v>186.75</v>
      </c>
      <c r="X161" t="e" cm="1">
        <f t="array" ref="X161">DNorm(W161)</f>
        <v>#VALUE!</v>
      </c>
    </row>
    <row r="162" spans="1:24" x14ac:dyDescent="0.3">
      <c r="A162">
        <v>0.81542648662270234</v>
      </c>
      <c r="B162">
        <f t="shared" si="104"/>
        <v>190.7768671226078</v>
      </c>
      <c r="C162">
        <f t="shared" si="105"/>
        <v>191</v>
      </c>
      <c r="D162" cm="1">
        <f t="array" ref="D162">Losuj()</f>
        <v>0.83083808422088623</v>
      </c>
      <c r="E162">
        <f t="shared" si="106"/>
        <v>191.83083808422089</v>
      </c>
      <c r="W162">
        <v>187</v>
      </c>
      <c r="X162" t="e" cm="1">
        <f t="array" ref="X162">DNorm(W162)</f>
        <v>#VALUE!</v>
      </c>
    </row>
    <row r="163" spans="1:24" x14ac:dyDescent="0.3">
      <c r="A163">
        <v>0.75645446790335713</v>
      </c>
      <c r="B163">
        <f t="shared" si="104"/>
        <v>188.33931522229514</v>
      </c>
      <c r="C163">
        <f t="shared" si="105"/>
        <v>188</v>
      </c>
      <c r="D163" cm="1">
        <f t="array" ref="D163">Losuj()</f>
        <v>0.4566810131072998</v>
      </c>
      <c r="E163">
        <f t="shared" si="106"/>
        <v>188.4566810131073</v>
      </c>
      <c r="W163">
        <v>187.25</v>
      </c>
      <c r="X163" t="e" cm="1">
        <f t="array" ref="X163">DNorm(W163)</f>
        <v>#VALUE!</v>
      </c>
    </row>
    <row r="164" spans="1:24" x14ac:dyDescent="0.3">
      <c r="A164">
        <v>0.87041043264848206</v>
      </c>
      <c r="B164">
        <f t="shared" si="104"/>
        <v>193.54000103346618</v>
      </c>
      <c r="C164">
        <f t="shared" si="105"/>
        <v>194</v>
      </c>
      <c r="D164" cm="1">
        <f t="array" ref="D164">Losuj()</f>
        <v>0.91838985681533813</v>
      </c>
      <c r="E164">
        <f t="shared" si="106"/>
        <v>194.91838985681534</v>
      </c>
      <c r="W164">
        <v>187.5</v>
      </c>
      <c r="X164" t="e" cm="1">
        <f t="array" ref="X164">DNorm(W164)</f>
        <v>#VALUE!</v>
      </c>
    </row>
    <row r="165" spans="1:24" x14ac:dyDescent="0.3">
      <c r="A165">
        <v>0.91566685285063287</v>
      </c>
      <c r="B165">
        <f t="shared" si="104"/>
        <v>196.51802300129592</v>
      </c>
      <c r="C165">
        <f t="shared" si="105"/>
        <v>197</v>
      </c>
      <c r="D165" cm="1">
        <f t="array" ref="D165">Losuj()</f>
        <v>0.22253203392028809</v>
      </c>
      <c r="E165">
        <f t="shared" si="106"/>
        <v>197.22253203392029</v>
      </c>
      <c r="W165">
        <v>187.75</v>
      </c>
      <c r="X165" t="e" cm="1">
        <f t="array" ref="X165">DNorm(W165)</f>
        <v>#VALUE!</v>
      </c>
    </row>
    <row r="166" spans="1:24" x14ac:dyDescent="0.3">
      <c r="A166">
        <v>0.69506769011946223</v>
      </c>
      <c r="B166">
        <f t="shared" si="104"/>
        <v>186.12320055511447</v>
      </c>
      <c r="C166">
        <f t="shared" si="105"/>
        <v>186</v>
      </c>
      <c r="D166" cm="1">
        <f t="array" ref="D166">Losuj()</f>
        <v>0.43154233694076538</v>
      </c>
      <c r="E166">
        <f t="shared" si="106"/>
        <v>186.43154233694077</v>
      </c>
      <c r="W166">
        <v>188</v>
      </c>
      <c r="X166" t="e" cm="1">
        <f t="array" ref="X166">DNorm(W166)</f>
        <v>#VALUE!</v>
      </c>
    </row>
    <row r="167" spans="1:24" x14ac:dyDescent="0.3">
      <c r="A167">
        <v>0.97469579290070718</v>
      </c>
      <c r="B167">
        <f t="shared" si="104"/>
        <v>203.45742387957242</v>
      </c>
      <c r="C167">
        <f t="shared" si="105"/>
        <v>203</v>
      </c>
      <c r="D167" cm="1">
        <f t="array" ref="D167">Losuj()</f>
        <v>0.41712695360183716</v>
      </c>
      <c r="E167">
        <f t="shared" si="106"/>
        <v>203.41712695360184</v>
      </c>
      <c r="W167">
        <v>188.25</v>
      </c>
      <c r="X167" t="e" cm="1">
        <f t="array" ref="X167">DNorm(W167)</f>
        <v>#VALUE!</v>
      </c>
    </row>
    <row r="168" spans="1:24" x14ac:dyDescent="0.3">
      <c r="A168">
        <v>0.17079492707642796</v>
      </c>
      <c r="B168">
        <f t="shared" si="104"/>
        <v>168.58765671628794</v>
      </c>
      <c r="C168">
        <f t="shared" si="105"/>
        <v>169</v>
      </c>
      <c r="D168" cm="1">
        <f t="array" ref="D168">Losuj()</f>
        <v>0.60432296991348267</v>
      </c>
      <c r="E168">
        <f t="shared" si="106"/>
        <v>169.60432296991348</v>
      </c>
      <c r="W168">
        <v>188.5</v>
      </c>
      <c r="X168" t="e" cm="1">
        <f t="array" ref="X168">DNorm(W168)</f>
        <v>#VALUE!</v>
      </c>
    </row>
    <row r="169" spans="1:24" x14ac:dyDescent="0.3">
      <c r="A169">
        <v>0.55741730493252739</v>
      </c>
      <c r="B169">
        <f t="shared" si="104"/>
        <v>181.73309219577797</v>
      </c>
      <c r="C169">
        <f t="shared" si="105"/>
        <v>182</v>
      </c>
      <c r="D169" cm="1">
        <f t="array" ref="D169">Losuj()</f>
        <v>0.26817178726196289</v>
      </c>
      <c r="E169">
        <f t="shared" si="106"/>
        <v>182.26817178726196</v>
      </c>
      <c r="W169">
        <v>188.75</v>
      </c>
      <c r="X169" t="e" cm="1">
        <f t="array" ref="X169">DNorm(W169)</f>
        <v>#VALUE!</v>
      </c>
    </row>
    <row r="170" spans="1:24" x14ac:dyDescent="0.3">
      <c r="A170">
        <v>0.17496711687591304</v>
      </c>
      <c r="B170">
        <f t="shared" si="104"/>
        <v>168.78339763486647</v>
      </c>
      <c r="C170">
        <f t="shared" si="105"/>
        <v>169</v>
      </c>
      <c r="D170" cm="1">
        <f t="array" ref="D170">Losuj()</f>
        <v>0.69493746757507324</v>
      </c>
      <c r="E170">
        <f t="shared" si="106"/>
        <v>169.69493746757507</v>
      </c>
      <c r="W170">
        <v>189</v>
      </c>
      <c r="X170" t="e" cm="1">
        <f t="array" ref="X170">DNorm(W170)</f>
        <v>#VALUE!</v>
      </c>
    </row>
    <row r="171" spans="1:24" x14ac:dyDescent="0.3">
      <c r="A171">
        <v>0.20239996859939535</v>
      </c>
      <c r="B171">
        <f t="shared" si="104"/>
        <v>170.00304691228902</v>
      </c>
      <c r="C171">
        <f t="shared" si="105"/>
        <v>170</v>
      </c>
      <c r="D171" cm="1">
        <f t="array" ref="D171">Losuj()</f>
        <v>0.59779542684555054</v>
      </c>
      <c r="E171">
        <f t="shared" si="106"/>
        <v>170.59779542684555</v>
      </c>
      <c r="W171">
        <v>189.25</v>
      </c>
      <c r="X171" t="e" cm="1">
        <f t="array" ref="X171">DNorm(W171)</f>
        <v>#VALUE!</v>
      </c>
    </row>
    <row r="172" spans="1:24" x14ac:dyDescent="0.3">
      <c r="A172">
        <v>0.32397125986775521</v>
      </c>
      <c r="B172">
        <f t="shared" si="104"/>
        <v>174.52053193126855</v>
      </c>
      <c r="C172">
        <f t="shared" si="105"/>
        <v>175</v>
      </c>
      <c r="D172" cm="1">
        <f t="array" ref="D172">Losuj()</f>
        <v>0.81412863731384277</v>
      </c>
      <c r="E172">
        <f t="shared" si="106"/>
        <v>175.81412863731384</v>
      </c>
      <c r="W172">
        <v>189.5</v>
      </c>
      <c r="X172" t="e" cm="1">
        <f t="array" ref="X172">DNorm(W172)</f>
        <v>#VALUE!</v>
      </c>
    </row>
    <row r="173" spans="1:24" x14ac:dyDescent="0.3">
      <c r="A173">
        <v>0.74062907059861205</v>
      </c>
      <c r="B173">
        <f t="shared" si="104"/>
        <v>187.74343208793155</v>
      </c>
      <c r="C173">
        <f t="shared" si="105"/>
        <v>188</v>
      </c>
      <c r="D173" cm="1">
        <f t="array" ref="D173">Losuj()</f>
        <v>0.59449553489685059</v>
      </c>
      <c r="E173">
        <f t="shared" si="106"/>
        <v>188.59449553489685</v>
      </c>
      <c r="W173">
        <v>189.75</v>
      </c>
      <c r="X173" t="e" cm="1">
        <f t="array" ref="X173">DNorm(W173)</f>
        <v>#VALUE!</v>
      </c>
    </row>
    <row r="174" spans="1:24" x14ac:dyDescent="0.3">
      <c r="A174">
        <v>9.3781303728744048E-2</v>
      </c>
      <c r="B174">
        <f t="shared" si="104"/>
        <v>164.18611327783378</v>
      </c>
      <c r="C174">
        <f t="shared" si="105"/>
        <v>164</v>
      </c>
      <c r="D174" cm="1">
        <f t="array" ref="D174">Losuj()</f>
        <v>0.16276800632476807</v>
      </c>
      <c r="E174">
        <f t="shared" si="106"/>
        <v>164.16276800632477</v>
      </c>
      <c r="W174">
        <v>190</v>
      </c>
      <c r="X174" t="e" cm="1">
        <f t="array" ref="X174">DNorm(W174)</f>
        <v>#VALUE!</v>
      </c>
    </row>
    <row r="175" spans="1:24" x14ac:dyDescent="0.3">
      <c r="A175">
        <v>0.99917579044774574</v>
      </c>
      <c r="B175">
        <f t="shared" si="104"/>
        <v>217.76640544453602</v>
      </c>
      <c r="C175">
        <f t="shared" si="105"/>
        <v>218</v>
      </c>
      <c r="D175" cm="1">
        <f t="array" ref="D175">Losuj()</f>
        <v>0.54915952682495117</v>
      </c>
      <c r="E175">
        <f t="shared" si="106"/>
        <v>218.54915952682495</v>
      </c>
      <c r="W175">
        <v>190.25</v>
      </c>
      <c r="X175" t="e" cm="1">
        <f t="array" ref="X175">DNorm(W175)</f>
        <v>#VALUE!</v>
      </c>
    </row>
    <row r="176" spans="1:24" x14ac:dyDescent="0.3">
      <c r="A176">
        <v>0.32365401047412934</v>
      </c>
      <c r="B176">
        <f t="shared" si="104"/>
        <v>174.50993852505712</v>
      </c>
      <c r="C176">
        <f t="shared" si="105"/>
        <v>175</v>
      </c>
      <c r="D176" cm="1">
        <f t="array" ref="D176">Losuj()</f>
        <v>0.71920961141586304</v>
      </c>
      <c r="E176">
        <f t="shared" si="106"/>
        <v>175.71920961141586</v>
      </c>
      <c r="W176">
        <v>190.5</v>
      </c>
      <c r="X176" t="e" cm="1">
        <f t="array" ref="X176">DNorm(W176)</f>
        <v>#VALUE!</v>
      </c>
    </row>
    <row r="177" spans="1:24" x14ac:dyDescent="0.3">
      <c r="A177">
        <v>0.18931734669765865</v>
      </c>
      <c r="B177">
        <f t="shared" si="104"/>
        <v>169.43502354297004</v>
      </c>
      <c r="C177">
        <f t="shared" si="105"/>
        <v>169</v>
      </c>
      <c r="D177" cm="1">
        <f t="array" ref="D177">Losuj()</f>
        <v>0.72400778532028198</v>
      </c>
      <c r="E177">
        <f t="shared" si="106"/>
        <v>169.72400778532028</v>
      </c>
      <c r="W177">
        <v>190.75</v>
      </c>
      <c r="X177" t="e" cm="1">
        <f t="array" ref="X177">DNorm(W177)</f>
        <v>#VALUE!</v>
      </c>
    </row>
    <row r="178" spans="1:24" x14ac:dyDescent="0.3">
      <c r="A178">
        <v>0.27675395630198518</v>
      </c>
      <c r="B178">
        <f t="shared" si="104"/>
        <v>172.88985824186693</v>
      </c>
      <c r="C178">
        <f t="shared" si="105"/>
        <v>173</v>
      </c>
      <c r="D178" cm="1">
        <f t="array" ref="D178">Losuj()</f>
        <v>0.68612229824066162</v>
      </c>
      <c r="E178">
        <f t="shared" si="106"/>
        <v>173.68612229824066</v>
      </c>
      <c r="W178">
        <v>191</v>
      </c>
      <c r="X178" t="e" cm="1">
        <f t="array" ref="X178">DNorm(W178)</f>
        <v>#VALUE!</v>
      </c>
    </row>
    <row r="179" spans="1:24" x14ac:dyDescent="0.3">
      <c r="A179">
        <v>0.23091846525879445</v>
      </c>
      <c r="B179">
        <f t="shared" si="104"/>
        <v>171.17009459189407</v>
      </c>
      <c r="C179">
        <f t="shared" si="105"/>
        <v>171</v>
      </c>
      <c r="D179" cm="1">
        <f t="array" ref="D179">Losuj()</f>
        <v>0.77159649133682251</v>
      </c>
      <c r="E179">
        <f t="shared" si="106"/>
        <v>171.77159649133682</v>
      </c>
      <c r="W179">
        <v>191.25</v>
      </c>
      <c r="X179" t="e" cm="1">
        <f t="array" ref="X179">DNorm(W179)</f>
        <v>#VALUE!</v>
      </c>
    </row>
    <row r="180" spans="1:24" x14ac:dyDescent="0.3">
      <c r="A180">
        <v>0.28537716076198671</v>
      </c>
      <c r="B180">
        <f t="shared" si="104"/>
        <v>173.19670895837393</v>
      </c>
      <c r="C180">
        <f t="shared" si="105"/>
        <v>173</v>
      </c>
      <c r="D180" cm="1">
        <f t="array" ref="D180">Losuj()</f>
        <v>0.20124459266662598</v>
      </c>
      <c r="E180">
        <f t="shared" si="106"/>
        <v>173.20124459266663</v>
      </c>
      <c r="W180">
        <v>191.5</v>
      </c>
      <c r="X180" t="e" cm="1">
        <f t="array" ref="X180">DNorm(W180)</f>
        <v>#VALUE!</v>
      </c>
    </row>
    <row r="181" spans="1:24" x14ac:dyDescent="0.3">
      <c r="A181">
        <v>0.54583466568319605</v>
      </c>
      <c r="B181">
        <f t="shared" si="104"/>
        <v>181.38173278748914</v>
      </c>
      <c r="C181">
        <f t="shared" si="105"/>
        <v>181</v>
      </c>
      <c r="D181" cm="1">
        <f t="array" ref="D181">Losuj()</f>
        <v>3.150862455368042E-2</v>
      </c>
      <c r="E181">
        <f t="shared" si="106"/>
        <v>181.03150862455368</v>
      </c>
      <c r="W181">
        <v>191.75</v>
      </c>
      <c r="X181" t="e" cm="1">
        <f t="array" ref="X181">DNorm(W181)</f>
        <v>#VALUE!</v>
      </c>
    </row>
    <row r="182" spans="1:24" x14ac:dyDescent="0.3">
      <c r="A182">
        <v>0.22416342056274785</v>
      </c>
      <c r="B182">
        <f t="shared" si="104"/>
        <v>170.90151138522944</v>
      </c>
      <c r="C182">
        <f t="shared" si="105"/>
        <v>171</v>
      </c>
      <c r="D182" cm="1">
        <f t="array" ref="D182">Losuj()</f>
        <v>0.96423012018203735</v>
      </c>
      <c r="E182">
        <f t="shared" si="106"/>
        <v>171.96423012018204</v>
      </c>
      <c r="W182">
        <v>192</v>
      </c>
      <c r="X182" t="e" cm="1">
        <f t="array" ref="X182">DNorm(W182)</f>
        <v>#VALUE!</v>
      </c>
    </row>
    <row r="183" spans="1:24" x14ac:dyDescent="0.3">
      <c r="A183">
        <v>0.86907252720344275</v>
      </c>
      <c r="B183">
        <f t="shared" si="104"/>
        <v>193.46421151458293</v>
      </c>
      <c r="C183">
        <f t="shared" si="105"/>
        <v>193</v>
      </c>
      <c r="D183" cm="1">
        <f t="array" ref="D183">Losuj()</f>
        <v>2.9402673244476318E-2</v>
      </c>
      <c r="E183">
        <f t="shared" si="106"/>
        <v>193.02940267324448</v>
      </c>
      <c r="W183">
        <v>192.25</v>
      </c>
      <c r="X183" t="e" cm="1">
        <f t="array" ref="X183">DNorm(W183)</f>
        <v>#VALUE!</v>
      </c>
    </row>
    <row r="184" spans="1:24" x14ac:dyDescent="0.3">
      <c r="A184">
        <v>0.17871338471363751</v>
      </c>
      <c r="B184">
        <f t="shared" si="104"/>
        <v>168.95664715906889</v>
      </c>
      <c r="C184">
        <f t="shared" si="105"/>
        <v>169</v>
      </c>
      <c r="D184" cm="1">
        <f t="array" ref="D184">Losuj()</f>
        <v>0.81005895137786865</v>
      </c>
      <c r="E184">
        <f t="shared" si="106"/>
        <v>169.81005895137787</v>
      </c>
      <c r="W184">
        <v>192.5</v>
      </c>
      <c r="X184" t="e" cm="1">
        <f t="array" ref="X184">DNorm(W184)</f>
        <v>#VALUE!</v>
      </c>
    </row>
    <row r="185" spans="1:24" x14ac:dyDescent="0.3">
      <c r="A185">
        <v>0.58665538756818403</v>
      </c>
      <c r="B185">
        <f t="shared" si="104"/>
        <v>182.62739648836813</v>
      </c>
      <c r="C185">
        <f t="shared" si="105"/>
        <v>183</v>
      </c>
      <c r="D185" cm="1">
        <f t="array" ref="D185">Losuj()</f>
        <v>8.8232696056365967E-2</v>
      </c>
      <c r="E185">
        <f t="shared" si="106"/>
        <v>183.08823269605637</v>
      </c>
      <c r="W185">
        <v>192.75</v>
      </c>
      <c r="X185" t="e" cm="1">
        <f t="array" ref="X185">DNorm(W185)</f>
        <v>#VALUE!</v>
      </c>
    </row>
    <row r="186" spans="1:24" x14ac:dyDescent="0.3">
      <c r="A186">
        <v>0.99228484782985005</v>
      </c>
      <c r="B186">
        <f t="shared" si="104"/>
        <v>209.06542584514719</v>
      </c>
      <c r="C186">
        <f t="shared" si="105"/>
        <v>209</v>
      </c>
      <c r="D186" cm="1">
        <f t="array" ref="D186">Losuj()</f>
        <v>0.75607657432556152</v>
      </c>
      <c r="E186">
        <f t="shared" si="106"/>
        <v>209.75607657432556</v>
      </c>
      <c r="W186">
        <v>193</v>
      </c>
      <c r="X186" t="e" cm="1">
        <f t="array" ref="X186">DNorm(W186)</f>
        <v>#VALUE!</v>
      </c>
    </row>
    <row r="187" spans="1:24" x14ac:dyDescent="0.3">
      <c r="A187">
        <v>0.85563677800879989</v>
      </c>
      <c r="B187">
        <f t="shared" si="104"/>
        <v>192.73103512329379</v>
      </c>
      <c r="C187">
        <f t="shared" si="105"/>
        <v>193</v>
      </c>
      <c r="D187" cm="1">
        <f t="array" ref="D187">Losuj()</f>
        <v>0.36318224668502808</v>
      </c>
      <c r="E187">
        <f t="shared" si="106"/>
        <v>193.36318224668503</v>
      </c>
      <c r="W187">
        <v>193.25</v>
      </c>
      <c r="X187" t="e" cm="1">
        <f t="array" ref="X187">DNorm(W187)</f>
        <v>#VALUE!</v>
      </c>
    </row>
    <row r="188" spans="1:24" x14ac:dyDescent="0.3">
      <c r="A188">
        <v>0.61473495150673274</v>
      </c>
      <c r="B188">
        <f t="shared" si="104"/>
        <v>183.50017891516643</v>
      </c>
      <c r="C188">
        <f t="shared" si="105"/>
        <v>184</v>
      </c>
      <c r="D188" cm="1">
        <f t="array" ref="D188">Losuj()</f>
        <v>5.0294578075408936E-2</v>
      </c>
      <c r="E188">
        <f t="shared" si="106"/>
        <v>184.05029457807541</v>
      </c>
      <c r="W188">
        <v>193.5</v>
      </c>
      <c r="X188" t="e" cm="1">
        <f t="array" ref="X188">DNorm(W188)</f>
        <v>#VALUE!</v>
      </c>
    </row>
    <row r="189" spans="1:24" x14ac:dyDescent="0.3">
      <c r="A189">
        <v>0.8754681502180468</v>
      </c>
      <c r="B189">
        <f t="shared" si="104"/>
        <v>193.83151863817324</v>
      </c>
      <c r="C189">
        <f t="shared" si="105"/>
        <v>194</v>
      </c>
      <c r="D189" cm="1">
        <f t="array" ref="D189">Losuj()</f>
        <v>0.60265851020812988</v>
      </c>
      <c r="E189">
        <f t="shared" si="106"/>
        <v>194.60265851020813</v>
      </c>
      <c r="W189">
        <v>193.75</v>
      </c>
      <c r="X189" t="e" cm="1">
        <f t="array" ref="X189">DNorm(W189)</f>
        <v>#VALUE!</v>
      </c>
    </row>
    <row r="190" spans="1:24" x14ac:dyDescent="0.3">
      <c r="A190">
        <v>0.49827791101848751</v>
      </c>
      <c r="B190">
        <f t="shared" si="104"/>
        <v>179.94820019594223</v>
      </c>
      <c r="C190">
        <f t="shared" si="105"/>
        <v>180</v>
      </c>
      <c r="D190" cm="1">
        <f t="array" ref="D190">Losuj()</f>
        <v>0.46500188112258911</v>
      </c>
      <c r="E190">
        <f t="shared" si="106"/>
        <v>180.46500188112259</v>
      </c>
      <c r="W190">
        <v>194</v>
      </c>
      <c r="X190" t="e" cm="1">
        <f t="array" ref="X190">DNorm(W190)</f>
        <v>#VALUE!</v>
      </c>
    </row>
    <row r="191" spans="1:24" x14ac:dyDescent="0.3">
      <c r="A191">
        <v>0.72921877145018132</v>
      </c>
      <c r="B191">
        <f t="shared" si="104"/>
        <v>187.32542352307178</v>
      </c>
      <c r="C191">
        <f t="shared" si="105"/>
        <v>187</v>
      </c>
      <c r="D191" cm="1">
        <f t="array" ref="D191">Losuj()</f>
        <v>4.4474422931671143E-2</v>
      </c>
      <c r="E191">
        <f t="shared" si="106"/>
        <v>187.04447442293167</v>
      </c>
      <c r="W191">
        <v>194.25</v>
      </c>
      <c r="X191" t="e" cm="1">
        <f t="array" ref="X191">DNorm(W191)</f>
        <v>#VALUE!</v>
      </c>
    </row>
    <row r="192" spans="1:24" x14ac:dyDescent="0.3">
      <c r="A192">
        <v>0.97017010798420666</v>
      </c>
      <c r="B192">
        <f t="shared" si="104"/>
        <v>202.59959463126327</v>
      </c>
      <c r="C192">
        <f t="shared" si="105"/>
        <v>203</v>
      </c>
      <c r="D192" cm="1">
        <f t="array" ref="D192">Losuj()</f>
        <v>0.70240634679794312</v>
      </c>
      <c r="E192">
        <f t="shared" si="106"/>
        <v>203.70240634679794</v>
      </c>
      <c r="W192">
        <v>194.5</v>
      </c>
      <c r="X192" t="e" cm="1">
        <f t="array" ref="X192">DNorm(W192)</f>
        <v>#VALUE!</v>
      </c>
    </row>
    <row r="193" spans="1:24" x14ac:dyDescent="0.3">
      <c r="A193">
        <v>0.28859446114947818</v>
      </c>
      <c r="B193">
        <f t="shared" si="104"/>
        <v>173.31005381574082</v>
      </c>
      <c r="C193">
        <f t="shared" si="105"/>
        <v>173</v>
      </c>
      <c r="D193" cm="1">
        <f t="array" ref="D193">Losuj()</f>
        <v>0.90665555000305176</v>
      </c>
      <c r="E193">
        <f t="shared" si="106"/>
        <v>173.90665555000305</v>
      </c>
      <c r="W193">
        <v>194.75</v>
      </c>
      <c r="X193" t="e" cm="1">
        <f t="array" ref="X193">DNorm(W193)</f>
        <v>#VALUE!</v>
      </c>
    </row>
    <row r="194" spans="1:24" x14ac:dyDescent="0.3">
      <c r="A194">
        <v>0.17351295522811327</v>
      </c>
      <c r="B194">
        <f t="shared" ref="B194:B257" si="107">_xlfn.NORM.INV(A194,_mu,_sigma)</f>
        <v>168.71551566450384</v>
      </c>
      <c r="C194">
        <f t="shared" si="105"/>
        <v>169</v>
      </c>
      <c r="D194" cm="1">
        <f t="array" ref="D194">Losuj()</f>
        <v>0.89553529024124146</v>
      </c>
      <c r="E194">
        <f t="shared" si="106"/>
        <v>169.89553529024124</v>
      </c>
      <c r="W194">
        <v>195</v>
      </c>
      <c r="X194" t="e" cm="1">
        <f t="array" ref="X194">DNorm(W194)</f>
        <v>#VALUE!</v>
      </c>
    </row>
    <row r="195" spans="1:24" x14ac:dyDescent="0.3">
      <c r="A195">
        <v>0.64453326415982137</v>
      </c>
      <c r="B195">
        <f t="shared" si="107"/>
        <v>184.44723238500134</v>
      </c>
      <c r="C195">
        <f t="shared" ref="C195:C258" si="108">INT(B195+1/2)</f>
        <v>184</v>
      </c>
      <c r="D195" cm="1">
        <f t="array" ref="D195">Losuj()</f>
        <v>3.3721625804901123E-2</v>
      </c>
      <c r="E195">
        <f t="shared" ref="E195:E258" si="109">C195+D195</f>
        <v>184.0337216258049</v>
      </c>
      <c r="W195">
        <v>195.25</v>
      </c>
      <c r="X195" t="e" cm="1">
        <f t="array" ref="X195">DNorm(W195)</f>
        <v>#VALUE!</v>
      </c>
    </row>
    <row r="196" spans="1:24" x14ac:dyDescent="0.3">
      <c r="A196">
        <v>0.70250940359451375</v>
      </c>
      <c r="B196">
        <f t="shared" si="107"/>
        <v>186.37957887697712</v>
      </c>
      <c r="C196">
        <f t="shared" si="108"/>
        <v>186</v>
      </c>
      <c r="D196" cm="1">
        <f t="array" ref="D196">Losuj()</f>
        <v>0.83350980281829834</v>
      </c>
      <c r="E196">
        <f t="shared" si="109"/>
        <v>186.8335098028183</v>
      </c>
      <c r="W196">
        <v>195.5</v>
      </c>
      <c r="X196" t="e" cm="1">
        <f t="array" ref="X196">DNorm(W196)</f>
        <v>#VALUE!</v>
      </c>
    </row>
    <row r="197" spans="1:24" x14ac:dyDescent="0.3">
      <c r="A197">
        <v>0.93429377564319416</v>
      </c>
      <c r="B197">
        <f t="shared" si="107"/>
        <v>198.10266434599095</v>
      </c>
      <c r="C197">
        <f t="shared" si="108"/>
        <v>198</v>
      </c>
      <c r="D197" cm="1">
        <f t="array" ref="D197">Losuj()</f>
        <v>0.92160546779632568</v>
      </c>
      <c r="E197">
        <f t="shared" si="109"/>
        <v>198.92160546779633</v>
      </c>
      <c r="W197">
        <v>195.75</v>
      </c>
      <c r="X197" t="e" cm="1">
        <f t="array" ref="X197">DNorm(W197)</f>
        <v>#VALUE!</v>
      </c>
    </row>
    <row r="198" spans="1:24" x14ac:dyDescent="0.3">
      <c r="A198">
        <v>0.65323028369618552</v>
      </c>
      <c r="B198">
        <f t="shared" si="107"/>
        <v>184.72867626605438</v>
      </c>
      <c r="C198">
        <f t="shared" si="108"/>
        <v>185</v>
      </c>
      <c r="D198" cm="1">
        <f t="array" ref="D198">Losuj()</f>
        <v>0.80581885576248169</v>
      </c>
      <c r="E198">
        <f t="shared" si="109"/>
        <v>185.80581885576248</v>
      </c>
      <c r="W198">
        <v>196</v>
      </c>
      <c r="X198" t="e" cm="1">
        <f t="array" ref="X198">DNorm(W198)</f>
        <v>#VALUE!</v>
      </c>
    </row>
    <row r="199" spans="1:24" x14ac:dyDescent="0.3">
      <c r="A199">
        <v>8.7197590699560901E-2</v>
      </c>
      <c r="B199">
        <f t="shared" si="107"/>
        <v>163.70140899628424</v>
      </c>
      <c r="C199">
        <f t="shared" si="108"/>
        <v>164</v>
      </c>
      <c r="D199" cm="1">
        <f t="array" ref="D199">Losuj()</f>
        <v>0.62998735904693604</v>
      </c>
      <c r="E199">
        <f t="shared" si="109"/>
        <v>164.62998735904694</v>
      </c>
      <c r="W199">
        <v>196.25</v>
      </c>
      <c r="X199" t="e" cm="1">
        <f t="array" ref="X199">DNorm(W199)</f>
        <v>#VALUE!</v>
      </c>
    </row>
    <row r="200" spans="1:24" x14ac:dyDescent="0.3">
      <c r="A200">
        <v>0.71001162567352027</v>
      </c>
      <c r="B200">
        <f t="shared" si="107"/>
        <v>186.64102419451743</v>
      </c>
      <c r="C200">
        <f t="shared" si="108"/>
        <v>187</v>
      </c>
      <c r="D200" cm="1">
        <f t="array" ref="D200">Losuj()</f>
        <v>0.82280707359313965</v>
      </c>
      <c r="E200">
        <f t="shared" si="109"/>
        <v>187.82280707359314</v>
      </c>
      <c r="W200">
        <v>196.5</v>
      </c>
      <c r="X200" t="e" cm="1">
        <f t="array" ref="X200">DNorm(W200)</f>
        <v>#VALUE!</v>
      </c>
    </row>
    <row r="201" spans="1:24" x14ac:dyDescent="0.3">
      <c r="A201">
        <v>0.37847829549235334</v>
      </c>
      <c r="B201">
        <f t="shared" si="107"/>
        <v>176.28624264058803</v>
      </c>
      <c r="C201">
        <f t="shared" si="108"/>
        <v>176</v>
      </c>
      <c r="D201" cm="1">
        <f t="array" ref="D201">Losuj()</f>
        <v>0.82457989454269409</v>
      </c>
      <c r="E201">
        <f t="shared" si="109"/>
        <v>176.82457989454269</v>
      </c>
      <c r="W201">
        <v>196.75</v>
      </c>
      <c r="X201" t="e" cm="1">
        <f t="array" ref="X201">DNorm(W201)</f>
        <v>#VALUE!</v>
      </c>
    </row>
    <row r="202" spans="1:24" x14ac:dyDescent="0.3">
      <c r="A202">
        <v>0.12864109715647687</v>
      </c>
      <c r="B202">
        <f t="shared" si="107"/>
        <v>166.40594125612571</v>
      </c>
      <c r="C202">
        <f t="shared" si="108"/>
        <v>166</v>
      </c>
      <c r="D202" cm="1">
        <f t="array" ref="D202">Losuj()</f>
        <v>0.15323162078857422</v>
      </c>
      <c r="E202">
        <f t="shared" si="109"/>
        <v>166.15323162078857</v>
      </c>
      <c r="W202">
        <v>197</v>
      </c>
      <c r="X202" t="e" cm="1">
        <f t="array" ref="X202">DNorm(W202)</f>
        <v>#VALUE!</v>
      </c>
    </row>
    <row r="203" spans="1:24" x14ac:dyDescent="0.3">
      <c r="A203">
        <v>0.26976921819761313</v>
      </c>
      <c r="B203">
        <f t="shared" si="107"/>
        <v>172.63786663366142</v>
      </c>
      <c r="C203">
        <f t="shared" si="108"/>
        <v>173</v>
      </c>
      <c r="D203" cm="1">
        <f t="array" ref="D203">Losuj()</f>
        <v>0.6261100172996521</v>
      </c>
      <c r="E203">
        <f t="shared" si="109"/>
        <v>173.62611001729965</v>
      </c>
      <c r="W203">
        <v>197.25</v>
      </c>
      <c r="X203" t="e" cm="1">
        <f t="array" ref="X203">DNorm(W203)</f>
        <v>#VALUE!</v>
      </c>
    </row>
    <row r="204" spans="1:24" x14ac:dyDescent="0.3">
      <c r="A204">
        <v>0.23665479313823579</v>
      </c>
      <c r="B204">
        <f t="shared" si="107"/>
        <v>171.3947453572203</v>
      </c>
      <c r="C204">
        <f t="shared" si="108"/>
        <v>171</v>
      </c>
      <c r="D204" cm="1">
        <f t="array" ref="D204">Losuj()</f>
        <v>0.50615304708480835</v>
      </c>
      <c r="E204">
        <f t="shared" si="109"/>
        <v>171.50615304708481</v>
      </c>
      <c r="W204">
        <v>197.5</v>
      </c>
      <c r="X204" t="e" cm="1">
        <f t="array" ref="X204">DNorm(W204)</f>
        <v>#VALUE!</v>
      </c>
    </row>
    <row r="205" spans="1:24" x14ac:dyDescent="0.3">
      <c r="A205">
        <v>0.37122949445825826</v>
      </c>
      <c r="B205">
        <f t="shared" si="107"/>
        <v>176.0568149351177</v>
      </c>
      <c r="C205">
        <f t="shared" si="108"/>
        <v>176</v>
      </c>
      <c r="D205" cm="1">
        <f t="array" ref="D205">Losuj()</f>
        <v>0.64092308282852173</v>
      </c>
      <c r="E205">
        <f t="shared" si="109"/>
        <v>176.64092308282852</v>
      </c>
      <c r="W205">
        <v>197.75</v>
      </c>
      <c r="X205" t="e" cm="1">
        <f t="array" ref="X205">DNorm(W205)</f>
        <v>#VALUE!</v>
      </c>
    </row>
    <row r="206" spans="1:24" x14ac:dyDescent="0.3">
      <c r="A206">
        <v>0.45971548341757551</v>
      </c>
      <c r="B206">
        <f t="shared" si="107"/>
        <v>178.78619364413066</v>
      </c>
      <c r="C206">
        <f t="shared" si="108"/>
        <v>179</v>
      </c>
      <c r="D206" cm="1">
        <f t="array" ref="D206">Losuj()</f>
        <v>0.62729865312576294</v>
      </c>
      <c r="E206">
        <f t="shared" si="109"/>
        <v>179.62729865312576</v>
      </c>
      <c r="W206">
        <v>198</v>
      </c>
      <c r="X206" t="e" cm="1">
        <f t="array" ref="X206">DNorm(W206)</f>
        <v>#VALUE!</v>
      </c>
    </row>
    <row r="207" spans="1:24" x14ac:dyDescent="0.3">
      <c r="A207">
        <v>7.5328404202618993E-2</v>
      </c>
      <c r="B207">
        <f t="shared" si="107"/>
        <v>162.75341561817311</v>
      </c>
      <c r="C207">
        <f t="shared" si="108"/>
        <v>163</v>
      </c>
      <c r="D207" cm="1">
        <f t="array" ref="D207">Losuj()</f>
        <v>0.75884586572647095</v>
      </c>
      <c r="E207">
        <f t="shared" si="109"/>
        <v>163.75884586572647</v>
      </c>
      <c r="W207">
        <v>198.25</v>
      </c>
      <c r="X207" t="e" cm="1">
        <f t="array" ref="X207">DNorm(W207)</f>
        <v>#VALUE!</v>
      </c>
    </row>
    <row r="208" spans="1:24" x14ac:dyDescent="0.3">
      <c r="A208">
        <v>0.47030039893172282</v>
      </c>
      <c r="B208">
        <f t="shared" si="107"/>
        <v>179.10582289248592</v>
      </c>
      <c r="C208">
        <f t="shared" si="108"/>
        <v>179</v>
      </c>
      <c r="D208" cm="1">
        <f t="array" ref="D208">Losuj()</f>
        <v>0.7804597020149231</v>
      </c>
      <c r="E208">
        <f t="shared" si="109"/>
        <v>179.78045970201492</v>
      </c>
      <c r="W208">
        <v>198.5</v>
      </c>
      <c r="X208" t="e" cm="1">
        <f t="array" ref="X208">DNorm(W208)</f>
        <v>#VALUE!</v>
      </c>
    </row>
    <row r="209" spans="1:24" x14ac:dyDescent="0.3">
      <c r="A209">
        <v>0.92337513341822774</v>
      </c>
      <c r="B209">
        <f t="shared" si="107"/>
        <v>197.13775644014163</v>
      </c>
      <c r="C209">
        <f t="shared" si="108"/>
        <v>197</v>
      </c>
      <c r="D209" cm="1">
        <f t="array" ref="D209">Losuj()</f>
        <v>0.43434321880340576</v>
      </c>
      <c r="E209">
        <f t="shared" si="109"/>
        <v>197.43434321880341</v>
      </c>
      <c r="W209">
        <v>198.75</v>
      </c>
      <c r="X209" t="e" cm="1">
        <f t="array" ref="X209">DNorm(W209)</f>
        <v>#VALUE!</v>
      </c>
    </row>
    <row r="210" spans="1:24" x14ac:dyDescent="0.3">
      <c r="A210">
        <v>0.87123510177808416</v>
      </c>
      <c r="B210">
        <f t="shared" si="107"/>
        <v>193.58698709734162</v>
      </c>
      <c r="C210">
        <f t="shared" si="108"/>
        <v>194</v>
      </c>
      <c r="D210" cm="1">
        <f t="array" ref="D210">Losuj()</f>
        <v>0.9879494309425354</v>
      </c>
      <c r="E210">
        <f t="shared" si="109"/>
        <v>194.98794943094254</v>
      </c>
      <c r="W210">
        <v>199</v>
      </c>
      <c r="X210" t="e" cm="1">
        <f t="array" ref="X210">DNorm(W210)</f>
        <v>#VALUE!</v>
      </c>
    </row>
    <row r="211" spans="1:24" x14ac:dyDescent="0.3">
      <c r="A211">
        <v>0.78816426126922123</v>
      </c>
      <c r="B211">
        <f t="shared" si="107"/>
        <v>189.60081439943207</v>
      </c>
      <c r="C211">
        <f t="shared" si="108"/>
        <v>190</v>
      </c>
      <c r="D211" cm="1">
        <f t="array" ref="D211">Losuj()</f>
        <v>0.4328271746635437</v>
      </c>
      <c r="E211">
        <f t="shared" si="109"/>
        <v>190.43282717466354</v>
      </c>
      <c r="W211">
        <v>199.25</v>
      </c>
      <c r="X211" t="e" cm="1">
        <f t="array" ref="X211">DNorm(W211)</f>
        <v>#VALUE!</v>
      </c>
    </row>
    <row r="212" spans="1:24" x14ac:dyDescent="0.3">
      <c r="A212">
        <v>0.50848151834642474</v>
      </c>
      <c r="B212">
        <f t="shared" si="107"/>
        <v>180.2551393859782</v>
      </c>
      <c r="C212">
        <f t="shared" si="108"/>
        <v>180</v>
      </c>
      <c r="D212" cm="1">
        <f t="array" ref="D212">Losuj()</f>
        <v>0.24622559547424316</v>
      </c>
      <c r="E212">
        <f t="shared" si="109"/>
        <v>180.24622559547424</v>
      </c>
      <c r="W212">
        <v>199.5</v>
      </c>
      <c r="X212" t="e" cm="1">
        <f t="array" ref="X212">DNorm(W212)</f>
        <v>#VALUE!</v>
      </c>
    </row>
    <row r="213" spans="1:24" x14ac:dyDescent="0.3">
      <c r="A213">
        <v>0.98864077461982747</v>
      </c>
      <c r="B213">
        <f t="shared" si="107"/>
        <v>207.33763707652912</v>
      </c>
      <c r="C213">
        <f t="shared" si="108"/>
        <v>207</v>
      </c>
      <c r="D213" cm="1">
        <f t="array" ref="D213">Losuj()</f>
        <v>0.21765697002410889</v>
      </c>
      <c r="E213">
        <f t="shared" si="109"/>
        <v>207.21765697002411</v>
      </c>
      <c r="W213">
        <v>199.75</v>
      </c>
      <c r="X213" t="e" cm="1">
        <f t="array" ref="X213">DNorm(W213)</f>
        <v>#VALUE!</v>
      </c>
    </row>
    <row r="214" spans="1:24" x14ac:dyDescent="0.3">
      <c r="A214">
        <v>0.45167926109097278</v>
      </c>
      <c r="B214">
        <f t="shared" si="107"/>
        <v>178.54296220922413</v>
      </c>
      <c r="C214">
        <f t="shared" si="108"/>
        <v>179</v>
      </c>
      <c r="D214" cm="1">
        <f t="array" ref="D214">Losuj()</f>
        <v>0.17439699172973633</v>
      </c>
      <c r="E214">
        <f t="shared" si="109"/>
        <v>179.17439699172974</v>
      </c>
      <c r="W214">
        <v>200</v>
      </c>
      <c r="X214" t="e" cm="1">
        <f t="array" ref="X214">DNorm(W214)</f>
        <v>#VALUE!</v>
      </c>
    </row>
    <row r="215" spans="1:24" x14ac:dyDescent="0.3">
      <c r="A215">
        <v>0.48548919643555211</v>
      </c>
      <c r="B215">
        <f t="shared" si="107"/>
        <v>179.56342542526536</v>
      </c>
      <c r="C215">
        <f t="shared" si="108"/>
        <v>180</v>
      </c>
      <c r="D215" cm="1">
        <f t="array" ref="D215">Losuj()</f>
        <v>0.19021368026733398</v>
      </c>
      <c r="E215">
        <f t="shared" si="109"/>
        <v>180.19021368026733</v>
      </c>
      <c r="W215">
        <v>200.25</v>
      </c>
      <c r="X215" t="e" cm="1">
        <f t="array" ref="X215">DNorm(W215)</f>
        <v>#VALUE!</v>
      </c>
    </row>
    <row r="216" spans="1:24" x14ac:dyDescent="0.3">
      <c r="A216">
        <v>0.75605491542808423</v>
      </c>
      <c r="B216">
        <f t="shared" si="107"/>
        <v>188.32402115127599</v>
      </c>
      <c r="C216">
        <f t="shared" si="108"/>
        <v>188</v>
      </c>
      <c r="D216" cm="1">
        <f t="array" ref="D216">Losuj()</f>
        <v>0.50249201059341431</v>
      </c>
      <c r="E216">
        <f t="shared" si="109"/>
        <v>188.50249201059341</v>
      </c>
      <c r="W216">
        <v>200.5</v>
      </c>
      <c r="X216" t="e" cm="1">
        <f t="array" ref="X216">DNorm(W216)</f>
        <v>#VALUE!</v>
      </c>
    </row>
    <row r="217" spans="1:24" x14ac:dyDescent="0.3">
      <c r="A217">
        <v>0.16238342004337369</v>
      </c>
      <c r="B217">
        <f t="shared" si="107"/>
        <v>168.18348734572044</v>
      </c>
      <c r="C217">
        <f t="shared" si="108"/>
        <v>168</v>
      </c>
      <c r="D217" cm="1">
        <f t="array" ref="D217">Losuj()</f>
        <v>0.51427018642425537</v>
      </c>
      <c r="E217">
        <f t="shared" si="109"/>
        <v>168.51427018642426</v>
      </c>
      <c r="W217">
        <v>200.75</v>
      </c>
      <c r="X217" t="e" cm="1">
        <f t="array" ref="X217">DNorm(W217)</f>
        <v>#VALUE!</v>
      </c>
    </row>
    <row r="218" spans="1:24" x14ac:dyDescent="0.3">
      <c r="A218">
        <v>4.9822922707164152E-2</v>
      </c>
      <c r="B218">
        <f t="shared" si="107"/>
        <v>160.24112408675614</v>
      </c>
      <c r="C218">
        <f t="shared" si="108"/>
        <v>160</v>
      </c>
      <c r="D218" cm="1">
        <f t="array" ref="D218">Losuj()</f>
        <v>3.819197416305542E-2</v>
      </c>
      <c r="E218">
        <f t="shared" si="109"/>
        <v>160.03819197416306</v>
      </c>
      <c r="W218">
        <v>201</v>
      </c>
      <c r="X218" t="e" cm="1">
        <f t="array" ref="X218">DNorm(W218)</f>
        <v>#VALUE!</v>
      </c>
    </row>
    <row r="219" spans="1:24" x14ac:dyDescent="0.3">
      <c r="A219">
        <v>7.0135959388948232E-2</v>
      </c>
      <c r="B219">
        <f t="shared" si="107"/>
        <v>162.30264976677256</v>
      </c>
      <c r="C219">
        <f t="shared" si="108"/>
        <v>162</v>
      </c>
      <c r="D219" cm="1">
        <f t="array" ref="D219">Losuj()</f>
        <v>0.58324193954467773</v>
      </c>
      <c r="E219">
        <f t="shared" si="109"/>
        <v>162.58324193954468</v>
      </c>
      <c r="W219">
        <v>201.25</v>
      </c>
      <c r="X219" t="e" cm="1">
        <f t="array" ref="X219">DNorm(W219)</f>
        <v>#VALUE!</v>
      </c>
    </row>
    <row r="220" spans="1:24" x14ac:dyDescent="0.3">
      <c r="A220">
        <v>8.0755689217671178E-2</v>
      </c>
      <c r="B220">
        <f t="shared" si="107"/>
        <v>163.19992225710934</v>
      </c>
      <c r="C220">
        <f t="shared" si="108"/>
        <v>163</v>
      </c>
      <c r="D220" cm="1">
        <f t="array" ref="D220">Losuj()</f>
        <v>0.21475952863693237</v>
      </c>
      <c r="E220">
        <f t="shared" si="109"/>
        <v>163.21475952863693</v>
      </c>
      <c r="W220">
        <v>201.5</v>
      </c>
      <c r="X220" t="e" cm="1">
        <f t="array" ref="X220">DNorm(W220)</f>
        <v>#VALUE!</v>
      </c>
    </row>
    <row r="221" spans="1:24" x14ac:dyDescent="0.3">
      <c r="A221">
        <v>0.21133959631831023</v>
      </c>
      <c r="B221">
        <f t="shared" si="107"/>
        <v>170.37861848956615</v>
      </c>
      <c r="C221">
        <f t="shared" si="108"/>
        <v>170</v>
      </c>
      <c r="D221" cm="1">
        <f t="array" ref="D221">Losuj()</f>
        <v>0.45811915397644043</v>
      </c>
      <c r="E221">
        <f t="shared" si="109"/>
        <v>170.45811915397644</v>
      </c>
      <c r="W221">
        <v>201.75</v>
      </c>
      <c r="X221" t="e" cm="1">
        <f t="array" ref="X221">DNorm(W221)</f>
        <v>#VALUE!</v>
      </c>
    </row>
    <row r="222" spans="1:24" x14ac:dyDescent="0.3">
      <c r="A222">
        <v>0.88934551939183737</v>
      </c>
      <c r="B222">
        <f t="shared" si="107"/>
        <v>194.67665880196793</v>
      </c>
      <c r="C222">
        <f t="shared" si="108"/>
        <v>195</v>
      </c>
      <c r="D222" cm="1">
        <f t="array" ref="D222">Losuj()</f>
        <v>0.50609320402145386</v>
      </c>
      <c r="E222">
        <f t="shared" si="109"/>
        <v>195.50609320402145</v>
      </c>
      <c r="W222">
        <v>202</v>
      </c>
      <c r="X222" t="e" cm="1">
        <f t="array" ref="X222">DNorm(W222)</f>
        <v>#VALUE!</v>
      </c>
    </row>
    <row r="223" spans="1:24" x14ac:dyDescent="0.3">
      <c r="A223">
        <v>0.23884897088568213</v>
      </c>
      <c r="B223">
        <f t="shared" si="107"/>
        <v>171.47988013110589</v>
      </c>
      <c r="C223">
        <f t="shared" si="108"/>
        <v>171</v>
      </c>
      <c r="D223" cm="1">
        <f t="array" ref="D223">Losuj()</f>
        <v>6.7332148551940918E-2</v>
      </c>
      <c r="E223">
        <f t="shared" si="109"/>
        <v>171.06733214855194</v>
      </c>
      <c r="W223">
        <v>202.25</v>
      </c>
      <c r="X223" t="e" cm="1">
        <f t="array" ref="X223">DNorm(W223)</f>
        <v>#VALUE!</v>
      </c>
    </row>
    <row r="224" spans="1:24" x14ac:dyDescent="0.3">
      <c r="A224">
        <v>0.28182051055278912</v>
      </c>
      <c r="B224">
        <f t="shared" si="107"/>
        <v>173.07069799568993</v>
      </c>
      <c r="C224">
        <f t="shared" si="108"/>
        <v>173</v>
      </c>
      <c r="D224" cm="1">
        <f t="array" ref="D224">Losuj()</f>
        <v>7.5741708278656006E-2</v>
      </c>
      <c r="E224">
        <f t="shared" si="109"/>
        <v>173.07574170827866</v>
      </c>
      <c r="W224">
        <v>202.5</v>
      </c>
      <c r="X224" t="e" cm="1">
        <f t="array" ref="X224">DNorm(W224)</f>
        <v>#VALUE!</v>
      </c>
    </row>
    <row r="225" spans="1:24" x14ac:dyDescent="0.3">
      <c r="A225">
        <v>0.60056577234863329</v>
      </c>
      <c r="B225">
        <f t="shared" si="107"/>
        <v>183.05774168799809</v>
      </c>
      <c r="C225">
        <f t="shared" si="108"/>
        <v>183</v>
      </c>
      <c r="D225" cm="1">
        <f t="array" ref="D225">Losuj()</f>
        <v>0.13315510749816895</v>
      </c>
      <c r="E225">
        <f t="shared" si="109"/>
        <v>183.13315510749817</v>
      </c>
      <c r="W225">
        <v>202.75</v>
      </c>
      <c r="X225" t="e" cm="1">
        <f t="array" ref="X225">DNorm(W225)</f>
        <v>#VALUE!</v>
      </c>
    </row>
    <row r="226" spans="1:24" x14ac:dyDescent="0.3">
      <c r="A226">
        <v>5.0135804200479583E-3</v>
      </c>
      <c r="B226">
        <f t="shared" si="107"/>
        <v>149.10130500698813</v>
      </c>
      <c r="C226">
        <f t="shared" si="108"/>
        <v>149</v>
      </c>
      <c r="D226" cm="1">
        <f t="array" ref="D226">Losuj()</f>
        <v>0.8980833888053894</v>
      </c>
      <c r="E226">
        <f t="shared" si="109"/>
        <v>149.89808338880539</v>
      </c>
      <c r="W226">
        <v>203</v>
      </c>
      <c r="X226" t="e" cm="1">
        <f t="array" ref="X226">DNorm(W226)</f>
        <v>#VALUE!</v>
      </c>
    </row>
    <row r="227" spans="1:24" x14ac:dyDescent="0.3">
      <c r="A227">
        <v>0.16050523606687228</v>
      </c>
      <c r="B227">
        <f t="shared" si="107"/>
        <v>168.09139768940963</v>
      </c>
      <c r="C227">
        <f t="shared" si="108"/>
        <v>168</v>
      </c>
      <c r="D227" cm="1">
        <f t="array" ref="D227">Losuj()</f>
        <v>0.76936984062194824</v>
      </c>
      <c r="E227">
        <f t="shared" si="109"/>
        <v>168.76936984062195</v>
      </c>
      <c r="W227">
        <v>203.25</v>
      </c>
      <c r="X227" t="e" cm="1">
        <f t="array" ref="X227">DNorm(W227)</f>
        <v>#VALUE!</v>
      </c>
    </row>
    <row r="228" spans="1:24" x14ac:dyDescent="0.3">
      <c r="A228">
        <v>0.41980363909311358</v>
      </c>
      <c r="B228">
        <f t="shared" si="107"/>
        <v>177.57124988744366</v>
      </c>
      <c r="C228">
        <f t="shared" si="108"/>
        <v>178</v>
      </c>
      <c r="D228" cm="1">
        <f t="array" ref="D228">Losuj()</f>
        <v>0.54972994327545166</v>
      </c>
      <c r="E228">
        <f t="shared" si="109"/>
        <v>178.54972994327545</v>
      </c>
      <c r="W228">
        <v>203.5</v>
      </c>
      <c r="X228" t="e" cm="1">
        <f t="array" ref="X228">DNorm(W228)</f>
        <v>#VALUE!</v>
      </c>
    </row>
    <row r="229" spans="1:24" x14ac:dyDescent="0.3">
      <c r="A229">
        <v>0.81526901229184812</v>
      </c>
      <c r="B229">
        <f t="shared" si="107"/>
        <v>190.7697794707756</v>
      </c>
      <c r="C229">
        <f t="shared" si="108"/>
        <v>191</v>
      </c>
      <c r="D229" cm="1">
        <f t="array" ref="D229">Losuj()</f>
        <v>0.35606664419174194</v>
      </c>
      <c r="E229">
        <f t="shared" si="109"/>
        <v>191.35606664419174</v>
      </c>
      <c r="W229">
        <v>203.75</v>
      </c>
      <c r="X229" t="e" cm="1">
        <f t="array" ref="X229">DNorm(W229)</f>
        <v>#VALUE!</v>
      </c>
    </row>
    <row r="230" spans="1:24" x14ac:dyDescent="0.3">
      <c r="A230">
        <v>3.1073514841219119E-2</v>
      </c>
      <c r="B230">
        <f t="shared" si="107"/>
        <v>157.61705649886972</v>
      </c>
      <c r="C230">
        <f t="shared" si="108"/>
        <v>158</v>
      </c>
      <c r="D230" cm="1">
        <f t="array" ref="D230">Losuj()</f>
        <v>0.68789911270141602</v>
      </c>
      <c r="E230">
        <f t="shared" si="109"/>
        <v>158.68789911270142</v>
      </c>
      <c r="W230">
        <v>204</v>
      </c>
      <c r="X230" t="e" cm="1">
        <f t="array" ref="X230">DNorm(W230)</f>
        <v>#VALUE!</v>
      </c>
    </row>
    <row r="231" spans="1:24" x14ac:dyDescent="0.3">
      <c r="A231">
        <v>0.55243357979133045</v>
      </c>
      <c r="B231">
        <f t="shared" si="107"/>
        <v>181.58174634132592</v>
      </c>
      <c r="C231">
        <f t="shared" si="108"/>
        <v>182</v>
      </c>
      <c r="D231" cm="1">
        <f t="array" ref="D231">Losuj()</f>
        <v>0.36267495155334473</v>
      </c>
      <c r="E231">
        <f t="shared" si="109"/>
        <v>182.36267495155334</v>
      </c>
      <c r="W231">
        <v>204.25</v>
      </c>
      <c r="X231" t="e" cm="1">
        <f t="array" ref="X231">DNorm(W231)</f>
        <v>#VALUE!</v>
      </c>
    </row>
    <row r="232" spans="1:24" x14ac:dyDescent="0.3">
      <c r="A232">
        <v>7.3317736475577155E-2</v>
      </c>
      <c r="B232">
        <f t="shared" si="107"/>
        <v>162.58177534162755</v>
      </c>
      <c r="C232">
        <f t="shared" si="108"/>
        <v>163</v>
      </c>
      <c r="D232" cm="1">
        <f t="array" ref="D232">Losuj()</f>
        <v>0.15722763538360596</v>
      </c>
      <c r="E232">
        <f t="shared" si="109"/>
        <v>163.15722763538361</v>
      </c>
      <c r="W232">
        <v>204.5</v>
      </c>
      <c r="X232" t="e" cm="1">
        <f t="array" ref="X232">DNorm(W232)</f>
        <v>#VALUE!</v>
      </c>
    </row>
    <row r="233" spans="1:24" x14ac:dyDescent="0.3">
      <c r="A233">
        <v>0.6572821635319378</v>
      </c>
      <c r="B233">
        <f t="shared" si="107"/>
        <v>184.86068302213454</v>
      </c>
      <c r="C233">
        <f t="shared" si="108"/>
        <v>185</v>
      </c>
      <c r="D233" cm="1">
        <f t="array" ref="D233">Losuj()</f>
        <v>0.57534855604171753</v>
      </c>
      <c r="E233">
        <f t="shared" si="109"/>
        <v>185.57534855604172</v>
      </c>
      <c r="W233">
        <v>204.75</v>
      </c>
      <c r="X233" t="e" cm="1">
        <f t="array" ref="X233">DNorm(W233)</f>
        <v>#VALUE!</v>
      </c>
    </row>
    <row r="234" spans="1:24" x14ac:dyDescent="0.3">
      <c r="A234">
        <v>0.82846100120547483</v>
      </c>
      <c r="B234">
        <f t="shared" si="107"/>
        <v>191.37721298176209</v>
      </c>
      <c r="C234">
        <f t="shared" si="108"/>
        <v>191</v>
      </c>
      <c r="D234" cm="1">
        <f t="array" ref="D234">Losuj()</f>
        <v>0.52459889650344849</v>
      </c>
      <c r="E234">
        <f t="shared" si="109"/>
        <v>191.52459889650345</v>
      </c>
      <c r="W234">
        <v>205</v>
      </c>
      <c r="X234" t="e" cm="1">
        <f t="array" ref="X234">DNorm(W234)</f>
        <v>#VALUE!</v>
      </c>
    </row>
    <row r="235" spans="1:24" x14ac:dyDescent="0.3">
      <c r="A235">
        <v>0.15263330192619273</v>
      </c>
      <c r="B235">
        <f t="shared" si="107"/>
        <v>167.69754341711365</v>
      </c>
      <c r="C235">
        <f t="shared" si="108"/>
        <v>168</v>
      </c>
      <c r="D235" cm="1">
        <f t="array" ref="D235">Losuj()</f>
        <v>3.026425838470459E-2</v>
      </c>
      <c r="E235">
        <f t="shared" si="109"/>
        <v>168.0302642583847</v>
      </c>
      <c r="W235">
        <v>205.25</v>
      </c>
      <c r="X235" t="e" cm="1">
        <f t="array" ref="X235">DNorm(W235)</f>
        <v>#VALUE!</v>
      </c>
    </row>
    <row r="236" spans="1:24" x14ac:dyDescent="0.3">
      <c r="A236">
        <v>6.6996866254830811E-2</v>
      </c>
      <c r="B236">
        <f t="shared" si="107"/>
        <v>162.01755348054343</v>
      </c>
      <c r="C236">
        <f t="shared" si="108"/>
        <v>162</v>
      </c>
      <c r="D236" cm="1">
        <f t="array" ref="D236">Losuj()</f>
        <v>0.10956352949142456</v>
      </c>
      <c r="E236">
        <f t="shared" si="109"/>
        <v>162.10956352949142</v>
      </c>
      <c r="W236">
        <v>205.5</v>
      </c>
      <c r="X236" t="e" cm="1">
        <f t="array" ref="X236">DNorm(W236)</f>
        <v>#VALUE!</v>
      </c>
    </row>
    <row r="237" spans="1:24" x14ac:dyDescent="0.3">
      <c r="A237">
        <v>0.52849277042288179</v>
      </c>
      <c r="B237">
        <f t="shared" si="107"/>
        <v>180.85777933588778</v>
      </c>
      <c r="C237">
        <f t="shared" si="108"/>
        <v>181</v>
      </c>
      <c r="D237" cm="1">
        <f t="array" ref="D237">Losuj()</f>
        <v>0.76703542470932007</v>
      </c>
      <c r="E237">
        <f t="shared" si="109"/>
        <v>181.76703542470932</v>
      </c>
      <c r="W237">
        <v>205.75</v>
      </c>
      <c r="X237" t="e" cm="1">
        <f t="array" ref="X237">DNorm(W237)</f>
        <v>#VALUE!</v>
      </c>
    </row>
    <row r="238" spans="1:24" x14ac:dyDescent="0.3">
      <c r="A238">
        <v>0.26658706620991202</v>
      </c>
      <c r="B238">
        <f t="shared" si="107"/>
        <v>172.52198408365163</v>
      </c>
      <c r="C238">
        <f t="shared" si="108"/>
        <v>173</v>
      </c>
      <c r="D238" cm="1">
        <f t="array" ref="D238">Losuj()</f>
        <v>0.249103844165802</v>
      </c>
      <c r="E238">
        <f t="shared" si="109"/>
        <v>173.2491038441658</v>
      </c>
      <c r="W238">
        <v>206</v>
      </c>
      <c r="X238" t="e" cm="1">
        <f t="array" ref="X238">DNorm(W238)</f>
        <v>#VALUE!</v>
      </c>
    </row>
    <row r="239" spans="1:24" x14ac:dyDescent="0.3">
      <c r="A239">
        <v>0.37835233054834683</v>
      </c>
      <c r="B239">
        <f t="shared" si="107"/>
        <v>176.28226760503162</v>
      </c>
      <c r="C239">
        <f t="shared" si="108"/>
        <v>176</v>
      </c>
      <c r="D239" cm="1">
        <f t="array" ref="D239">Losuj()</f>
        <v>0.72945564985275269</v>
      </c>
      <c r="E239">
        <f t="shared" si="109"/>
        <v>176.72945564985275</v>
      </c>
      <c r="W239">
        <v>206.25</v>
      </c>
      <c r="X239" t="e" cm="1">
        <f t="array" ref="X239">DNorm(W239)</f>
        <v>#VALUE!</v>
      </c>
    </row>
    <row r="240" spans="1:24" x14ac:dyDescent="0.3">
      <c r="A240">
        <v>0.96838242022613574</v>
      </c>
      <c r="B240">
        <f t="shared" si="107"/>
        <v>202.29041298515403</v>
      </c>
      <c r="C240">
        <f t="shared" si="108"/>
        <v>202</v>
      </c>
      <c r="D240" cm="1">
        <f t="array" ref="D240">Losuj()</f>
        <v>0.25124138593673706</v>
      </c>
      <c r="E240">
        <f t="shared" si="109"/>
        <v>202.25124138593674</v>
      </c>
      <c r="W240">
        <v>206.5</v>
      </c>
      <c r="X240" t="e" cm="1">
        <f t="array" ref="X240">DNorm(W240)</f>
        <v>#VALUE!</v>
      </c>
    </row>
    <row r="241" spans="1:24" x14ac:dyDescent="0.3">
      <c r="A241">
        <v>0.60028380481410204</v>
      </c>
      <c r="B241">
        <f t="shared" si="107"/>
        <v>183.04898118391654</v>
      </c>
      <c r="C241">
        <f t="shared" si="108"/>
        <v>183</v>
      </c>
      <c r="D241" cm="1">
        <f t="array" ref="D241">Losuj()</f>
        <v>1.2874305248260498E-2</v>
      </c>
      <c r="E241">
        <f t="shared" si="109"/>
        <v>183.01287430524826</v>
      </c>
      <c r="W241">
        <v>206.75</v>
      </c>
      <c r="X241" t="e" cm="1">
        <f t="array" ref="X241">DNorm(W241)</f>
        <v>#VALUE!</v>
      </c>
    </row>
    <row r="242" spans="1:24" x14ac:dyDescent="0.3">
      <c r="A242">
        <v>0.35163302609805192</v>
      </c>
      <c r="B242">
        <f t="shared" si="107"/>
        <v>175.42901564150256</v>
      </c>
      <c r="C242">
        <f t="shared" si="108"/>
        <v>175</v>
      </c>
      <c r="D242" cm="1">
        <f t="array" ref="D242">Losuj()</f>
        <v>0.58992964029312134</v>
      </c>
      <c r="E242">
        <f t="shared" si="109"/>
        <v>175.58992964029312</v>
      </c>
      <c r="W242">
        <v>207</v>
      </c>
      <c r="X242" t="e" cm="1">
        <f t="array" ref="X242">DNorm(W242)</f>
        <v>#VALUE!</v>
      </c>
    </row>
    <row r="243" spans="1:24" x14ac:dyDescent="0.3">
      <c r="A243">
        <v>0.51725577024507186</v>
      </c>
      <c r="B243">
        <f t="shared" si="107"/>
        <v>180.51920757155338</v>
      </c>
      <c r="C243">
        <f t="shared" si="108"/>
        <v>181</v>
      </c>
      <c r="D243" cm="1">
        <f t="array" ref="D243">Losuj()</f>
        <v>0.50006908178329468</v>
      </c>
      <c r="E243">
        <f t="shared" si="109"/>
        <v>181.50006908178329</v>
      </c>
      <c r="W243">
        <v>207.25</v>
      </c>
      <c r="X243" t="e" cm="1">
        <f t="array" ref="X243">DNorm(W243)</f>
        <v>#VALUE!</v>
      </c>
    </row>
    <row r="244" spans="1:24" x14ac:dyDescent="0.3">
      <c r="A244">
        <v>0.62733094107936604</v>
      </c>
      <c r="B244">
        <f t="shared" si="107"/>
        <v>183.89751005353602</v>
      </c>
      <c r="C244">
        <f t="shared" si="108"/>
        <v>184</v>
      </c>
      <c r="D244" cm="1">
        <f t="array" ref="D244">Losuj()</f>
        <v>0.12940162420272827</v>
      </c>
      <c r="E244">
        <f t="shared" si="109"/>
        <v>184.12940162420273</v>
      </c>
      <c r="W244">
        <v>207.5</v>
      </c>
      <c r="X244" t="e" cm="1">
        <f t="array" ref="X244">DNorm(W244)</f>
        <v>#VALUE!</v>
      </c>
    </row>
    <row r="245" spans="1:24" x14ac:dyDescent="0.3">
      <c r="A245">
        <v>0.4426969620744583</v>
      </c>
      <c r="B245">
        <f t="shared" si="107"/>
        <v>178.2703808643648</v>
      </c>
      <c r="C245">
        <f t="shared" si="108"/>
        <v>178</v>
      </c>
      <c r="D245" cm="1">
        <f t="array" ref="D245">Losuj()</f>
        <v>0.96549868583679199</v>
      </c>
      <c r="E245">
        <f t="shared" si="109"/>
        <v>178.96549868583679</v>
      </c>
      <c r="W245">
        <v>207.75</v>
      </c>
      <c r="X245" t="e" cm="1">
        <f t="array" ref="X245">DNorm(W245)</f>
        <v>#VALUE!</v>
      </c>
    </row>
    <row r="246" spans="1:24" x14ac:dyDescent="0.3">
      <c r="A246">
        <v>0.48712515081632746</v>
      </c>
      <c r="B246">
        <f t="shared" si="107"/>
        <v>179.61266321924498</v>
      </c>
      <c r="C246">
        <f t="shared" si="108"/>
        <v>180</v>
      </c>
      <c r="D246" cm="1">
        <f t="array" ref="D246">Losuj()</f>
        <v>0.83391427993774414</v>
      </c>
      <c r="E246">
        <f t="shared" si="109"/>
        <v>180.83391427993774</v>
      </c>
      <c r="W246">
        <v>208</v>
      </c>
      <c r="X246" t="e" cm="1">
        <f t="array" ref="X246">DNorm(W246)</f>
        <v>#VALUE!</v>
      </c>
    </row>
    <row r="247" spans="1:24" x14ac:dyDescent="0.3">
      <c r="A247">
        <v>0.46549985104372149</v>
      </c>
      <c r="B247">
        <f t="shared" si="107"/>
        <v>178.96095452815013</v>
      </c>
      <c r="C247">
        <f t="shared" si="108"/>
        <v>179</v>
      </c>
      <c r="D247" cm="1">
        <f t="array" ref="D247">Losuj()</f>
        <v>0.16283833980560303</v>
      </c>
      <c r="E247">
        <f t="shared" si="109"/>
        <v>179.1628383398056</v>
      </c>
      <c r="W247">
        <v>208.25</v>
      </c>
      <c r="X247" t="e" cm="1">
        <f t="array" ref="X247">DNorm(W247)</f>
        <v>#VALUE!</v>
      </c>
    </row>
    <row r="248" spans="1:24" x14ac:dyDescent="0.3">
      <c r="A248">
        <v>0.52860888930789784</v>
      </c>
      <c r="B248">
        <f t="shared" si="107"/>
        <v>180.86128110988125</v>
      </c>
      <c r="C248">
        <f t="shared" si="108"/>
        <v>181</v>
      </c>
      <c r="D248" cm="1">
        <f t="array" ref="D248">Losuj()</f>
        <v>0.76987749338150024</v>
      </c>
      <c r="E248">
        <f t="shared" si="109"/>
        <v>181.7698774933815</v>
      </c>
      <c r="W248">
        <v>208.5</v>
      </c>
      <c r="X248" t="e" cm="1">
        <f t="array" ref="X248">DNorm(W248)</f>
        <v>#VALUE!</v>
      </c>
    </row>
    <row r="249" spans="1:24" x14ac:dyDescent="0.3">
      <c r="A249">
        <v>0.71019542075190323</v>
      </c>
      <c r="B249">
        <f t="shared" si="107"/>
        <v>186.64746849503871</v>
      </c>
      <c r="C249">
        <f t="shared" si="108"/>
        <v>187</v>
      </c>
      <c r="D249" cm="1">
        <f t="array" ref="D249">Losuj()</f>
        <v>0.87859374284744263</v>
      </c>
      <c r="E249">
        <f t="shared" si="109"/>
        <v>187.87859374284744</v>
      </c>
      <c r="W249">
        <v>208.75</v>
      </c>
      <c r="X249" t="e" cm="1">
        <f t="array" ref="X249">DNorm(W249)</f>
        <v>#VALUE!</v>
      </c>
    </row>
    <row r="250" spans="1:24" x14ac:dyDescent="0.3">
      <c r="A250">
        <v>0.35127981507953188</v>
      </c>
      <c r="B250">
        <f t="shared" si="107"/>
        <v>175.41758971169082</v>
      </c>
      <c r="C250">
        <f t="shared" si="108"/>
        <v>175</v>
      </c>
      <c r="D250" cm="1">
        <f t="array" ref="D250">Losuj()</f>
        <v>0.35050636529922485</v>
      </c>
      <c r="E250">
        <f t="shared" si="109"/>
        <v>175.35050636529922</v>
      </c>
      <c r="W250">
        <v>209</v>
      </c>
      <c r="X250" t="e" cm="1">
        <f t="array" ref="X250">DNorm(W250)</f>
        <v>#VALUE!</v>
      </c>
    </row>
    <row r="251" spans="1:24" x14ac:dyDescent="0.3">
      <c r="A251">
        <v>0.96776966246444862</v>
      </c>
      <c r="B251">
        <f t="shared" si="107"/>
        <v>202.18776213002846</v>
      </c>
      <c r="C251">
        <f t="shared" si="108"/>
        <v>202</v>
      </c>
      <c r="D251" cm="1">
        <f t="array" ref="D251">Losuj()</f>
        <v>0.80476361513137817</v>
      </c>
      <c r="E251">
        <f t="shared" si="109"/>
        <v>202.80476361513138</v>
      </c>
      <c r="W251">
        <v>209.25</v>
      </c>
      <c r="X251" t="e" cm="1">
        <f t="array" ref="X251">DNorm(W251)</f>
        <v>#VALUE!</v>
      </c>
    </row>
    <row r="252" spans="1:24" x14ac:dyDescent="0.3">
      <c r="A252">
        <v>0.11820413750938075</v>
      </c>
      <c r="B252">
        <f t="shared" si="107"/>
        <v>165.79185485923435</v>
      </c>
      <c r="C252">
        <f t="shared" si="108"/>
        <v>166</v>
      </c>
      <c r="D252" cm="1">
        <f t="array" ref="D252">Losuj()</f>
        <v>0.82486641407012939</v>
      </c>
      <c r="E252">
        <f t="shared" si="109"/>
        <v>166.82486641407013</v>
      </c>
      <c r="W252">
        <v>209.5</v>
      </c>
      <c r="X252" t="e" cm="1">
        <f t="array" ref="X252">DNorm(W252)</f>
        <v>#VALUE!</v>
      </c>
    </row>
    <row r="253" spans="1:24" x14ac:dyDescent="0.3">
      <c r="A253">
        <v>0.94051212150395347</v>
      </c>
      <c r="B253">
        <f t="shared" si="107"/>
        <v>198.70904567888343</v>
      </c>
      <c r="C253">
        <f t="shared" si="108"/>
        <v>199</v>
      </c>
      <c r="D253" cm="1">
        <f t="array" ref="D253">Losuj()</f>
        <v>0.98370838165283203</v>
      </c>
      <c r="E253">
        <f t="shared" si="109"/>
        <v>199.98370838165283</v>
      </c>
      <c r="W253">
        <v>209.75</v>
      </c>
      <c r="X253" t="e" cm="1">
        <f t="array" ref="X253">DNorm(W253)</f>
        <v>#VALUE!</v>
      </c>
    </row>
    <row r="254" spans="1:24" x14ac:dyDescent="0.3">
      <c r="A254">
        <v>0.68804995696480253</v>
      </c>
      <c r="B254">
        <f t="shared" si="107"/>
        <v>185.88396535086881</v>
      </c>
      <c r="C254">
        <f t="shared" si="108"/>
        <v>186</v>
      </c>
      <c r="D254" cm="1">
        <f t="array" ref="D254">Losuj()</f>
        <v>0.1363263726234436</v>
      </c>
      <c r="E254">
        <f t="shared" si="109"/>
        <v>186.13632637262344</v>
      </c>
      <c r="W254">
        <v>210</v>
      </c>
      <c r="X254" t="e" cm="1">
        <f t="array" ref="X254">DNorm(W254)</f>
        <v>#VALUE!</v>
      </c>
    </row>
    <row r="255" spans="1:24" x14ac:dyDescent="0.3">
      <c r="A255">
        <v>0.18052571590037669</v>
      </c>
      <c r="B255">
        <f t="shared" si="107"/>
        <v>169.03963882741209</v>
      </c>
      <c r="C255">
        <f t="shared" si="108"/>
        <v>169</v>
      </c>
      <c r="D255" cm="1">
        <f t="array" ref="D255">Losuj()</f>
        <v>0.88606619834899902</v>
      </c>
      <c r="E255">
        <f t="shared" si="109"/>
        <v>169.886066198349</v>
      </c>
      <c r="W255">
        <v>210.25</v>
      </c>
      <c r="X255" t="e" cm="1">
        <f t="array" ref="X255">DNorm(W255)</f>
        <v>#VALUE!</v>
      </c>
    </row>
    <row r="256" spans="1:24" x14ac:dyDescent="0.3">
      <c r="A256">
        <v>0.24959166487529671</v>
      </c>
      <c r="B256">
        <f t="shared" si="107"/>
        <v>171.89069660084087</v>
      </c>
      <c r="C256">
        <f t="shared" si="108"/>
        <v>172</v>
      </c>
      <c r="D256" cm="1">
        <f t="array" ref="D256">Losuj()</f>
        <v>0.13409298658370972</v>
      </c>
      <c r="E256">
        <f t="shared" si="109"/>
        <v>172.13409298658371</v>
      </c>
      <c r="W256">
        <v>210.5</v>
      </c>
      <c r="X256" t="e" cm="1">
        <f t="array" ref="X256">DNorm(W256)</f>
        <v>#VALUE!</v>
      </c>
    </row>
    <row r="257" spans="1:24" x14ac:dyDescent="0.3">
      <c r="A257">
        <v>0.88777309572936736</v>
      </c>
      <c r="B257">
        <f t="shared" si="107"/>
        <v>194.57724054534339</v>
      </c>
      <c r="C257">
        <f t="shared" si="108"/>
        <v>195</v>
      </c>
      <c r="D257" cm="1">
        <f t="array" ref="D257">Losuj()</f>
        <v>0.36961406469345093</v>
      </c>
      <c r="E257">
        <f t="shared" si="109"/>
        <v>195.36961406469345</v>
      </c>
      <c r="W257">
        <v>210.75</v>
      </c>
      <c r="X257" t="e" cm="1">
        <f t="array" ref="X257">DNorm(W257)</f>
        <v>#VALUE!</v>
      </c>
    </row>
    <row r="258" spans="1:24" x14ac:dyDescent="0.3">
      <c r="A258">
        <v>0.85984199609103751</v>
      </c>
      <c r="B258">
        <f t="shared" ref="B258:B321" si="110">_xlfn.NORM.INV(A258,_mu,_sigma)</f>
        <v>192.95531673165667</v>
      </c>
      <c r="C258">
        <f t="shared" si="108"/>
        <v>193</v>
      </c>
      <c r="D258" cm="1">
        <f t="array" ref="D258">Losuj()</f>
        <v>8.2734465599060059E-2</v>
      </c>
      <c r="E258">
        <f t="shared" si="109"/>
        <v>193.08273446559906</v>
      </c>
      <c r="W258">
        <v>211</v>
      </c>
      <c r="X258" t="e" cm="1">
        <f t="array" ref="X258">DNorm(W258)</f>
        <v>#VALUE!</v>
      </c>
    </row>
    <row r="259" spans="1:24" x14ac:dyDescent="0.3">
      <c r="A259">
        <v>0.24633265266783733</v>
      </c>
      <c r="B259">
        <f t="shared" si="110"/>
        <v>171.76709030275885</v>
      </c>
      <c r="C259">
        <f t="shared" ref="C259:C322" si="111">INT(B259+1/2)</f>
        <v>172</v>
      </c>
      <c r="D259" cm="1">
        <f t="array" ref="D259">Losuj()</f>
        <v>0.11824923753738403</v>
      </c>
      <c r="E259">
        <f t="shared" ref="E259:E322" si="112">C259+D259</f>
        <v>172.11824923753738</v>
      </c>
      <c r="W259">
        <v>211.25</v>
      </c>
      <c r="X259" t="e" cm="1">
        <f t="array" ref="X259">DNorm(W259)</f>
        <v>#VALUE!</v>
      </c>
    </row>
    <row r="260" spans="1:24" x14ac:dyDescent="0.3">
      <c r="A260">
        <v>0.6648153706908414</v>
      </c>
      <c r="B260">
        <f t="shared" si="110"/>
        <v>185.1076953132488</v>
      </c>
      <c r="C260">
        <f t="shared" si="111"/>
        <v>185</v>
      </c>
      <c r="D260" cm="1">
        <f t="array" ref="D260">Losuj()</f>
        <v>0.69386625289916992</v>
      </c>
      <c r="E260">
        <f t="shared" si="112"/>
        <v>185.69386625289917</v>
      </c>
      <c r="W260">
        <v>211.5</v>
      </c>
      <c r="X260" t="e" cm="1">
        <f t="array" ref="X260">DNorm(W260)</f>
        <v>#VALUE!</v>
      </c>
    </row>
    <row r="261" spans="1:24" x14ac:dyDescent="0.3">
      <c r="A261">
        <v>0.29978216395079293</v>
      </c>
      <c r="B261">
        <f t="shared" si="110"/>
        <v>173.69967438299645</v>
      </c>
      <c r="C261">
        <f t="shared" si="111"/>
        <v>174</v>
      </c>
      <c r="D261" cm="1">
        <f t="array" ref="D261">Losuj()</f>
        <v>0.29949575662612915</v>
      </c>
      <c r="E261">
        <f t="shared" si="112"/>
        <v>174.29949575662613</v>
      </c>
      <c r="W261">
        <v>211.75</v>
      </c>
      <c r="X261" t="e" cm="1">
        <f t="array" ref="X261">DNorm(W261)</f>
        <v>#VALUE!</v>
      </c>
    </row>
    <row r="262" spans="1:24" x14ac:dyDescent="0.3">
      <c r="A262">
        <v>0.52904362924473569</v>
      </c>
      <c r="B262">
        <f t="shared" si="110"/>
        <v>180.87439212899392</v>
      </c>
      <c r="C262">
        <f t="shared" si="111"/>
        <v>181</v>
      </c>
      <c r="D262" cm="1">
        <f t="array" ref="D262">Losuj()</f>
        <v>0.31585592031478882</v>
      </c>
      <c r="E262">
        <f t="shared" si="112"/>
        <v>181.31585592031479</v>
      </c>
      <c r="W262">
        <v>212</v>
      </c>
      <c r="X262" t="e" cm="1">
        <f t="array" ref="X262">DNorm(W262)</f>
        <v>#VALUE!</v>
      </c>
    </row>
    <row r="263" spans="1:24" x14ac:dyDescent="0.3">
      <c r="A263">
        <v>0.47137376043731716</v>
      </c>
      <c r="B263">
        <f t="shared" si="110"/>
        <v>179.13819565566408</v>
      </c>
      <c r="C263">
        <f t="shared" si="111"/>
        <v>179</v>
      </c>
      <c r="D263" cm="1">
        <f t="array" ref="D263">Losuj()</f>
        <v>0.1394379734992981</v>
      </c>
      <c r="E263">
        <f t="shared" si="112"/>
        <v>179.1394379734993</v>
      </c>
      <c r="W263">
        <v>212.25</v>
      </c>
      <c r="X263" t="e" cm="1">
        <f t="array" ref="X263">DNorm(W263)</f>
        <v>#VALUE!</v>
      </c>
    </row>
    <row r="264" spans="1:24" x14ac:dyDescent="0.3">
      <c r="A264">
        <v>0.74485862963667182</v>
      </c>
      <c r="B264">
        <f t="shared" si="110"/>
        <v>187.90077001280227</v>
      </c>
      <c r="C264">
        <f t="shared" si="111"/>
        <v>188</v>
      </c>
      <c r="D264" cm="1">
        <f t="array" ref="D264">Losuj()</f>
        <v>8.693462610244751E-2</v>
      </c>
      <c r="E264">
        <f t="shared" si="112"/>
        <v>188.08693462610245</v>
      </c>
      <c r="W264">
        <v>212.5</v>
      </c>
      <c r="X264" t="e" cm="1">
        <f t="array" ref="X264">DNorm(W264)</f>
        <v>#VALUE!</v>
      </c>
    </row>
    <row r="265" spans="1:24" x14ac:dyDescent="0.3">
      <c r="A265">
        <v>3.36914907812772E-2</v>
      </c>
      <c r="B265">
        <f t="shared" si="110"/>
        <v>158.05066801074531</v>
      </c>
      <c r="C265">
        <f t="shared" si="111"/>
        <v>158</v>
      </c>
      <c r="D265" cm="1">
        <f t="array" ref="D265">Losuj()</f>
        <v>0.57329952716827393</v>
      </c>
      <c r="E265">
        <f t="shared" si="112"/>
        <v>158.57329952716827</v>
      </c>
      <c r="W265">
        <v>212.75</v>
      </c>
      <c r="X265" t="e" cm="1">
        <f t="array" ref="X265">DNorm(W265)</f>
        <v>#VALUE!</v>
      </c>
    </row>
    <row r="266" spans="1:24" x14ac:dyDescent="0.3">
      <c r="A266">
        <v>0.87318202193816119</v>
      </c>
      <c r="B266">
        <f t="shared" si="110"/>
        <v>193.6987489277904</v>
      </c>
      <c r="C266">
        <f t="shared" si="111"/>
        <v>194</v>
      </c>
      <c r="D266" cm="1">
        <f t="array" ref="D266">Losuj()</f>
        <v>0.15654939413070679</v>
      </c>
      <c r="E266">
        <f t="shared" si="112"/>
        <v>194.15654939413071</v>
      </c>
      <c r="W266">
        <v>213</v>
      </c>
      <c r="X266" t="e" cm="1">
        <f t="array" ref="X266">DNorm(W266)</f>
        <v>#VALUE!</v>
      </c>
    </row>
    <row r="267" spans="1:24" x14ac:dyDescent="0.3">
      <c r="A267">
        <v>0.97251917327575532</v>
      </c>
      <c r="B267">
        <f t="shared" si="110"/>
        <v>203.03015092135746</v>
      </c>
      <c r="C267">
        <f t="shared" si="111"/>
        <v>203</v>
      </c>
      <c r="D267" cm="1">
        <f t="array" ref="D267">Losuj()</f>
        <v>0.9707111120223999</v>
      </c>
      <c r="E267">
        <f t="shared" si="112"/>
        <v>203.9707111120224</v>
      </c>
      <c r="W267">
        <v>213.25</v>
      </c>
      <c r="X267" t="e" cm="1">
        <f t="array" ref="X267">DNorm(W267)</f>
        <v>#VALUE!</v>
      </c>
    </row>
    <row r="268" spans="1:24" x14ac:dyDescent="0.3">
      <c r="A268">
        <v>0.23935963310208541</v>
      </c>
      <c r="B268">
        <f t="shared" si="110"/>
        <v>171.49963245974408</v>
      </c>
      <c r="C268">
        <f t="shared" si="111"/>
        <v>171</v>
      </c>
      <c r="D268" cm="1">
        <f t="array" ref="D268">Losuj()</f>
        <v>0.24414670467376709</v>
      </c>
      <c r="E268">
        <f t="shared" si="112"/>
        <v>171.24414670467377</v>
      </c>
      <c r="W268">
        <v>213.5</v>
      </c>
      <c r="X268" t="e" cm="1">
        <f t="array" ref="X268">DNorm(W268)</f>
        <v>#VALUE!</v>
      </c>
    </row>
    <row r="269" spans="1:24" x14ac:dyDescent="0.3">
      <c r="A269">
        <v>0.98911704357827201</v>
      </c>
      <c r="B269">
        <f t="shared" si="110"/>
        <v>207.53313882727861</v>
      </c>
      <c r="C269">
        <f t="shared" si="111"/>
        <v>208</v>
      </c>
      <c r="D269" cm="1">
        <f t="array" ref="D269">Losuj()</f>
        <v>0.39698851108551025</v>
      </c>
      <c r="E269">
        <f t="shared" si="112"/>
        <v>208.39698851108551</v>
      </c>
      <c r="W269">
        <v>213.75</v>
      </c>
      <c r="X269" t="e" cm="1">
        <f t="array" ref="X269">DNorm(W269)</f>
        <v>#VALUE!</v>
      </c>
    </row>
    <row r="270" spans="1:24" x14ac:dyDescent="0.3">
      <c r="A270">
        <v>0.92004219016704381</v>
      </c>
      <c r="B270">
        <f t="shared" si="110"/>
        <v>196.86426489733083</v>
      </c>
      <c r="C270">
        <f t="shared" si="111"/>
        <v>197</v>
      </c>
      <c r="D270" cm="1">
        <f t="array" ref="D270">Losuj()</f>
        <v>0.96360516548156738</v>
      </c>
      <c r="E270">
        <f t="shared" si="112"/>
        <v>197.96360516548157</v>
      </c>
      <c r="W270">
        <v>214</v>
      </c>
      <c r="X270" t="e" cm="1">
        <f t="array" ref="X270">DNorm(W270)</f>
        <v>#VALUE!</v>
      </c>
    </row>
    <row r="271" spans="1:24" x14ac:dyDescent="0.3">
      <c r="A271">
        <v>0.36433933111217598</v>
      </c>
      <c r="B271">
        <f t="shared" si="110"/>
        <v>175.83739511261149</v>
      </c>
      <c r="C271">
        <f t="shared" si="111"/>
        <v>176</v>
      </c>
      <c r="D271" cm="1">
        <f t="array" ref="D271">Losuj()</f>
        <v>0.30846548080444336</v>
      </c>
      <c r="E271">
        <f t="shared" si="112"/>
        <v>176.30846548080444</v>
      </c>
      <c r="W271">
        <v>214.25</v>
      </c>
      <c r="X271" t="e" cm="1">
        <f t="array" ref="X271">DNorm(W271)</f>
        <v>#VALUE!</v>
      </c>
    </row>
    <row r="272" spans="1:24" x14ac:dyDescent="0.3">
      <c r="A272">
        <v>4.3989698534208976E-2</v>
      </c>
      <c r="B272">
        <f t="shared" si="110"/>
        <v>159.52615111980737</v>
      </c>
      <c r="C272">
        <f t="shared" si="111"/>
        <v>160</v>
      </c>
      <c r="D272" cm="1">
        <f t="array" ref="D272">Losuj()</f>
        <v>0.88513940572738647</v>
      </c>
      <c r="E272">
        <f t="shared" si="112"/>
        <v>160.88513940572739</v>
      </c>
      <c r="W272">
        <v>214.5</v>
      </c>
      <c r="X272" t="e" cm="1">
        <f t="array" ref="X272">DNorm(W272)</f>
        <v>#VALUE!</v>
      </c>
    </row>
    <row r="273" spans="1:24" x14ac:dyDescent="0.3">
      <c r="A273">
        <v>0.22115410786537837</v>
      </c>
      <c r="B273">
        <f t="shared" si="110"/>
        <v>170.78038466707113</v>
      </c>
      <c r="C273">
        <f t="shared" si="111"/>
        <v>171</v>
      </c>
      <c r="D273" cm="1">
        <f t="array" ref="D273">Losuj()</f>
        <v>0.89728701114654541</v>
      </c>
      <c r="E273">
        <f t="shared" si="112"/>
        <v>171.89728701114655</v>
      </c>
      <c r="W273">
        <v>214.75</v>
      </c>
      <c r="X273" t="e" cm="1">
        <f t="array" ref="X273">DNorm(W273)</f>
        <v>#VALUE!</v>
      </c>
    </row>
    <row r="274" spans="1:24" x14ac:dyDescent="0.3">
      <c r="A274">
        <v>0.65025631214198754</v>
      </c>
      <c r="B274">
        <f t="shared" si="110"/>
        <v>184.63215057622548</v>
      </c>
      <c r="C274">
        <f t="shared" si="111"/>
        <v>185</v>
      </c>
      <c r="D274" cm="1">
        <f t="array" ref="D274">Losuj()</f>
        <v>0.26226806640625</v>
      </c>
      <c r="E274">
        <f t="shared" si="112"/>
        <v>185.26226806640625</v>
      </c>
      <c r="W274">
        <v>215</v>
      </c>
      <c r="X274" t="e" cm="1">
        <f t="array" ref="X274">DNorm(W274)</f>
        <v>#VALUE!</v>
      </c>
    </row>
    <row r="275" spans="1:24" x14ac:dyDescent="0.3">
      <c r="A275">
        <v>0.70588754780720064</v>
      </c>
      <c r="B275">
        <f t="shared" si="110"/>
        <v>186.49692194507227</v>
      </c>
      <c r="C275">
        <f t="shared" si="111"/>
        <v>186</v>
      </c>
      <c r="D275" cm="1">
        <f t="array" ref="D275">Losuj()</f>
        <v>0.38080114126205444</v>
      </c>
      <c r="E275">
        <f t="shared" si="112"/>
        <v>186.38080114126205</v>
      </c>
      <c r="W275">
        <v>215.25</v>
      </c>
      <c r="X275" t="e" cm="1">
        <f t="array" ref="X275">DNorm(W275)</f>
        <v>#VALUE!</v>
      </c>
    </row>
    <row r="276" spans="1:24" x14ac:dyDescent="0.3">
      <c r="A276">
        <v>0.833838577165397</v>
      </c>
      <c r="B276">
        <f t="shared" si="110"/>
        <v>191.63334874913463</v>
      </c>
      <c r="C276">
        <f t="shared" si="111"/>
        <v>192</v>
      </c>
      <c r="D276" cm="1">
        <f t="array" ref="D276">Losuj()</f>
        <v>0.39875549077987671</v>
      </c>
      <c r="E276">
        <f t="shared" si="112"/>
        <v>192.39875549077988</v>
      </c>
      <c r="W276">
        <v>215.5</v>
      </c>
      <c r="X276" t="e" cm="1">
        <f t="array" ref="X276">DNorm(W276)</f>
        <v>#VALUE!</v>
      </c>
    </row>
    <row r="277" spans="1:24" x14ac:dyDescent="0.3">
      <c r="A277">
        <v>0.9705050955666773</v>
      </c>
      <c r="B277">
        <f t="shared" si="110"/>
        <v>202.65923139184628</v>
      </c>
      <c r="C277">
        <f t="shared" si="111"/>
        <v>203</v>
      </c>
      <c r="D277" cm="1">
        <f t="array" ref="D277">Losuj()</f>
        <v>0.5466303825378418</v>
      </c>
      <c r="E277">
        <f t="shared" si="112"/>
        <v>203.54663038253784</v>
      </c>
      <c r="W277">
        <v>215.75</v>
      </c>
      <c r="X277" t="e" cm="1">
        <f t="array" ref="X277">DNorm(W277)</f>
        <v>#VALUE!</v>
      </c>
    </row>
    <row r="278" spans="1:24" x14ac:dyDescent="0.3">
      <c r="A278">
        <v>0.80155330091199661</v>
      </c>
      <c r="B278">
        <f t="shared" si="110"/>
        <v>190.16619017321861</v>
      </c>
      <c r="C278">
        <f t="shared" si="111"/>
        <v>190</v>
      </c>
      <c r="D278" cm="1">
        <f t="array" ref="D278">Losuj()</f>
        <v>0.30003231763839722</v>
      </c>
      <c r="E278">
        <f t="shared" si="112"/>
        <v>190.3000323176384</v>
      </c>
      <c r="W278">
        <v>216</v>
      </c>
      <c r="X278" t="e" cm="1">
        <f t="array" ref="X278">DNorm(W278)</f>
        <v>#VALUE!</v>
      </c>
    </row>
    <row r="279" spans="1:24" x14ac:dyDescent="0.3">
      <c r="A279">
        <v>0.46485566735277206</v>
      </c>
      <c r="B279">
        <f t="shared" si="110"/>
        <v>178.94150363283418</v>
      </c>
      <c r="C279">
        <f t="shared" si="111"/>
        <v>179</v>
      </c>
      <c r="D279" cm="1">
        <f t="array" ref="D279">Losuj()</f>
        <v>0.41598856449127197</v>
      </c>
      <c r="E279">
        <f t="shared" si="112"/>
        <v>179.41598856449127</v>
      </c>
      <c r="W279">
        <v>216.25</v>
      </c>
      <c r="X279" t="e" cm="1">
        <f t="array" ref="X279">DNorm(W279)</f>
        <v>#VALUE!</v>
      </c>
    </row>
    <row r="280" spans="1:24" x14ac:dyDescent="0.3">
      <c r="A280">
        <v>0.34517839329560907</v>
      </c>
      <c r="B280">
        <f t="shared" si="110"/>
        <v>175.21954889937473</v>
      </c>
      <c r="C280">
        <f t="shared" si="111"/>
        <v>175</v>
      </c>
      <c r="D280" cm="1">
        <f t="array" ref="D280">Losuj()</f>
        <v>0.68836688995361328</v>
      </c>
      <c r="E280">
        <f t="shared" si="112"/>
        <v>175.68836688995361</v>
      </c>
      <c r="W280">
        <v>216.5</v>
      </c>
      <c r="X280" t="e" cm="1">
        <f t="array" ref="X280">DNorm(W280)</f>
        <v>#VALUE!</v>
      </c>
    </row>
    <row r="281" spans="1:24" x14ac:dyDescent="0.3">
      <c r="A281">
        <v>5.8651486637567696E-2</v>
      </c>
      <c r="B281">
        <f t="shared" si="110"/>
        <v>161.2056600186782</v>
      </c>
      <c r="C281">
        <f t="shared" si="111"/>
        <v>161</v>
      </c>
      <c r="D281" cm="1">
        <f t="array" ref="D281">Losuj()</f>
        <v>0.2749638557434082</v>
      </c>
      <c r="E281">
        <f t="shared" si="112"/>
        <v>161.27496385574341</v>
      </c>
      <c r="W281">
        <v>216.75</v>
      </c>
      <c r="X281" t="e" cm="1">
        <f t="array" ref="X281">DNorm(W281)</f>
        <v>#VALUE!</v>
      </c>
    </row>
    <row r="282" spans="1:24" x14ac:dyDescent="0.3">
      <c r="A282">
        <v>0.16079294481032957</v>
      </c>
      <c r="B282">
        <f t="shared" si="110"/>
        <v>168.10554983280895</v>
      </c>
      <c r="C282">
        <f t="shared" si="111"/>
        <v>168</v>
      </c>
      <c r="D282" cm="1">
        <f t="array" ref="D282">Losuj()</f>
        <v>0.55405724048614502</v>
      </c>
      <c r="E282">
        <f t="shared" si="112"/>
        <v>168.55405724048615</v>
      </c>
      <c r="W282">
        <v>217</v>
      </c>
      <c r="X282" t="e" cm="1">
        <f t="array" ref="X282">DNorm(W282)</f>
        <v>#VALUE!</v>
      </c>
    </row>
    <row r="283" spans="1:24" x14ac:dyDescent="0.3">
      <c r="A283">
        <v>0.42234533370885285</v>
      </c>
      <c r="B283">
        <f t="shared" si="110"/>
        <v>177.64923419073742</v>
      </c>
      <c r="C283">
        <f t="shared" si="111"/>
        <v>178</v>
      </c>
      <c r="D283" cm="1">
        <f t="array" ref="D283">Losuj()</f>
        <v>0.32409536838531494</v>
      </c>
      <c r="E283">
        <f t="shared" si="112"/>
        <v>178.32409536838531</v>
      </c>
      <c r="W283">
        <v>217.25</v>
      </c>
      <c r="X283" t="e" cm="1">
        <f t="array" ref="X283">DNorm(W283)</f>
        <v>#VALUE!</v>
      </c>
    </row>
    <row r="284" spans="1:24" x14ac:dyDescent="0.3">
      <c r="A284">
        <v>0.69911273525364026</v>
      </c>
      <c r="B284">
        <f t="shared" si="110"/>
        <v>186.26220420590278</v>
      </c>
      <c r="C284">
        <f t="shared" si="111"/>
        <v>186</v>
      </c>
      <c r="D284" cm="1">
        <f t="array" ref="D284">Losuj()</f>
        <v>0.21233093738555908</v>
      </c>
      <c r="E284">
        <f t="shared" si="112"/>
        <v>186.21233093738556</v>
      </c>
      <c r="W284">
        <v>217.5</v>
      </c>
      <c r="X284" t="e" cm="1">
        <f t="array" ref="X284">DNorm(W284)</f>
        <v>#VALUE!</v>
      </c>
    </row>
    <row r="285" spans="1:24" x14ac:dyDescent="0.3">
      <c r="A285">
        <v>0.69150957565016469</v>
      </c>
      <c r="B285">
        <f t="shared" si="110"/>
        <v>186.00160592761713</v>
      </c>
      <c r="C285">
        <f t="shared" si="111"/>
        <v>186</v>
      </c>
      <c r="D285" cm="1">
        <f t="array" ref="D285">Losuj()</f>
        <v>0.86623203754425049</v>
      </c>
      <c r="E285">
        <f t="shared" si="112"/>
        <v>186.86623203754425</v>
      </c>
      <c r="W285">
        <v>217.75</v>
      </c>
      <c r="X285" t="e" cm="1">
        <f t="array" ref="X285">DNorm(W285)</f>
        <v>#VALUE!</v>
      </c>
    </row>
    <row r="286" spans="1:24" x14ac:dyDescent="0.3">
      <c r="A286">
        <v>0.1499013305824799</v>
      </c>
      <c r="B286">
        <f t="shared" si="110"/>
        <v>167.5577199856944</v>
      </c>
      <c r="C286">
        <f t="shared" si="111"/>
        <v>168</v>
      </c>
      <c r="D286" cm="1">
        <f t="array" ref="D286">Losuj()</f>
        <v>0.62505334615707397</v>
      </c>
      <c r="E286">
        <f t="shared" si="112"/>
        <v>168.62505334615707</v>
      </c>
      <c r="W286">
        <v>218</v>
      </c>
      <c r="X286" t="e" cm="1">
        <f t="array" ref="X286">DNorm(W286)</f>
        <v>#VALUE!</v>
      </c>
    </row>
    <row r="287" spans="1:24" x14ac:dyDescent="0.3">
      <c r="A287">
        <v>0.77020647679751963</v>
      </c>
      <c r="B287">
        <f t="shared" si="110"/>
        <v>188.87432408720741</v>
      </c>
      <c r="C287">
        <f t="shared" si="111"/>
        <v>189</v>
      </c>
      <c r="D287" cm="1">
        <f t="array" ref="D287">Losuj()</f>
        <v>0.2003098726272583</v>
      </c>
      <c r="E287">
        <f t="shared" si="112"/>
        <v>189.20030987262726</v>
      </c>
    </row>
    <row r="288" spans="1:24" x14ac:dyDescent="0.3">
      <c r="A288">
        <v>0.79808550665039912</v>
      </c>
      <c r="B288">
        <f t="shared" si="110"/>
        <v>190.01762853681001</v>
      </c>
      <c r="C288">
        <f t="shared" si="111"/>
        <v>190</v>
      </c>
      <c r="D288" cm="1">
        <f t="array" ref="D288">Losuj()</f>
        <v>0.57379239797592163</v>
      </c>
      <c r="E288">
        <f t="shared" si="112"/>
        <v>190.57379239797592</v>
      </c>
    </row>
    <row r="289" spans="1:5" x14ac:dyDescent="0.3">
      <c r="A289">
        <v>0.6044433981349111</v>
      </c>
      <c r="B289">
        <f t="shared" si="110"/>
        <v>183.17838401671858</v>
      </c>
      <c r="C289">
        <f t="shared" si="111"/>
        <v>183</v>
      </c>
      <c r="D289" cm="1">
        <f t="array" ref="D289">Losuj()</f>
        <v>0.96941226720809937</v>
      </c>
      <c r="E289">
        <f t="shared" si="112"/>
        <v>183.9694122672081</v>
      </c>
    </row>
    <row r="290" spans="1:5" x14ac:dyDescent="0.3">
      <c r="A290">
        <v>0.23887247388482857</v>
      </c>
      <c r="B290">
        <f t="shared" si="110"/>
        <v>171.48078972970563</v>
      </c>
      <c r="C290">
        <f t="shared" si="111"/>
        <v>171</v>
      </c>
      <c r="D290" cm="1">
        <f t="array" ref="D290">Losuj()</f>
        <v>0.60773205757141113</v>
      </c>
      <c r="E290">
        <f t="shared" si="112"/>
        <v>171.60773205757141</v>
      </c>
    </row>
    <row r="291" spans="1:5" x14ac:dyDescent="0.3">
      <c r="A291">
        <v>0.76781967217697056</v>
      </c>
      <c r="B291">
        <f t="shared" si="110"/>
        <v>188.78022389708613</v>
      </c>
      <c r="C291">
        <f t="shared" si="111"/>
        <v>189</v>
      </c>
      <c r="D291" cm="1">
        <f t="array" ref="D291">Losuj()</f>
        <v>0.55113643407821655</v>
      </c>
      <c r="E291">
        <f t="shared" si="112"/>
        <v>189.55113643407822</v>
      </c>
    </row>
    <row r="292" spans="1:5" x14ac:dyDescent="0.3">
      <c r="A292">
        <v>0.32344484487995595</v>
      </c>
      <c r="B292">
        <f t="shared" si="110"/>
        <v>174.50295184934009</v>
      </c>
      <c r="C292">
        <f t="shared" si="111"/>
        <v>175</v>
      </c>
      <c r="D292" cm="1">
        <f t="array" ref="D292">Losuj()</f>
        <v>3.2038450241088867E-2</v>
      </c>
      <c r="E292">
        <f t="shared" si="112"/>
        <v>175.03203845024109</v>
      </c>
    </row>
    <row r="293" spans="1:5" x14ac:dyDescent="0.3">
      <c r="A293">
        <v>0.28310889803975992</v>
      </c>
      <c r="B293">
        <f t="shared" si="110"/>
        <v>173.11643272654968</v>
      </c>
      <c r="C293">
        <f t="shared" si="111"/>
        <v>173</v>
      </c>
      <c r="D293" cm="1">
        <f t="array" ref="D293">Losuj()</f>
        <v>0.55330216884613037</v>
      </c>
      <c r="E293">
        <f t="shared" si="112"/>
        <v>173.55330216884613</v>
      </c>
    </row>
    <row r="294" spans="1:5" x14ac:dyDescent="0.3">
      <c r="A294">
        <v>0.60733613861032232</v>
      </c>
      <c r="B294">
        <f t="shared" si="110"/>
        <v>183.26859319007957</v>
      </c>
      <c r="C294">
        <f t="shared" si="111"/>
        <v>183</v>
      </c>
      <c r="D294" cm="1">
        <f t="array" ref="D294">Losuj()</f>
        <v>0.41199654340744019</v>
      </c>
      <c r="E294">
        <f t="shared" si="112"/>
        <v>183.41199654340744</v>
      </c>
    </row>
    <row r="295" spans="1:5" x14ac:dyDescent="0.3">
      <c r="A295">
        <v>9.520682075317366E-2</v>
      </c>
      <c r="B295">
        <f t="shared" si="110"/>
        <v>164.28772278924046</v>
      </c>
      <c r="C295">
        <f t="shared" si="111"/>
        <v>164</v>
      </c>
      <c r="D295" cm="1">
        <f t="array" ref="D295">Losuj()</f>
        <v>0.32479804754257202</v>
      </c>
      <c r="E295">
        <f t="shared" si="112"/>
        <v>164.32479804754257</v>
      </c>
    </row>
    <row r="296" spans="1:5" x14ac:dyDescent="0.3">
      <c r="A296">
        <v>0.23750605770629962</v>
      </c>
      <c r="B296">
        <f t="shared" si="110"/>
        <v>171.42782589161777</v>
      </c>
      <c r="C296">
        <f t="shared" si="111"/>
        <v>171</v>
      </c>
      <c r="D296" cm="1">
        <f t="array" ref="D296">Losuj()</f>
        <v>0.15352416038513184</v>
      </c>
      <c r="E296">
        <f t="shared" si="112"/>
        <v>171.15352416038513</v>
      </c>
    </row>
    <row r="297" spans="1:5" x14ac:dyDescent="0.3">
      <c r="A297">
        <v>0.59053672824171</v>
      </c>
      <c r="B297">
        <f t="shared" si="110"/>
        <v>182.74711027893105</v>
      </c>
      <c r="C297">
        <f t="shared" si="111"/>
        <v>183</v>
      </c>
      <c r="D297" cm="1">
        <f t="array" ref="D297">Losuj()</f>
        <v>0.57685291767120361</v>
      </c>
      <c r="E297">
        <f t="shared" si="112"/>
        <v>183.5768529176712</v>
      </c>
    </row>
    <row r="298" spans="1:5" x14ac:dyDescent="0.3">
      <c r="A298">
        <v>0.69691168774418655</v>
      </c>
      <c r="B298">
        <f t="shared" si="110"/>
        <v>186.18646455656628</v>
      </c>
      <c r="C298">
        <f t="shared" si="111"/>
        <v>186</v>
      </c>
      <c r="D298" cm="1">
        <f t="array" ref="D298">Losuj()</f>
        <v>0.74763214588165283</v>
      </c>
      <c r="E298">
        <f t="shared" si="112"/>
        <v>186.74763214588165</v>
      </c>
    </row>
    <row r="299" spans="1:5" x14ac:dyDescent="0.3">
      <c r="A299">
        <v>5.5130730399065797E-2</v>
      </c>
      <c r="B299">
        <f t="shared" si="110"/>
        <v>160.83577139505707</v>
      </c>
      <c r="C299">
        <f t="shared" si="111"/>
        <v>161</v>
      </c>
      <c r="D299" cm="1">
        <f t="array" ref="D299">Losuj()</f>
        <v>0.31824594736099243</v>
      </c>
      <c r="E299">
        <f t="shared" si="112"/>
        <v>161.31824594736099</v>
      </c>
    </row>
    <row r="300" spans="1:5" x14ac:dyDescent="0.3">
      <c r="A300">
        <v>0.60879583308031615</v>
      </c>
      <c r="B300">
        <f t="shared" si="110"/>
        <v>183.31418318529711</v>
      </c>
      <c r="C300">
        <f t="shared" si="111"/>
        <v>183</v>
      </c>
      <c r="D300" cm="1">
        <f t="array" ref="D300">Losuj()</f>
        <v>4.4161081314086914E-2</v>
      </c>
      <c r="E300">
        <f t="shared" si="112"/>
        <v>183.04416108131409</v>
      </c>
    </row>
    <row r="301" spans="1:5" x14ac:dyDescent="0.3">
      <c r="A301">
        <v>0.90283110904360431</v>
      </c>
      <c r="B301">
        <f t="shared" si="110"/>
        <v>195.57423848966991</v>
      </c>
      <c r="C301">
        <f t="shared" si="111"/>
        <v>196</v>
      </c>
      <c r="D301" cm="1">
        <f t="array" ref="D301">Losuj()</f>
        <v>0.15630203485488892</v>
      </c>
      <c r="E301">
        <f t="shared" si="112"/>
        <v>196.15630203485489</v>
      </c>
    </row>
    <row r="302" spans="1:5" x14ac:dyDescent="0.3">
      <c r="A302">
        <v>0.82515697514198483</v>
      </c>
      <c r="B302">
        <f t="shared" si="110"/>
        <v>191.22238110807095</v>
      </c>
      <c r="C302">
        <f t="shared" si="111"/>
        <v>191</v>
      </c>
      <c r="D302" cm="1">
        <f t="array" ref="D302">Losuj()</f>
        <v>0.6079552173614502</v>
      </c>
      <c r="E302">
        <f t="shared" si="112"/>
        <v>191.60795521736145</v>
      </c>
    </row>
    <row r="303" spans="1:5" x14ac:dyDescent="0.3">
      <c r="A303">
        <v>0.42490902271179565</v>
      </c>
      <c r="B303">
        <f t="shared" si="110"/>
        <v>177.72779289092315</v>
      </c>
      <c r="C303">
        <f t="shared" si="111"/>
        <v>178</v>
      </c>
      <c r="D303" cm="1">
        <f t="array" ref="D303">Losuj()</f>
        <v>0.12332069873809814</v>
      </c>
      <c r="E303">
        <f t="shared" si="112"/>
        <v>178.1233206987381</v>
      </c>
    </row>
    <row r="304" spans="1:5" x14ac:dyDescent="0.3">
      <c r="A304">
        <v>0.89865708132353272</v>
      </c>
      <c r="B304">
        <f t="shared" si="110"/>
        <v>195.28724084816008</v>
      </c>
      <c r="C304">
        <f t="shared" si="111"/>
        <v>195</v>
      </c>
      <c r="D304" cm="1">
        <f t="array" ref="D304">Losuj()</f>
        <v>0.19800108671188354</v>
      </c>
      <c r="E304">
        <f t="shared" si="112"/>
        <v>195.19800108671188</v>
      </c>
    </row>
    <row r="305" spans="1:5" x14ac:dyDescent="0.3">
      <c r="A305">
        <v>0.76979638998133515</v>
      </c>
      <c r="B305">
        <f t="shared" si="110"/>
        <v>188.85811762980146</v>
      </c>
      <c r="C305">
        <f t="shared" si="111"/>
        <v>189</v>
      </c>
      <c r="D305" cm="1">
        <f t="array" ref="D305">Losuj()</f>
        <v>0.43957602977752686</v>
      </c>
      <c r="E305">
        <f t="shared" si="112"/>
        <v>189.43957602977753</v>
      </c>
    </row>
    <row r="306" spans="1:5" x14ac:dyDescent="0.3">
      <c r="A306">
        <v>3.6649707777626217E-2</v>
      </c>
      <c r="B306">
        <f t="shared" si="110"/>
        <v>158.50845767396186</v>
      </c>
      <c r="C306">
        <f t="shared" si="111"/>
        <v>159</v>
      </c>
      <c r="D306" cm="1">
        <f t="array" ref="D306">Losuj()</f>
        <v>0.60281181335449219</v>
      </c>
      <c r="E306">
        <f t="shared" si="112"/>
        <v>159.60281181335449</v>
      </c>
    </row>
    <row r="307" spans="1:5" x14ac:dyDescent="0.3">
      <c r="A307">
        <v>0.99363381776350168</v>
      </c>
      <c r="B307">
        <f t="shared" si="110"/>
        <v>209.89402453416278</v>
      </c>
      <c r="C307">
        <f t="shared" si="111"/>
        <v>210</v>
      </c>
      <c r="D307" cm="1">
        <f t="array" ref="D307">Losuj()</f>
        <v>0.42492914199829102</v>
      </c>
      <c r="E307">
        <f t="shared" si="112"/>
        <v>210.42492914199829</v>
      </c>
    </row>
    <row r="308" spans="1:5" x14ac:dyDescent="0.3">
      <c r="A308">
        <v>1.2630746621251854E-2</v>
      </c>
      <c r="B308">
        <f t="shared" si="110"/>
        <v>153.15143608202456</v>
      </c>
      <c r="C308">
        <f t="shared" si="111"/>
        <v>153</v>
      </c>
      <c r="D308" cm="1">
        <f t="array" ref="D308">Losuj()</f>
        <v>0.60487926006317139</v>
      </c>
      <c r="E308">
        <f t="shared" si="112"/>
        <v>153.60487926006317</v>
      </c>
    </row>
    <row r="309" spans="1:5" x14ac:dyDescent="0.3">
      <c r="A309">
        <v>0.8399382583082573</v>
      </c>
      <c r="B309">
        <f t="shared" si="110"/>
        <v>191.93044991666397</v>
      </c>
      <c r="C309">
        <f t="shared" si="111"/>
        <v>192</v>
      </c>
      <c r="D309" cm="1">
        <f t="array" ref="D309">Losuj()</f>
        <v>0.30694681406021118</v>
      </c>
      <c r="E309">
        <f t="shared" si="112"/>
        <v>192.30694681406021</v>
      </c>
    </row>
    <row r="310" spans="1:5" x14ac:dyDescent="0.3">
      <c r="A310">
        <v>0.89054205257599672</v>
      </c>
      <c r="B310">
        <f t="shared" si="110"/>
        <v>194.75299134428823</v>
      </c>
      <c r="C310">
        <f t="shared" si="111"/>
        <v>195</v>
      </c>
      <c r="D310" cm="1">
        <f t="array" ref="D310">Losuj()</f>
        <v>0.82343357801437378</v>
      </c>
      <c r="E310">
        <f t="shared" si="112"/>
        <v>195.82343357801437</v>
      </c>
    </row>
    <row r="311" spans="1:5" x14ac:dyDescent="0.3">
      <c r="A311">
        <v>0.20541406340775448</v>
      </c>
      <c r="B311">
        <f t="shared" si="110"/>
        <v>170.13075385476594</v>
      </c>
      <c r="C311">
        <f t="shared" si="111"/>
        <v>170</v>
      </c>
      <c r="D311" cm="1">
        <f t="array" ref="D311">Losuj()</f>
        <v>5.8849036693572998E-2</v>
      </c>
      <c r="E311">
        <f t="shared" si="112"/>
        <v>170.05884903669357</v>
      </c>
    </row>
    <row r="312" spans="1:5" x14ac:dyDescent="0.3">
      <c r="A312">
        <v>0.68284474921830041</v>
      </c>
      <c r="B312">
        <f t="shared" si="110"/>
        <v>185.70802308052862</v>
      </c>
      <c r="C312">
        <f t="shared" si="111"/>
        <v>186</v>
      </c>
      <c r="D312" cm="1">
        <f t="array" ref="D312">Losuj()</f>
        <v>0.40769481658935547</v>
      </c>
      <c r="E312">
        <f t="shared" si="112"/>
        <v>186.40769481658936</v>
      </c>
    </row>
    <row r="313" spans="1:5" x14ac:dyDescent="0.3">
      <c r="A313">
        <v>0.27011535832016476</v>
      </c>
      <c r="B313">
        <f t="shared" si="110"/>
        <v>172.650430318784</v>
      </c>
      <c r="C313">
        <f t="shared" si="111"/>
        <v>173</v>
      </c>
      <c r="D313" cm="1">
        <f t="array" ref="D313">Losuj()</f>
        <v>0.26813215017318726</v>
      </c>
      <c r="E313">
        <f t="shared" si="112"/>
        <v>173.26813215017319</v>
      </c>
    </row>
    <row r="314" spans="1:5" x14ac:dyDescent="0.3">
      <c r="A314">
        <v>0.24690251958616671</v>
      </c>
      <c r="B314">
        <f t="shared" si="110"/>
        <v>171.78876669159891</v>
      </c>
      <c r="C314">
        <f t="shared" si="111"/>
        <v>172</v>
      </c>
      <c r="D314" cm="1">
        <f t="array" ref="D314">Losuj()</f>
        <v>0.8359600305557251</v>
      </c>
      <c r="E314">
        <f t="shared" si="112"/>
        <v>172.83596003055573</v>
      </c>
    </row>
    <row r="315" spans="1:5" x14ac:dyDescent="0.3">
      <c r="A315">
        <v>0.64168226583761645</v>
      </c>
      <c r="B315">
        <f t="shared" si="110"/>
        <v>184.35550870147199</v>
      </c>
      <c r="C315">
        <f t="shared" si="111"/>
        <v>184</v>
      </c>
      <c r="D315" cm="1">
        <f t="array" ref="D315">Losuj()</f>
        <v>0.98214203119277954</v>
      </c>
      <c r="E315">
        <f t="shared" si="112"/>
        <v>184.98214203119278</v>
      </c>
    </row>
    <row r="316" spans="1:5" x14ac:dyDescent="0.3">
      <c r="A316">
        <v>0.62200560441470865</v>
      </c>
      <c r="B316">
        <f t="shared" si="110"/>
        <v>183.72902986291814</v>
      </c>
      <c r="C316">
        <f t="shared" si="111"/>
        <v>184</v>
      </c>
      <c r="D316" cm="1">
        <f t="array" ref="D316">Losuj()</f>
        <v>0.22814065217971802</v>
      </c>
      <c r="E316">
        <f t="shared" si="112"/>
        <v>184.22814065217972</v>
      </c>
    </row>
    <row r="317" spans="1:5" x14ac:dyDescent="0.3">
      <c r="A317">
        <v>0.36490453005631818</v>
      </c>
      <c r="B317">
        <f t="shared" si="110"/>
        <v>175.85544557542519</v>
      </c>
      <c r="C317">
        <f t="shared" si="111"/>
        <v>176</v>
      </c>
      <c r="D317" cm="1">
        <f t="array" ref="D317">Losuj()</f>
        <v>0.61964452266693115</v>
      </c>
      <c r="E317">
        <f t="shared" si="112"/>
        <v>176.61964452266693</v>
      </c>
    </row>
    <row r="318" spans="1:5" x14ac:dyDescent="0.3">
      <c r="A318">
        <v>0.28041567767117204</v>
      </c>
      <c r="B318">
        <f t="shared" si="110"/>
        <v>173.02071472721417</v>
      </c>
      <c r="C318">
        <f t="shared" si="111"/>
        <v>173</v>
      </c>
      <c r="D318" cm="1">
        <f t="array" ref="D318">Losuj()</f>
        <v>0.90199631452560425</v>
      </c>
      <c r="E318">
        <f t="shared" si="112"/>
        <v>173.9019963145256</v>
      </c>
    </row>
    <row r="319" spans="1:5" x14ac:dyDescent="0.3">
      <c r="A319">
        <v>0.95204370092757118</v>
      </c>
      <c r="B319">
        <f t="shared" si="110"/>
        <v>199.98000948408139</v>
      </c>
      <c r="C319">
        <f t="shared" si="111"/>
        <v>200</v>
      </c>
      <c r="D319" cm="1">
        <f t="array" ref="D319">Losuj()</f>
        <v>3.9234757423400879E-3</v>
      </c>
      <c r="E319">
        <f t="shared" si="112"/>
        <v>200.00392347574234</v>
      </c>
    </row>
    <row r="320" spans="1:5" x14ac:dyDescent="0.3">
      <c r="A320">
        <v>0.31131012142321091</v>
      </c>
      <c r="B320">
        <f t="shared" si="110"/>
        <v>174.09431772731659</v>
      </c>
      <c r="C320">
        <f t="shared" si="111"/>
        <v>174</v>
      </c>
      <c r="D320" cm="1">
        <f t="array" ref="D320">Losuj()</f>
        <v>0.64779531955718994</v>
      </c>
      <c r="E320">
        <f t="shared" si="112"/>
        <v>174.64779531955719</v>
      </c>
    </row>
    <row r="321" spans="1:5" x14ac:dyDescent="0.3">
      <c r="A321">
        <v>0.81166354957902109</v>
      </c>
      <c r="B321">
        <f t="shared" si="110"/>
        <v>190.60851822685336</v>
      </c>
      <c r="C321">
        <f t="shared" si="111"/>
        <v>191</v>
      </c>
      <c r="D321" cm="1">
        <f t="array" ref="D321">Losuj()</f>
        <v>0.81490600109100342</v>
      </c>
      <c r="E321">
        <f t="shared" si="112"/>
        <v>191.814906001091</v>
      </c>
    </row>
    <row r="322" spans="1:5" x14ac:dyDescent="0.3">
      <c r="A322">
        <v>0.82498040275507079</v>
      </c>
      <c r="B322">
        <f t="shared" ref="B322:B385" si="113">_xlfn.NORM.INV(A322,_mu,_sigma)</f>
        <v>191.2141592308885</v>
      </c>
      <c r="C322">
        <f t="shared" si="111"/>
        <v>191</v>
      </c>
      <c r="D322" cm="1">
        <f t="array" ref="D322">Losuj()</f>
        <v>0.17944782972335815</v>
      </c>
      <c r="E322">
        <f t="shared" si="112"/>
        <v>191.17944782972336</v>
      </c>
    </row>
    <row r="323" spans="1:5" x14ac:dyDescent="0.3">
      <c r="A323">
        <v>0.92867851973973981</v>
      </c>
      <c r="B323">
        <f t="shared" si="113"/>
        <v>197.59223461699133</v>
      </c>
      <c r="C323">
        <f t="shared" ref="C323:C386" si="114">INT(B323+1/2)</f>
        <v>198</v>
      </c>
      <c r="D323" cm="1">
        <f t="array" ref="D323">Losuj()</f>
        <v>0.43739122152328491</v>
      </c>
      <c r="E323">
        <f t="shared" ref="E323:E386" si="115">C323+D323</f>
        <v>198.43739122152328</v>
      </c>
    </row>
    <row r="324" spans="1:5" x14ac:dyDescent="0.3">
      <c r="A324">
        <v>0.12707314320024987</v>
      </c>
      <c r="B324">
        <f t="shared" si="113"/>
        <v>166.31596630861617</v>
      </c>
      <c r="C324">
        <f t="shared" si="114"/>
        <v>166</v>
      </c>
      <c r="D324" cm="1">
        <f t="array" ref="D324">Losuj()</f>
        <v>0.34370100498199463</v>
      </c>
      <c r="E324">
        <f t="shared" si="115"/>
        <v>166.34370100498199</v>
      </c>
    </row>
    <row r="325" spans="1:5" x14ac:dyDescent="0.3">
      <c r="A325">
        <v>0.59856255934993374</v>
      </c>
      <c r="B325">
        <f t="shared" si="113"/>
        <v>182.99553851019675</v>
      </c>
      <c r="C325">
        <f t="shared" si="114"/>
        <v>183</v>
      </c>
      <c r="D325" cm="1">
        <f t="array" ref="D325">Losuj()</f>
        <v>0.22606658935546875</v>
      </c>
      <c r="E325">
        <f t="shared" si="115"/>
        <v>183.22606658935547</v>
      </c>
    </row>
    <row r="326" spans="1:5" x14ac:dyDescent="0.3">
      <c r="A326">
        <v>0.73509955027584895</v>
      </c>
      <c r="B326">
        <f t="shared" si="113"/>
        <v>187.53971968032349</v>
      </c>
      <c r="C326">
        <f t="shared" si="114"/>
        <v>188</v>
      </c>
      <c r="D326" cm="1">
        <f t="array" ref="D326">Losuj()</f>
        <v>0.64112430810928345</v>
      </c>
      <c r="E326">
        <f t="shared" si="115"/>
        <v>188.64112430810928</v>
      </c>
    </row>
    <row r="327" spans="1:5" x14ac:dyDescent="0.3">
      <c r="A327">
        <v>0.92962253150664476</v>
      </c>
      <c r="B327">
        <f t="shared" si="113"/>
        <v>197.67582638537428</v>
      </c>
      <c r="C327">
        <f t="shared" si="114"/>
        <v>198</v>
      </c>
      <c r="D327" cm="1">
        <f t="array" ref="D327">Losuj()</f>
        <v>6.0976266860961914E-2</v>
      </c>
      <c r="E327">
        <f t="shared" si="115"/>
        <v>198.06097626686096</v>
      </c>
    </row>
    <row r="328" spans="1:5" x14ac:dyDescent="0.3">
      <c r="A328">
        <v>0.2955379238165774</v>
      </c>
      <c r="B328">
        <f t="shared" si="113"/>
        <v>173.55266830943054</v>
      </c>
      <c r="C328">
        <f t="shared" si="114"/>
        <v>174</v>
      </c>
      <c r="D328" cm="1">
        <f t="array" ref="D328">Losuj()</f>
        <v>0.52661716938018799</v>
      </c>
      <c r="E328">
        <f t="shared" si="115"/>
        <v>174.52661716938019</v>
      </c>
    </row>
    <row r="329" spans="1:5" x14ac:dyDescent="0.3">
      <c r="A329">
        <v>0.80608948912593292</v>
      </c>
      <c r="B329">
        <f t="shared" si="113"/>
        <v>190.3629083150314</v>
      </c>
      <c r="C329">
        <f t="shared" si="114"/>
        <v>190</v>
      </c>
      <c r="D329" cm="1">
        <f t="array" ref="D329">Losuj()</f>
        <v>0.76897412538528442</v>
      </c>
      <c r="E329">
        <f t="shared" si="115"/>
        <v>190.76897412538528</v>
      </c>
    </row>
    <row r="330" spans="1:5" x14ac:dyDescent="0.3">
      <c r="A330">
        <v>0.46598849743452053</v>
      </c>
      <c r="B330">
        <f t="shared" si="113"/>
        <v>178.97570720719384</v>
      </c>
      <c r="C330">
        <f t="shared" si="114"/>
        <v>179</v>
      </c>
      <c r="D330" cm="1">
        <f t="array" ref="D330">Losuj()</f>
        <v>0.38059228658676147</v>
      </c>
      <c r="E330">
        <f t="shared" si="115"/>
        <v>179.38059228658676</v>
      </c>
    </row>
    <row r="331" spans="1:5" x14ac:dyDescent="0.3">
      <c r="A331">
        <v>0.69344542861275882</v>
      </c>
      <c r="B331">
        <f t="shared" si="113"/>
        <v>186.06768432514144</v>
      </c>
      <c r="C331">
        <f t="shared" si="114"/>
        <v>186</v>
      </c>
      <c r="D331" cm="1">
        <f t="array" ref="D331">Losuj()</f>
        <v>0.42073351144790649</v>
      </c>
      <c r="E331">
        <f t="shared" si="115"/>
        <v>186.42073351144791</v>
      </c>
    </row>
    <row r="332" spans="1:5" x14ac:dyDescent="0.3">
      <c r="A332">
        <v>0.92838288232949928</v>
      </c>
      <c r="B332">
        <f t="shared" si="113"/>
        <v>197.56623082825379</v>
      </c>
      <c r="C332">
        <f t="shared" si="114"/>
        <v>198</v>
      </c>
      <c r="D332" cm="1">
        <f t="array" ref="D332">Losuj()</f>
        <v>0.11724323034286499</v>
      </c>
      <c r="E332">
        <f t="shared" si="115"/>
        <v>198.11724323034286</v>
      </c>
    </row>
    <row r="333" spans="1:5" x14ac:dyDescent="0.3">
      <c r="A333">
        <v>0.72899652957294492</v>
      </c>
      <c r="B333">
        <f t="shared" si="113"/>
        <v>187.31737106594849</v>
      </c>
      <c r="C333">
        <f t="shared" si="114"/>
        <v>187</v>
      </c>
      <c r="D333" cm="1">
        <f t="array" ref="D333">Losuj()</f>
        <v>0.80046528577804565</v>
      </c>
      <c r="E333">
        <f t="shared" si="115"/>
        <v>187.80046528577805</v>
      </c>
    </row>
    <row r="334" spans="1:5" x14ac:dyDescent="0.3">
      <c r="A334">
        <v>0.18778086688180817</v>
      </c>
      <c r="B334">
        <f t="shared" si="113"/>
        <v>169.36675747833232</v>
      </c>
      <c r="C334">
        <f t="shared" si="114"/>
        <v>169</v>
      </c>
      <c r="D334" cm="1">
        <f t="array" ref="D334">Losuj()</f>
        <v>0.82767146825790405</v>
      </c>
      <c r="E334">
        <f t="shared" si="115"/>
        <v>169.8276714682579</v>
      </c>
    </row>
    <row r="335" spans="1:5" x14ac:dyDescent="0.3">
      <c r="A335">
        <v>0.32376355076843089</v>
      </c>
      <c r="B335">
        <f t="shared" si="113"/>
        <v>174.51359671369963</v>
      </c>
      <c r="C335">
        <f t="shared" si="114"/>
        <v>175</v>
      </c>
      <c r="D335" cm="1">
        <f t="array" ref="D335">Losuj()</f>
        <v>0.82458466291427612</v>
      </c>
      <c r="E335">
        <f t="shared" si="115"/>
        <v>175.82458466291428</v>
      </c>
    </row>
    <row r="336" spans="1:5" x14ac:dyDescent="0.3">
      <c r="A336">
        <v>0.7615327443266352</v>
      </c>
      <c r="B336">
        <f t="shared" si="113"/>
        <v>188.53489963767385</v>
      </c>
      <c r="C336">
        <f t="shared" si="114"/>
        <v>189</v>
      </c>
      <c r="D336" cm="1">
        <f t="array" ref="D336">Losuj()</f>
        <v>0.80704128742218018</v>
      </c>
      <c r="E336">
        <f t="shared" si="115"/>
        <v>189.80704128742218</v>
      </c>
    </row>
    <row r="337" spans="1:5" x14ac:dyDescent="0.3">
      <c r="A337">
        <v>0.84717101777997228</v>
      </c>
      <c r="B337">
        <f t="shared" si="113"/>
        <v>192.29250561877407</v>
      </c>
      <c r="C337">
        <f t="shared" si="114"/>
        <v>192</v>
      </c>
      <c r="D337" cm="1">
        <f t="array" ref="D337">Losuj()</f>
        <v>0.62279260158538818</v>
      </c>
      <c r="E337">
        <f t="shared" si="115"/>
        <v>192.62279260158539</v>
      </c>
    </row>
    <row r="338" spans="1:5" x14ac:dyDescent="0.3">
      <c r="A338">
        <v>0.82428750885029567</v>
      </c>
      <c r="B338">
        <f t="shared" si="113"/>
        <v>191.18194620349718</v>
      </c>
      <c r="C338">
        <f t="shared" si="114"/>
        <v>191</v>
      </c>
      <c r="D338" cm="1">
        <f t="array" ref="D338">Losuj()</f>
        <v>0.5398370623588562</v>
      </c>
      <c r="E338">
        <f t="shared" si="115"/>
        <v>191.53983706235886</v>
      </c>
    </row>
    <row r="339" spans="1:5" x14ac:dyDescent="0.3">
      <c r="A339">
        <v>0.89782411425161457</v>
      </c>
      <c r="B339">
        <f t="shared" si="113"/>
        <v>195.23100476772288</v>
      </c>
      <c r="C339">
        <f t="shared" si="114"/>
        <v>195</v>
      </c>
      <c r="D339" cm="1">
        <f t="array" ref="D339">Losuj()</f>
        <v>0.714927077293396</v>
      </c>
      <c r="E339">
        <f t="shared" si="115"/>
        <v>195.7149270772934</v>
      </c>
    </row>
    <row r="340" spans="1:5" x14ac:dyDescent="0.3">
      <c r="A340">
        <v>0.37479742126778692</v>
      </c>
      <c r="B340">
        <f t="shared" si="113"/>
        <v>176.16991628660452</v>
      </c>
      <c r="C340">
        <f t="shared" si="114"/>
        <v>176</v>
      </c>
      <c r="D340" cm="1">
        <f t="array" ref="D340">Losuj()</f>
        <v>0.58392703533172607</v>
      </c>
      <c r="E340">
        <f t="shared" si="115"/>
        <v>176.58392703533173</v>
      </c>
    </row>
    <row r="341" spans="1:5" x14ac:dyDescent="0.3">
      <c r="A341">
        <v>3.886762534124677E-3</v>
      </c>
      <c r="B341">
        <f t="shared" si="113"/>
        <v>148.05898234209295</v>
      </c>
      <c r="C341">
        <f t="shared" si="114"/>
        <v>148</v>
      </c>
      <c r="D341" cm="1">
        <f t="array" ref="D341">Losuj()</f>
        <v>0.50911647081375122</v>
      </c>
      <c r="E341">
        <f t="shared" si="115"/>
        <v>148.50911647081375</v>
      </c>
    </row>
    <row r="342" spans="1:5" x14ac:dyDescent="0.3">
      <c r="A342">
        <v>0.72116626843662002</v>
      </c>
      <c r="B342">
        <f t="shared" si="113"/>
        <v>187.03571551813744</v>
      </c>
      <c r="C342">
        <f t="shared" si="114"/>
        <v>187</v>
      </c>
      <c r="D342" cm="1">
        <f t="array" ref="D342">Losuj()</f>
        <v>7.2723507881164551E-2</v>
      </c>
      <c r="E342">
        <f t="shared" si="115"/>
        <v>187.07272350788116</v>
      </c>
    </row>
    <row r="343" spans="1:5" x14ac:dyDescent="0.3">
      <c r="A343">
        <v>0.16067322614104196</v>
      </c>
      <c r="B343">
        <f t="shared" si="113"/>
        <v>168.09966298608353</v>
      </c>
      <c r="C343">
        <f t="shared" si="114"/>
        <v>168</v>
      </c>
      <c r="D343" cm="1">
        <f t="array" ref="D343">Losuj()</f>
        <v>0.71001887321472168</v>
      </c>
      <c r="E343">
        <f t="shared" si="115"/>
        <v>168.71001887321472</v>
      </c>
    </row>
    <row r="344" spans="1:5" x14ac:dyDescent="0.3">
      <c r="A344">
        <v>0.96484875182141561</v>
      </c>
      <c r="B344">
        <f t="shared" si="113"/>
        <v>201.71948085307113</v>
      </c>
      <c r="C344">
        <f t="shared" si="114"/>
        <v>202</v>
      </c>
      <c r="D344" cm="1">
        <f t="array" ref="D344">Losuj()</f>
        <v>0.98353397846221924</v>
      </c>
      <c r="E344">
        <f t="shared" si="115"/>
        <v>202.98353397846222</v>
      </c>
    </row>
    <row r="345" spans="1:5" x14ac:dyDescent="0.3">
      <c r="A345">
        <v>0.31328550907709707</v>
      </c>
      <c r="B345">
        <f t="shared" si="113"/>
        <v>174.16129425979653</v>
      </c>
      <c r="C345">
        <f t="shared" si="114"/>
        <v>174</v>
      </c>
      <c r="D345" cm="1">
        <f t="array" ref="D345">Losuj()</f>
        <v>0.17762076854705811</v>
      </c>
      <c r="E345">
        <f t="shared" si="115"/>
        <v>174.17762076854706</v>
      </c>
    </row>
    <row r="346" spans="1:5" x14ac:dyDescent="0.3">
      <c r="A346">
        <v>0.16906762299542677</v>
      </c>
      <c r="B346">
        <f t="shared" si="113"/>
        <v>168.5057248999799</v>
      </c>
      <c r="C346">
        <f t="shared" si="114"/>
        <v>169</v>
      </c>
      <c r="D346" cm="1">
        <f t="array" ref="D346">Losuj()</f>
        <v>0.42316895723342896</v>
      </c>
      <c r="E346">
        <f t="shared" si="115"/>
        <v>169.42316895723343</v>
      </c>
    </row>
    <row r="347" spans="1:5" x14ac:dyDescent="0.3">
      <c r="A347">
        <v>0.27025854974804187</v>
      </c>
      <c r="B347">
        <f t="shared" si="113"/>
        <v>172.65562531508462</v>
      </c>
      <c r="C347">
        <f t="shared" si="114"/>
        <v>173</v>
      </c>
      <c r="D347" cm="1">
        <f t="array" ref="D347">Losuj()</f>
        <v>0.64513307809829712</v>
      </c>
      <c r="E347">
        <f t="shared" si="115"/>
        <v>173.6451330780983</v>
      </c>
    </row>
    <row r="348" spans="1:5" x14ac:dyDescent="0.3">
      <c r="A348">
        <v>5.8943102680401371E-2</v>
      </c>
      <c r="B348">
        <f t="shared" si="113"/>
        <v>161.2355064114067</v>
      </c>
      <c r="C348">
        <f t="shared" si="114"/>
        <v>161</v>
      </c>
      <c r="D348" cm="1">
        <f t="array" ref="D348">Losuj()</f>
        <v>0.12964177131652832</v>
      </c>
      <c r="E348">
        <f t="shared" si="115"/>
        <v>161.12964177131653</v>
      </c>
    </row>
    <row r="349" spans="1:5" x14ac:dyDescent="0.3">
      <c r="A349">
        <v>0.72366885290193261</v>
      </c>
      <c r="B349">
        <f t="shared" si="113"/>
        <v>187.12530570450687</v>
      </c>
      <c r="C349">
        <f t="shared" si="114"/>
        <v>187</v>
      </c>
      <c r="D349" cm="1">
        <f t="array" ref="D349">Losuj()</f>
        <v>0.97962749004364014</v>
      </c>
      <c r="E349">
        <f t="shared" si="115"/>
        <v>187.97962749004364</v>
      </c>
    </row>
    <row r="350" spans="1:5" x14ac:dyDescent="0.3">
      <c r="A350">
        <v>0.28890687223801736</v>
      </c>
      <c r="B350">
        <f t="shared" si="113"/>
        <v>173.3210281099482</v>
      </c>
      <c r="C350">
        <f t="shared" si="114"/>
        <v>173</v>
      </c>
      <c r="D350" cm="1">
        <f t="array" ref="D350">Losuj()</f>
        <v>0.99073582887649536</v>
      </c>
      <c r="E350">
        <f t="shared" si="115"/>
        <v>173.9907358288765</v>
      </c>
    </row>
    <row r="351" spans="1:5" x14ac:dyDescent="0.3">
      <c r="A351">
        <v>5.9391866561311235E-2</v>
      </c>
      <c r="B351">
        <f t="shared" si="113"/>
        <v>161.28121110027715</v>
      </c>
      <c r="C351">
        <f t="shared" si="114"/>
        <v>161</v>
      </c>
      <c r="D351" cm="1">
        <f t="array" ref="D351">Losuj()</f>
        <v>0.88447844982147217</v>
      </c>
      <c r="E351">
        <f t="shared" si="115"/>
        <v>161.88447844982147</v>
      </c>
    </row>
    <row r="352" spans="1:5" x14ac:dyDescent="0.3">
      <c r="A352">
        <v>0.48774582174199677</v>
      </c>
      <c r="B352">
        <f t="shared" si="113"/>
        <v>179.6313419812011</v>
      </c>
      <c r="C352">
        <f t="shared" si="114"/>
        <v>180</v>
      </c>
      <c r="D352" cm="1">
        <f t="array" ref="D352">Losuj()</f>
        <v>0.42773449420928955</v>
      </c>
      <c r="E352">
        <f t="shared" si="115"/>
        <v>180.42773449420929</v>
      </c>
    </row>
    <row r="353" spans="1:5" x14ac:dyDescent="0.3">
      <c r="A353">
        <v>0.30309194835381448</v>
      </c>
      <c r="B353">
        <f t="shared" si="113"/>
        <v>173.81366035970848</v>
      </c>
      <c r="C353">
        <f t="shared" si="114"/>
        <v>174</v>
      </c>
      <c r="D353" cm="1">
        <f t="array" ref="D353">Losuj()</f>
        <v>0.36532443761825562</v>
      </c>
      <c r="E353">
        <f t="shared" si="115"/>
        <v>174.36532443761826</v>
      </c>
    </row>
    <row r="354" spans="1:5" x14ac:dyDescent="0.3">
      <c r="A354">
        <v>0.23728971168322877</v>
      </c>
      <c r="B354">
        <f t="shared" si="113"/>
        <v>171.41942476737768</v>
      </c>
      <c r="C354">
        <f t="shared" si="114"/>
        <v>171</v>
      </c>
      <c r="D354" cm="1">
        <f t="array" ref="D354">Losuj()</f>
        <v>0.32496529817581177</v>
      </c>
      <c r="E354">
        <f t="shared" si="115"/>
        <v>171.32496529817581</v>
      </c>
    </row>
    <row r="355" spans="1:5" x14ac:dyDescent="0.3">
      <c r="A355">
        <v>0.62937086930495367</v>
      </c>
      <c r="B355">
        <f t="shared" si="113"/>
        <v>183.96225047422732</v>
      </c>
      <c r="C355">
        <f t="shared" si="114"/>
        <v>184</v>
      </c>
      <c r="D355" cm="1">
        <f t="array" ref="D355">Losuj()</f>
        <v>0.97196054458618164</v>
      </c>
      <c r="E355">
        <f t="shared" si="115"/>
        <v>184.97196054458618</v>
      </c>
    </row>
    <row r="356" spans="1:5" x14ac:dyDescent="0.3">
      <c r="A356">
        <v>0.76584470464587007</v>
      </c>
      <c r="B356">
        <f t="shared" si="113"/>
        <v>188.70276685808827</v>
      </c>
      <c r="C356">
        <f t="shared" si="114"/>
        <v>189</v>
      </c>
      <c r="D356" cm="1">
        <f t="array" ref="D356">Losuj()</f>
        <v>0.43565309047698975</v>
      </c>
      <c r="E356">
        <f t="shared" si="115"/>
        <v>189.43565309047699</v>
      </c>
    </row>
    <row r="357" spans="1:5" x14ac:dyDescent="0.3">
      <c r="A357">
        <v>0.5776915129505128</v>
      </c>
      <c r="B357">
        <f t="shared" si="113"/>
        <v>182.3518956220384</v>
      </c>
      <c r="C357">
        <f t="shared" si="114"/>
        <v>182</v>
      </c>
      <c r="D357" cm="1">
        <f t="array" ref="D357">Losuj()</f>
        <v>0.58610016107559204</v>
      </c>
      <c r="E357">
        <f t="shared" si="115"/>
        <v>182.58610016107559</v>
      </c>
    </row>
    <row r="358" spans="1:5" x14ac:dyDescent="0.3">
      <c r="A358">
        <v>0.5788929364148091</v>
      </c>
      <c r="B358">
        <f t="shared" si="113"/>
        <v>182.38874582176192</v>
      </c>
      <c r="C358">
        <f t="shared" si="114"/>
        <v>182</v>
      </c>
      <c r="D358" cm="1">
        <f t="array" ref="D358">Losuj()</f>
        <v>0.99666035175323486</v>
      </c>
      <c r="E358">
        <f t="shared" si="115"/>
        <v>182.99666035175323</v>
      </c>
    </row>
    <row r="359" spans="1:5" x14ac:dyDescent="0.3">
      <c r="A359">
        <v>0.28977669703080178</v>
      </c>
      <c r="B359">
        <f t="shared" si="113"/>
        <v>173.35155371945368</v>
      </c>
      <c r="C359">
        <f t="shared" si="114"/>
        <v>173</v>
      </c>
      <c r="D359" cm="1">
        <f t="array" ref="D359">Losuj()</f>
        <v>0.65096580982208252</v>
      </c>
      <c r="E359">
        <f t="shared" si="115"/>
        <v>173.65096580982208</v>
      </c>
    </row>
    <row r="360" spans="1:5" x14ac:dyDescent="0.3">
      <c r="A360">
        <v>0.23156996873909785</v>
      </c>
      <c r="B360">
        <f t="shared" si="113"/>
        <v>171.19576415143081</v>
      </c>
      <c r="C360">
        <f t="shared" si="114"/>
        <v>171</v>
      </c>
      <c r="D360" cm="1">
        <f t="array" ref="D360">Losuj()</f>
        <v>0.49970251321792603</v>
      </c>
      <c r="E360">
        <f t="shared" si="115"/>
        <v>171.49970251321793</v>
      </c>
    </row>
    <row r="361" spans="1:5" x14ac:dyDescent="0.3">
      <c r="A361">
        <v>0.82636105513606617</v>
      </c>
      <c r="B361">
        <f t="shared" si="113"/>
        <v>191.27858871419718</v>
      </c>
      <c r="C361">
        <f t="shared" si="114"/>
        <v>191</v>
      </c>
      <c r="D361" cm="1">
        <f t="array" ref="D361">Losuj()</f>
        <v>0.16402775049209595</v>
      </c>
      <c r="E361">
        <f t="shared" si="115"/>
        <v>191.1640277504921</v>
      </c>
    </row>
    <row r="362" spans="1:5" x14ac:dyDescent="0.3">
      <c r="A362">
        <v>0.71760346113101536</v>
      </c>
      <c r="B362">
        <f t="shared" si="113"/>
        <v>186.90884194963181</v>
      </c>
      <c r="C362">
        <f t="shared" si="114"/>
        <v>187</v>
      </c>
      <c r="D362" cm="1">
        <f t="array" ref="D362">Losuj()</f>
        <v>0.27484869956970215</v>
      </c>
      <c r="E362">
        <f t="shared" si="115"/>
        <v>187.2748486995697</v>
      </c>
    </row>
    <row r="363" spans="1:5" x14ac:dyDescent="0.3">
      <c r="A363">
        <v>0.60127985107132387</v>
      </c>
      <c r="B363">
        <f t="shared" si="113"/>
        <v>183.079934841349</v>
      </c>
      <c r="C363">
        <f t="shared" si="114"/>
        <v>183</v>
      </c>
      <c r="D363" cm="1">
        <f t="array" ref="D363">Losuj()</f>
        <v>0.27102392911911011</v>
      </c>
      <c r="E363">
        <f t="shared" si="115"/>
        <v>183.27102392911911</v>
      </c>
    </row>
    <row r="364" spans="1:5" x14ac:dyDescent="0.3">
      <c r="A364">
        <v>0.33789874792288566</v>
      </c>
      <c r="B364">
        <f t="shared" si="113"/>
        <v>174.98154419288747</v>
      </c>
      <c r="C364">
        <f t="shared" si="114"/>
        <v>175</v>
      </c>
      <c r="D364" cm="1">
        <f t="array" ref="D364">Losuj()</f>
        <v>0.66918802261352539</v>
      </c>
      <c r="E364">
        <f t="shared" si="115"/>
        <v>175.66918802261353</v>
      </c>
    </row>
    <row r="365" spans="1:5" x14ac:dyDescent="0.3">
      <c r="A365">
        <v>0.61901877185788734</v>
      </c>
      <c r="B365">
        <f t="shared" si="113"/>
        <v>183.63485692211461</v>
      </c>
      <c r="C365">
        <f t="shared" si="114"/>
        <v>184</v>
      </c>
      <c r="D365" cm="1">
        <f t="array" ref="D365">Losuj()</f>
        <v>0.63419097661972046</v>
      </c>
      <c r="E365">
        <f t="shared" si="115"/>
        <v>184.63419097661972</v>
      </c>
    </row>
    <row r="366" spans="1:5" x14ac:dyDescent="0.3">
      <c r="A366">
        <v>9.777519820929137E-2</v>
      </c>
      <c r="B366">
        <f t="shared" si="113"/>
        <v>164.46800309456387</v>
      </c>
      <c r="C366">
        <f t="shared" si="114"/>
        <v>164</v>
      </c>
      <c r="D366" cm="1">
        <f t="array" ref="D366">Losuj()</f>
        <v>0.29394984245300293</v>
      </c>
      <c r="E366">
        <f t="shared" si="115"/>
        <v>164.293949842453</v>
      </c>
    </row>
    <row r="367" spans="1:5" x14ac:dyDescent="0.3">
      <c r="A367">
        <v>0.5112779628826174</v>
      </c>
      <c r="B367">
        <f t="shared" si="113"/>
        <v>180.33928112508403</v>
      </c>
      <c r="C367">
        <f t="shared" si="114"/>
        <v>180</v>
      </c>
      <c r="D367" cm="1">
        <f t="array" ref="D367">Losuj()</f>
        <v>0.1460268497467041</v>
      </c>
      <c r="E367">
        <f t="shared" si="115"/>
        <v>180.1460268497467</v>
      </c>
    </row>
    <row r="368" spans="1:5" x14ac:dyDescent="0.3">
      <c r="A368">
        <v>0.89290337049565638</v>
      </c>
      <c r="B368">
        <f t="shared" si="113"/>
        <v>194.90540849316295</v>
      </c>
      <c r="C368">
        <f t="shared" si="114"/>
        <v>195</v>
      </c>
      <c r="D368" cm="1">
        <f t="array" ref="D368">Losuj()</f>
        <v>0.85002297163009644</v>
      </c>
      <c r="E368">
        <f t="shared" si="115"/>
        <v>195.8500229716301</v>
      </c>
    </row>
    <row r="369" spans="1:5" x14ac:dyDescent="0.3">
      <c r="A369">
        <v>5.9813235141441434E-2</v>
      </c>
      <c r="B369">
        <f t="shared" si="113"/>
        <v>161.32387989881673</v>
      </c>
      <c r="C369">
        <f t="shared" si="114"/>
        <v>161</v>
      </c>
      <c r="D369" cm="1">
        <f t="array" ref="D369">Losuj()</f>
        <v>0.55401504039764404</v>
      </c>
      <c r="E369">
        <f t="shared" si="115"/>
        <v>161.55401504039764</v>
      </c>
    </row>
    <row r="370" spans="1:5" x14ac:dyDescent="0.3">
      <c r="A370">
        <v>8.0643663818441569E-2</v>
      </c>
      <c r="B370">
        <f t="shared" si="113"/>
        <v>163.1909391244985</v>
      </c>
      <c r="C370">
        <f t="shared" si="114"/>
        <v>163</v>
      </c>
      <c r="D370" cm="1">
        <f t="array" ref="D370">Losuj()</f>
        <v>0.71879303455352783</v>
      </c>
      <c r="E370">
        <f t="shared" si="115"/>
        <v>163.71879303455353</v>
      </c>
    </row>
    <row r="371" spans="1:5" x14ac:dyDescent="0.3">
      <c r="A371">
        <v>0.6518435691086284</v>
      </c>
      <c r="B371">
        <f t="shared" si="113"/>
        <v>184.68363021251548</v>
      </c>
      <c r="C371">
        <f t="shared" si="114"/>
        <v>185</v>
      </c>
      <c r="D371" cm="1">
        <f t="array" ref="D371">Losuj()</f>
        <v>4.3198525905609131E-2</v>
      </c>
      <c r="E371">
        <f t="shared" si="115"/>
        <v>185.04319852590561</v>
      </c>
    </row>
    <row r="372" spans="1:5" x14ac:dyDescent="0.3">
      <c r="A372">
        <v>0.25000207772066008</v>
      </c>
      <c r="B372">
        <f t="shared" si="113"/>
        <v>171.90620145715312</v>
      </c>
      <c r="C372">
        <f t="shared" si="114"/>
        <v>172</v>
      </c>
      <c r="D372" cm="1">
        <f t="array" ref="D372">Losuj()</f>
        <v>0.89866650104522705</v>
      </c>
      <c r="E372">
        <f t="shared" si="115"/>
        <v>172.89866650104523</v>
      </c>
    </row>
    <row r="373" spans="1:5" x14ac:dyDescent="0.3">
      <c r="A373">
        <v>0.80052845832398078</v>
      </c>
      <c r="B373">
        <f t="shared" si="113"/>
        <v>190.12212412236957</v>
      </c>
      <c r="C373">
        <f t="shared" si="114"/>
        <v>190</v>
      </c>
      <c r="D373" cm="1">
        <f t="array" ref="D373">Losuj()</f>
        <v>0.28762871026992798</v>
      </c>
      <c r="E373">
        <f t="shared" si="115"/>
        <v>190.28762871026993</v>
      </c>
    </row>
    <row r="374" spans="1:5" x14ac:dyDescent="0.3">
      <c r="A374">
        <v>0.83679718224172628</v>
      </c>
      <c r="B374">
        <f t="shared" si="113"/>
        <v>191.77655390390674</v>
      </c>
      <c r="C374">
        <f t="shared" si="114"/>
        <v>192</v>
      </c>
      <c r="D374" cm="1">
        <f t="array" ref="D374">Losuj()</f>
        <v>0.49335843324661255</v>
      </c>
      <c r="E374">
        <f t="shared" si="115"/>
        <v>192.49335843324661</v>
      </c>
    </row>
    <row r="375" spans="1:5" x14ac:dyDescent="0.3">
      <c r="A375">
        <v>0.65264929653256765</v>
      </c>
      <c r="B375">
        <f t="shared" si="113"/>
        <v>184.70979539749126</v>
      </c>
      <c r="C375">
        <f t="shared" si="114"/>
        <v>185</v>
      </c>
      <c r="D375" cm="1">
        <f t="array" ref="D375">Losuj()</f>
        <v>0.12721669673919678</v>
      </c>
      <c r="E375">
        <f t="shared" si="115"/>
        <v>185.1272166967392</v>
      </c>
    </row>
    <row r="376" spans="1:5" x14ac:dyDescent="0.3">
      <c r="A376">
        <v>0.41096750949210803</v>
      </c>
      <c r="B376">
        <f t="shared" si="113"/>
        <v>177.29931734367301</v>
      </c>
      <c r="C376">
        <f t="shared" si="114"/>
        <v>177</v>
      </c>
      <c r="D376" cm="1">
        <f t="array" ref="D376">Losuj()</f>
        <v>0.23988276720046997</v>
      </c>
      <c r="E376">
        <f t="shared" si="115"/>
        <v>177.23988276720047</v>
      </c>
    </row>
    <row r="377" spans="1:5" x14ac:dyDescent="0.3">
      <c r="A377">
        <v>0.46794920508127513</v>
      </c>
      <c r="B377">
        <f t="shared" si="113"/>
        <v>179.03488741595575</v>
      </c>
      <c r="C377">
        <f t="shared" si="114"/>
        <v>179</v>
      </c>
      <c r="D377" cm="1">
        <f t="array" ref="D377">Losuj()</f>
        <v>0.58955532312393188</v>
      </c>
      <c r="E377">
        <f t="shared" si="115"/>
        <v>179.58955532312393</v>
      </c>
    </row>
    <row r="378" spans="1:5" x14ac:dyDescent="0.3">
      <c r="A378">
        <v>0.41792494713782946</v>
      </c>
      <c r="B378">
        <f t="shared" si="113"/>
        <v>177.51354202309548</v>
      </c>
      <c r="C378">
        <f t="shared" si="114"/>
        <v>178</v>
      </c>
      <c r="D378" cm="1">
        <f t="array" ref="D378">Losuj()</f>
        <v>0.95969933271408081</v>
      </c>
      <c r="E378">
        <f t="shared" si="115"/>
        <v>178.95969933271408</v>
      </c>
    </row>
    <row r="379" spans="1:5" x14ac:dyDescent="0.3">
      <c r="A379">
        <v>0.32181137479698574</v>
      </c>
      <c r="B379">
        <f t="shared" si="113"/>
        <v>174.44832531430234</v>
      </c>
      <c r="C379">
        <f t="shared" si="114"/>
        <v>174</v>
      </c>
      <c r="D379" cm="1">
        <f t="array" ref="D379">Losuj()</f>
        <v>0.46250015497207642</v>
      </c>
      <c r="E379">
        <f t="shared" si="115"/>
        <v>174.46250015497208</v>
      </c>
    </row>
    <row r="380" spans="1:5" x14ac:dyDescent="0.3">
      <c r="A380">
        <v>0.62206592980817643</v>
      </c>
      <c r="B380">
        <f t="shared" si="113"/>
        <v>183.73093423293574</v>
      </c>
      <c r="C380">
        <f t="shared" si="114"/>
        <v>184</v>
      </c>
      <c r="D380" cm="1">
        <f t="array" ref="D380">Losuj()</f>
        <v>0.41630047559738159</v>
      </c>
      <c r="E380">
        <f t="shared" si="115"/>
        <v>184.41630047559738</v>
      </c>
    </row>
    <row r="381" spans="1:5" x14ac:dyDescent="0.3">
      <c r="A381">
        <v>0.48127005555542168</v>
      </c>
      <c r="B381">
        <f t="shared" si="113"/>
        <v>179.43640476936139</v>
      </c>
      <c r="C381">
        <f t="shared" si="114"/>
        <v>179</v>
      </c>
      <c r="D381" cm="1">
        <f t="array" ref="D381">Losuj()</f>
        <v>0.90184050798416138</v>
      </c>
      <c r="E381">
        <f t="shared" si="115"/>
        <v>179.90184050798416</v>
      </c>
    </row>
    <row r="382" spans="1:5" x14ac:dyDescent="0.3">
      <c r="A382">
        <v>6.2666070413152641E-2</v>
      </c>
      <c r="B382">
        <f t="shared" si="113"/>
        <v>161.60674081824772</v>
      </c>
      <c r="C382">
        <f t="shared" si="114"/>
        <v>162</v>
      </c>
      <c r="D382" cm="1">
        <f t="array" ref="D382">Losuj()</f>
        <v>0.64306485652923584</v>
      </c>
      <c r="E382">
        <f t="shared" si="115"/>
        <v>162.64306485652924</v>
      </c>
    </row>
    <row r="383" spans="1:5" x14ac:dyDescent="0.3">
      <c r="A383">
        <v>0.88509746081488316</v>
      </c>
      <c r="B383">
        <f t="shared" si="113"/>
        <v>194.41033343557208</v>
      </c>
      <c r="C383">
        <f t="shared" si="114"/>
        <v>194</v>
      </c>
      <c r="D383" cm="1">
        <f t="array" ref="D383">Losuj()</f>
        <v>0.94222360849380493</v>
      </c>
      <c r="E383">
        <f t="shared" si="115"/>
        <v>194.9422236084938</v>
      </c>
    </row>
    <row r="384" spans="1:5" x14ac:dyDescent="0.3">
      <c r="A384">
        <v>0.60931384878249284</v>
      </c>
      <c r="B384">
        <f t="shared" si="113"/>
        <v>183.33037361484398</v>
      </c>
      <c r="C384">
        <f t="shared" si="114"/>
        <v>183</v>
      </c>
      <c r="D384" cm="1">
        <f t="array" ref="D384">Losuj()</f>
        <v>0.36541873216629028</v>
      </c>
      <c r="E384">
        <f t="shared" si="115"/>
        <v>183.36541873216629</v>
      </c>
    </row>
    <row r="385" spans="1:5" x14ac:dyDescent="0.3">
      <c r="A385">
        <v>0.83343424165707458</v>
      </c>
      <c r="B385">
        <f t="shared" si="113"/>
        <v>191.61390622959902</v>
      </c>
      <c r="C385">
        <f t="shared" si="114"/>
        <v>192</v>
      </c>
      <c r="D385" cm="1">
        <f t="array" ref="D385">Losuj()</f>
        <v>0.46785974502563477</v>
      </c>
      <c r="E385">
        <f t="shared" si="115"/>
        <v>192.46785974502563</v>
      </c>
    </row>
    <row r="386" spans="1:5" x14ac:dyDescent="0.3">
      <c r="A386">
        <v>0.40646310167750332</v>
      </c>
      <c r="B386">
        <f t="shared" ref="B386:B449" si="116">_xlfn.NORM.INV(A386,_mu,_sigma)</f>
        <v>177.16016714843119</v>
      </c>
      <c r="C386">
        <f t="shared" si="114"/>
        <v>177</v>
      </c>
      <c r="D386" cm="1">
        <f t="array" ref="D386">Losuj()</f>
        <v>0.81833982467651367</v>
      </c>
      <c r="E386">
        <f t="shared" si="115"/>
        <v>177.81833982467651</v>
      </c>
    </row>
    <row r="387" spans="1:5" x14ac:dyDescent="0.3">
      <c r="A387">
        <v>0.36787171451484557</v>
      </c>
      <c r="B387">
        <f t="shared" si="116"/>
        <v>175.95005440087226</v>
      </c>
      <c r="C387">
        <f t="shared" ref="C387:C450" si="117">INT(B387+1/2)</f>
        <v>176</v>
      </c>
      <c r="D387" cm="1">
        <f t="array" ref="D387">Losuj()</f>
        <v>0.6340368390083313</v>
      </c>
      <c r="E387">
        <f t="shared" ref="E387:E450" si="118">C387+D387</f>
        <v>176.63403683900833</v>
      </c>
    </row>
    <row r="388" spans="1:5" x14ac:dyDescent="0.3">
      <c r="A388">
        <v>0.9205338361819525</v>
      </c>
      <c r="B388">
        <f t="shared" si="116"/>
        <v>196.90405793072682</v>
      </c>
      <c r="C388">
        <f t="shared" si="117"/>
        <v>197</v>
      </c>
      <c r="D388" cm="1">
        <f t="array" ref="D388">Losuj()</f>
        <v>0.44504678249359131</v>
      </c>
      <c r="E388">
        <f t="shared" si="118"/>
        <v>197.44504678249359</v>
      </c>
    </row>
    <row r="389" spans="1:5" x14ac:dyDescent="0.3">
      <c r="A389">
        <v>0.2201999129493124</v>
      </c>
      <c r="B389">
        <f t="shared" si="116"/>
        <v>170.74178133653064</v>
      </c>
      <c r="C389">
        <f t="shared" si="117"/>
        <v>171</v>
      </c>
      <c r="D389" cm="1">
        <f t="array" ref="D389">Losuj()</f>
        <v>0.46174514293670654</v>
      </c>
      <c r="E389">
        <f t="shared" si="118"/>
        <v>171.46174514293671</v>
      </c>
    </row>
    <row r="390" spans="1:5" x14ac:dyDescent="0.3">
      <c r="A390">
        <v>0.66583759886775207</v>
      </c>
      <c r="B390">
        <f t="shared" si="116"/>
        <v>185.14137900507887</v>
      </c>
      <c r="C390">
        <f t="shared" si="117"/>
        <v>185</v>
      </c>
      <c r="D390" cm="1">
        <f t="array" ref="D390">Losuj()</f>
        <v>0.8942534327507019</v>
      </c>
      <c r="E390">
        <f t="shared" si="118"/>
        <v>185.8942534327507</v>
      </c>
    </row>
    <row r="391" spans="1:5" x14ac:dyDescent="0.3">
      <c r="A391">
        <v>0.92377798604683914</v>
      </c>
      <c r="B391">
        <f t="shared" si="116"/>
        <v>197.17142167400124</v>
      </c>
      <c r="C391">
        <f t="shared" si="117"/>
        <v>197</v>
      </c>
      <c r="D391" cm="1">
        <f t="array" ref="D391">Losuj()</f>
        <v>5.7223677635192871E-2</v>
      </c>
      <c r="E391">
        <f t="shared" si="118"/>
        <v>197.05722367763519</v>
      </c>
    </row>
    <row r="392" spans="1:5" x14ac:dyDescent="0.3">
      <c r="A392">
        <v>0.2730615081319635</v>
      </c>
      <c r="B392">
        <f t="shared" si="116"/>
        <v>172.75704186261297</v>
      </c>
      <c r="C392">
        <f t="shared" si="117"/>
        <v>173</v>
      </c>
      <c r="D392" cm="1">
        <f t="array" ref="D392">Losuj()</f>
        <v>0.84070283174514771</v>
      </c>
      <c r="E392">
        <f t="shared" si="118"/>
        <v>173.84070283174515</v>
      </c>
    </row>
    <row r="393" spans="1:5" x14ac:dyDescent="0.3">
      <c r="A393">
        <v>0.95655350794738481</v>
      </c>
      <c r="B393">
        <f t="shared" si="116"/>
        <v>200.54423991451557</v>
      </c>
      <c r="C393">
        <f t="shared" si="117"/>
        <v>201</v>
      </c>
      <c r="D393" cm="1">
        <f t="array" ref="D393">Losuj()</f>
        <v>0.3562282919883728</v>
      </c>
      <c r="E393">
        <f t="shared" si="118"/>
        <v>201.35622829198837</v>
      </c>
    </row>
    <row r="394" spans="1:5" x14ac:dyDescent="0.3">
      <c r="A394">
        <v>0.63999377126864432</v>
      </c>
      <c r="B394">
        <f t="shared" si="116"/>
        <v>184.30130573013022</v>
      </c>
      <c r="C394">
        <f t="shared" si="117"/>
        <v>184</v>
      </c>
      <c r="D394" cm="1">
        <f t="array" ref="D394">Losuj()</f>
        <v>0.3777427077293396</v>
      </c>
      <c r="E394">
        <f t="shared" si="118"/>
        <v>184.37774270772934</v>
      </c>
    </row>
    <row r="395" spans="1:5" x14ac:dyDescent="0.3">
      <c r="A395">
        <v>0.36991659602819127</v>
      </c>
      <c r="B395">
        <f t="shared" si="116"/>
        <v>176.01510897824122</v>
      </c>
      <c r="C395">
        <f t="shared" si="117"/>
        <v>176</v>
      </c>
      <c r="D395" cm="1">
        <f t="array" ref="D395">Losuj()</f>
        <v>0.43658334016799927</v>
      </c>
      <c r="E395">
        <f t="shared" si="118"/>
        <v>176.436583340168</v>
      </c>
    </row>
    <row r="396" spans="1:5" x14ac:dyDescent="0.3">
      <c r="A396">
        <v>0.48072860037326082</v>
      </c>
      <c r="B396">
        <f t="shared" si="116"/>
        <v>179.42009954887408</v>
      </c>
      <c r="C396">
        <f t="shared" si="117"/>
        <v>179</v>
      </c>
      <c r="D396" cm="1">
        <f t="array" ref="D396">Losuj()</f>
        <v>0.71688783168792725</v>
      </c>
      <c r="E396">
        <f t="shared" si="118"/>
        <v>179.71688783168793</v>
      </c>
    </row>
    <row r="397" spans="1:5" x14ac:dyDescent="0.3">
      <c r="A397">
        <v>0.76363989085157458</v>
      </c>
      <c r="B397">
        <f t="shared" si="116"/>
        <v>188.61672144031601</v>
      </c>
      <c r="C397">
        <f t="shared" si="117"/>
        <v>189</v>
      </c>
      <c r="D397" cm="1">
        <f t="array" ref="D397">Losuj()</f>
        <v>0.97422122955322266</v>
      </c>
      <c r="E397">
        <f t="shared" si="118"/>
        <v>189.97422122955322</v>
      </c>
    </row>
    <row r="398" spans="1:5" x14ac:dyDescent="0.3">
      <c r="A398">
        <v>0.87472599014046315</v>
      </c>
      <c r="B398">
        <f t="shared" si="116"/>
        <v>193.78823167994307</v>
      </c>
      <c r="C398">
        <f t="shared" si="117"/>
        <v>194</v>
      </c>
      <c r="D398" cm="1">
        <f t="array" ref="D398">Losuj()</f>
        <v>0.97058916091918945</v>
      </c>
      <c r="E398">
        <f t="shared" si="118"/>
        <v>194.97058916091919</v>
      </c>
    </row>
    <row r="399" spans="1:5" x14ac:dyDescent="0.3">
      <c r="A399">
        <v>0.12643271640907439</v>
      </c>
      <c r="B399">
        <f t="shared" si="116"/>
        <v>166.27899412856706</v>
      </c>
      <c r="C399">
        <f t="shared" si="117"/>
        <v>166</v>
      </c>
      <c r="D399" cm="1">
        <f t="array" ref="D399">Losuj()</f>
        <v>0.37539923191070557</v>
      </c>
      <c r="E399">
        <f t="shared" si="118"/>
        <v>166.37539923191071</v>
      </c>
    </row>
    <row r="400" spans="1:5" x14ac:dyDescent="0.3">
      <c r="A400">
        <v>0.99090358216459273</v>
      </c>
      <c r="B400">
        <f t="shared" si="116"/>
        <v>208.34003826228741</v>
      </c>
      <c r="C400">
        <f t="shared" si="117"/>
        <v>208</v>
      </c>
      <c r="D400" cm="1">
        <f t="array" ref="D400">Losuj()</f>
        <v>0.42087703943252563</v>
      </c>
      <c r="E400">
        <f t="shared" si="118"/>
        <v>208.42087703943253</v>
      </c>
    </row>
    <row r="401" spans="1:5" x14ac:dyDescent="0.3">
      <c r="A401">
        <v>0.53061128952440839</v>
      </c>
      <c r="B401">
        <f t="shared" si="116"/>
        <v>180.92167888714491</v>
      </c>
      <c r="C401">
        <f t="shared" si="117"/>
        <v>181</v>
      </c>
      <c r="D401" cm="1">
        <f t="array" ref="D401">Losuj()</f>
        <v>0.18710774183273315</v>
      </c>
      <c r="E401">
        <f t="shared" si="118"/>
        <v>181.18710774183273</v>
      </c>
    </row>
    <row r="402" spans="1:5" x14ac:dyDescent="0.3">
      <c r="A402">
        <v>0.32630440828818352</v>
      </c>
      <c r="B402">
        <f t="shared" si="116"/>
        <v>174.59830868867294</v>
      </c>
      <c r="C402">
        <f t="shared" si="117"/>
        <v>175</v>
      </c>
      <c r="D402" cm="1">
        <f t="array" ref="D402">Losuj()</f>
        <v>0.96588653326034546</v>
      </c>
      <c r="E402">
        <f t="shared" si="118"/>
        <v>175.96588653326035</v>
      </c>
    </row>
    <row r="403" spans="1:5" x14ac:dyDescent="0.3">
      <c r="A403">
        <v>0.18920595415581976</v>
      </c>
      <c r="B403">
        <f t="shared" si="116"/>
        <v>169.43008585863828</v>
      </c>
      <c r="C403">
        <f t="shared" si="117"/>
        <v>169</v>
      </c>
      <c r="D403" cm="1">
        <f t="array" ref="D403">Losuj()</f>
        <v>0.67843377590179443</v>
      </c>
      <c r="E403">
        <f t="shared" si="118"/>
        <v>169.67843377590179</v>
      </c>
    </row>
    <row r="404" spans="1:5" x14ac:dyDescent="0.3">
      <c r="A404">
        <v>0.43245398934182433</v>
      </c>
      <c r="B404">
        <f t="shared" si="116"/>
        <v>177.95844118787622</v>
      </c>
      <c r="C404">
        <f t="shared" si="117"/>
        <v>178</v>
      </c>
      <c r="D404" cm="1">
        <f t="array" ref="D404">Losuj()</f>
        <v>0.21878558397293091</v>
      </c>
      <c r="E404">
        <f t="shared" si="118"/>
        <v>178.21878558397293</v>
      </c>
    </row>
    <row r="405" spans="1:5" x14ac:dyDescent="0.3">
      <c r="A405">
        <v>0.1989625823099237</v>
      </c>
      <c r="B405">
        <f t="shared" si="116"/>
        <v>169.85600880577664</v>
      </c>
      <c r="C405">
        <f t="shared" si="117"/>
        <v>170</v>
      </c>
      <c r="D405" cm="1">
        <f t="array" ref="D405">Losuj()</f>
        <v>0.14495295286178589</v>
      </c>
      <c r="E405">
        <f t="shared" si="118"/>
        <v>170.14495295286179</v>
      </c>
    </row>
    <row r="406" spans="1:5" x14ac:dyDescent="0.3">
      <c r="A406">
        <v>0.41538573299083048</v>
      </c>
      <c r="B406">
        <f t="shared" si="116"/>
        <v>177.43545312404731</v>
      </c>
      <c r="C406">
        <f t="shared" si="117"/>
        <v>177</v>
      </c>
      <c r="D406" cm="1">
        <f t="array" ref="D406">Losuj()</f>
        <v>0.66551780700683594</v>
      </c>
      <c r="E406">
        <f t="shared" si="118"/>
        <v>177.66551780700684</v>
      </c>
    </row>
    <row r="407" spans="1:5" x14ac:dyDescent="0.3">
      <c r="A407">
        <v>0.95546421942919224</v>
      </c>
      <c r="B407">
        <f t="shared" si="116"/>
        <v>200.40378825454067</v>
      </c>
      <c r="C407">
        <f t="shared" si="117"/>
        <v>200</v>
      </c>
      <c r="D407" cm="1">
        <f t="array" ref="D407">Losuj()</f>
        <v>0.84021866321563721</v>
      </c>
      <c r="E407">
        <f t="shared" si="118"/>
        <v>200.84021866321564</v>
      </c>
    </row>
    <row r="408" spans="1:5" x14ac:dyDescent="0.3">
      <c r="A408">
        <v>0.19094351782183849</v>
      </c>
      <c r="B408">
        <f t="shared" si="116"/>
        <v>169.50690414391244</v>
      </c>
      <c r="C408">
        <f t="shared" si="117"/>
        <v>170</v>
      </c>
      <c r="D408" cm="1">
        <f t="array" ref="D408">Losuj()</f>
        <v>0.94507062435150146</v>
      </c>
      <c r="E408">
        <f t="shared" si="118"/>
        <v>170.9450706243515</v>
      </c>
    </row>
    <row r="409" spans="1:5" x14ac:dyDescent="0.3">
      <c r="A409">
        <v>0.5703082290510012</v>
      </c>
      <c r="B409">
        <f t="shared" si="116"/>
        <v>182.12590735168996</v>
      </c>
      <c r="C409">
        <f t="shared" si="117"/>
        <v>182</v>
      </c>
      <c r="D409" cm="1">
        <f t="array" ref="D409">Losuj()</f>
        <v>0.96572542190551758</v>
      </c>
      <c r="E409">
        <f t="shared" si="118"/>
        <v>182.96572542190552</v>
      </c>
    </row>
    <row r="410" spans="1:5" x14ac:dyDescent="0.3">
      <c r="A410">
        <v>0.77492145837748461</v>
      </c>
      <c r="B410">
        <f t="shared" si="116"/>
        <v>189.06183804576435</v>
      </c>
      <c r="C410">
        <f t="shared" si="117"/>
        <v>189</v>
      </c>
      <c r="D410" cm="1">
        <f t="array" ref="D410">Losuj()</f>
        <v>0.31858932971954346</v>
      </c>
      <c r="E410">
        <f t="shared" si="118"/>
        <v>189.31858932971954</v>
      </c>
    </row>
    <row r="411" spans="1:5" x14ac:dyDescent="0.3">
      <c r="A411">
        <v>0.60848592837399795</v>
      </c>
      <c r="B411">
        <f t="shared" si="116"/>
        <v>183.30450008951343</v>
      </c>
      <c r="C411">
        <f t="shared" si="117"/>
        <v>183</v>
      </c>
      <c r="D411" cm="1">
        <f t="array" ref="D411">Losuj()</f>
        <v>0.89949065446853638</v>
      </c>
      <c r="E411">
        <f t="shared" si="118"/>
        <v>183.89949065446854</v>
      </c>
    </row>
    <row r="412" spans="1:5" x14ac:dyDescent="0.3">
      <c r="A412">
        <v>0.54484133311571403</v>
      </c>
      <c r="B412">
        <f t="shared" si="116"/>
        <v>181.3516593802494</v>
      </c>
      <c r="C412">
        <f t="shared" si="117"/>
        <v>181</v>
      </c>
      <c r="D412" cm="1">
        <f t="array" ref="D412">Losuj()</f>
        <v>0.17471134662628174</v>
      </c>
      <c r="E412">
        <f t="shared" si="118"/>
        <v>181.17471134662628</v>
      </c>
    </row>
    <row r="413" spans="1:5" x14ac:dyDescent="0.3">
      <c r="A413">
        <v>0.56965754982279415</v>
      </c>
      <c r="B413">
        <f t="shared" si="116"/>
        <v>182.10602856733982</v>
      </c>
      <c r="C413">
        <f t="shared" si="117"/>
        <v>182</v>
      </c>
      <c r="D413" cm="1">
        <f t="array" ref="D413">Losuj()</f>
        <v>0.51294547319412231</v>
      </c>
      <c r="E413">
        <f t="shared" si="118"/>
        <v>182.51294547319412</v>
      </c>
    </row>
    <row r="414" spans="1:5" x14ac:dyDescent="0.3">
      <c r="A414">
        <v>0.18062663750494135</v>
      </c>
      <c r="B414">
        <f t="shared" si="116"/>
        <v>169.04424489756806</v>
      </c>
      <c r="C414">
        <f t="shared" si="117"/>
        <v>169</v>
      </c>
      <c r="D414" cm="1">
        <f t="array" ref="D414">Losuj()</f>
        <v>0.77637255191802979</v>
      </c>
      <c r="E414">
        <f t="shared" si="118"/>
        <v>169.77637255191803</v>
      </c>
    </row>
    <row r="415" spans="1:5" x14ac:dyDescent="0.3">
      <c r="A415">
        <v>4.9594904518178495E-2</v>
      </c>
      <c r="B415">
        <f t="shared" si="116"/>
        <v>160.2144699184251</v>
      </c>
      <c r="C415">
        <f t="shared" si="117"/>
        <v>160</v>
      </c>
      <c r="D415" cm="1">
        <f t="array" ref="D415">Losuj()</f>
        <v>0.48460805416107178</v>
      </c>
      <c r="E415">
        <f t="shared" si="118"/>
        <v>160.48460805416107</v>
      </c>
    </row>
    <row r="416" spans="1:5" x14ac:dyDescent="0.3">
      <c r="A416">
        <v>0.43717049506485883</v>
      </c>
      <c r="B416">
        <f t="shared" si="116"/>
        <v>178.10223636848676</v>
      </c>
      <c r="C416">
        <f t="shared" si="117"/>
        <v>178</v>
      </c>
      <c r="D416" cm="1">
        <f t="array" ref="D416">Losuj()</f>
        <v>0.56522202491760254</v>
      </c>
      <c r="E416">
        <f t="shared" si="118"/>
        <v>178.5652220249176</v>
      </c>
    </row>
    <row r="417" spans="1:5" x14ac:dyDescent="0.3">
      <c r="A417">
        <v>0.29281921041386161</v>
      </c>
      <c r="B417">
        <f t="shared" si="116"/>
        <v>173.45799172889394</v>
      </c>
      <c r="C417">
        <f t="shared" si="117"/>
        <v>173</v>
      </c>
      <c r="D417" cm="1">
        <f t="array" ref="D417">Losuj()</f>
        <v>0.34886980056762695</v>
      </c>
      <c r="E417">
        <f t="shared" si="118"/>
        <v>173.34886980056763</v>
      </c>
    </row>
    <row r="418" spans="1:5" x14ac:dyDescent="0.3">
      <c r="A418">
        <v>0.65536772636989704</v>
      </c>
      <c r="B418">
        <f t="shared" si="116"/>
        <v>184.79823997711711</v>
      </c>
      <c r="C418">
        <f t="shared" si="117"/>
        <v>185</v>
      </c>
      <c r="D418" cm="1">
        <f t="array" ref="D418">Losuj()</f>
        <v>0.36475515365600586</v>
      </c>
      <c r="E418">
        <f t="shared" si="118"/>
        <v>185.36475515365601</v>
      </c>
    </row>
    <row r="419" spans="1:5" x14ac:dyDescent="0.3">
      <c r="A419">
        <v>0.10618718571473362</v>
      </c>
      <c r="B419">
        <f t="shared" si="116"/>
        <v>165.03524311943886</v>
      </c>
      <c r="C419">
        <f t="shared" si="117"/>
        <v>165</v>
      </c>
      <c r="D419" cm="1">
        <f t="array" ref="D419">Losuj()</f>
        <v>0.38753682374954224</v>
      </c>
      <c r="E419">
        <f t="shared" si="118"/>
        <v>165.38753682374954</v>
      </c>
    </row>
    <row r="420" spans="1:5" x14ac:dyDescent="0.3">
      <c r="A420">
        <v>0.50159545878607681</v>
      </c>
      <c r="B420">
        <f t="shared" si="116"/>
        <v>180.04799079317633</v>
      </c>
      <c r="C420">
        <f t="shared" si="117"/>
        <v>180</v>
      </c>
      <c r="D420" cm="1">
        <f t="array" ref="D420">Losuj()</f>
        <v>0.68710905313491821</v>
      </c>
      <c r="E420">
        <f t="shared" si="118"/>
        <v>180.68710905313492</v>
      </c>
    </row>
    <row r="421" spans="1:5" x14ac:dyDescent="0.3">
      <c r="A421">
        <v>0.55637286207650261</v>
      </c>
      <c r="B421">
        <f t="shared" si="116"/>
        <v>181.70135249997168</v>
      </c>
      <c r="C421">
        <f t="shared" si="117"/>
        <v>182</v>
      </c>
      <c r="D421" cm="1">
        <f t="array" ref="D421">Losuj()</f>
        <v>9.3412280082702637E-2</v>
      </c>
      <c r="E421">
        <f t="shared" si="118"/>
        <v>182.0934122800827</v>
      </c>
    </row>
    <row r="422" spans="1:5" x14ac:dyDescent="0.3">
      <c r="A422">
        <v>0.22984789396736682</v>
      </c>
      <c r="B422">
        <f t="shared" si="116"/>
        <v>171.12782555275095</v>
      </c>
      <c r="C422">
        <f t="shared" si="117"/>
        <v>171</v>
      </c>
      <c r="D422" cm="1">
        <f t="array" ref="D422">Losuj()</f>
        <v>0.24927014112472534</v>
      </c>
      <c r="E422">
        <f t="shared" si="118"/>
        <v>171.24927014112473</v>
      </c>
    </row>
    <row r="423" spans="1:5" x14ac:dyDescent="0.3">
      <c r="A423">
        <v>3.7789609918811973E-2</v>
      </c>
      <c r="B423">
        <f t="shared" si="116"/>
        <v>158.67680077439056</v>
      </c>
      <c r="C423">
        <f t="shared" si="117"/>
        <v>159</v>
      </c>
      <c r="D423" cm="1">
        <f t="array" ref="D423">Losuj()</f>
        <v>0.73781800270080566</v>
      </c>
      <c r="E423">
        <f t="shared" si="118"/>
        <v>159.73781800270081</v>
      </c>
    </row>
    <row r="424" spans="1:5" x14ac:dyDescent="0.3">
      <c r="A424">
        <v>0.45879446619985698</v>
      </c>
      <c r="B424">
        <f t="shared" si="116"/>
        <v>178.75834448931968</v>
      </c>
      <c r="C424">
        <f t="shared" si="117"/>
        <v>179</v>
      </c>
      <c r="D424" cm="1">
        <f t="array" ref="D424">Losuj()</f>
        <v>0.73812371492385864</v>
      </c>
      <c r="E424">
        <f t="shared" si="118"/>
        <v>179.73812371492386</v>
      </c>
    </row>
    <row r="425" spans="1:5" x14ac:dyDescent="0.3">
      <c r="A425">
        <v>8.1163239765300488E-2</v>
      </c>
      <c r="B425">
        <f t="shared" si="116"/>
        <v>163.23252390380756</v>
      </c>
      <c r="C425">
        <f t="shared" si="117"/>
        <v>163</v>
      </c>
      <c r="D425" cm="1">
        <f t="array" ref="D425">Losuj()</f>
        <v>0.56979602575302124</v>
      </c>
      <c r="E425">
        <f t="shared" si="118"/>
        <v>163.56979602575302</v>
      </c>
    </row>
    <row r="426" spans="1:5" x14ac:dyDescent="0.3">
      <c r="A426">
        <v>0.3873860227846837</v>
      </c>
      <c r="B426">
        <f t="shared" si="116"/>
        <v>176.56633800912218</v>
      </c>
      <c r="C426">
        <f t="shared" si="117"/>
        <v>177</v>
      </c>
      <c r="D426" cm="1">
        <f t="array" ref="D426">Losuj()</f>
        <v>0.25200456380844116</v>
      </c>
      <c r="E426">
        <f t="shared" si="118"/>
        <v>177.25200456380844</v>
      </c>
    </row>
    <row r="427" spans="1:5" x14ac:dyDescent="0.3">
      <c r="A427">
        <v>0.42440528656395549</v>
      </c>
      <c r="B427">
        <f t="shared" si="116"/>
        <v>177.71236477834992</v>
      </c>
      <c r="C427">
        <f t="shared" si="117"/>
        <v>178</v>
      </c>
      <c r="D427" cm="1">
        <f t="array" ref="D427">Losuj()</f>
        <v>0.53324294090270996</v>
      </c>
      <c r="E427">
        <f t="shared" si="118"/>
        <v>178.53324294090271</v>
      </c>
    </row>
    <row r="428" spans="1:5" x14ac:dyDescent="0.3">
      <c r="A428">
        <v>0.60564781174149418</v>
      </c>
      <c r="B428">
        <f t="shared" si="116"/>
        <v>183.21592115077468</v>
      </c>
      <c r="C428">
        <f t="shared" si="117"/>
        <v>183</v>
      </c>
      <c r="D428" cm="1">
        <f t="array" ref="D428">Losuj()</f>
        <v>0.53825068473815918</v>
      </c>
      <c r="E428">
        <f t="shared" si="118"/>
        <v>183.53825068473816</v>
      </c>
    </row>
    <row r="429" spans="1:5" x14ac:dyDescent="0.3">
      <c r="A429">
        <v>0.69948985226537619</v>
      </c>
      <c r="B429">
        <f t="shared" si="116"/>
        <v>186.27520606305399</v>
      </c>
      <c r="C429">
        <f t="shared" si="117"/>
        <v>186</v>
      </c>
      <c r="D429" cm="1">
        <f t="array" ref="D429">Losuj()</f>
        <v>0.98114681243896484</v>
      </c>
      <c r="E429">
        <f t="shared" si="118"/>
        <v>186.98114681243896</v>
      </c>
    </row>
    <row r="430" spans="1:5" x14ac:dyDescent="0.3">
      <c r="A430">
        <v>0.34637357075029074</v>
      </c>
      <c r="B430">
        <f t="shared" si="116"/>
        <v>175.25844311873476</v>
      </c>
      <c r="C430">
        <f t="shared" si="117"/>
        <v>175</v>
      </c>
      <c r="D430" cm="1">
        <f t="array" ref="D430">Losuj()</f>
        <v>0.51866978406906128</v>
      </c>
      <c r="E430">
        <f t="shared" si="118"/>
        <v>175.51866978406906</v>
      </c>
    </row>
    <row r="431" spans="1:5" x14ac:dyDescent="0.3">
      <c r="A431">
        <v>0.96944268005761547</v>
      </c>
      <c r="B431">
        <f t="shared" si="116"/>
        <v>202.47198169219882</v>
      </c>
      <c r="C431">
        <f t="shared" si="117"/>
        <v>202</v>
      </c>
      <c r="D431" cm="1">
        <f t="array" ref="D431">Losuj()</f>
        <v>0.46297132968902588</v>
      </c>
      <c r="E431">
        <f t="shared" si="118"/>
        <v>202.46297132968903</v>
      </c>
    </row>
    <row r="432" spans="1:5" x14ac:dyDescent="0.3">
      <c r="A432">
        <v>1.3080116374093897E-2</v>
      </c>
      <c r="B432">
        <f t="shared" si="116"/>
        <v>153.31410215033492</v>
      </c>
      <c r="C432">
        <f t="shared" si="117"/>
        <v>153</v>
      </c>
      <c r="D432" cm="1">
        <f t="array" ref="D432">Losuj()</f>
        <v>0.5724979043006897</v>
      </c>
      <c r="E432">
        <f t="shared" si="118"/>
        <v>153.57249790430069</v>
      </c>
    </row>
    <row r="433" spans="1:5" x14ac:dyDescent="0.3">
      <c r="A433">
        <v>0.2382509824645056</v>
      </c>
      <c r="B433">
        <f t="shared" si="116"/>
        <v>171.45672065402294</v>
      </c>
      <c r="C433">
        <f t="shared" si="117"/>
        <v>171</v>
      </c>
      <c r="D433" cm="1">
        <f t="array" ref="D433">Losuj()</f>
        <v>3.1154453754425049E-2</v>
      </c>
      <c r="E433">
        <f t="shared" si="118"/>
        <v>171.03115445375443</v>
      </c>
    </row>
    <row r="434" spans="1:5" x14ac:dyDescent="0.3">
      <c r="A434">
        <v>0.58573050855715603</v>
      </c>
      <c r="B434">
        <f t="shared" si="116"/>
        <v>182.59890904629418</v>
      </c>
      <c r="C434">
        <f t="shared" si="117"/>
        <v>183</v>
      </c>
      <c r="D434" cm="1">
        <f t="array" ref="D434">Losuj()</f>
        <v>0.3145861029624939</v>
      </c>
      <c r="E434">
        <f t="shared" si="118"/>
        <v>183.31458610296249</v>
      </c>
    </row>
    <row r="435" spans="1:5" x14ac:dyDescent="0.3">
      <c r="A435">
        <v>0.70261560992136485</v>
      </c>
      <c r="B435">
        <f t="shared" si="116"/>
        <v>186.38325872398983</v>
      </c>
      <c r="C435">
        <f t="shared" si="117"/>
        <v>186</v>
      </c>
      <c r="D435" cm="1">
        <f t="array" ref="D435">Losuj()</f>
        <v>0.42336851358413696</v>
      </c>
      <c r="E435">
        <f t="shared" si="118"/>
        <v>186.42336851358414</v>
      </c>
    </row>
    <row r="436" spans="1:5" x14ac:dyDescent="0.3">
      <c r="A436">
        <v>0.14684630239772112</v>
      </c>
      <c r="B436">
        <f t="shared" si="116"/>
        <v>167.39933421449896</v>
      </c>
      <c r="C436">
        <f t="shared" si="117"/>
        <v>167</v>
      </c>
      <c r="D436" cm="1">
        <f t="array" ref="D436">Losuj()</f>
        <v>5.2610635757446289E-2</v>
      </c>
      <c r="E436">
        <f t="shared" si="118"/>
        <v>167.05261063575745</v>
      </c>
    </row>
    <row r="437" spans="1:5" x14ac:dyDescent="0.3">
      <c r="A437">
        <v>0.11072663000229221</v>
      </c>
      <c r="B437">
        <f t="shared" si="116"/>
        <v>165.32792499120251</v>
      </c>
      <c r="C437">
        <f t="shared" si="117"/>
        <v>165</v>
      </c>
      <c r="D437" cm="1">
        <f t="array" ref="D437">Losuj()</f>
        <v>0.19295138120651245</v>
      </c>
      <c r="E437">
        <f t="shared" si="118"/>
        <v>165.19295138120651</v>
      </c>
    </row>
    <row r="438" spans="1:5" x14ac:dyDescent="0.3">
      <c r="A438">
        <v>3.9005555429830974E-2</v>
      </c>
      <c r="B438">
        <f t="shared" si="116"/>
        <v>158.85186609003273</v>
      </c>
      <c r="C438">
        <f t="shared" si="117"/>
        <v>159</v>
      </c>
      <c r="D438" cm="1">
        <f t="array" ref="D438">Losuj()</f>
        <v>0.57466506958007813</v>
      </c>
      <c r="E438">
        <f t="shared" si="118"/>
        <v>159.57466506958008</v>
      </c>
    </row>
    <row r="439" spans="1:5" x14ac:dyDescent="0.3">
      <c r="A439">
        <v>0.59882739189367518</v>
      </c>
      <c r="B439">
        <f t="shared" si="116"/>
        <v>183.00375736025686</v>
      </c>
      <c r="C439">
        <f t="shared" si="117"/>
        <v>183</v>
      </c>
      <c r="D439" cm="1">
        <f t="array" ref="D439">Losuj()</f>
        <v>9.7556233406066895E-2</v>
      </c>
      <c r="E439">
        <f t="shared" si="118"/>
        <v>183.09755623340607</v>
      </c>
    </row>
    <row r="440" spans="1:5" x14ac:dyDescent="0.3">
      <c r="A440">
        <v>8.0032883501466312E-2</v>
      </c>
      <c r="B440">
        <f t="shared" si="116"/>
        <v>163.14179514545603</v>
      </c>
      <c r="C440">
        <f t="shared" si="117"/>
        <v>163</v>
      </c>
      <c r="D440" cm="1">
        <f t="array" ref="D440">Losuj()</f>
        <v>0.15043550729751587</v>
      </c>
      <c r="E440">
        <f t="shared" si="118"/>
        <v>163.15043550729752</v>
      </c>
    </row>
    <row r="441" spans="1:5" x14ac:dyDescent="0.3">
      <c r="A441">
        <v>0.38660822588260246</v>
      </c>
      <c r="B441">
        <f t="shared" si="116"/>
        <v>176.54195749255092</v>
      </c>
      <c r="C441">
        <f t="shared" si="117"/>
        <v>177</v>
      </c>
      <c r="D441" cm="1">
        <f t="array" ref="D441">Losuj()</f>
        <v>0.26292484998703003</v>
      </c>
      <c r="E441">
        <f t="shared" si="118"/>
        <v>177.26292484998703</v>
      </c>
    </row>
    <row r="442" spans="1:5" x14ac:dyDescent="0.3">
      <c r="A442">
        <v>0.46645543601988904</v>
      </c>
      <c r="B442">
        <f t="shared" si="116"/>
        <v>178.9898030612008</v>
      </c>
      <c r="C442">
        <f t="shared" si="117"/>
        <v>179</v>
      </c>
      <c r="D442" cm="1">
        <f t="array" ref="D442">Losuj()</f>
        <v>0.76462090015411377</v>
      </c>
      <c r="E442">
        <f t="shared" si="118"/>
        <v>179.76462090015411</v>
      </c>
    </row>
    <row r="443" spans="1:5" x14ac:dyDescent="0.3">
      <c r="A443">
        <v>0.6565059863188939</v>
      </c>
      <c r="B443">
        <f t="shared" si="116"/>
        <v>184.83535074169436</v>
      </c>
      <c r="C443">
        <f t="shared" si="117"/>
        <v>185</v>
      </c>
      <c r="D443" cm="1">
        <f t="array" ref="D443">Losuj()</f>
        <v>0.96835851669311523</v>
      </c>
      <c r="E443">
        <f t="shared" si="118"/>
        <v>185.96835851669312</v>
      </c>
    </row>
    <row r="444" spans="1:5" x14ac:dyDescent="0.3">
      <c r="A444">
        <v>0.57571006434577421</v>
      </c>
      <c r="B444">
        <f t="shared" si="116"/>
        <v>182.29116864768946</v>
      </c>
      <c r="C444">
        <f t="shared" si="117"/>
        <v>182</v>
      </c>
      <c r="D444" cm="1">
        <f t="array" ref="D444">Losuj()</f>
        <v>0.47001278400421143</v>
      </c>
      <c r="E444">
        <f t="shared" si="118"/>
        <v>182.47001278400421</v>
      </c>
    </row>
    <row r="445" spans="1:5" x14ac:dyDescent="0.3">
      <c r="A445">
        <v>0.39218970632163275</v>
      </c>
      <c r="B445">
        <f t="shared" si="116"/>
        <v>176.71660293792621</v>
      </c>
      <c r="C445">
        <f t="shared" si="117"/>
        <v>177</v>
      </c>
      <c r="D445" cm="1">
        <f t="array" ref="D445">Losuj()</f>
        <v>0.23958897590637207</v>
      </c>
      <c r="E445">
        <f t="shared" si="118"/>
        <v>177.23958897590637</v>
      </c>
    </row>
    <row r="446" spans="1:5" x14ac:dyDescent="0.3">
      <c r="A446">
        <v>0.95415057690953864</v>
      </c>
      <c r="B446">
        <f t="shared" si="116"/>
        <v>200.23804295674182</v>
      </c>
      <c r="C446">
        <f t="shared" si="117"/>
        <v>200</v>
      </c>
      <c r="D446" cm="1">
        <f t="array" ref="D446">Losuj()</f>
        <v>0.77755945920944214</v>
      </c>
      <c r="E446">
        <f t="shared" si="118"/>
        <v>200.77755945920944</v>
      </c>
    </row>
    <row r="447" spans="1:5" x14ac:dyDescent="0.3">
      <c r="A447">
        <v>0.33143530140911281</v>
      </c>
      <c r="B447">
        <f t="shared" si="116"/>
        <v>174.76856023781917</v>
      </c>
      <c r="C447">
        <f t="shared" si="117"/>
        <v>175</v>
      </c>
      <c r="D447" cm="1">
        <f t="array" ref="D447">Losuj()</f>
        <v>0.46682834625244141</v>
      </c>
      <c r="E447">
        <f t="shared" si="118"/>
        <v>175.46682834625244</v>
      </c>
    </row>
    <row r="448" spans="1:5" x14ac:dyDescent="0.3">
      <c r="A448">
        <v>0.66723491304140514</v>
      </c>
      <c r="B448">
        <f t="shared" si="116"/>
        <v>185.18748793159781</v>
      </c>
      <c r="C448">
        <f t="shared" si="117"/>
        <v>185</v>
      </c>
      <c r="D448" cm="1">
        <f t="array" ref="D448">Losuj()</f>
        <v>0.63108086585998535</v>
      </c>
      <c r="E448">
        <f t="shared" si="118"/>
        <v>185.63108086585999</v>
      </c>
    </row>
    <row r="449" spans="1:5" x14ac:dyDescent="0.3">
      <c r="A449">
        <v>0.93248547721509423</v>
      </c>
      <c r="B449">
        <f t="shared" si="116"/>
        <v>197.93473224217132</v>
      </c>
      <c r="C449">
        <f t="shared" si="117"/>
        <v>198</v>
      </c>
      <c r="D449" cm="1">
        <f t="array" ref="D449">Losuj()</f>
        <v>0.35810422897338867</v>
      </c>
      <c r="E449">
        <f t="shared" si="118"/>
        <v>198.35810422897339</v>
      </c>
    </row>
    <row r="450" spans="1:5" x14ac:dyDescent="0.3">
      <c r="A450">
        <v>0.59217599507563223</v>
      </c>
      <c r="B450">
        <f t="shared" ref="B450:B513" si="119">_xlfn.NORM.INV(A450,_mu,_sigma)</f>
        <v>182.79775240590661</v>
      </c>
      <c r="C450">
        <f t="shared" si="117"/>
        <v>183</v>
      </c>
      <c r="D450" cm="1">
        <f t="array" ref="D450">Losuj()</f>
        <v>0.81253975629806519</v>
      </c>
      <c r="E450">
        <f t="shared" si="118"/>
        <v>183.81253975629807</v>
      </c>
    </row>
    <row r="451" spans="1:5" x14ac:dyDescent="0.3">
      <c r="A451">
        <v>0.65997826487623501</v>
      </c>
      <c r="B451">
        <f t="shared" si="119"/>
        <v>184.94884573304412</v>
      </c>
      <c r="C451">
        <f t="shared" ref="C451:C514" si="120">INT(B451+1/2)</f>
        <v>185</v>
      </c>
      <c r="D451" cm="1">
        <f t="array" ref="D451">Losuj()</f>
        <v>0.4604804515838623</v>
      </c>
      <c r="E451">
        <f t="shared" ref="E451:E514" si="121">C451+D451</f>
        <v>185.46048045158386</v>
      </c>
    </row>
    <row r="452" spans="1:5" x14ac:dyDescent="0.3">
      <c r="A452">
        <v>0.7681481948296095</v>
      </c>
      <c r="B452">
        <f t="shared" si="119"/>
        <v>188.79314383199741</v>
      </c>
      <c r="C452">
        <f t="shared" si="120"/>
        <v>189</v>
      </c>
      <c r="D452" cm="1">
        <f t="array" ref="D452">Losuj()</f>
        <v>4.5578062534332275E-2</v>
      </c>
      <c r="E452">
        <f t="shared" si="121"/>
        <v>189.04557806253433</v>
      </c>
    </row>
    <row r="453" spans="1:5" x14ac:dyDescent="0.3">
      <c r="A453">
        <v>0.3524012151860243</v>
      </c>
      <c r="B453">
        <f t="shared" si="119"/>
        <v>175.45385130294588</v>
      </c>
      <c r="C453">
        <f t="shared" si="120"/>
        <v>175</v>
      </c>
      <c r="D453" cm="1">
        <f t="array" ref="D453">Losuj()</f>
        <v>0.64929157495498657</v>
      </c>
      <c r="E453">
        <f t="shared" si="121"/>
        <v>175.64929157495499</v>
      </c>
    </row>
    <row r="454" spans="1:5" x14ac:dyDescent="0.3">
      <c r="A454">
        <v>0.31642326768125928</v>
      </c>
      <c r="B454">
        <f t="shared" si="119"/>
        <v>174.26730989802186</v>
      </c>
      <c r="C454">
        <f t="shared" si="120"/>
        <v>174</v>
      </c>
      <c r="D454" cm="1">
        <f t="array" ref="D454">Losuj()</f>
        <v>0.95689821243286133</v>
      </c>
      <c r="E454">
        <f t="shared" si="121"/>
        <v>174.95689821243286</v>
      </c>
    </row>
    <row r="455" spans="1:5" x14ac:dyDescent="0.3">
      <c r="A455">
        <v>2.0233271134843855E-2</v>
      </c>
      <c r="B455">
        <f t="shared" si="119"/>
        <v>155.4125432949115</v>
      </c>
      <c r="C455">
        <f t="shared" si="120"/>
        <v>155</v>
      </c>
      <c r="D455" cm="1">
        <f t="array" ref="D455">Losuj()</f>
        <v>0.89014285802841187</v>
      </c>
      <c r="E455">
        <f t="shared" si="121"/>
        <v>155.89014285802841</v>
      </c>
    </row>
    <row r="456" spans="1:5" x14ac:dyDescent="0.3">
      <c r="A456">
        <v>0.26483282970287159</v>
      </c>
      <c r="B456">
        <f t="shared" si="119"/>
        <v>172.45780233498283</v>
      </c>
      <c r="C456">
        <f t="shared" si="120"/>
        <v>172</v>
      </c>
      <c r="D456" cm="1">
        <f t="array" ref="D456">Losuj()</f>
        <v>0.29458403587341309</v>
      </c>
      <c r="E456">
        <f t="shared" si="121"/>
        <v>172.29458403587341</v>
      </c>
    </row>
    <row r="457" spans="1:5" x14ac:dyDescent="0.3">
      <c r="A457">
        <v>0.46356591115807511</v>
      </c>
      <c r="B457">
        <f t="shared" si="119"/>
        <v>178.90255149606227</v>
      </c>
      <c r="C457">
        <f t="shared" si="120"/>
        <v>179</v>
      </c>
      <c r="D457" cm="1">
        <f t="array" ref="D457">Losuj()</f>
        <v>0.58553206920623779</v>
      </c>
      <c r="E457">
        <f t="shared" si="121"/>
        <v>179.58553206920624</v>
      </c>
    </row>
    <row r="458" spans="1:5" x14ac:dyDescent="0.3">
      <c r="A458">
        <v>0.14782868497833745</v>
      </c>
      <c r="B458">
        <f t="shared" si="119"/>
        <v>167.4505036507162</v>
      </c>
      <c r="C458">
        <f t="shared" si="120"/>
        <v>167</v>
      </c>
      <c r="D458" cm="1">
        <f t="array" ref="D458">Losuj()</f>
        <v>0.1376880407333374</v>
      </c>
      <c r="E458">
        <f t="shared" si="121"/>
        <v>167.13768804073334</v>
      </c>
    </row>
    <row r="459" spans="1:5" x14ac:dyDescent="0.3">
      <c r="A459">
        <v>0.33294593747118972</v>
      </c>
      <c r="B459">
        <f t="shared" si="119"/>
        <v>174.81848412152303</v>
      </c>
      <c r="C459">
        <f t="shared" si="120"/>
        <v>175</v>
      </c>
      <c r="D459" cm="1">
        <f t="array" ref="D459">Losuj()</f>
        <v>0.73377865552902222</v>
      </c>
      <c r="E459">
        <f t="shared" si="121"/>
        <v>175.73377865552902</v>
      </c>
    </row>
    <row r="460" spans="1:5" x14ac:dyDescent="0.3">
      <c r="A460">
        <v>0.2323081103629554</v>
      </c>
      <c r="B460">
        <f t="shared" si="119"/>
        <v>171.22479870641655</v>
      </c>
      <c r="C460">
        <f t="shared" si="120"/>
        <v>171</v>
      </c>
      <c r="D460" cm="1">
        <f t="array" ref="D460">Losuj()</f>
        <v>0.49355399608612061</v>
      </c>
      <c r="E460">
        <f t="shared" si="121"/>
        <v>171.49355399608612</v>
      </c>
    </row>
    <row r="461" spans="1:5" x14ac:dyDescent="0.3">
      <c r="A461">
        <v>8.9824152049957418E-2</v>
      </c>
      <c r="B461">
        <f t="shared" si="119"/>
        <v>163.89793571014886</v>
      </c>
      <c r="C461">
        <f t="shared" si="120"/>
        <v>164</v>
      </c>
      <c r="D461" cm="1">
        <f t="array" ref="D461">Losuj()</f>
        <v>0.39714163541793823</v>
      </c>
      <c r="E461">
        <f t="shared" si="121"/>
        <v>164.39714163541794</v>
      </c>
    </row>
    <row r="462" spans="1:5" x14ac:dyDescent="0.3">
      <c r="A462">
        <v>0.17362949838577613</v>
      </c>
      <c r="B462">
        <f t="shared" si="119"/>
        <v>168.72096933704751</v>
      </c>
      <c r="C462">
        <f t="shared" si="120"/>
        <v>169</v>
      </c>
      <c r="D462" cm="1">
        <f t="array" ref="D462">Losuj()</f>
        <v>0.27473706007003784</v>
      </c>
      <c r="E462">
        <f t="shared" si="121"/>
        <v>169.27473706007004</v>
      </c>
    </row>
    <row r="463" spans="1:5" x14ac:dyDescent="0.3">
      <c r="A463">
        <v>0.77478422840396444</v>
      </c>
      <c r="B463">
        <f t="shared" si="119"/>
        <v>189.05634927929088</v>
      </c>
      <c r="C463">
        <f t="shared" si="120"/>
        <v>189</v>
      </c>
      <c r="D463" cm="1">
        <f t="array" ref="D463">Losuj()</f>
        <v>9.5585167407989502E-2</v>
      </c>
      <c r="E463">
        <f t="shared" si="121"/>
        <v>189.09558516740799</v>
      </c>
    </row>
    <row r="464" spans="1:5" x14ac:dyDescent="0.3">
      <c r="A464">
        <v>0.98725513100089446</v>
      </c>
      <c r="B464">
        <f t="shared" si="119"/>
        <v>206.8067846062136</v>
      </c>
      <c r="C464">
        <f t="shared" si="120"/>
        <v>207</v>
      </c>
      <c r="D464" cm="1">
        <f t="array" ref="D464">Losuj()</f>
        <v>0.3360438346862793</v>
      </c>
      <c r="E464">
        <f t="shared" si="121"/>
        <v>207.33604383468628</v>
      </c>
    </row>
    <row r="465" spans="1:5" x14ac:dyDescent="0.3">
      <c r="A465">
        <v>0.15520693020669307</v>
      </c>
      <c r="B465">
        <f t="shared" si="119"/>
        <v>167.82775186964369</v>
      </c>
      <c r="C465">
        <f t="shared" si="120"/>
        <v>168</v>
      </c>
      <c r="D465" cm="1">
        <f t="array" ref="D465">Losuj()</f>
        <v>0.49548161029815674</v>
      </c>
      <c r="E465">
        <f t="shared" si="121"/>
        <v>168.49548161029816</v>
      </c>
    </row>
    <row r="466" spans="1:5" x14ac:dyDescent="0.3">
      <c r="A466">
        <v>0.97002700426626109</v>
      </c>
      <c r="B466">
        <f t="shared" si="119"/>
        <v>202.57428759689853</v>
      </c>
      <c r="C466">
        <f t="shared" si="120"/>
        <v>203</v>
      </c>
      <c r="D466" cm="1">
        <f t="array" ref="D466">Losuj()</f>
        <v>0.99972140789031982</v>
      </c>
      <c r="E466">
        <f t="shared" si="121"/>
        <v>203.99972140789032</v>
      </c>
    </row>
    <row r="467" spans="1:5" x14ac:dyDescent="0.3">
      <c r="A467">
        <v>0.32635175303990016</v>
      </c>
      <c r="B467">
        <f t="shared" si="119"/>
        <v>174.5998845937458</v>
      </c>
      <c r="C467">
        <f t="shared" si="120"/>
        <v>175</v>
      </c>
      <c r="D467" cm="1">
        <f t="array" ref="D467">Losuj()</f>
        <v>0.3961983323097229</v>
      </c>
      <c r="E467">
        <f t="shared" si="121"/>
        <v>175.39619833230972</v>
      </c>
    </row>
    <row r="468" spans="1:5" x14ac:dyDescent="0.3">
      <c r="A468">
        <v>0.85380504158723536</v>
      </c>
      <c r="B468">
        <f t="shared" si="119"/>
        <v>192.63471908538972</v>
      </c>
      <c r="C468">
        <f t="shared" si="120"/>
        <v>193</v>
      </c>
      <c r="D468" cm="1">
        <f t="array" ref="D468">Losuj()</f>
        <v>0.73113656044006348</v>
      </c>
      <c r="E468">
        <f t="shared" si="121"/>
        <v>193.73113656044006</v>
      </c>
    </row>
    <row r="469" spans="1:5" x14ac:dyDescent="0.3">
      <c r="A469">
        <v>0.27447665480311556</v>
      </c>
      <c r="B469">
        <f t="shared" si="119"/>
        <v>172.80804834072816</v>
      </c>
      <c r="C469">
        <f t="shared" si="120"/>
        <v>173</v>
      </c>
      <c r="D469" cm="1">
        <f t="array" ref="D469">Losuj()</f>
        <v>0.66660630702972412</v>
      </c>
      <c r="E469">
        <f t="shared" si="121"/>
        <v>173.66660630702972</v>
      </c>
    </row>
    <row r="470" spans="1:5" x14ac:dyDescent="0.3">
      <c r="A470">
        <v>0.88334114077547921</v>
      </c>
      <c r="B470">
        <f t="shared" si="119"/>
        <v>194.3022718443944</v>
      </c>
      <c r="C470">
        <f t="shared" si="120"/>
        <v>194</v>
      </c>
      <c r="D470" cm="1">
        <f t="array" ref="D470">Losuj()</f>
        <v>0.97657221555709839</v>
      </c>
      <c r="E470">
        <f t="shared" si="121"/>
        <v>194.9765722155571</v>
      </c>
    </row>
    <row r="471" spans="1:5" x14ac:dyDescent="0.3">
      <c r="A471">
        <v>0.76044060318393436</v>
      </c>
      <c r="B471">
        <f t="shared" si="119"/>
        <v>188.49264697886957</v>
      </c>
      <c r="C471">
        <f t="shared" si="120"/>
        <v>188</v>
      </c>
      <c r="D471" cm="1">
        <f t="array" ref="D471">Losuj()</f>
        <v>5.903702974319458E-2</v>
      </c>
      <c r="E471">
        <f t="shared" si="121"/>
        <v>188.05903702974319</v>
      </c>
    </row>
    <row r="472" spans="1:5" x14ac:dyDescent="0.3">
      <c r="A472">
        <v>0.3695688526534906</v>
      </c>
      <c r="B472">
        <f t="shared" si="119"/>
        <v>176.00405440256665</v>
      </c>
      <c r="C472">
        <f t="shared" si="120"/>
        <v>176</v>
      </c>
      <c r="D472" cm="1">
        <f t="array" ref="D472">Losuj()</f>
        <v>0.27304559946060181</v>
      </c>
      <c r="E472">
        <f t="shared" si="121"/>
        <v>176.2730455994606</v>
      </c>
    </row>
    <row r="473" spans="1:5" x14ac:dyDescent="0.3">
      <c r="A473">
        <v>0.46502791272392252</v>
      </c>
      <c r="B473">
        <f t="shared" si="119"/>
        <v>178.94670479026814</v>
      </c>
      <c r="C473">
        <f t="shared" si="120"/>
        <v>179</v>
      </c>
      <c r="D473" cm="1">
        <f t="array" ref="D473">Losuj()</f>
        <v>0.87135952711105347</v>
      </c>
      <c r="E473">
        <f t="shared" si="121"/>
        <v>179.87135952711105</v>
      </c>
    </row>
    <row r="474" spans="1:5" x14ac:dyDescent="0.3">
      <c r="A474">
        <v>0.16104829590738634</v>
      </c>
      <c r="B474">
        <f t="shared" si="119"/>
        <v>168.11809648880552</v>
      </c>
      <c r="C474">
        <f t="shared" si="120"/>
        <v>168</v>
      </c>
      <c r="D474" cm="1">
        <f t="array" ref="D474">Losuj()</f>
        <v>0.60048753023147583</v>
      </c>
      <c r="E474">
        <f t="shared" si="121"/>
        <v>168.60048753023148</v>
      </c>
    </row>
    <row r="475" spans="1:5" x14ac:dyDescent="0.3">
      <c r="A475">
        <v>0.15406406129923922</v>
      </c>
      <c r="B475">
        <f t="shared" si="119"/>
        <v>167.77010804903875</v>
      </c>
      <c r="C475">
        <f t="shared" si="120"/>
        <v>168</v>
      </c>
      <c r="D475" cm="1">
        <f t="array" ref="D475">Losuj()</f>
        <v>0.34038853645324707</v>
      </c>
      <c r="E475">
        <f t="shared" si="121"/>
        <v>168.34038853645325</v>
      </c>
    </row>
    <row r="476" spans="1:5" x14ac:dyDescent="0.3">
      <c r="A476">
        <v>0.87671616581409184</v>
      </c>
      <c r="B476">
        <f t="shared" si="119"/>
        <v>193.90471850273087</v>
      </c>
      <c r="C476">
        <f t="shared" si="120"/>
        <v>194</v>
      </c>
      <c r="D476" cm="1">
        <f t="array" ref="D476">Losuj()</f>
        <v>0.96669179201126099</v>
      </c>
      <c r="E476">
        <f t="shared" si="121"/>
        <v>194.96669179201126</v>
      </c>
    </row>
    <row r="477" spans="1:5" x14ac:dyDescent="0.3">
      <c r="A477">
        <v>0.31570227839144405</v>
      </c>
      <c r="B477">
        <f t="shared" si="119"/>
        <v>174.24298965318422</v>
      </c>
      <c r="C477">
        <f t="shared" si="120"/>
        <v>174</v>
      </c>
      <c r="D477" cm="1">
        <f t="array" ref="D477">Losuj()</f>
        <v>0.39650845527648926</v>
      </c>
      <c r="E477">
        <f t="shared" si="121"/>
        <v>174.39650845527649</v>
      </c>
    </row>
    <row r="478" spans="1:5" x14ac:dyDescent="0.3">
      <c r="A478">
        <v>6.828790080792968E-2</v>
      </c>
      <c r="B478">
        <f t="shared" si="119"/>
        <v>162.13602891509098</v>
      </c>
      <c r="C478">
        <f t="shared" si="120"/>
        <v>162</v>
      </c>
      <c r="D478" cm="1">
        <f t="array" ref="D478">Losuj()</f>
        <v>0.62668412923812866</v>
      </c>
      <c r="E478">
        <f t="shared" si="121"/>
        <v>162.62668412923813</v>
      </c>
    </row>
    <row r="479" spans="1:5" x14ac:dyDescent="0.3">
      <c r="A479">
        <v>0.95080687778290829</v>
      </c>
      <c r="B479">
        <f t="shared" si="119"/>
        <v>199.83273533705238</v>
      </c>
      <c r="C479">
        <f t="shared" si="120"/>
        <v>200</v>
      </c>
      <c r="D479" cm="1">
        <f t="array" ref="D479">Losuj()</f>
        <v>0.54701143503189087</v>
      </c>
      <c r="E479">
        <f t="shared" si="121"/>
        <v>200.54701143503189</v>
      </c>
    </row>
    <row r="480" spans="1:5" x14ac:dyDescent="0.3">
      <c r="A480">
        <v>0.81246828697753937</v>
      </c>
      <c r="B480">
        <f t="shared" si="119"/>
        <v>190.6443449104332</v>
      </c>
      <c r="C480">
        <f t="shared" si="120"/>
        <v>191</v>
      </c>
      <c r="D480" cm="1">
        <f t="array" ref="D480">Losuj()</f>
        <v>0.28160995244979858</v>
      </c>
      <c r="E480">
        <f t="shared" si="121"/>
        <v>191.2816099524498</v>
      </c>
    </row>
    <row r="481" spans="1:5" x14ac:dyDescent="0.3">
      <c r="A481">
        <v>8.4230231847471804E-2</v>
      </c>
      <c r="B481">
        <f t="shared" si="119"/>
        <v>163.47398985556626</v>
      </c>
      <c r="C481">
        <f t="shared" si="120"/>
        <v>163</v>
      </c>
      <c r="D481" cm="1">
        <f t="array" ref="D481">Losuj()</f>
        <v>6.5158545970916748E-2</v>
      </c>
      <c r="E481">
        <f t="shared" si="121"/>
        <v>163.06515854597092</v>
      </c>
    </row>
    <row r="482" spans="1:5" x14ac:dyDescent="0.3">
      <c r="A482">
        <v>0.72054128595501854</v>
      </c>
      <c r="B482">
        <f t="shared" si="119"/>
        <v>187.01340298701578</v>
      </c>
      <c r="C482">
        <f t="shared" si="120"/>
        <v>187</v>
      </c>
      <c r="D482" cm="1">
        <f t="array" ref="D482">Losuj()</f>
        <v>0.54634064435958862</v>
      </c>
      <c r="E482">
        <f t="shared" si="121"/>
        <v>187.54634064435959</v>
      </c>
    </row>
    <row r="483" spans="1:5" x14ac:dyDescent="0.3">
      <c r="A483">
        <v>0.51052634452343038</v>
      </c>
      <c r="B483">
        <f t="shared" si="119"/>
        <v>180.31666434212681</v>
      </c>
      <c r="C483">
        <f t="shared" si="120"/>
        <v>180</v>
      </c>
      <c r="D483" cm="1">
        <f t="array" ref="D483">Losuj()</f>
        <v>2.7148723602294922E-3</v>
      </c>
      <c r="E483">
        <f t="shared" si="121"/>
        <v>180.00271487236023</v>
      </c>
    </row>
    <row r="484" spans="1:5" x14ac:dyDescent="0.3">
      <c r="A484">
        <v>0.75302908246869515</v>
      </c>
      <c r="B484">
        <f t="shared" si="119"/>
        <v>188.20863341381096</v>
      </c>
      <c r="C484">
        <f t="shared" si="120"/>
        <v>188</v>
      </c>
      <c r="D484" cm="1">
        <f t="array" ref="D484">Losuj()</f>
        <v>0.76049232482910156</v>
      </c>
      <c r="E484">
        <f t="shared" si="121"/>
        <v>188.7604923248291</v>
      </c>
    </row>
    <row r="485" spans="1:5" x14ac:dyDescent="0.3">
      <c r="A485">
        <v>0.39015254999918214</v>
      </c>
      <c r="B485">
        <f t="shared" si="119"/>
        <v>176.65294249333647</v>
      </c>
      <c r="C485">
        <f t="shared" si="120"/>
        <v>177</v>
      </c>
      <c r="D485" cm="1">
        <f t="array" ref="D485">Losuj()</f>
        <v>0.42553412914276123</v>
      </c>
      <c r="E485">
        <f t="shared" si="121"/>
        <v>177.42553412914276</v>
      </c>
    </row>
    <row r="486" spans="1:5" x14ac:dyDescent="0.3">
      <c r="A486">
        <v>0.97962894376670562</v>
      </c>
      <c r="B486">
        <f t="shared" si="119"/>
        <v>204.55373929823386</v>
      </c>
      <c r="C486">
        <f t="shared" si="120"/>
        <v>205</v>
      </c>
      <c r="D486" cm="1">
        <f t="array" ref="D486">Losuj()</f>
        <v>0.61401444673538208</v>
      </c>
      <c r="E486">
        <f t="shared" si="121"/>
        <v>205.61401444673538</v>
      </c>
    </row>
    <row r="487" spans="1:5" x14ac:dyDescent="0.3">
      <c r="A487">
        <v>4.4901821234018646E-2</v>
      </c>
      <c r="B487">
        <f t="shared" si="119"/>
        <v>159.64278712429575</v>
      </c>
      <c r="C487">
        <f t="shared" si="120"/>
        <v>160</v>
      </c>
      <c r="D487" cm="1">
        <f t="array" ref="D487">Losuj()</f>
        <v>3.9786577224731445E-2</v>
      </c>
      <c r="E487">
        <f t="shared" si="121"/>
        <v>160.03978657722473</v>
      </c>
    </row>
    <row r="488" spans="1:5" x14ac:dyDescent="0.3">
      <c r="A488">
        <v>0.78827091702417396</v>
      </c>
      <c r="B488">
        <f t="shared" si="119"/>
        <v>189.60523333097007</v>
      </c>
      <c r="C488">
        <f t="shared" si="120"/>
        <v>190</v>
      </c>
      <c r="D488" cm="1">
        <f t="array" ref="D488">Losuj()</f>
        <v>0.78005576133728027</v>
      </c>
      <c r="E488">
        <f t="shared" si="121"/>
        <v>190.78005576133728</v>
      </c>
    </row>
    <row r="489" spans="1:5" x14ac:dyDescent="0.3">
      <c r="A489">
        <v>2.8154760684601432E-2</v>
      </c>
      <c r="B489">
        <f t="shared" si="119"/>
        <v>157.09641046922371</v>
      </c>
      <c r="C489">
        <f t="shared" si="120"/>
        <v>157</v>
      </c>
      <c r="D489" cm="1">
        <f t="array" ref="D489">Losuj()</f>
        <v>0.60693824291229248</v>
      </c>
      <c r="E489">
        <f t="shared" si="121"/>
        <v>157.60693824291229</v>
      </c>
    </row>
    <row r="490" spans="1:5" x14ac:dyDescent="0.3">
      <c r="A490">
        <v>0.240936660750104</v>
      </c>
      <c r="B490">
        <f t="shared" si="119"/>
        <v>171.56048687631966</v>
      </c>
      <c r="C490">
        <f t="shared" si="120"/>
        <v>172</v>
      </c>
      <c r="D490" cm="1">
        <f t="array" ref="D490">Losuj()</f>
        <v>0.79029309749603271</v>
      </c>
      <c r="E490">
        <f t="shared" si="121"/>
        <v>172.79029309749603</v>
      </c>
    </row>
    <row r="491" spans="1:5" x14ac:dyDescent="0.3">
      <c r="A491">
        <v>0.9571862948354477</v>
      </c>
      <c r="B491">
        <f t="shared" si="119"/>
        <v>200.62714078766669</v>
      </c>
      <c r="C491">
        <f t="shared" si="120"/>
        <v>201</v>
      </c>
      <c r="D491" cm="1">
        <f t="array" ref="D491">Losuj()</f>
        <v>6.8091154098510742E-2</v>
      </c>
      <c r="E491">
        <f t="shared" si="121"/>
        <v>201.06809115409851</v>
      </c>
    </row>
    <row r="492" spans="1:5" x14ac:dyDescent="0.3">
      <c r="A492">
        <v>0.707168385200036</v>
      </c>
      <c r="B492">
        <f t="shared" si="119"/>
        <v>186.54157537870492</v>
      </c>
      <c r="C492">
        <f t="shared" si="120"/>
        <v>187</v>
      </c>
      <c r="D492" cm="1">
        <f t="array" ref="D492">Losuj()</f>
        <v>0.93122053146362305</v>
      </c>
      <c r="E492">
        <f t="shared" si="121"/>
        <v>187.93122053146362</v>
      </c>
    </row>
    <row r="493" spans="1:5" x14ac:dyDescent="0.3">
      <c r="A493">
        <v>0.24793281334370953</v>
      </c>
      <c r="B493">
        <f t="shared" si="119"/>
        <v>171.8278887955951</v>
      </c>
      <c r="C493">
        <f t="shared" si="120"/>
        <v>172</v>
      </c>
      <c r="D493" cm="1">
        <f t="array" ref="D493">Losuj()</f>
        <v>0.31191176176071167</v>
      </c>
      <c r="E493">
        <f t="shared" si="121"/>
        <v>172.31191176176071</v>
      </c>
    </row>
    <row r="494" spans="1:5" x14ac:dyDescent="0.3">
      <c r="A494">
        <v>5.8215893706594968E-2</v>
      </c>
      <c r="B494">
        <f t="shared" si="119"/>
        <v>161.16086011874657</v>
      </c>
      <c r="C494">
        <f t="shared" si="120"/>
        <v>161</v>
      </c>
      <c r="D494" cm="1">
        <f t="array" ref="D494">Losuj()</f>
        <v>0.10021495819091797</v>
      </c>
      <c r="E494">
        <f t="shared" si="121"/>
        <v>161.10021495819092</v>
      </c>
    </row>
    <row r="495" spans="1:5" x14ac:dyDescent="0.3">
      <c r="A495">
        <v>0.75829540587570166</v>
      </c>
      <c r="B495">
        <f t="shared" si="119"/>
        <v>188.40995856334729</v>
      </c>
      <c r="C495">
        <f t="shared" si="120"/>
        <v>188</v>
      </c>
      <c r="D495" cm="1">
        <f t="array" ref="D495">Losuj()</f>
        <v>0.91294699907302856</v>
      </c>
      <c r="E495">
        <f t="shared" si="121"/>
        <v>188.91294699907303</v>
      </c>
    </row>
    <row r="496" spans="1:5" x14ac:dyDescent="0.3">
      <c r="A496">
        <v>0.49612676059391758</v>
      </c>
      <c r="B496">
        <f t="shared" si="119"/>
        <v>179.8834929127209</v>
      </c>
      <c r="C496">
        <f t="shared" si="120"/>
        <v>180</v>
      </c>
      <c r="D496" cm="1">
        <f t="array" ref="D496">Losuj()</f>
        <v>0.42219686508178711</v>
      </c>
      <c r="E496">
        <f t="shared" si="121"/>
        <v>180.42219686508179</v>
      </c>
    </row>
    <row r="497" spans="1:5" x14ac:dyDescent="0.3">
      <c r="A497">
        <v>0.90560860820126909</v>
      </c>
      <c r="B497">
        <f t="shared" si="119"/>
        <v>195.77026178379376</v>
      </c>
      <c r="C497">
        <f t="shared" si="120"/>
        <v>196</v>
      </c>
      <c r="D497" cm="1">
        <f t="array" ref="D497">Losuj()</f>
        <v>0.79256510734558105</v>
      </c>
      <c r="E497">
        <f t="shared" si="121"/>
        <v>196.79256510734558</v>
      </c>
    </row>
    <row r="498" spans="1:5" x14ac:dyDescent="0.3">
      <c r="A498">
        <v>0.1138410291471651</v>
      </c>
      <c r="B498">
        <f t="shared" si="119"/>
        <v>165.52378418363355</v>
      </c>
      <c r="C498">
        <f t="shared" si="120"/>
        <v>166</v>
      </c>
      <c r="D498" cm="1">
        <f t="array" ref="D498">Losuj()</f>
        <v>0.83341789245605469</v>
      </c>
      <c r="E498">
        <f t="shared" si="121"/>
        <v>166.83341789245605</v>
      </c>
    </row>
    <row r="499" spans="1:5" x14ac:dyDescent="0.3">
      <c r="A499">
        <v>0.36241931328224386</v>
      </c>
      <c r="B499">
        <f t="shared" si="119"/>
        <v>175.77600582578609</v>
      </c>
      <c r="C499">
        <f t="shared" si="120"/>
        <v>176</v>
      </c>
      <c r="D499" cm="1">
        <f t="array" ref="D499">Losuj()</f>
        <v>0.85640144348144531</v>
      </c>
      <c r="E499">
        <f t="shared" si="121"/>
        <v>176.85640144348145</v>
      </c>
    </row>
    <row r="500" spans="1:5" x14ac:dyDescent="0.3">
      <c r="A500">
        <v>0.1798771386887017</v>
      </c>
      <c r="B500">
        <f t="shared" si="119"/>
        <v>169.00999908412234</v>
      </c>
      <c r="C500">
        <f t="shared" si="120"/>
        <v>169</v>
      </c>
      <c r="D500" cm="1">
        <f t="array" ref="D500">Losuj()</f>
        <v>0.78038161993026733</v>
      </c>
      <c r="E500">
        <f t="shared" si="121"/>
        <v>169.78038161993027</v>
      </c>
    </row>
    <row r="501" spans="1:5" x14ac:dyDescent="0.3">
      <c r="A501">
        <v>0.66151224947531351</v>
      </c>
      <c r="B501">
        <f t="shared" si="119"/>
        <v>184.99912632185934</v>
      </c>
      <c r="C501">
        <f t="shared" si="120"/>
        <v>185</v>
      </c>
      <c r="D501" cm="1">
        <f t="array" ref="D501">Losuj()</f>
        <v>0.24684548377990723</v>
      </c>
      <c r="E501">
        <f t="shared" si="121"/>
        <v>185.24684548377991</v>
      </c>
    </row>
    <row r="502" spans="1:5" x14ac:dyDescent="0.3">
      <c r="A502">
        <v>0.56578255005933487</v>
      </c>
      <c r="B502">
        <f t="shared" si="119"/>
        <v>181.9877618297771</v>
      </c>
      <c r="C502">
        <f t="shared" si="120"/>
        <v>182</v>
      </c>
      <c r="D502" cm="1">
        <f t="array" ref="D502">Losuj()</f>
        <v>5.9677302837371826E-2</v>
      </c>
      <c r="E502">
        <f t="shared" si="121"/>
        <v>182.05967730283737</v>
      </c>
    </row>
    <row r="503" spans="1:5" x14ac:dyDescent="0.3">
      <c r="A503">
        <v>0.96165507843562592</v>
      </c>
      <c r="B503">
        <f t="shared" si="119"/>
        <v>201.24268725388359</v>
      </c>
      <c r="C503">
        <f t="shared" si="120"/>
        <v>201</v>
      </c>
      <c r="D503" cm="1">
        <f t="array" ref="D503">Losuj()</f>
        <v>0.46042704582214355</v>
      </c>
      <c r="E503">
        <f t="shared" si="121"/>
        <v>201.46042704582214</v>
      </c>
    </row>
    <row r="504" spans="1:5" x14ac:dyDescent="0.3">
      <c r="A504">
        <v>0.54528145554696938</v>
      </c>
      <c r="B504">
        <f t="shared" si="119"/>
        <v>181.36498314511906</v>
      </c>
      <c r="C504">
        <f t="shared" si="120"/>
        <v>181</v>
      </c>
      <c r="D504" cm="1">
        <f t="array" ref="D504">Losuj()</f>
        <v>0.77402776479721069</v>
      </c>
      <c r="E504">
        <f t="shared" si="121"/>
        <v>181.77402776479721</v>
      </c>
    </row>
    <row r="505" spans="1:5" x14ac:dyDescent="0.3">
      <c r="A505">
        <v>0.16166806173092552</v>
      </c>
      <c r="B505">
        <f t="shared" si="119"/>
        <v>168.14849474783253</v>
      </c>
      <c r="C505">
        <f t="shared" si="120"/>
        <v>168</v>
      </c>
      <c r="D505" cm="1">
        <f t="array" ref="D505">Losuj()</f>
        <v>0.84224903583526611</v>
      </c>
      <c r="E505">
        <f t="shared" si="121"/>
        <v>168.84224903583527</v>
      </c>
    </row>
    <row r="506" spans="1:5" x14ac:dyDescent="0.3">
      <c r="A506">
        <v>0.22111930785817902</v>
      </c>
      <c r="B506">
        <f t="shared" si="119"/>
        <v>170.77897846016415</v>
      </c>
      <c r="C506">
        <f t="shared" si="120"/>
        <v>171</v>
      </c>
      <c r="D506" cm="1">
        <f t="array" ref="D506">Losuj()</f>
        <v>0.44684511423110962</v>
      </c>
      <c r="E506">
        <f t="shared" si="121"/>
        <v>171.44684511423111</v>
      </c>
    </row>
    <row r="507" spans="1:5" x14ac:dyDescent="0.3">
      <c r="A507">
        <v>0.33005650007705079</v>
      </c>
      <c r="B507">
        <f t="shared" si="119"/>
        <v>174.72291410929273</v>
      </c>
      <c r="C507">
        <f t="shared" si="120"/>
        <v>175</v>
      </c>
      <c r="D507" cm="1">
        <f t="array" ref="D507">Losuj()</f>
        <v>0.38262426853179932</v>
      </c>
      <c r="E507">
        <f t="shared" si="121"/>
        <v>175.3826242685318</v>
      </c>
    </row>
    <row r="508" spans="1:5" x14ac:dyDescent="0.3">
      <c r="A508">
        <v>7.9299529084363773E-2</v>
      </c>
      <c r="B508">
        <f t="shared" si="119"/>
        <v>163.08241265706613</v>
      </c>
      <c r="C508">
        <f t="shared" si="120"/>
        <v>163</v>
      </c>
      <c r="D508" cm="1">
        <f t="array" ref="D508">Losuj()</f>
        <v>0.34734755754470825</v>
      </c>
      <c r="E508">
        <f t="shared" si="121"/>
        <v>163.34734755754471</v>
      </c>
    </row>
    <row r="509" spans="1:5" x14ac:dyDescent="0.3">
      <c r="A509">
        <v>0.94616891895581312</v>
      </c>
      <c r="B509">
        <f t="shared" si="119"/>
        <v>199.30548582313804</v>
      </c>
      <c r="C509">
        <f t="shared" si="120"/>
        <v>199</v>
      </c>
      <c r="D509" cm="1">
        <f t="array" ref="D509">Losuj()</f>
        <v>0.70089191198348999</v>
      </c>
      <c r="E509">
        <f t="shared" si="121"/>
        <v>199.70089191198349</v>
      </c>
    </row>
    <row r="510" spans="1:5" x14ac:dyDescent="0.3">
      <c r="A510">
        <v>0.8863499294644912</v>
      </c>
      <c r="B510">
        <f t="shared" si="119"/>
        <v>194.48811400924313</v>
      </c>
      <c r="C510">
        <f t="shared" si="120"/>
        <v>194</v>
      </c>
      <c r="D510" cm="1">
        <f t="array" ref="D510">Losuj()</f>
        <v>0.16450870037078857</v>
      </c>
      <c r="E510">
        <f t="shared" si="121"/>
        <v>194.16450870037079</v>
      </c>
    </row>
    <row r="511" spans="1:5" x14ac:dyDescent="0.3">
      <c r="A511">
        <v>0.96892746608883251</v>
      </c>
      <c r="B511">
        <f t="shared" si="119"/>
        <v>202.38311153643701</v>
      </c>
      <c r="C511">
        <f t="shared" si="120"/>
        <v>202</v>
      </c>
      <c r="D511" cm="1">
        <f t="array" ref="D511">Losuj()</f>
        <v>0.51735162734985352</v>
      </c>
      <c r="E511">
        <f t="shared" si="121"/>
        <v>202.51735162734985</v>
      </c>
    </row>
    <row r="512" spans="1:5" x14ac:dyDescent="0.3">
      <c r="A512">
        <v>0.67675839416122097</v>
      </c>
      <c r="B512">
        <f t="shared" si="119"/>
        <v>185.50383864947383</v>
      </c>
      <c r="C512">
        <f t="shared" si="120"/>
        <v>186</v>
      </c>
      <c r="D512" cm="1">
        <f t="array" ref="D512">Losuj()</f>
        <v>0.60674577951431274</v>
      </c>
      <c r="E512">
        <f t="shared" si="121"/>
        <v>186.60674577951431</v>
      </c>
    </row>
    <row r="513" spans="1:5" x14ac:dyDescent="0.3">
      <c r="A513">
        <v>0.46842263703301479</v>
      </c>
      <c r="B513">
        <f t="shared" si="119"/>
        <v>179.04917348157034</v>
      </c>
      <c r="C513">
        <f t="shared" si="120"/>
        <v>179</v>
      </c>
      <c r="D513" cm="1">
        <f t="array" ref="D513">Losuj()</f>
        <v>0.50674146413803101</v>
      </c>
      <c r="E513">
        <f t="shared" si="121"/>
        <v>179.50674146413803</v>
      </c>
    </row>
    <row r="514" spans="1:5" x14ac:dyDescent="0.3">
      <c r="A514">
        <v>0.36608268050771775</v>
      </c>
      <c r="B514">
        <f t="shared" ref="B514:B576" si="122">_xlfn.NORM.INV(A514,_mu,_sigma)</f>
        <v>175.89304147691124</v>
      </c>
      <c r="C514">
        <f t="shared" si="120"/>
        <v>176</v>
      </c>
      <c r="D514" cm="1">
        <f t="array" ref="D514">Losuj()</f>
        <v>0.20219337940216064</v>
      </c>
      <c r="E514">
        <f t="shared" si="121"/>
        <v>176.20219337940216</v>
      </c>
    </row>
    <row r="515" spans="1:5" x14ac:dyDescent="0.3">
      <c r="A515">
        <v>0.40410192277293977</v>
      </c>
      <c r="B515">
        <f t="shared" si="122"/>
        <v>177.08707395094859</v>
      </c>
      <c r="C515">
        <f t="shared" ref="C515:C576" si="123">INT(B515+1/2)</f>
        <v>177</v>
      </c>
      <c r="D515" cm="1">
        <f t="array" ref="D515">Losuj()</f>
        <v>0.60677844285964966</v>
      </c>
      <c r="E515">
        <f t="shared" ref="E515:E576" si="124">C515+D515</f>
        <v>177.60677844285965</v>
      </c>
    </row>
    <row r="516" spans="1:5" x14ac:dyDescent="0.3">
      <c r="A516">
        <v>0.36495103169764076</v>
      </c>
      <c r="B516">
        <f t="shared" si="122"/>
        <v>175.85693025602035</v>
      </c>
      <c r="C516">
        <f t="shared" si="123"/>
        <v>176</v>
      </c>
      <c r="D516" cm="1">
        <f t="array" ref="D516">Losuj()</f>
        <v>3.8600921630859375E-2</v>
      </c>
      <c r="E516">
        <f t="shared" si="124"/>
        <v>176.03860092163086</v>
      </c>
    </row>
    <row r="517" spans="1:5" x14ac:dyDescent="0.3">
      <c r="A517">
        <v>0.28060156598765329</v>
      </c>
      <c r="B517">
        <f t="shared" si="122"/>
        <v>173.027335479242</v>
      </c>
      <c r="C517">
        <f t="shared" si="123"/>
        <v>173</v>
      </c>
      <c r="D517" cm="1">
        <f t="array" ref="D517">Losuj()</f>
        <v>0.17354333400726318</v>
      </c>
      <c r="E517">
        <f t="shared" si="124"/>
        <v>173.17354333400726</v>
      </c>
    </row>
    <row r="518" spans="1:5" x14ac:dyDescent="0.3">
      <c r="A518">
        <v>0.74869419883177613</v>
      </c>
      <c r="B518">
        <f t="shared" si="122"/>
        <v>188.04463491108825</v>
      </c>
      <c r="C518">
        <f t="shared" si="123"/>
        <v>188</v>
      </c>
      <c r="D518" cm="1">
        <f t="array" ref="D518">Losuj()</f>
        <v>0.74757301807403564</v>
      </c>
      <c r="E518">
        <f t="shared" si="124"/>
        <v>188.74757301807404</v>
      </c>
    </row>
    <row r="519" spans="1:5" x14ac:dyDescent="0.3">
      <c r="A519">
        <v>0.25937400687247181</v>
      </c>
      <c r="B519">
        <f t="shared" si="122"/>
        <v>172.25668190623958</v>
      </c>
      <c r="C519">
        <f t="shared" si="123"/>
        <v>172</v>
      </c>
      <c r="D519" cm="1">
        <f t="array" ref="D519">Losuj()</f>
        <v>0.46155935525894165</v>
      </c>
      <c r="E519">
        <f t="shared" si="124"/>
        <v>172.46155935525894</v>
      </c>
    </row>
    <row r="520" spans="1:5" x14ac:dyDescent="0.3">
      <c r="A520">
        <v>0.46957611558880707</v>
      </c>
      <c r="B520">
        <f t="shared" si="122"/>
        <v>179.08397472199599</v>
      </c>
      <c r="C520">
        <f t="shared" si="123"/>
        <v>179</v>
      </c>
      <c r="D520" cm="1">
        <f t="array" ref="D520">Losuj()</f>
        <v>0.94300079345703125</v>
      </c>
      <c r="E520">
        <f t="shared" si="124"/>
        <v>179.94300079345703</v>
      </c>
    </row>
    <row r="521" spans="1:5" x14ac:dyDescent="0.3">
      <c r="A521">
        <v>0.67215294357730349</v>
      </c>
      <c r="B521">
        <f t="shared" si="122"/>
        <v>185.35039084549001</v>
      </c>
      <c r="C521">
        <f t="shared" si="123"/>
        <v>185</v>
      </c>
      <c r="D521" cm="1">
        <f t="array" ref="D521">Losuj()</f>
        <v>0.29777491092681885</v>
      </c>
      <c r="E521">
        <f t="shared" si="124"/>
        <v>185.29777491092682</v>
      </c>
    </row>
    <row r="522" spans="1:5" x14ac:dyDescent="0.3">
      <c r="A522">
        <v>0.81124041986203099</v>
      </c>
      <c r="B522">
        <f t="shared" si="122"/>
        <v>190.5897184930345</v>
      </c>
      <c r="C522">
        <f t="shared" si="123"/>
        <v>191</v>
      </c>
      <c r="D522" cm="1">
        <f t="array" ref="D522">Losuj()</f>
        <v>0.98414266109466553</v>
      </c>
      <c r="E522">
        <f t="shared" si="124"/>
        <v>191.98414266109467</v>
      </c>
    </row>
    <row r="523" spans="1:5" x14ac:dyDescent="0.3">
      <c r="A523">
        <v>0.37836259284354323</v>
      </c>
      <c r="B523">
        <f t="shared" si="122"/>
        <v>176.28259146426569</v>
      </c>
      <c r="C523">
        <f t="shared" si="123"/>
        <v>176</v>
      </c>
      <c r="D523" cm="1">
        <f t="array" ref="D523">Losuj()</f>
        <v>0.38431721925735474</v>
      </c>
      <c r="E523">
        <f t="shared" si="124"/>
        <v>176.38431721925735</v>
      </c>
    </row>
    <row r="524" spans="1:5" x14ac:dyDescent="0.3">
      <c r="A524">
        <v>0.57135868032385784</v>
      </c>
      <c r="B524">
        <f t="shared" si="122"/>
        <v>182.15801184026097</v>
      </c>
      <c r="C524">
        <f t="shared" si="123"/>
        <v>182</v>
      </c>
      <c r="D524" cm="1">
        <f t="array" ref="D524">Losuj()</f>
        <v>0.82834190130233765</v>
      </c>
      <c r="E524">
        <f t="shared" si="124"/>
        <v>182.82834190130234</v>
      </c>
    </row>
    <row r="525" spans="1:5" x14ac:dyDescent="0.3">
      <c r="A525">
        <v>0.29659439006368915</v>
      </c>
      <c r="B525">
        <f t="shared" si="122"/>
        <v>173.58935040158869</v>
      </c>
      <c r="C525">
        <f t="shared" si="123"/>
        <v>174</v>
      </c>
      <c r="D525" cm="1">
        <f t="array" ref="D525">Losuj()</f>
        <v>0.50314325094223022</v>
      </c>
      <c r="E525">
        <f t="shared" si="124"/>
        <v>174.50314325094223</v>
      </c>
    </row>
    <row r="526" spans="1:5" x14ac:dyDescent="0.3">
      <c r="A526">
        <v>0.66363736861739986</v>
      </c>
      <c r="B526">
        <f t="shared" si="122"/>
        <v>185.06892850565302</v>
      </c>
      <c r="C526">
        <f t="shared" si="123"/>
        <v>185</v>
      </c>
      <c r="D526" cm="1">
        <f t="array" ref="D526">Losuj()</f>
        <v>0.45957547426223755</v>
      </c>
      <c r="E526">
        <f t="shared" si="124"/>
        <v>185.45957547426224</v>
      </c>
    </row>
    <row r="527" spans="1:5" x14ac:dyDescent="0.3">
      <c r="A527">
        <v>0.25026941788402257</v>
      </c>
      <c r="B527">
        <f t="shared" si="122"/>
        <v>171.91629395180263</v>
      </c>
      <c r="C527">
        <f t="shared" si="123"/>
        <v>172</v>
      </c>
      <c r="D527" cm="1">
        <f t="array" ref="D527">Losuj()</f>
        <v>0.46873599290847778</v>
      </c>
      <c r="E527">
        <f t="shared" si="124"/>
        <v>172.46873599290848</v>
      </c>
    </row>
    <row r="528" spans="1:5" x14ac:dyDescent="0.3">
      <c r="A528">
        <v>0.69461113271439223</v>
      </c>
      <c r="B528">
        <f t="shared" si="122"/>
        <v>186.10756326890166</v>
      </c>
      <c r="C528">
        <f t="shared" si="123"/>
        <v>186</v>
      </c>
      <c r="D528" cm="1">
        <f t="array" ref="D528">Losuj()</f>
        <v>0.70083397626876831</v>
      </c>
      <c r="E528">
        <f t="shared" si="124"/>
        <v>186.70083397626877</v>
      </c>
    </row>
    <row r="529" spans="1:5" x14ac:dyDescent="0.3">
      <c r="A529">
        <v>0.64013682517544501</v>
      </c>
      <c r="B529">
        <f t="shared" si="122"/>
        <v>184.30589453850524</v>
      </c>
      <c r="C529">
        <f t="shared" si="123"/>
        <v>184</v>
      </c>
      <c r="D529" cm="1">
        <f t="array" ref="D529">Losuj()</f>
        <v>0.45123946666717529</v>
      </c>
      <c r="E529">
        <f t="shared" si="124"/>
        <v>184.45123946666718</v>
      </c>
    </row>
    <row r="530" spans="1:5" x14ac:dyDescent="0.3">
      <c r="A530">
        <v>0.77542431693650293</v>
      </c>
      <c r="B530">
        <f t="shared" si="122"/>
        <v>189.08196702943147</v>
      </c>
      <c r="C530">
        <f t="shared" si="123"/>
        <v>189</v>
      </c>
      <c r="D530" cm="1">
        <f t="array" ref="D530">Losuj()</f>
        <v>0.73898321390151978</v>
      </c>
      <c r="E530">
        <f t="shared" si="124"/>
        <v>189.73898321390152</v>
      </c>
    </row>
    <row r="531" spans="1:5" x14ac:dyDescent="0.3">
      <c r="A531">
        <v>0.66390735013902091</v>
      </c>
      <c r="B531">
        <f t="shared" si="122"/>
        <v>185.07780862686553</v>
      </c>
      <c r="C531">
        <f t="shared" si="123"/>
        <v>185</v>
      </c>
      <c r="D531" cm="1">
        <f t="array" ref="D531">Losuj()</f>
        <v>0.82257860898971558</v>
      </c>
      <c r="E531">
        <f t="shared" si="124"/>
        <v>185.82257860898972</v>
      </c>
    </row>
    <row r="532" spans="1:5" x14ac:dyDescent="0.3">
      <c r="A532">
        <v>5.2013152188639888E-2</v>
      </c>
      <c r="B532">
        <f t="shared" si="122"/>
        <v>160.49232245989666</v>
      </c>
      <c r="C532">
        <f t="shared" si="123"/>
        <v>160</v>
      </c>
      <c r="D532" cm="1">
        <f t="array" ref="D532">Losuj()</f>
        <v>0.37660986185073853</v>
      </c>
      <c r="E532">
        <f t="shared" si="124"/>
        <v>160.37660986185074</v>
      </c>
    </row>
    <row r="533" spans="1:5" x14ac:dyDescent="0.3">
      <c r="A533">
        <v>0.46533009308262685</v>
      </c>
      <c r="B533">
        <f t="shared" si="122"/>
        <v>178.95582901444396</v>
      </c>
      <c r="C533">
        <f t="shared" si="123"/>
        <v>179</v>
      </c>
      <c r="D533" cm="1">
        <f t="array" ref="D533">Losuj()</f>
        <v>0.47371989488601685</v>
      </c>
      <c r="E533">
        <f t="shared" si="124"/>
        <v>179.47371989488602</v>
      </c>
    </row>
    <row r="534" spans="1:5" x14ac:dyDescent="0.3">
      <c r="A534">
        <v>0.55451564365532524</v>
      </c>
      <c r="B534">
        <f t="shared" si="122"/>
        <v>181.64494251400194</v>
      </c>
      <c r="C534">
        <f t="shared" si="123"/>
        <v>182</v>
      </c>
      <c r="D534" cm="1">
        <f t="array" ref="D534">Losuj()</f>
        <v>0.69257724285125732</v>
      </c>
      <c r="E534">
        <f t="shared" si="124"/>
        <v>182.69257724285126</v>
      </c>
    </row>
    <row r="535" spans="1:5" x14ac:dyDescent="0.3">
      <c r="A535">
        <v>0.19655783412034122</v>
      </c>
      <c r="B535">
        <f t="shared" si="122"/>
        <v>169.75223127638256</v>
      </c>
      <c r="C535">
        <f t="shared" si="123"/>
        <v>170</v>
      </c>
      <c r="D535" cm="1">
        <f t="array" ref="D535">Losuj()</f>
        <v>0.85396671295166016</v>
      </c>
      <c r="E535">
        <f t="shared" si="124"/>
        <v>170.85396671295166</v>
      </c>
    </row>
    <row r="536" spans="1:5" x14ac:dyDescent="0.3">
      <c r="A536">
        <v>0.11173694784590338</v>
      </c>
      <c r="B536">
        <f t="shared" si="122"/>
        <v>165.39188890281019</v>
      </c>
      <c r="C536">
        <f t="shared" si="123"/>
        <v>165</v>
      </c>
      <c r="D536" cm="1">
        <f t="array" ref="D536">Losuj()</f>
        <v>0.41040217876434326</v>
      </c>
      <c r="E536">
        <f t="shared" si="124"/>
        <v>165.41040217876434</v>
      </c>
    </row>
    <row r="537" spans="1:5" x14ac:dyDescent="0.3">
      <c r="A537">
        <v>0.60909059937116716</v>
      </c>
      <c r="B537">
        <f t="shared" si="122"/>
        <v>183.3233952780169</v>
      </c>
      <c r="C537">
        <f t="shared" si="123"/>
        <v>183</v>
      </c>
      <c r="D537" cm="1">
        <f t="array" ref="D537">Losuj()</f>
        <v>0.5228043794631958</v>
      </c>
      <c r="E537">
        <f t="shared" si="124"/>
        <v>183.5228043794632</v>
      </c>
    </row>
    <row r="538" spans="1:5" x14ac:dyDescent="0.3">
      <c r="A538">
        <v>0.57586735563222557</v>
      </c>
      <c r="B538">
        <f t="shared" si="122"/>
        <v>182.29598711044963</v>
      </c>
      <c r="C538">
        <f t="shared" si="123"/>
        <v>182</v>
      </c>
      <c r="D538" cm="1">
        <f t="array" ref="D538">Losuj()</f>
        <v>5.4616212844848633E-2</v>
      </c>
      <c r="E538">
        <f t="shared" si="124"/>
        <v>182.05461621284485</v>
      </c>
    </row>
    <row r="539" spans="1:5" x14ac:dyDescent="0.3">
      <c r="A539">
        <v>0.4066784218698698</v>
      </c>
      <c r="B539">
        <f t="shared" si="122"/>
        <v>177.16682736983304</v>
      </c>
      <c r="C539">
        <f t="shared" si="123"/>
        <v>177</v>
      </c>
      <c r="D539" cm="1">
        <f t="array" ref="D539">Losuj()</f>
        <v>0.9571298360824585</v>
      </c>
      <c r="E539">
        <f t="shared" si="124"/>
        <v>177.95712983608246</v>
      </c>
    </row>
    <row r="540" spans="1:5" x14ac:dyDescent="0.3">
      <c r="A540">
        <v>0.70518745050963227</v>
      </c>
      <c r="B540">
        <f t="shared" si="122"/>
        <v>186.47255268257078</v>
      </c>
      <c r="C540">
        <f t="shared" si="123"/>
        <v>186</v>
      </c>
      <c r="D540" cm="1">
        <f t="array" ref="D540">Losuj()</f>
        <v>0.14584922790527344</v>
      </c>
      <c r="E540">
        <f t="shared" si="124"/>
        <v>186.14584922790527</v>
      </c>
    </row>
    <row r="541" spans="1:5" x14ac:dyDescent="0.3">
      <c r="A541">
        <v>0.30526500971072823</v>
      </c>
      <c r="B541">
        <f t="shared" si="122"/>
        <v>173.88819558238072</v>
      </c>
      <c r="C541">
        <f t="shared" si="123"/>
        <v>174</v>
      </c>
      <c r="D541" cm="1">
        <f t="array" ref="D541">Losuj()</f>
        <v>0.88165009021759033</v>
      </c>
      <c r="E541">
        <f t="shared" si="124"/>
        <v>174.88165009021759</v>
      </c>
    </row>
    <row r="542" spans="1:5" x14ac:dyDescent="0.3">
      <c r="A542">
        <v>0.77466011067371665</v>
      </c>
      <c r="B542">
        <f t="shared" si="122"/>
        <v>189.05138659252242</v>
      </c>
      <c r="C542">
        <f t="shared" si="123"/>
        <v>189</v>
      </c>
      <c r="D542" cm="1">
        <f t="array" ref="D542">Losuj()</f>
        <v>0.20967447757720947</v>
      </c>
      <c r="E542">
        <f t="shared" si="124"/>
        <v>189.20967447757721</v>
      </c>
    </row>
    <row r="543" spans="1:5" x14ac:dyDescent="0.3">
      <c r="A543">
        <v>0.65216969869727714</v>
      </c>
      <c r="B543">
        <f t="shared" si="122"/>
        <v>184.69421825248307</v>
      </c>
      <c r="C543">
        <f t="shared" si="123"/>
        <v>185</v>
      </c>
      <c r="D543" cm="1">
        <f t="array" ref="D543">Losuj()</f>
        <v>0.86800408363342285</v>
      </c>
      <c r="E543">
        <f t="shared" si="124"/>
        <v>185.86800408363342</v>
      </c>
    </row>
    <row r="544" spans="1:5" x14ac:dyDescent="0.3">
      <c r="A544">
        <v>0.7549754169121633</v>
      </c>
      <c r="B544">
        <f t="shared" si="122"/>
        <v>188.2827675212101</v>
      </c>
      <c r="C544">
        <f t="shared" si="123"/>
        <v>188</v>
      </c>
      <c r="D544" cm="1">
        <f t="array" ref="D544">Losuj()</f>
        <v>0.54564034938812256</v>
      </c>
      <c r="E544">
        <f t="shared" si="124"/>
        <v>188.54564034938812</v>
      </c>
    </row>
    <row r="545" spans="1:5" x14ac:dyDescent="0.3">
      <c r="A545">
        <v>0.71468430922574022</v>
      </c>
      <c r="B545">
        <f t="shared" si="122"/>
        <v>186.80546250489812</v>
      </c>
      <c r="C545">
        <f t="shared" si="123"/>
        <v>187</v>
      </c>
      <c r="D545" cm="1">
        <f t="array" ref="D545">Losuj()</f>
        <v>0.54431134462356567</v>
      </c>
      <c r="E545">
        <f t="shared" si="124"/>
        <v>187.54431134462357</v>
      </c>
    </row>
    <row r="546" spans="1:5" x14ac:dyDescent="0.3">
      <c r="A546">
        <v>0.64384508215606184</v>
      </c>
      <c r="B546">
        <f t="shared" si="122"/>
        <v>184.42506826593203</v>
      </c>
      <c r="C546">
        <f t="shared" si="123"/>
        <v>184</v>
      </c>
      <c r="D546" cm="1">
        <f t="array" ref="D546">Losuj()</f>
        <v>5.3108811378479004E-2</v>
      </c>
      <c r="E546">
        <f t="shared" si="124"/>
        <v>184.05310881137848</v>
      </c>
    </row>
    <row r="547" spans="1:5" x14ac:dyDescent="0.3">
      <c r="A547">
        <v>0.8626348749573105</v>
      </c>
      <c r="B547">
        <f t="shared" si="122"/>
        <v>193.1068083152924</v>
      </c>
      <c r="C547">
        <f t="shared" si="123"/>
        <v>193</v>
      </c>
      <c r="D547" cm="1">
        <f t="array" ref="D547">Losuj()</f>
        <v>0.13850617408752441</v>
      </c>
      <c r="E547">
        <f t="shared" si="124"/>
        <v>193.13850617408752</v>
      </c>
    </row>
    <row r="548" spans="1:5" x14ac:dyDescent="0.3">
      <c r="A548">
        <v>0.40314923720725115</v>
      </c>
      <c r="B548">
        <f t="shared" si="122"/>
        <v>177.05755192325688</v>
      </c>
      <c r="C548">
        <f t="shared" si="123"/>
        <v>177</v>
      </c>
      <c r="D548" cm="1">
        <f t="array" ref="D548">Losuj()</f>
        <v>0.56460326910018921</v>
      </c>
      <c r="E548">
        <f t="shared" si="124"/>
        <v>177.56460326910019</v>
      </c>
    </row>
    <row r="549" spans="1:5" x14ac:dyDescent="0.3">
      <c r="A549">
        <v>0.83266357117850676</v>
      </c>
      <c r="B549">
        <f t="shared" si="122"/>
        <v>191.57693263041838</v>
      </c>
      <c r="C549">
        <f t="shared" si="123"/>
        <v>192</v>
      </c>
      <c r="D549" cm="1">
        <f t="array" ref="D549">Losuj()</f>
        <v>0.81932801008224487</v>
      </c>
      <c r="E549">
        <f t="shared" si="124"/>
        <v>192.81932801008224</v>
      </c>
    </row>
    <row r="550" spans="1:5" x14ac:dyDescent="0.3">
      <c r="A550">
        <v>0.73013177538212914</v>
      </c>
      <c r="B550">
        <f t="shared" si="122"/>
        <v>187.35853895340782</v>
      </c>
      <c r="C550">
        <f t="shared" si="123"/>
        <v>187</v>
      </c>
      <c r="D550" cm="1">
        <f t="array" ref="D550">Losuj()</f>
        <v>0.75526046752929688</v>
      </c>
      <c r="E550">
        <f t="shared" si="124"/>
        <v>187.7552604675293</v>
      </c>
    </row>
    <row r="551" spans="1:5" x14ac:dyDescent="0.3">
      <c r="A551">
        <v>0.3430505787723831</v>
      </c>
      <c r="B551">
        <f t="shared" si="122"/>
        <v>175.15017941375672</v>
      </c>
      <c r="C551">
        <f t="shared" si="123"/>
        <v>175</v>
      </c>
      <c r="D551" cm="1">
        <f t="array" ref="D551">Losuj()</f>
        <v>0.50581580400466919</v>
      </c>
      <c r="E551">
        <f t="shared" si="124"/>
        <v>175.50581580400467</v>
      </c>
    </row>
    <row r="552" spans="1:5" x14ac:dyDescent="0.3">
      <c r="A552">
        <v>0.38043954104005473</v>
      </c>
      <c r="B552">
        <f t="shared" si="122"/>
        <v>176.34808080519394</v>
      </c>
      <c r="C552">
        <f t="shared" si="123"/>
        <v>176</v>
      </c>
      <c r="D552" cm="1">
        <f t="array" ref="D552">Losuj()</f>
        <v>0.3749508261680603</v>
      </c>
      <c r="E552">
        <f t="shared" si="124"/>
        <v>176.37495082616806</v>
      </c>
    </row>
    <row r="553" spans="1:5" x14ac:dyDescent="0.3">
      <c r="A553">
        <v>0.65110695441284094</v>
      </c>
      <c r="B553">
        <f t="shared" si="122"/>
        <v>184.65972886534524</v>
      </c>
      <c r="C553">
        <f t="shared" si="123"/>
        <v>185</v>
      </c>
      <c r="D553" cm="1">
        <f t="array" ref="D553">Losuj()</f>
        <v>0.21017247438430786</v>
      </c>
      <c r="E553">
        <f t="shared" si="124"/>
        <v>185.21017247438431</v>
      </c>
    </row>
    <row r="554" spans="1:5" x14ac:dyDescent="0.3">
      <c r="A554">
        <v>0.20701514432887202</v>
      </c>
      <c r="B554">
        <f t="shared" si="122"/>
        <v>170.19813874613817</v>
      </c>
      <c r="C554">
        <f t="shared" si="123"/>
        <v>170</v>
      </c>
      <c r="D554" cm="1">
        <f t="array" ref="D554">Losuj()</f>
        <v>0.54567617177963257</v>
      </c>
      <c r="E554">
        <f t="shared" si="124"/>
        <v>170.54567617177963</v>
      </c>
    </row>
    <row r="555" spans="1:5" x14ac:dyDescent="0.3">
      <c r="A555">
        <v>0.65746354025655462</v>
      </c>
      <c r="B555">
        <f t="shared" si="122"/>
        <v>184.86660577692462</v>
      </c>
      <c r="C555">
        <f t="shared" si="123"/>
        <v>185</v>
      </c>
      <c r="D555" cm="1">
        <f t="array" ref="D555">Losuj()</f>
        <v>0.76012957096099854</v>
      </c>
      <c r="E555">
        <f t="shared" si="124"/>
        <v>185.760129570961</v>
      </c>
    </row>
    <row r="556" spans="1:5" x14ac:dyDescent="0.3">
      <c r="A556">
        <v>0.86290577224991794</v>
      </c>
      <c r="B556">
        <f t="shared" si="122"/>
        <v>193.12161370391411</v>
      </c>
      <c r="C556">
        <f t="shared" si="123"/>
        <v>193</v>
      </c>
      <c r="D556" cm="1">
        <f t="array" ref="D556">Losuj()</f>
        <v>0.84449058771133423</v>
      </c>
      <c r="E556">
        <f t="shared" si="124"/>
        <v>193.84449058771133</v>
      </c>
    </row>
    <row r="557" spans="1:5" x14ac:dyDescent="0.3">
      <c r="A557">
        <v>0.33091143585938665</v>
      </c>
      <c r="B557">
        <f t="shared" si="122"/>
        <v>174.75122627380804</v>
      </c>
      <c r="C557">
        <f t="shared" si="123"/>
        <v>175</v>
      </c>
      <c r="D557" cm="1">
        <f t="array" ref="D557">Losuj()</f>
        <v>0.10397225618362427</v>
      </c>
      <c r="E557">
        <f t="shared" si="124"/>
        <v>175.10397225618362</v>
      </c>
    </row>
    <row r="558" spans="1:5" x14ac:dyDescent="0.3">
      <c r="A558">
        <v>0.85644973663673418</v>
      </c>
      <c r="B558">
        <f t="shared" si="122"/>
        <v>192.77404578959843</v>
      </c>
      <c r="C558">
        <f t="shared" si="123"/>
        <v>193</v>
      </c>
      <c r="D558" cm="1">
        <f t="array" ref="D558">Losuj()</f>
        <v>0.45870339870452881</v>
      </c>
      <c r="E558">
        <f t="shared" si="124"/>
        <v>193.45870339870453</v>
      </c>
    </row>
    <row r="559" spans="1:5" x14ac:dyDescent="0.3">
      <c r="A559">
        <v>0.50982718938333804</v>
      </c>
      <c r="B559">
        <f t="shared" si="122"/>
        <v>180.29562722982942</v>
      </c>
      <c r="C559">
        <f t="shared" si="123"/>
        <v>180</v>
      </c>
      <c r="D559" cm="1">
        <f t="array" ref="D559">Losuj()</f>
        <v>0.29799610376358032</v>
      </c>
      <c r="E559">
        <f t="shared" si="124"/>
        <v>180.29799610376358</v>
      </c>
    </row>
    <row r="560" spans="1:5" x14ac:dyDescent="0.3">
      <c r="A560">
        <v>0.25296317438549121</v>
      </c>
      <c r="B560">
        <f t="shared" si="122"/>
        <v>172.01767070790038</v>
      </c>
      <c r="C560">
        <f t="shared" si="123"/>
        <v>172</v>
      </c>
      <c r="D560" cm="1">
        <f t="array" ref="D560">Losuj()</f>
        <v>0.2646363377571106</v>
      </c>
      <c r="E560">
        <f t="shared" si="124"/>
        <v>172.26463633775711</v>
      </c>
    </row>
    <row r="561" spans="1:5" x14ac:dyDescent="0.3">
      <c r="A561">
        <v>0.10776017405868066</v>
      </c>
      <c r="B561">
        <f t="shared" si="122"/>
        <v>165.13766405232411</v>
      </c>
      <c r="C561">
        <f t="shared" si="123"/>
        <v>165</v>
      </c>
      <c r="D561" cm="1">
        <f t="array" ref="D561">Losuj()</f>
        <v>0.46994870901107788</v>
      </c>
      <c r="E561">
        <f t="shared" si="124"/>
        <v>165.46994870901108</v>
      </c>
    </row>
    <row r="562" spans="1:5" x14ac:dyDescent="0.3">
      <c r="A562">
        <v>0.63501938442596528</v>
      </c>
      <c r="B562">
        <f t="shared" si="122"/>
        <v>184.14212523812932</v>
      </c>
      <c r="C562">
        <f t="shared" si="123"/>
        <v>184</v>
      </c>
      <c r="D562" cm="1">
        <f t="array" ref="D562">Losuj()</f>
        <v>0.40738064050674438</v>
      </c>
      <c r="E562">
        <f t="shared" si="124"/>
        <v>184.40738064050674</v>
      </c>
    </row>
    <row r="563" spans="1:5" x14ac:dyDescent="0.3">
      <c r="A563">
        <v>0.31813966945584871</v>
      </c>
      <c r="B563">
        <f t="shared" si="122"/>
        <v>174.32511277546232</v>
      </c>
      <c r="C563">
        <f t="shared" si="123"/>
        <v>174</v>
      </c>
      <c r="D563" cm="1">
        <f t="array" ref="D563">Losuj()</f>
        <v>0.91410261392593384</v>
      </c>
      <c r="E563">
        <f t="shared" si="124"/>
        <v>174.91410261392593</v>
      </c>
    </row>
    <row r="564" spans="1:5" x14ac:dyDescent="0.3">
      <c r="A564">
        <v>0.17499700545785712</v>
      </c>
      <c r="B564">
        <f t="shared" si="122"/>
        <v>168.78478910390771</v>
      </c>
      <c r="C564">
        <f t="shared" si="123"/>
        <v>169</v>
      </c>
      <c r="D564" cm="1">
        <f t="array" ref="D564">Losuj()</f>
        <v>0.32934987545013428</v>
      </c>
      <c r="E564">
        <f t="shared" si="124"/>
        <v>169.32934987545013</v>
      </c>
    </row>
    <row r="565" spans="1:5" x14ac:dyDescent="0.3">
      <c r="A565">
        <v>0.69505003443012836</v>
      </c>
      <c r="B565">
        <f t="shared" si="122"/>
        <v>186.1225956470694</v>
      </c>
      <c r="C565">
        <f t="shared" si="123"/>
        <v>186</v>
      </c>
      <c r="D565" cm="1">
        <f t="array" ref="D565">Losuj()</f>
        <v>0.21309196949005127</v>
      </c>
      <c r="E565">
        <f t="shared" si="124"/>
        <v>186.21309196949005</v>
      </c>
    </row>
    <row r="566" spans="1:5" x14ac:dyDescent="0.3">
      <c r="A566">
        <v>0.29057613292400908</v>
      </c>
      <c r="B566">
        <f t="shared" si="122"/>
        <v>173.37957120816722</v>
      </c>
      <c r="C566">
        <f t="shared" si="123"/>
        <v>173</v>
      </c>
      <c r="D566" cm="1">
        <f t="array" ref="D566">Losuj()</f>
        <v>4.2226254940032959E-2</v>
      </c>
      <c r="E566">
        <f t="shared" si="124"/>
        <v>173.04222625494003</v>
      </c>
    </row>
    <row r="567" spans="1:5" x14ac:dyDescent="0.3">
      <c r="A567">
        <v>0.91140377219125213</v>
      </c>
      <c r="B567">
        <f t="shared" si="122"/>
        <v>196.19340053910361</v>
      </c>
      <c r="C567">
        <f t="shared" si="123"/>
        <v>196</v>
      </c>
      <c r="D567" cm="1">
        <f t="array" ref="D567">Losuj()</f>
        <v>0.61265665292739868</v>
      </c>
      <c r="E567">
        <f t="shared" si="124"/>
        <v>196.6126566529274</v>
      </c>
    </row>
    <row r="568" spans="1:5" x14ac:dyDescent="0.3">
      <c r="A568">
        <v>0.44814764350770686</v>
      </c>
      <c r="B568">
        <f t="shared" si="122"/>
        <v>178.43588742597839</v>
      </c>
      <c r="C568">
        <f t="shared" si="123"/>
        <v>178</v>
      </c>
      <c r="D568" cm="1">
        <f t="array" ref="D568">Losuj()</f>
        <v>0.36728018522262573</v>
      </c>
      <c r="E568">
        <f t="shared" si="124"/>
        <v>178.36728018522263</v>
      </c>
    </row>
    <row r="569" spans="1:5" x14ac:dyDescent="0.3">
      <c r="A569">
        <v>4.1512845063988113E-2</v>
      </c>
      <c r="B569">
        <f t="shared" si="122"/>
        <v>159.19927381223016</v>
      </c>
      <c r="C569">
        <f t="shared" si="123"/>
        <v>159</v>
      </c>
      <c r="D569" cm="1">
        <f t="array" ref="D569">Losuj()</f>
        <v>0.6509283185005188</v>
      </c>
      <c r="E569">
        <f t="shared" si="124"/>
        <v>159.65092831850052</v>
      </c>
    </row>
    <row r="570" spans="1:5" x14ac:dyDescent="0.3">
      <c r="A570">
        <v>0.30618928544930513</v>
      </c>
      <c r="B570">
        <f t="shared" si="122"/>
        <v>173.91982640671813</v>
      </c>
      <c r="C570">
        <f t="shared" si="123"/>
        <v>174</v>
      </c>
      <c r="D570" cm="1">
        <f t="array" ref="D570">Losuj()</f>
        <v>8.8129401206970215E-2</v>
      </c>
      <c r="E570">
        <f t="shared" si="124"/>
        <v>174.08812940120697</v>
      </c>
    </row>
    <row r="571" spans="1:5" x14ac:dyDescent="0.3">
      <c r="A571">
        <v>0.57544741818368128</v>
      </c>
      <c r="B571">
        <f t="shared" si="122"/>
        <v>182.28312356562469</v>
      </c>
      <c r="C571">
        <f t="shared" si="123"/>
        <v>182</v>
      </c>
      <c r="D571" cm="1">
        <f t="array" ref="D571">Losuj()</f>
        <v>0.31291145086288452</v>
      </c>
      <c r="E571">
        <f t="shared" si="124"/>
        <v>182.31291145086288</v>
      </c>
    </row>
    <row r="572" spans="1:5" x14ac:dyDescent="0.3">
      <c r="A572">
        <v>0.95104287202550819</v>
      </c>
      <c r="B572">
        <f t="shared" si="122"/>
        <v>199.86060591830858</v>
      </c>
      <c r="C572">
        <f t="shared" si="123"/>
        <v>200</v>
      </c>
      <c r="D572" cm="1">
        <f t="array" ref="D572">Losuj()</f>
        <v>0.94298857450485229</v>
      </c>
      <c r="E572">
        <f t="shared" si="124"/>
        <v>200.94298857450485</v>
      </c>
    </row>
    <row r="573" spans="1:5" x14ac:dyDescent="0.3">
      <c r="A573">
        <v>0.12489082878661284</v>
      </c>
      <c r="B573">
        <f t="shared" si="122"/>
        <v>166.18944148006298</v>
      </c>
      <c r="C573">
        <f t="shared" si="123"/>
        <v>166</v>
      </c>
      <c r="D573" cm="1">
        <f t="array" ref="D573">Losuj()</f>
        <v>0.42302399873733521</v>
      </c>
      <c r="E573">
        <f t="shared" si="124"/>
        <v>166.42302399873734</v>
      </c>
    </row>
    <row r="574" spans="1:5" x14ac:dyDescent="0.3">
      <c r="A574">
        <v>0.26221258927277113</v>
      </c>
      <c r="B574">
        <f t="shared" si="122"/>
        <v>172.36153216237977</v>
      </c>
      <c r="C574">
        <f t="shared" si="123"/>
        <v>172</v>
      </c>
      <c r="D574" cm="1">
        <f t="array" ref="D574">Losuj()</f>
        <v>0.31403928995132446</v>
      </c>
      <c r="E574">
        <f t="shared" si="124"/>
        <v>172.31403928995132</v>
      </c>
    </row>
    <row r="575" spans="1:5" x14ac:dyDescent="0.3">
      <c r="A575">
        <v>0.61234093967517467</v>
      </c>
      <c r="B575">
        <f t="shared" si="122"/>
        <v>183.4251068283566</v>
      </c>
      <c r="C575">
        <f t="shared" si="123"/>
        <v>183</v>
      </c>
      <c r="D575" cm="1">
        <f t="array" ref="D575">Losuj()</f>
        <v>0.27841097116470337</v>
      </c>
      <c r="E575">
        <f t="shared" si="124"/>
        <v>183.2784109711647</v>
      </c>
    </row>
    <row r="576" spans="1:5" x14ac:dyDescent="0.3">
      <c r="A576">
        <v>0.30708152538454525</v>
      </c>
      <c r="B576">
        <f t="shared" si="122"/>
        <v>173.95032086856918</v>
      </c>
      <c r="C576">
        <f t="shared" si="123"/>
        <v>174</v>
      </c>
      <c r="D576" cm="1">
        <f t="array" ref="D576">Losuj()</f>
        <v>0.10943800210952759</v>
      </c>
      <c r="E576">
        <f t="shared" si="124"/>
        <v>174.10943800210953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C4A09-3D30-40DC-91ED-3B7DDB9FC5C8}">
  <sheetPr codeName="Arkusz5"/>
  <dimension ref="A1:P83"/>
  <sheetViews>
    <sheetView workbookViewId="0">
      <selection activeCell="D19" sqref="D19"/>
    </sheetView>
  </sheetViews>
  <sheetFormatPr defaultRowHeight="14.4" x14ac:dyDescent="0.3"/>
  <cols>
    <col min="4" max="4" width="9.88671875" bestFit="1" customWidth="1"/>
    <col min="5" max="5" width="12.109375" customWidth="1"/>
    <col min="6" max="6" width="10.33203125" customWidth="1"/>
    <col min="7" max="7" width="10.6640625" customWidth="1"/>
    <col min="13" max="13" width="18.5546875" bestFit="1" customWidth="1"/>
    <col min="14" max="14" width="9.109375" bestFit="1" customWidth="1"/>
  </cols>
  <sheetData>
    <row r="1" spans="1:16" x14ac:dyDescent="0.3">
      <c r="B1" t="s">
        <v>75</v>
      </c>
      <c r="D1">
        <f>AVERAGE(B:B)</f>
        <v>178.85</v>
      </c>
      <c r="E1" t="s">
        <v>74</v>
      </c>
      <c r="F1" t="s">
        <v>73</v>
      </c>
      <c r="H1" t="s">
        <v>35</v>
      </c>
      <c r="I1" t="s">
        <v>72</v>
      </c>
      <c r="K1" t="s">
        <v>71</v>
      </c>
      <c r="L1" t="s">
        <v>70</v>
      </c>
      <c r="M1" t="s">
        <v>69</v>
      </c>
      <c r="N1" t="s">
        <v>68</v>
      </c>
      <c r="P1" t="s">
        <v>67</v>
      </c>
    </row>
    <row r="2" spans="1:16" x14ac:dyDescent="0.3">
      <c r="A2">
        <v>1</v>
      </c>
      <c r="B2">
        <f>[1]Arkusz1!C2</f>
        <v>184</v>
      </c>
      <c r="D2">
        <f>_xlfn.STDEV.S(B:B)</f>
        <v>15.580313021443244</v>
      </c>
      <c r="E2" t="s">
        <v>66</v>
      </c>
      <c r="F2">
        <v>0</v>
      </c>
      <c r="G2">
        <f>145</f>
        <v>145</v>
      </c>
      <c r="H2">
        <f>COUNTIF(B:B,"&lt;="&amp;G2)/$D$7</f>
        <v>0</v>
      </c>
      <c r="I2">
        <f>_xlfn.NORM.DIST(G2,[1]!_mi,[1]!_sigma,TRUE)</f>
        <v>3.7720179813400243E-2</v>
      </c>
      <c r="K2">
        <f>_xlfn.RANK.AVG(G2, G:G, 1)</f>
        <v>1</v>
      </c>
      <c r="L2">
        <f>(K2 - 0.5)/COUNT($G$2:$G$83)</f>
        <v>6.0975609756097563E-3</v>
      </c>
      <c r="M2">
        <f>_xlfn.NORM.S.INV(L2)</f>
        <v>-2.5064473464808872</v>
      </c>
      <c r="N2">
        <f>STANDARDIZE(G2,_mi,_sigma)</f>
        <v>-1.7777777777777777</v>
      </c>
      <c r="P2">
        <f>ABS(H2-I2)</f>
        <v>3.7720179813400243E-2</v>
      </c>
    </row>
    <row r="3" spans="1:16" x14ac:dyDescent="0.3">
      <c r="A3">
        <v>2</v>
      </c>
      <c r="B3">
        <f>[1]Arkusz1!C3</f>
        <v>180</v>
      </c>
      <c r="F3">
        <v>1</v>
      </c>
      <c r="G3">
        <f>SMALL(B:B,(F3+1)/2)</f>
        <v>149</v>
      </c>
      <c r="H3">
        <f>COUNTIF(B:B,"&lt;"&amp;G3)/$D$7</f>
        <v>0</v>
      </c>
      <c r="I3">
        <f>_xlfn.NORM.DIST(G3,[1]!_mi,[1]!_sigma,TRUE)</f>
        <v>5.9906907102771828E-2</v>
      </c>
      <c r="K3">
        <f>_xlfn.RANK.AVG(G3, G:G, 1)</f>
        <v>2.5</v>
      </c>
      <c r="L3">
        <f>(K3 - 0.5)/COUNT($G$2:$G$83)</f>
        <v>2.4390243902439025E-2</v>
      </c>
      <c r="M3">
        <f>_xlfn.NORM.S.INV(L3)</f>
        <v>-1.9705053031703286</v>
      </c>
      <c r="N3">
        <f>STANDARDIZE(G3,_mi,_sigma)</f>
        <v>-1.5555555555555556</v>
      </c>
      <c r="P3">
        <f>ABS(H3-I3)</f>
        <v>5.9906907102771828E-2</v>
      </c>
    </row>
    <row r="4" spans="1:16" x14ac:dyDescent="0.3">
      <c r="A4">
        <v>3</v>
      </c>
      <c r="B4">
        <f>[1]Arkusz1!C4</f>
        <v>202</v>
      </c>
      <c r="D4">
        <f>MIN(B:B)</f>
        <v>149</v>
      </c>
      <c r="E4" t="s">
        <v>11</v>
      </c>
      <c r="F4">
        <v>2</v>
      </c>
      <c r="G4">
        <f>SMALL(B:B,(F4+1)/2)</f>
        <v>149</v>
      </c>
      <c r="H4">
        <f>COUNTIF(B:B,"&lt;="&amp;G4)/$D$7</f>
        <v>2.5000000000000001E-2</v>
      </c>
      <c r="I4">
        <f>_xlfn.NORM.DIST(G4,[1]!_mi,[1]!_sigma,TRUE)</f>
        <v>5.9906907102771828E-2</v>
      </c>
      <c r="K4">
        <f>_xlfn.RANK.AVG(G4, G:G, 1)</f>
        <v>2.5</v>
      </c>
      <c r="L4">
        <f>(K4 - 0.5)/COUNT($G$2:$G$83)</f>
        <v>2.4390243902439025E-2</v>
      </c>
      <c r="M4">
        <f>_xlfn.NORM.S.INV(L4)</f>
        <v>-1.9705053031703286</v>
      </c>
      <c r="N4">
        <f>STANDARDIZE(G4,_mi,_sigma)</f>
        <v>-1.5555555555555556</v>
      </c>
      <c r="P4">
        <f>ABS(H4-I4)</f>
        <v>3.4906907102771827E-2</v>
      </c>
    </row>
    <row r="5" spans="1:16" x14ac:dyDescent="0.3">
      <c r="A5">
        <v>4</v>
      </c>
      <c r="B5">
        <f>[1]Arkusz1!C5</f>
        <v>174</v>
      </c>
      <c r="D5">
        <f>MAX(B:B)</f>
        <v>214</v>
      </c>
      <c r="E5" t="s">
        <v>12</v>
      </c>
      <c r="F5">
        <v>3</v>
      </c>
      <c r="G5">
        <f>SMALL(B:B,(F5+1)/2)</f>
        <v>151</v>
      </c>
      <c r="H5">
        <f>COUNTIF(B:B,"&lt;"&amp;G5)/$D$7</f>
        <v>2.5000000000000001E-2</v>
      </c>
      <c r="I5">
        <f>_xlfn.NORM.DIST(G5,[1]!_mi,[1]!_sigma,TRUE)</f>
        <v>7.4306998227605878E-2</v>
      </c>
      <c r="K5">
        <f>_xlfn.RANK.AVG(G5, G:G, 1)</f>
        <v>4.5</v>
      </c>
      <c r="L5">
        <f>(K5 - 0.5)/COUNT($G$2:$G$83)</f>
        <v>4.878048780487805E-2</v>
      </c>
      <c r="M5">
        <f>_xlfn.NORM.S.INV(L5)</f>
        <v>-1.6567947658159807</v>
      </c>
      <c r="N5">
        <f>STANDARDIZE(G5,_mi,_sigma)</f>
        <v>-1.4444444444444444</v>
      </c>
      <c r="P5">
        <f>ABS(H5-I5)</f>
        <v>4.9306998227605876E-2</v>
      </c>
    </row>
    <row r="6" spans="1:16" x14ac:dyDescent="0.3">
      <c r="A6">
        <v>5</v>
      </c>
      <c r="B6">
        <f>[1]Arkusz1!C6</f>
        <v>203</v>
      </c>
      <c r="F6">
        <v>4</v>
      </c>
      <c r="G6">
        <f>SMALL(B:B,(F6+1)/2)</f>
        <v>151</v>
      </c>
      <c r="H6">
        <f>COUNTIF(B:B,"&lt;="&amp;G6)/$D$7</f>
        <v>0.05</v>
      </c>
      <c r="I6">
        <f>_xlfn.NORM.DIST(G6,[1]!_mi,[1]!_sigma,TRUE)</f>
        <v>7.4306998227605878E-2</v>
      </c>
      <c r="K6">
        <f>_xlfn.RANK.AVG(G6, G:G, 1)</f>
        <v>4.5</v>
      </c>
      <c r="L6">
        <f>(K6 - 0.5)/COUNT($G$2:$G$83)</f>
        <v>4.878048780487805E-2</v>
      </c>
      <c r="M6">
        <f>_xlfn.NORM.S.INV(L6)</f>
        <v>-1.6567947658159807</v>
      </c>
      <c r="N6">
        <f>STANDARDIZE(G6,_mi,_sigma)</f>
        <v>-1.4444444444444444</v>
      </c>
      <c r="P6">
        <f>ABS(H6-I6)</f>
        <v>2.4306998227605875E-2</v>
      </c>
    </row>
    <row r="7" spans="1:16" x14ac:dyDescent="0.3">
      <c r="A7">
        <v>6</v>
      </c>
      <c r="B7">
        <f>[1]Arkusz1!C7</f>
        <v>176</v>
      </c>
      <c r="D7">
        <f>COUNT(B:B)</f>
        <v>40</v>
      </c>
      <c r="E7" t="s">
        <v>6</v>
      </c>
      <c r="F7">
        <v>5</v>
      </c>
      <c r="G7">
        <f>SMALL(B:B,(F7+1)/2)</f>
        <v>152</v>
      </c>
      <c r="H7">
        <f>COUNTIF(B:B,"&lt;"&amp;G7)/$D$7</f>
        <v>0.05</v>
      </c>
      <c r="I7">
        <f>_xlfn.NORM.DIST(G7,[1]!_mi,[1]!_sigma,TRUE)</f>
        <v>8.2433269873954537E-2</v>
      </c>
      <c r="K7">
        <f>_xlfn.RANK.AVG(G7, G:G, 1)</f>
        <v>6.5</v>
      </c>
      <c r="L7">
        <f>(K7 - 0.5)/COUNT($G$2:$G$83)</f>
        <v>7.3170731707317069E-2</v>
      </c>
      <c r="M7">
        <f>_xlfn.NORM.S.INV(L7)</f>
        <v>-1.4525761808120043</v>
      </c>
      <c r="N7">
        <f>STANDARDIZE(G7,_mi,_sigma)</f>
        <v>-1.3888888888888888</v>
      </c>
      <c r="P7">
        <f>ABS(H7-I7)</f>
        <v>3.2433269873954534E-2</v>
      </c>
    </row>
    <row r="8" spans="1:16" x14ac:dyDescent="0.3">
      <c r="A8">
        <v>7</v>
      </c>
      <c r="B8">
        <f>[1]Arkusz1!C8</f>
        <v>151</v>
      </c>
      <c r="F8">
        <v>6</v>
      </c>
      <c r="G8">
        <f>SMALL(B:B,(F8+1)/2)</f>
        <v>152</v>
      </c>
      <c r="H8">
        <f>COUNTIF(B:B,"&lt;="&amp;G8)/$D$7</f>
        <v>7.4999999999999997E-2</v>
      </c>
      <c r="I8">
        <f>_xlfn.NORM.DIST(G8,[1]!_mi,[1]!_sigma,TRUE)</f>
        <v>8.2433269873954537E-2</v>
      </c>
      <c r="K8">
        <f>_xlfn.RANK.AVG(G8, G:G, 1)</f>
        <v>6.5</v>
      </c>
      <c r="L8">
        <f>(K8 - 0.5)/COUNT($G$2:$G$83)</f>
        <v>7.3170731707317069E-2</v>
      </c>
      <c r="M8">
        <f>_xlfn.NORM.S.INV(L8)</f>
        <v>-1.4525761808120043</v>
      </c>
      <c r="N8">
        <f>STANDARDIZE(G8,_mi,_sigma)</f>
        <v>-1.3888888888888888</v>
      </c>
      <c r="P8">
        <f>ABS(H8-I8)</f>
        <v>7.43326987395454E-3</v>
      </c>
    </row>
    <row r="9" spans="1:16" x14ac:dyDescent="0.3">
      <c r="A9">
        <v>8</v>
      </c>
      <c r="B9">
        <f>[1]Arkusz1!C9</f>
        <v>163</v>
      </c>
      <c r="F9">
        <v>7</v>
      </c>
      <c r="G9">
        <f>SMALL(B:B,(F9+1)/2)</f>
        <v>156</v>
      </c>
      <c r="H9">
        <f>COUNTIF(B:B,"&lt;"&amp;G9)/$D$7</f>
        <v>7.4999999999999997E-2</v>
      </c>
      <c r="I9">
        <f>_xlfn.NORM.DIST(G9,[1]!_mi,[1]!_sigma,TRUE)</f>
        <v>0.12167250457438125</v>
      </c>
      <c r="K9">
        <f>_xlfn.RANK.AVG(G9, G:G, 1)</f>
        <v>8.5</v>
      </c>
      <c r="L9">
        <f>(K9 - 0.5)/COUNT($G$2:$G$83)</f>
        <v>9.7560975609756101E-2</v>
      </c>
      <c r="M9">
        <f>_xlfn.NORM.S.INV(L9)</f>
        <v>-1.2955749870976874</v>
      </c>
      <c r="N9">
        <f>STANDARDIZE(G9,_mi,_sigma)</f>
        <v>-1.1666666666666667</v>
      </c>
      <c r="P9">
        <f>ABS(H9-I9)</f>
        <v>4.6672504574381254E-2</v>
      </c>
    </row>
    <row r="10" spans="1:16" x14ac:dyDescent="0.3">
      <c r="A10">
        <v>9</v>
      </c>
      <c r="B10">
        <f>[1]Arkusz1!C10</f>
        <v>167</v>
      </c>
      <c r="F10">
        <v>8</v>
      </c>
      <c r="G10">
        <f>SMALL(B:B,(F10+1)/2)</f>
        <v>156</v>
      </c>
      <c r="H10">
        <f>COUNTIF(B:B,"&lt;="&amp;G10)/$D$7</f>
        <v>0.1</v>
      </c>
      <c r="I10">
        <f>_xlfn.NORM.DIST(G10,[1]!_mi,[1]!_sigma,TRUE)</f>
        <v>0.12167250457438125</v>
      </c>
      <c r="K10">
        <f>_xlfn.RANK.AVG(G10, G:G, 1)</f>
        <v>8.5</v>
      </c>
      <c r="L10">
        <f>(K10 - 0.5)/COUNT($G$2:$G$83)</f>
        <v>9.7560975609756101E-2</v>
      </c>
      <c r="M10">
        <f>_xlfn.NORM.S.INV(L10)</f>
        <v>-1.2955749870976874</v>
      </c>
      <c r="N10">
        <f>STANDARDIZE(G10,_mi,_sigma)</f>
        <v>-1.1666666666666667</v>
      </c>
      <c r="P10">
        <f>ABS(H10-I10)</f>
        <v>2.1672504574381246E-2</v>
      </c>
    </row>
    <row r="11" spans="1:16" x14ac:dyDescent="0.3">
      <c r="A11">
        <v>10</v>
      </c>
      <c r="B11">
        <f>[1]Arkusz1!C11</f>
        <v>193</v>
      </c>
      <c r="D11" t="s">
        <v>65</v>
      </c>
      <c r="F11">
        <v>9</v>
      </c>
      <c r="G11">
        <f>SMALL(B:B,(F11+1)/2)</f>
        <v>161</v>
      </c>
      <c r="H11">
        <f>COUNTIF(B:B,"&lt;"&amp;G11)/$D$7</f>
        <v>0.1</v>
      </c>
      <c r="I11">
        <f>_xlfn.NORM.DIST(G11,[1]!_mi,[1]!_sigma,TRUE)</f>
        <v>0.18703139874544125</v>
      </c>
      <c r="K11">
        <f>_xlfn.RANK.AVG(G11, G:G, 1)</f>
        <v>10.5</v>
      </c>
      <c r="L11">
        <f>(K11 - 0.5)/COUNT($G$2:$G$83)</f>
        <v>0.12195121951219512</v>
      </c>
      <c r="M11">
        <f>_xlfn.NORM.S.INV(L11)</f>
        <v>-1.1652879896966826</v>
      </c>
      <c r="N11">
        <f>STANDARDIZE(G11,_mi,_sigma)</f>
        <v>-0.88888888888888884</v>
      </c>
      <c r="P11">
        <f>ABS(H11-I11)</f>
        <v>8.7031398745441246E-2</v>
      </c>
    </row>
    <row r="12" spans="1:16" x14ac:dyDescent="0.3">
      <c r="A12">
        <v>11</v>
      </c>
      <c r="B12">
        <f>[1]Arkusz1!C12</f>
        <v>195</v>
      </c>
      <c r="D12">
        <f>MAX(P:P)</f>
        <v>0.12836064328188518</v>
      </c>
      <c r="E12" t="s">
        <v>64</v>
      </c>
      <c r="F12">
        <v>10</v>
      </c>
      <c r="G12">
        <f>SMALL(B:B,(F12+1)/2)</f>
        <v>161</v>
      </c>
      <c r="H12">
        <f>COUNTIF(B:B,"&lt;="&amp;G12)/$D$7</f>
        <v>0.125</v>
      </c>
      <c r="I12">
        <f>_xlfn.NORM.DIST(G12,[1]!_mi,[1]!_sigma,TRUE)</f>
        <v>0.18703139874544125</v>
      </c>
      <c r="K12">
        <f>_xlfn.RANK.AVG(G12, G:G, 1)</f>
        <v>10.5</v>
      </c>
      <c r="L12">
        <f>(K12 - 0.5)/COUNT($G$2:$G$83)</f>
        <v>0.12195121951219512</v>
      </c>
      <c r="M12">
        <f>_xlfn.NORM.S.INV(L12)</f>
        <v>-1.1652879896966826</v>
      </c>
      <c r="N12">
        <f>STANDARDIZE(G12,_mi,_sigma)</f>
        <v>-0.88888888888888884</v>
      </c>
      <c r="P12">
        <f>ABS(H12-I12)</f>
        <v>6.2031398745441252E-2</v>
      </c>
    </row>
    <row r="13" spans="1:16" x14ac:dyDescent="0.3">
      <c r="A13">
        <v>12</v>
      </c>
      <c r="B13">
        <f>[1]Arkusz1!C13</f>
        <v>174</v>
      </c>
      <c r="D13">
        <f>SQRT(D7)*D12</f>
        <v>0.81182398939029576</v>
      </c>
      <c r="E13" t="s">
        <v>63</v>
      </c>
      <c r="F13">
        <v>11</v>
      </c>
      <c r="G13">
        <f>SMALL(B:B,(F13+1)/2)</f>
        <v>163</v>
      </c>
      <c r="H13">
        <f>COUNTIF(B:B,"&lt;"&amp;G13)/$D$7</f>
        <v>0.125</v>
      </c>
      <c r="I13">
        <f>_xlfn.NORM.DIST(G13,[1]!_mi,[1]!_sigma,TRUE)</f>
        <v>0.21835001536137882</v>
      </c>
      <c r="K13">
        <f>_xlfn.RANK.AVG(G13, G:G, 1)</f>
        <v>12.5</v>
      </c>
      <c r="L13">
        <f>(K13 - 0.5)/COUNT($G$2:$G$83)</f>
        <v>0.14634146341463414</v>
      </c>
      <c r="M13">
        <f>_xlfn.NORM.S.INV(L13)</f>
        <v>-1.0522542255562288</v>
      </c>
      <c r="N13">
        <f>STANDARDIZE(G13,_mi,_sigma)</f>
        <v>-0.77777777777777779</v>
      </c>
      <c r="P13">
        <f>ABS(H13-I13)</f>
        <v>9.3350015361378824E-2</v>
      </c>
    </row>
    <row r="14" spans="1:16" x14ac:dyDescent="0.3">
      <c r="A14">
        <v>13</v>
      </c>
      <c r="B14">
        <f>[1]Arkusz1!C14</f>
        <v>189</v>
      </c>
      <c r="D14">
        <f>0.05</f>
        <v>0.05</v>
      </c>
      <c r="E14" t="s">
        <v>54</v>
      </c>
      <c r="F14">
        <v>12</v>
      </c>
      <c r="G14">
        <f>SMALL(B:B,(F14+1)/2)</f>
        <v>163</v>
      </c>
      <c r="H14">
        <f>COUNTIF(B:B,"&lt;="&amp;G14)/$D$7</f>
        <v>0.15</v>
      </c>
      <c r="I14">
        <f>_xlfn.NORM.DIST(G14,[1]!_mi,[1]!_sigma,TRUE)</f>
        <v>0.21835001536137882</v>
      </c>
      <c r="K14">
        <f>_xlfn.RANK.AVG(G14, G:G, 1)</f>
        <v>12.5</v>
      </c>
      <c r="L14">
        <f>(K14 - 0.5)/COUNT($G$2:$G$83)</f>
        <v>0.14634146341463414</v>
      </c>
      <c r="M14">
        <f>_xlfn.NORM.S.INV(L14)</f>
        <v>-1.0522542255562288</v>
      </c>
      <c r="N14">
        <f>STANDARDIZE(G14,_mi,_sigma)</f>
        <v>-0.77777777777777779</v>
      </c>
      <c r="P14">
        <f>ABS(H14-I14)</f>
        <v>6.835001536137883E-2</v>
      </c>
    </row>
    <row r="15" spans="1:16" x14ac:dyDescent="0.3">
      <c r="A15">
        <v>14</v>
      </c>
      <c r="B15">
        <f>[1]Arkusz1!C15</f>
        <v>166</v>
      </c>
      <c r="D15">
        <f>1-SUM(D19:D23)</f>
        <v>0.52503011699130364</v>
      </c>
      <c r="E15" t="s">
        <v>62</v>
      </c>
      <c r="F15">
        <v>13</v>
      </c>
      <c r="G15">
        <f>SMALL(B:B,(F15+1)/2)</f>
        <v>166</v>
      </c>
      <c r="H15">
        <f>COUNTIF(B:B,"&lt;"&amp;G15)/$D$7</f>
        <v>0.15</v>
      </c>
      <c r="I15">
        <f>_xlfn.NORM.DIST(G15,[1]!_mi,[1]!_sigma,TRUE)</f>
        <v>0.27056301223583412</v>
      </c>
      <c r="K15">
        <f>_xlfn.RANK.AVG(G15, G:G, 1)</f>
        <v>14.5</v>
      </c>
      <c r="L15">
        <f>(K15 - 0.5)/COUNT($G$2:$G$83)</f>
        <v>0.17073170731707318</v>
      </c>
      <c r="M15">
        <f>_xlfn.NORM.S.INV(L15)</f>
        <v>-0.95127771872909239</v>
      </c>
      <c r="N15">
        <f>STANDARDIZE(G15,_mi,_sigma)</f>
        <v>-0.61111111111111116</v>
      </c>
      <c r="P15">
        <f>ABS(H15-I15)</f>
        <v>0.12056301223583413</v>
      </c>
    </row>
    <row r="16" spans="1:16" x14ac:dyDescent="0.3">
      <c r="A16">
        <v>15</v>
      </c>
      <c r="B16">
        <f>[1]Arkusz1!C16</f>
        <v>169</v>
      </c>
      <c r="D16" t="str">
        <f>IF(D15&gt;D14,"Nie ma podstaw do odrzucenia hipotezy","Odrzucamy hipotezę!")</f>
        <v>Nie ma podstaw do odrzucenia hipotezy</v>
      </c>
      <c r="F16">
        <v>14</v>
      </c>
      <c r="G16">
        <f>SMALL(B:B,(F16+1)/2)</f>
        <v>166</v>
      </c>
      <c r="H16">
        <f>COUNTIF(B:B,"&lt;="&amp;G16)/$D$7</f>
        <v>0.17499999999999999</v>
      </c>
      <c r="I16">
        <f>_xlfn.NORM.DIST(G16,[1]!_mi,[1]!_sigma,TRUE)</f>
        <v>0.27056301223583412</v>
      </c>
      <c r="K16">
        <f>_xlfn.RANK.AVG(G16, G:G, 1)</f>
        <v>14.5</v>
      </c>
      <c r="L16">
        <f>(K16 - 0.5)/COUNT($G$2:$G$83)</f>
        <v>0.17073170731707318</v>
      </c>
      <c r="M16">
        <f>_xlfn.NORM.S.INV(L16)</f>
        <v>-0.95127771872909239</v>
      </c>
      <c r="N16">
        <f>STANDARDIZE(G16,_mi,_sigma)</f>
        <v>-0.61111111111111116</v>
      </c>
      <c r="P16">
        <f>ABS(H16-I16)</f>
        <v>9.5563012235834133E-2</v>
      </c>
    </row>
    <row r="17" spans="1:16" x14ac:dyDescent="0.3">
      <c r="A17">
        <v>16</v>
      </c>
      <c r="B17">
        <f>[1]Arkusz1!C17</f>
        <v>180</v>
      </c>
      <c r="D17">
        <f>1-RozkladKolmogorowa(D13)</f>
        <v>0.52503011699130364</v>
      </c>
      <c r="E17" t="s">
        <v>61</v>
      </c>
      <c r="F17">
        <v>15</v>
      </c>
      <c r="G17">
        <f>SMALL(B:B,(F17+1)/2)</f>
        <v>167</v>
      </c>
      <c r="H17">
        <f>COUNTIF(B:B,"&lt;"&amp;G17)/$D$7</f>
        <v>0.17499999999999999</v>
      </c>
      <c r="I17">
        <f>_xlfn.NORM.DIST(G17,[1]!_mi,[1]!_sigma,TRUE)</f>
        <v>0.28925736075397196</v>
      </c>
      <c r="K17">
        <f>_xlfn.RANK.AVG(G17, G:G, 1)</f>
        <v>16.5</v>
      </c>
      <c r="L17">
        <f>(K17 - 0.5)/COUNT($G$2:$G$83)</f>
        <v>0.1951219512195122</v>
      </c>
      <c r="M17">
        <f>_xlfn.NORM.S.INV(L17)</f>
        <v>-0.85917512959584974</v>
      </c>
      <c r="N17">
        <f>STANDARDIZE(G17,_mi,_sigma)</f>
        <v>-0.55555555555555558</v>
      </c>
      <c r="P17">
        <f>ABS(H17-I17)</f>
        <v>0.11425736075397197</v>
      </c>
    </row>
    <row r="18" spans="1:16" x14ac:dyDescent="0.3">
      <c r="A18">
        <v>17</v>
      </c>
      <c r="B18">
        <f>[1]Arkusz1!C18</f>
        <v>171</v>
      </c>
      <c r="D18" t="s">
        <v>60</v>
      </c>
      <c r="F18">
        <v>16</v>
      </c>
      <c r="G18">
        <f>SMALL(B:B,(F18+1)/2)</f>
        <v>167</v>
      </c>
      <c r="H18">
        <f>COUNTIF(B:B,"&lt;="&amp;G18)/$D$7</f>
        <v>0.2</v>
      </c>
      <c r="I18">
        <f>_xlfn.NORM.DIST(G18,[1]!_mi,[1]!_sigma,TRUE)</f>
        <v>0.28925736075397196</v>
      </c>
      <c r="K18">
        <f>_xlfn.RANK.AVG(G18, G:G, 1)</f>
        <v>16.5</v>
      </c>
      <c r="L18">
        <f>(K18 - 0.5)/COUNT($G$2:$G$83)</f>
        <v>0.1951219512195122</v>
      </c>
      <c r="M18">
        <f>_xlfn.NORM.S.INV(L18)</f>
        <v>-0.85917512959584974</v>
      </c>
      <c r="N18">
        <f>STANDARDIZE(G18,_mi,_sigma)</f>
        <v>-0.55555555555555558</v>
      </c>
      <c r="P18">
        <f>ABS(H18-I18)</f>
        <v>8.9257360753971948E-2</v>
      </c>
    </row>
    <row r="19" spans="1:16" x14ac:dyDescent="0.3">
      <c r="A19">
        <v>18</v>
      </c>
      <c r="B19">
        <f>[1]Arkusz1!C19</f>
        <v>213</v>
      </c>
      <c r="D19">
        <f>SQRT(2*PI())/($D$13)/EXP(-(2*E19-1)^2*PI()^2/(8*$D$13^2))</f>
        <v>0.47496973408321952</v>
      </c>
      <c r="E19">
        <v>1</v>
      </c>
      <c r="F19">
        <v>17</v>
      </c>
      <c r="G19">
        <f>SMALL(B:B,(F19+1)/2)</f>
        <v>169</v>
      </c>
      <c r="H19">
        <f>COUNTIF(B:B,"&lt;"&amp;G19)/$D$7</f>
        <v>0.2</v>
      </c>
      <c r="I19">
        <f>_xlfn.NORM.DIST(G19,[1]!_mi,[1]!_sigma,TRUE)</f>
        <v>0.32836064328188519</v>
      </c>
      <c r="K19">
        <f>_xlfn.RANK.AVG(G19, G:G, 1)</f>
        <v>19.5</v>
      </c>
      <c r="L19">
        <f>(K19 - 0.5)/COUNT($G$2:$G$83)</f>
        <v>0.23170731707317074</v>
      </c>
      <c r="M19">
        <f>_xlfn.NORM.S.INV(L19)</f>
        <v>-0.73323578318551175</v>
      </c>
      <c r="N19">
        <f>STANDARDIZE(G19,_mi,_sigma)</f>
        <v>-0.44444444444444442</v>
      </c>
      <c r="P19">
        <f>ABS(H19-I19)</f>
        <v>0.12836064328188518</v>
      </c>
    </row>
    <row r="20" spans="1:16" x14ac:dyDescent="0.3">
      <c r="A20">
        <v>19</v>
      </c>
      <c r="B20">
        <f>[1]Arkusz1!C20</f>
        <v>177</v>
      </c>
      <c r="D20">
        <f>SQRT(2*PI())/($D$13)/EXP(-(2*E20-1)^2*PI()^2/(8*$D$13^2))</f>
        <v>1.4892547690477113E-7</v>
      </c>
      <c r="E20">
        <v>2</v>
      </c>
      <c r="F20">
        <v>18</v>
      </c>
      <c r="G20">
        <f>SMALL(B:B,(F20+1)/2)</f>
        <v>169</v>
      </c>
      <c r="H20">
        <f>COUNTIF(B:B,"&lt;="&amp;G20)/$D$7</f>
        <v>0.25</v>
      </c>
      <c r="I20">
        <f>_xlfn.NORM.DIST(G20,[1]!_mi,[1]!_sigma,TRUE)</f>
        <v>0.32836064328188519</v>
      </c>
      <c r="K20">
        <f>_xlfn.RANK.AVG(G20, G:G, 1)</f>
        <v>19.5</v>
      </c>
      <c r="L20">
        <f>(K20 - 0.5)/COUNT($G$2:$G$83)</f>
        <v>0.23170731707317074</v>
      </c>
      <c r="M20">
        <f>_xlfn.NORM.S.INV(L20)</f>
        <v>-0.73323578318551175</v>
      </c>
      <c r="N20">
        <f>STANDARDIZE(G20,_mi,_sigma)</f>
        <v>-0.44444444444444442</v>
      </c>
      <c r="P20">
        <f>ABS(H20-I20)</f>
        <v>7.8360643281885189E-2</v>
      </c>
    </row>
    <row r="21" spans="1:16" x14ac:dyDescent="0.3">
      <c r="A21">
        <v>20</v>
      </c>
      <c r="B21">
        <f>[1]Arkusz1!C21</f>
        <v>169</v>
      </c>
      <c r="D21">
        <f>SQRT(2*PI())/($D$13)/EXP(-(2*E21-1)^2*PI()^2/(8*$D$13^2))</f>
        <v>1.4641147826423089E-20</v>
      </c>
      <c r="E21">
        <v>3</v>
      </c>
      <c r="F21">
        <v>19</v>
      </c>
      <c r="G21">
        <f>SMALL(B:B,(F21+1)/2)</f>
        <v>169</v>
      </c>
      <c r="H21">
        <f>COUNTIF(B:B,"&lt;"&amp;G21)/$D$7</f>
        <v>0.2</v>
      </c>
      <c r="I21">
        <f>_xlfn.NORM.DIST(G21,[1]!_mi,[1]!_sigma,TRUE)</f>
        <v>0.32836064328188519</v>
      </c>
      <c r="K21">
        <f>_xlfn.RANK.AVG(G21, G:G, 1)</f>
        <v>19.5</v>
      </c>
      <c r="L21">
        <f>(K21 - 0.5)/COUNT($G$2:$G$83)</f>
        <v>0.23170731707317074</v>
      </c>
      <c r="M21">
        <f>_xlfn.NORM.S.INV(L21)</f>
        <v>-0.73323578318551175</v>
      </c>
      <c r="N21">
        <f>STANDARDIZE(G21,_mi,_sigma)</f>
        <v>-0.44444444444444442</v>
      </c>
      <c r="P21">
        <f>ABS(H21-I21)</f>
        <v>0.12836064328188518</v>
      </c>
    </row>
    <row r="22" spans="1:16" x14ac:dyDescent="0.3">
      <c r="A22">
        <v>21</v>
      </c>
      <c r="B22">
        <f>[1]Arkusz1!C22</f>
        <v>176</v>
      </c>
      <c r="D22">
        <f>SQRT(2*PI())/($D$13)/EXP(-(2*E22-1)^2*PI()^2/(8*$D$13^2))</f>
        <v>4.5131972480085947E-40</v>
      </c>
      <c r="E22">
        <v>4</v>
      </c>
      <c r="F22">
        <v>20</v>
      </c>
      <c r="G22">
        <f>SMALL(B:B,(F22+1)/2)</f>
        <v>169</v>
      </c>
      <c r="H22">
        <f>COUNTIF(B:B,"&lt;="&amp;G22)/$D$7</f>
        <v>0.25</v>
      </c>
      <c r="I22">
        <f>_xlfn.NORM.DIST(G22,[1]!_mi,[1]!_sigma,TRUE)</f>
        <v>0.32836064328188519</v>
      </c>
      <c r="K22">
        <f>_xlfn.RANK.AVG(G22, G:G, 1)</f>
        <v>19.5</v>
      </c>
      <c r="L22">
        <f>(K22 - 0.5)/COUNT($G$2:$G$83)</f>
        <v>0.23170731707317074</v>
      </c>
      <c r="M22">
        <f>_xlfn.NORM.S.INV(L22)</f>
        <v>-0.73323578318551175</v>
      </c>
      <c r="N22">
        <f>STANDARDIZE(G22,_mi,_sigma)</f>
        <v>-0.44444444444444442</v>
      </c>
      <c r="P22">
        <f>ABS(H22-I22)</f>
        <v>7.8360643281885189E-2</v>
      </c>
    </row>
    <row r="23" spans="1:16" x14ac:dyDescent="0.3">
      <c r="A23">
        <v>22</v>
      </c>
      <c r="B23">
        <f>[1]Arkusz1!C23</f>
        <v>152</v>
      </c>
      <c r="D23">
        <f>SQRT(2*PI())/($D$13)/EXP(-(2*E23-1)^2*PI()^2/(8*$D$13^2))</f>
        <v>4.3621095350521738E-66</v>
      </c>
      <c r="E23">
        <v>5</v>
      </c>
      <c r="F23">
        <v>21</v>
      </c>
      <c r="G23">
        <f>SMALL(B:B,(F23+1)/2)</f>
        <v>170</v>
      </c>
      <c r="H23">
        <f>COUNTIF(B:B,"&lt;"&amp;G23)/$D$7</f>
        <v>0.25</v>
      </c>
      <c r="I23">
        <f>_xlfn.NORM.DIST(G23,[1]!_mi,[1]!_sigma,TRUE)</f>
        <v>0.3486791709387379</v>
      </c>
      <c r="K23">
        <f>_xlfn.RANK.AVG(G23, G:G, 1)</f>
        <v>22.5</v>
      </c>
      <c r="L23">
        <f>(K23 - 0.5)/COUNT($G$2:$G$83)</f>
        <v>0.26829268292682928</v>
      </c>
      <c r="M23">
        <f>_xlfn.NORM.S.INV(L23)</f>
        <v>-0.6179847884685038</v>
      </c>
      <c r="N23">
        <f>STANDARDIZE(G23,_mi,_sigma)</f>
        <v>-0.3888888888888889</v>
      </c>
      <c r="P23">
        <f>ABS(H23-I23)</f>
        <v>9.8679170938737903E-2</v>
      </c>
    </row>
    <row r="24" spans="1:16" x14ac:dyDescent="0.3">
      <c r="A24">
        <v>23</v>
      </c>
      <c r="B24">
        <f>[1]Arkusz1!C24</f>
        <v>170</v>
      </c>
      <c r="D24">
        <f>SQRT(2*PI())/($D$13)/EXP(-(2*E24-1)^2*PI()^2/(8*$D$13^2))</f>
        <v>1.3219404200194568E-98</v>
      </c>
      <c r="E24">
        <v>6</v>
      </c>
      <c r="F24">
        <v>22</v>
      </c>
      <c r="G24">
        <f>SMALL(B:B,(F24+1)/2)</f>
        <v>170</v>
      </c>
      <c r="H24">
        <f>COUNTIF(B:B,"&lt;="&amp;G24)/$D$7</f>
        <v>0.27500000000000002</v>
      </c>
      <c r="I24">
        <f>_xlfn.NORM.DIST(G24,[1]!_mi,[1]!_sigma,TRUE)</f>
        <v>0.3486791709387379</v>
      </c>
      <c r="K24">
        <f>_xlfn.RANK.AVG(G24, G:G, 1)</f>
        <v>22.5</v>
      </c>
      <c r="L24">
        <f>(K24 - 0.5)/COUNT($G$2:$G$83)</f>
        <v>0.26829268292682928</v>
      </c>
      <c r="M24">
        <f>_xlfn.NORM.S.INV(L24)</f>
        <v>-0.6179847884685038</v>
      </c>
      <c r="N24">
        <f>STANDARDIZE(G24,_mi,_sigma)</f>
        <v>-0.3888888888888889</v>
      </c>
      <c r="P24">
        <f>ABS(H24-I24)</f>
        <v>7.3679170938737881E-2</v>
      </c>
    </row>
    <row r="25" spans="1:16" x14ac:dyDescent="0.3">
      <c r="A25">
        <v>24</v>
      </c>
      <c r="B25">
        <f>[1]Arkusz1!C25</f>
        <v>175</v>
      </c>
      <c r="D25">
        <f>SQRT(2*PI())/($D$13)/EXP(-(2*E25-1)^2*PI()^2/(8*$D$13^2))</f>
        <v>1.2561174823442096E-137</v>
      </c>
      <c r="E25">
        <v>7</v>
      </c>
      <c r="F25">
        <v>23</v>
      </c>
      <c r="G25">
        <f>SMALL(B:B,(F25+1)/2)</f>
        <v>171</v>
      </c>
      <c r="H25">
        <f>COUNTIF(B:B,"&lt;"&amp;G25)/$D$7</f>
        <v>0.27500000000000002</v>
      </c>
      <c r="I25">
        <f>_xlfn.NORM.DIST(G25,[1]!_mi,[1]!_sigma,TRUE)</f>
        <v>0.36944134018176361</v>
      </c>
      <c r="K25">
        <f>_xlfn.RANK.AVG(G25, G:G, 1)</f>
        <v>25.5</v>
      </c>
      <c r="L25">
        <f>(K25 - 0.5)/COUNT($G$2:$G$83)</f>
        <v>0.3048780487804878</v>
      </c>
      <c r="M25">
        <f>_xlfn.NORM.S.INV(L25)</f>
        <v>-0.51042164266321888</v>
      </c>
      <c r="N25">
        <f>STANDARDIZE(G25,_mi,_sigma)</f>
        <v>-0.33333333333333331</v>
      </c>
      <c r="P25">
        <f>ABS(H25-I25)</f>
        <v>9.4441340181763589E-2</v>
      </c>
    </row>
    <row r="26" spans="1:16" x14ac:dyDescent="0.3">
      <c r="A26">
        <v>25</v>
      </c>
      <c r="B26">
        <f>[1]Arkusz1!C26</f>
        <v>178</v>
      </c>
      <c r="D26">
        <f>SQRT(2*PI())/($D$13)/EXP(-(2*E26-1)^2*PI()^2/(8*$D$13^2))</f>
        <v>3.742412898113655E-183</v>
      </c>
      <c r="E26">
        <v>8</v>
      </c>
      <c r="F26">
        <v>24</v>
      </c>
      <c r="G26">
        <f>SMALL(B:B,(F26+1)/2)</f>
        <v>171</v>
      </c>
      <c r="H26">
        <f>COUNTIF(B:B,"&lt;="&amp;G26)/$D$7</f>
        <v>0.32500000000000001</v>
      </c>
      <c r="I26">
        <f>_xlfn.NORM.DIST(G26,[1]!_mi,[1]!_sigma,TRUE)</f>
        <v>0.36944134018176361</v>
      </c>
      <c r="K26">
        <f>_xlfn.RANK.AVG(G26, G:G, 1)</f>
        <v>25.5</v>
      </c>
      <c r="L26">
        <f>(K26 - 0.5)/COUNT($G$2:$G$83)</f>
        <v>0.3048780487804878</v>
      </c>
      <c r="M26">
        <f>_xlfn.NORM.S.INV(L26)</f>
        <v>-0.51042164266321888</v>
      </c>
      <c r="N26">
        <f>STANDARDIZE(G26,_mi,_sigma)</f>
        <v>-0.33333333333333331</v>
      </c>
      <c r="P26">
        <f>ABS(H26-I26)</f>
        <v>4.44413401817636E-2</v>
      </c>
    </row>
    <row r="27" spans="1:16" x14ac:dyDescent="0.3">
      <c r="A27">
        <v>26</v>
      </c>
      <c r="B27">
        <f>[1]Arkusz1!C27</f>
        <v>156</v>
      </c>
      <c r="D27">
        <f>SQRT(2*PI())/($D$13)/EXP(-(2*E27-1)^2*PI()^2/(8*$D$13^2))</f>
        <v>3.4960384905554289E-235</v>
      </c>
      <c r="E27">
        <v>9</v>
      </c>
      <c r="F27">
        <v>25</v>
      </c>
      <c r="G27">
        <f>SMALL(B:B,(F27+1)/2)</f>
        <v>171</v>
      </c>
      <c r="H27">
        <f>COUNTIF(B:B,"&lt;"&amp;G27)/$D$7</f>
        <v>0.27500000000000002</v>
      </c>
      <c r="I27">
        <f>_xlfn.NORM.DIST(G27,[1]!_mi,[1]!_sigma,TRUE)</f>
        <v>0.36944134018176361</v>
      </c>
      <c r="K27">
        <f>_xlfn.RANK.AVG(G27, G:G, 1)</f>
        <v>25.5</v>
      </c>
      <c r="L27">
        <f>(K27 - 0.5)/COUNT($G$2:$G$83)</f>
        <v>0.3048780487804878</v>
      </c>
      <c r="M27">
        <f>_xlfn.NORM.S.INV(L27)</f>
        <v>-0.51042164266321888</v>
      </c>
      <c r="N27">
        <f>STANDARDIZE(G27,_mi,_sigma)</f>
        <v>-0.33333333333333331</v>
      </c>
      <c r="P27">
        <f>ABS(H27-I27)</f>
        <v>9.4441340181763589E-2</v>
      </c>
    </row>
    <row r="28" spans="1:16" x14ac:dyDescent="0.3">
      <c r="A28">
        <v>27</v>
      </c>
      <c r="B28">
        <f>[1]Arkusz1!C28</f>
        <v>214</v>
      </c>
      <c r="D28">
        <f>SQRT(2*PI())/($D$13)/EXP(-(2*E28-1)^2*PI()^2/(8*$D$13^2))</f>
        <v>1.0240089977562085E-293</v>
      </c>
      <c r="E28">
        <v>10</v>
      </c>
      <c r="F28">
        <v>26</v>
      </c>
      <c r="G28">
        <f>SMALL(B:B,(F28+1)/2)</f>
        <v>171</v>
      </c>
      <c r="H28">
        <f>COUNTIF(B:B,"&lt;="&amp;G28)/$D$7</f>
        <v>0.32500000000000001</v>
      </c>
      <c r="I28">
        <f>_xlfn.NORM.DIST(G28,[1]!_mi,[1]!_sigma,TRUE)</f>
        <v>0.36944134018176361</v>
      </c>
      <c r="K28">
        <f>_xlfn.RANK.AVG(G28, G:G, 1)</f>
        <v>25.5</v>
      </c>
      <c r="L28">
        <f>(K28 - 0.5)/COUNT($G$2:$G$83)</f>
        <v>0.3048780487804878</v>
      </c>
      <c r="M28">
        <f>_xlfn.NORM.S.INV(L28)</f>
        <v>-0.51042164266321888</v>
      </c>
      <c r="N28">
        <f>STANDARDIZE(G28,_mi,_sigma)</f>
        <v>-0.33333333333333331</v>
      </c>
      <c r="P28">
        <f>ABS(H28-I28)</f>
        <v>4.44413401817636E-2</v>
      </c>
    </row>
    <row r="29" spans="1:16" x14ac:dyDescent="0.3">
      <c r="A29">
        <v>28</v>
      </c>
      <c r="B29">
        <f>[1]Arkusz1!C29</f>
        <v>179</v>
      </c>
      <c r="F29">
        <v>27</v>
      </c>
      <c r="G29">
        <f>SMALL(B:B,(F29+1)/2)</f>
        <v>172</v>
      </c>
      <c r="H29">
        <f>COUNTIF(B:B,"&lt;"&amp;G29)/$D$7</f>
        <v>0.32500000000000001</v>
      </c>
      <c r="I29">
        <f>_xlfn.NORM.DIST(G29,[1]!_mi,[1]!_sigma,TRUE)</f>
        <v>0.39059147543357498</v>
      </c>
      <c r="K29">
        <f>_xlfn.RANK.AVG(G29, G:G, 1)</f>
        <v>28.5</v>
      </c>
      <c r="L29">
        <f>(K29 - 0.5)/COUNT($G$2:$G$83)</f>
        <v>0.34146341463414637</v>
      </c>
      <c r="M29">
        <f>_xlfn.NORM.S.INV(L29)</f>
        <v>-0.40847248197412372</v>
      </c>
      <c r="N29">
        <f>STANDARDIZE(G29,_mi,_sigma)</f>
        <v>-0.27777777777777779</v>
      </c>
      <c r="P29">
        <f>ABS(H29-I29)</f>
        <v>6.5591475433574964E-2</v>
      </c>
    </row>
    <row r="30" spans="1:16" x14ac:dyDescent="0.3">
      <c r="A30">
        <v>29</v>
      </c>
      <c r="B30">
        <f>[1]Arkusz1!C30</f>
        <v>185</v>
      </c>
      <c r="F30">
        <v>28</v>
      </c>
      <c r="G30">
        <f>SMALL(B:B,(F30+1)/2)</f>
        <v>172</v>
      </c>
      <c r="H30">
        <f>COUNTIF(B:B,"&lt;="&amp;G30)/$D$7</f>
        <v>0.35</v>
      </c>
      <c r="I30">
        <f>_xlfn.NORM.DIST(G30,[1]!_mi,[1]!_sigma,TRUE)</f>
        <v>0.39059147543357498</v>
      </c>
      <c r="K30">
        <f>_xlfn.RANK.AVG(G30, G:G, 1)</f>
        <v>28.5</v>
      </c>
      <c r="L30">
        <f>(K30 - 0.5)/COUNT($G$2:$G$83)</f>
        <v>0.34146341463414637</v>
      </c>
      <c r="M30">
        <f>_xlfn.NORM.S.INV(L30)</f>
        <v>-0.40847248197412372</v>
      </c>
      <c r="N30">
        <f>STANDARDIZE(G30,_mi,_sigma)</f>
        <v>-0.27777777777777779</v>
      </c>
      <c r="P30">
        <f>ABS(H30-I30)</f>
        <v>4.0591475433574997E-2</v>
      </c>
    </row>
    <row r="31" spans="1:16" x14ac:dyDescent="0.3">
      <c r="A31">
        <v>30</v>
      </c>
      <c r="B31">
        <f>[1]Arkusz1!C31</f>
        <v>194</v>
      </c>
      <c r="F31">
        <v>29</v>
      </c>
      <c r="G31">
        <f>SMALL(B:B,(F31+1)/2)</f>
        <v>174</v>
      </c>
      <c r="H31">
        <f>COUNTIF(B:B,"&lt;"&amp;G31)/$D$7</f>
        <v>0.35</v>
      </c>
      <c r="I31">
        <f>_xlfn.NORM.DIST(G31,[1]!_mi,[1]!_sigma,TRUE)</f>
        <v>0.43381616738909634</v>
      </c>
      <c r="K31">
        <f>_xlfn.RANK.AVG(G31, G:G, 1)</f>
        <v>31.5</v>
      </c>
      <c r="L31">
        <f>(K31 - 0.5)/COUNT($G$2:$G$83)</f>
        <v>0.37804878048780488</v>
      </c>
      <c r="M31">
        <f>_xlfn.NORM.S.INV(L31)</f>
        <v>-0.31060942538225567</v>
      </c>
      <c r="N31">
        <f>STANDARDIZE(G31,_mi,_sigma)</f>
        <v>-0.16666666666666666</v>
      </c>
      <c r="P31">
        <f>ABS(H31-I31)</f>
        <v>8.3816167389096363E-2</v>
      </c>
    </row>
    <row r="32" spans="1:16" x14ac:dyDescent="0.3">
      <c r="A32">
        <v>31</v>
      </c>
      <c r="B32">
        <f>[1]Arkusz1!C32</f>
        <v>171</v>
      </c>
      <c r="F32">
        <v>30</v>
      </c>
      <c r="G32">
        <f>SMALL(B:B,(F32+1)/2)</f>
        <v>174</v>
      </c>
      <c r="H32">
        <f>COUNTIF(B:B,"&lt;="&amp;G32)/$D$7</f>
        <v>0.4</v>
      </c>
      <c r="I32">
        <f>_xlfn.NORM.DIST(G32,[1]!_mi,[1]!_sigma,TRUE)</f>
        <v>0.43381616738909634</v>
      </c>
      <c r="K32">
        <f>_xlfn.RANK.AVG(G32, G:G, 1)</f>
        <v>31.5</v>
      </c>
      <c r="L32">
        <f>(K32 - 0.5)/COUNT($G$2:$G$83)</f>
        <v>0.37804878048780488</v>
      </c>
      <c r="M32">
        <f>_xlfn.NORM.S.INV(L32)</f>
        <v>-0.31060942538225567</v>
      </c>
      <c r="N32">
        <f>STANDARDIZE(G32,_mi,_sigma)</f>
        <v>-0.16666666666666666</v>
      </c>
      <c r="P32">
        <f>ABS(H32-I32)</f>
        <v>3.3816167389096319E-2</v>
      </c>
    </row>
    <row r="33" spans="1:16" x14ac:dyDescent="0.3">
      <c r="A33">
        <v>32</v>
      </c>
      <c r="B33">
        <f>[1]Arkusz1!C33</f>
        <v>189</v>
      </c>
      <c r="F33">
        <v>31</v>
      </c>
      <c r="G33">
        <f>SMALL(B:B,(F33+1)/2)</f>
        <v>174</v>
      </c>
      <c r="H33">
        <f>COUNTIF(B:B,"&lt;"&amp;G33)/$D$7</f>
        <v>0.35</v>
      </c>
      <c r="I33">
        <f>_xlfn.NORM.DIST(G33,[1]!_mi,[1]!_sigma,TRUE)</f>
        <v>0.43381616738909634</v>
      </c>
      <c r="K33">
        <f>_xlfn.RANK.AVG(G33, G:G, 1)</f>
        <v>31.5</v>
      </c>
      <c r="L33">
        <f>(K33 - 0.5)/COUNT($G$2:$G$83)</f>
        <v>0.37804878048780488</v>
      </c>
      <c r="M33">
        <f>_xlfn.NORM.S.INV(L33)</f>
        <v>-0.31060942538225567</v>
      </c>
      <c r="N33">
        <f>STANDARDIZE(G33,_mi,_sigma)</f>
        <v>-0.16666666666666666</v>
      </c>
      <c r="P33">
        <f>ABS(H33-I33)</f>
        <v>8.3816167389096363E-2</v>
      </c>
    </row>
    <row r="34" spans="1:16" x14ac:dyDescent="0.3">
      <c r="A34">
        <v>33</v>
      </c>
      <c r="B34">
        <f>[1]Arkusz1!C34</f>
        <v>149</v>
      </c>
      <c r="F34">
        <v>32</v>
      </c>
      <c r="G34">
        <f>SMALL(B:B,(F34+1)/2)</f>
        <v>174</v>
      </c>
      <c r="H34">
        <f>COUNTIF(B:B,"&lt;="&amp;G34)/$D$7</f>
        <v>0.4</v>
      </c>
      <c r="I34">
        <f>_xlfn.NORM.DIST(G34,[1]!_mi,[1]!_sigma,TRUE)</f>
        <v>0.43381616738909634</v>
      </c>
      <c r="K34">
        <f>_xlfn.RANK.AVG(G34, G:G, 1)</f>
        <v>31.5</v>
      </c>
      <c r="L34">
        <f>(K34 - 0.5)/COUNT($G$2:$G$83)</f>
        <v>0.37804878048780488</v>
      </c>
      <c r="M34">
        <f>_xlfn.NORM.S.INV(L34)</f>
        <v>-0.31060942538225567</v>
      </c>
      <c r="N34">
        <f>STANDARDIZE(G34,_mi,_sigma)</f>
        <v>-0.16666666666666666</v>
      </c>
      <c r="P34">
        <f>ABS(H34-I34)</f>
        <v>3.3816167389096319E-2</v>
      </c>
    </row>
    <row r="35" spans="1:16" x14ac:dyDescent="0.3">
      <c r="A35">
        <v>34</v>
      </c>
      <c r="B35">
        <f>[1]Arkusz1!C35</f>
        <v>161</v>
      </c>
      <c r="F35">
        <v>33</v>
      </c>
      <c r="G35">
        <f>SMALL(B:B,(F35+1)/2)</f>
        <v>175</v>
      </c>
      <c r="H35">
        <f>COUNTIF(B:B,"&lt;"&amp;G35)/$D$7</f>
        <v>0.4</v>
      </c>
      <c r="I35">
        <f>_xlfn.NORM.DIST(G35,[1]!_mi,[1]!_sigma,TRUE)</f>
        <v>0.4557641189546886</v>
      </c>
      <c r="K35">
        <f>_xlfn.RANK.AVG(G35, G:G, 1)</f>
        <v>34.5</v>
      </c>
      <c r="L35">
        <f>(K35 - 0.5)/COUNT($G$2:$G$83)</f>
        <v>0.41463414634146339</v>
      </c>
      <c r="M35">
        <f>_xlfn.NORM.S.INV(L35)</f>
        <v>-0.21564010401258188</v>
      </c>
      <c r="N35">
        <f>STANDARDIZE(G35,_mi,_sigma)</f>
        <v>-0.1111111111111111</v>
      </c>
      <c r="P35">
        <f>ABS(H35-I35)</f>
        <v>5.576411895468858E-2</v>
      </c>
    </row>
    <row r="36" spans="1:16" x14ac:dyDescent="0.3">
      <c r="A36">
        <v>35</v>
      </c>
      <c r="B36">
        <f>[1]Arkusz1!C36</f>
        <v>187</v>
      </c>
      <c r="F36">
        <v>34</v>
      </c>
      <c r="G36">
        <f>SMALL(B:B,(F36+1)/2)</f>
        <v>175</v>
      </c>
      <c r="H36">
        <f>COUNTIF(B:B,"&lt;="&amp;G36)/$D$7</f>
        <v>0.42499999999999999</v>
      </c>
      <c r="I36">
        <f>_xlfn.NORM.DIST(G36,[1]!_mi,[1]!_sigma,TRUE)</f>
        <v>0.4557641189546886</v>
      </c>
      <c r="K36">
        <f>_xlfn.RANK.AVG(G36, G:G, 1)</f>
        <v>34.5</v>
      </c>
      <c r="L36">
        <f>(K36 - 0.5)/COUNT($G$2:$G$83)</f>
        <v>0.41463414634146339</v>
      </c>
      <c r="M36">
        <f>_xlfn.NORM.S.INV(L36)</f>
        <v>-0.21564010401258188</v>
      </c>
      <c r="N36">
        <f>STANDARDIZE(G36,_mi,_sigma)</f>
        <v>-0.1111111111111111</v>
      </c>
      <c r="P36">
        <f>ABS(H36-I36)</f>
        <v>3.0764118954688613E-2</v>
      </c>
    </row>
    <row r="37" spans="1:16" x14ac:dyDescent="0.3">
      <c r="A37">
        <v>36</v>
      </c>
      <c r="B37">
        <f>[1]Arkusz1!C37</f>
        <v>172</v>
      </c>
      <c r="F37">
        <v>35</v>
      </c>
      <c r="G37">
        <f>SMALL(B:B,(F37+1)/2)</f>
        <v>176</v>
      </c>
      <c r="H37">
        <f>COUNTIF(B:B,"&lt;"&amp;G37)/$D$7</f>
        <v>0.42499999999999999</v>
      </c>
      <c r="I37">
        <f>_xlfn.NORM.DIST(G37,[1]!_mi,[1]!_sigma,TRUE)</f>
        <v>0.47784793565821782</v>
      </c>
      <c r="K37">
        <f>_xlfn.RANK.AVG(G37, G:G, 1)</f>
        <v>38.5</v>
      </c>
      <c r="L37">
        <f>(K37 - 0.5)/COUNT($G$2:$G$83)</f>
        <v>0.46341463414634149</v>
      </c>
      <c r="M37">
        <f>_xlfn.NORM.S.INV(L37)</f>
        <v>-9.1834832954222234E-2</v>
      </c>
      <c r="N37">
        <f>STANDARDIZE(G37,_mi,_sigma)</f>
        <v>-5.5555555555555552E-2</v>
      </c>
      <c r="P37">
        <f>ABS(H37-I37)</f>
        <v>5.2847935658217826E-2</v>
      </c>
    </row>
    <row r="38" spans="1:16" x14ac:dyDescent="0.3">
      <c r="A38">
        <v>37</v>
      </c>
      <c r="B38">
        <f>[1]Arkusz1!C38</f>
        <v>184</v>
      </c>
      <c r="F38">
        <v>36</v>
      </c>
      <c r="G38">
        <f>SMALL(B:B,(F38+1)/2)</f>
        <v>176</v>
      </c>
      <c r="H38">
        <f>COUNTIF(B:B,"&lt;="&amp;G38)/$D$7</f>
        <v>0.5</v>
      </c>
      <c r="I38">
        <f>_xlfn.NORM.DIST(G38,[1]!_mi,[1]!_sigma,TRUE)</f>
        <v>0.47784793565821782</v>
      </c>
      <c r="K38">
        <f>_xlfn.RANK.AVG(G38, G:G, 1)</f>
        <v>38.5</v>
      </c>
      <c r="L38">
        <f>(K38 - 0.5)/COUNT($G$2:$G$83)</f>
        <v>0.46341463414634149</v>
      </c>
      <c r="M38">
        <f>_xlfn.NORM.S.INV(L38)</f>
        <v>-9.1834832954222234E-2</v>
      </c>
      <c r="N38">
        <f>STANDARDIZE(G38,_mi,_sigma)</f>
        <v>-5.5555555555555552E-2</v>
      </c>
      <c r="P38">
        <f>ABS(H38-I38)</f>
        <v>2.2152064341782185E-2</v>
      </c>
    </row>
    <row r="39" spans="1:16" x14ac:dyDescent="0.3">
      <c r="A39">
        <v>38</v>
      </c>
      <c r="B39">
        <f>[1]Arkusz1!C39</f>
        <v>200</v>
      </c>
      <c r="F39">
        <v>37</v>
      </c>
      <c r="G39">
        <f>SMALL(B:B,(F39+1)/2)</f>
        <v>176</v>
      </c>
      <c r="H39">
        <f>COUNTIF(B:B,"&lt;"&amp;G39)/$D$7</f>
        <v>0.42499999999999999</v>
      </c>
      <c r="I39">
        <f>_xlfn.NORM.DIST(G39,[1]!_mi,[1]!_sigma,TRUE)</f>
        <v>0.47784793565821782</v>
      </c>
      <c r="K39">
        <f>_xlfn.RANK.AVG(G39, G:G, 1)</f>
        <v>38.5</v>
      </c>
      <c r="L39">
        <f>(K39 - 0.5)/COUNT($G$2:$G$83)</f>
        <v>0.46341463414634149</v>
      </c>
      <c r="M39">
        <f>_xlfn.NORM.S.INV(L39)</f>
        <v>-9.1834832954222234E-2</v>
      </c>
      <c r="N39">
        <f>STANDARDIZE(G39,_mi,_sigma)</f>
        <v>-5.5555555555555552E-2</v>
      </c>
      <c r="P39">
        <f>ABS(H39-I39)</f>
        <v>5.2847935658217826E-2</v>
      </c>
    </row>
    <row r="40" spans="1:16" x14ac:dyDescent="0.3">
      <c r="A40">
        <v>39</v>
      </c>
      <c r="B40">
        <f>[1]Arkusz1!C40</f>
        <v>176</v>
      </c>
      <c r="F40">
        <v>38</v>
      </c>
      <c r="G40">
        <f>SMALL(B:B,(F40+1)/2)</f>
        <v>176</v>
      </c>
      <c r="H40">
        <f>COUNTIF(B:B,"&lt;="&amp;G40)/$D$7</f>
        <v>0.5</v>
      </c>
      <c r="I40">
        <f>_xlfn.NORM.DIST(G40,[1]!_mi,[1]!_sigma,TRUE)</f>
        <v>0.47784793565821782</v>
      </c>
      <c r="K40">
        <f>_xlfn.RANK.AVG(G40, G:G, 1)</f>
        <v>38.5</v>
      </c>
      <c r="L40">
        <f>(K40 - 0.5)/COUNT($G$2:$G$83)</f>
        <v>0.46341463414634149</v>
      </c>
      <c r="M40">
        <f>_xlfn.NORM.S.INV(L40)</f>
        <v>-9.1834832954222234E-2</v>
      </c>
      <c r="N40">
        <f>STANDARDIZE(G40,_mi,_sigma)</f>
        <v>-5.5555555555555552E-2</v>
      </c>
      <c r="P40">
        <f>ABS(H40-I40)</f>
        <v>2.2152064341782185E-2</v>
      </c>
    </row>
    <row r="41" spans="1:16" x14ac:dyDescent="0.3">
      <c r="A41">
        <v>40</v>
      </c>
      <c r="B41">
        <f>[1]Arkusz1!C41</f>
        <v>190</v>
      </c>
      <c r="F41">
        <v>39</v>
      </c>
      <c r="G41">
        <f>SMALL(B:B,(F41+1)/2)</f>
        <v>176</v>
      </c>
      <c r="H41">
        <f>COUNTIF(B:B,"&lt;"&amp;G41)/$D$7</f>
        <v>0.42499999999999999</v>
      </c>
      <c r="I41">
        <f>_xlfn.NORM.DIST(G41,[1]!_mi,[1]!_sigma,TRUE)</f>
        <v>0.47784793565821782</v>
      </c>
      <c r="K41">
        <f>_xlfn.RANK.AVG(G41, G:G, 1)</f>
        <v>38.5</v>
      </c>
      <c r="L41">
        <f>(K41 - 0.5)/COUNT($G$2:$G$83)</f>
        <v>0.46341463414634149</v>
      </c>
      <c r="M41">
        <f>_xlfn.NORM.S.INV(L41)</f>
        <v>-9.1834832954222234E-2</v>
      </c>
      <c r="N41">
        <f>STANDARDIZE(G41,_mi,_sigma)</f>
        <v>-5.5555555555555552E-2</v>
      </c>
      <c r="P41">
        <f>ABS(H41-I41)</f>
        <v>5.2847935658217826E-2</v>
      </c>
    </row>
    <row r="42" spans="1:16" x14ac:dyDescent="0.3">
      <c r="F42">
        <v>40</v>
      </c>
      <c r="G42">
        <f>SMALL(B:B,(F42+1)/2)</f>
        <v>176</v>
      </c>
      <c r="H42">
        <f>COUNTIF(B:B,"&lt;="&amp;G42)/$D$7</f>
        <v>0.5</v>
      </c>
      <c r="I42">
        <f>_xlfn.NORM.DIST(G42,[1]!_mi,[1]!_sigma,TRUE)</f>
        <v>0.47784793565821782</v>
      </c>
      <c r="K42">
        <f>_xlfn.RANK.AVG(G42, G:G, 1)</f>
        <v>38.5</v>
      </c>
      <c r="L42">
        <f>(K42 - 0.5)/COUNT($G$2:$G$83)</f>
        <v>0.46341463414634149</v>
      </c>
      <c r="M42">
        <f>_xlfn.NORM.S.INV(L42)</f>
        <v>-9.1834832954222234E-2</v>
      </c>
      <c r="N42">
        <f>STANDARDIZE(G42,_mi,_sigma)</f>
        <v>-5.5555555555555552E-2</v>
      </c>
      <c r="P42">
        <f>ABS(H42-I42)</f>
        <v>2.2152064341782185E-2</v>
      </c>
    </row>
    <row r="43" spans="1:16" x14ac:dyDescent="0.3">
      <c r="F43">
        <v>41</v>
      </c>
      <c r="G43">
        <f>SMALL(B:B,(F43+1)/2)</f>
        <v>177</v>
      </c>
      <c r="H43">
        <f>COUNTIF(B:B,"&lt;"&amp;G43)/$D$7</f>
        <v>0.5</v>
      </c>
      <c r="I43">
        <f>_xlfn.NORM.DIST(G43,[1]!_mi,[1]!_sigma,TRUE)</f>
        <v>0.5</v>
      </c>
      <c r="K43">
        <f>_xlfn.RANK.AVG(G43, G:G, 1)</f>
        <v>42.5</v>
      </c>
      <c r="L43">
        <f>(K43 - 0.5)/COUNT($G$2:$G$83)</f>
        <v>0.51219512195121952</v>
      </c>
      <c r="M43">
        <f>_xlfn.NORM.S.INV(L43)</f>
        <v>3.0573399820906299E-2</v>
      </c>
      <c r="N43">
        <f>STANDARDIZE(G43,_mi,_sigma)</f>
        <v>0</v>
      </c>
      <c r="P43">
        <f>ABS(H43-I43)</f>
        <v>0</v>
      </c>
    </row>
    <row r="44" spans="1:16" x14ac:dyDescent="0.3">
      <c r="F44">
        <v>42</v>
      </c>
      <c r="G44">
        <f>SMALL(B:B,(F44+1)/2)</f>
        <v>177</v>
      </c>
      <c r="H44">
        <f>COUNTIF(B:B,"&lt;="&amp;G44)/$D$7</f>
        <v>0.52500000000000002</v>
      </c>
      <c r="I44">
        <f>_xlfn.NORM.DIST(G44,[1]!_mi,[1]!_sigma,TRUE)</f>
        <v>0.5</v>
      </c>
      <c r="K44">
        <f>_xlfn.RANK.AVG(G44, G:G, 1)</f>
        <v>42.5</v>
      </c>
      <c r="L44">
        <f>(K44 - 0.5)/COUNT($G$2:$G$83)</f>
        <v>0.51219512195121952</v>
      </c>
      <c r="M44">
        <f>_xlfn.NORM.S.INV(L44)</f>
        <v>3.0573399820906299E-2</v>
      </c>
      <c r="N44">
        <f>STANDARDIZE(G44,_mi,_sigma)</f>
        <v>0</v>
      </c>
      <c r="P44">
        <f>ABS(H44-I44)</f>
        <v>2.5000000000000022E-2</v>
      </c>
    </row>
    <row r="45" spans="1:16" x14ac:dyDescent="0.3">
      <c r="F45">
        <v>43</v>
      </c>
      <c r="G45">
        <f>SMALL(B:B,(F45+1)/2)</f>
        <v>178</v>
      </c>
      <c r="H45">
        <f>COUNTIF(B:B,"&lt;"&amp;G45)/$D$7</f>
        <v>0.52500000000000002</v>
      </c>
      <c r="I45">
        <f>_xlfn.NORM.DIST(G45,[1]!_mi,[1]!_sigma,TRUE)</f>
        <v>0.52215206434178218</v>
      </c>
      <c r="K45">
        <f>_xlfn.RANK.AVG(G45, G:G, 1)</f>
        <v>44.5</v>
      </c>
      <c r="L45">
        <f>(K45 - 0.5)/COUNT($G$2:$G$83)</f>
        <v>0.53658536585365857</v>
      </c>
      <c r="M45">
        <f>_xlfn.NORM.S.INV(L45)</f>
        <v>9.1834832954222387E-2</v>
      </c>
      <c r="N45">
        <f>STANDARDIZE(G45,_mi,_sigma)</f>
        <v>5.5555555555555552E-2</v>
      </c>
      <c r="P45">
        <f>ABS(H45-I45)</f>
        <v>2.8479356582178372E-3</v>
      </c>
    </row>
    <row r="46" spans="1:16" x14ac:dyDescent="0.3">
      <c r="F46">
        <v>44</v>
      </c>
      <c r="G46">
        <f>SMALL(B:B,(F46+1)/2)</f>
        <v>178</v>
      </c>
      <c r="H46">
        <f>COUNTIF(B:B,"&lt;="&amp;G46)/$D$7</f>
        <v>0.55000000000000004</v>
      </c>
      <c r="I46">
        <f>_xlfn.NORM.DIST(G46,[1]!_mi,[1]!_sigma,TRUE)</f>
        <v>0.52215206434178218</v>
      </c>
      <c r="K46">
        <f>_xlfn.RANK.AVG(G46, G:G, 1)</f>
        <v>44.5</v>
      </c>
      <c r="L46">
        <f>(K46 - 0.5)/COUNT($G$2:$G$83)</f>
        <v>0.53658536585365857</v>
      </c>
      <c r="M46">
        <f>_xlfn.NORM.S.INV(L46)</f>
        <v>9.1834832954222387E-2</v>
      </c>
      <c r="N46">
        <f>STANDARDIZE(G46,_mi,_sigma)</f>
        <v>5.5555555555555552E-2</v>
      </c>
      <c r="P46">
        <f>ABS(H46-I46)</f>
        <v>2.7847935658217859E-2</v>
      </c>
    </row>
    <row r="47" spans="1:16" x14ac:dyDescent="0.3">
      <c r="F47">
        <v>45</v>
      </c>
      <c r="G47">
        <f>SMALL(B:B,(F47+1)/2)</f>
        <v>179</v>
      </c>
      <c r="H47">
        <f>COUNTIF(B:B,"&lt;"&amp;G47)/$D$7</f>
        <v>0.55000000000000004</v>
      </c>
      <c r="I47">
        <f>_xlfn.NORM.DIST(G47,[1]!_mi,[1]!_sigma,TRUE)</f>
        <v>0.5442358810453114</v>
      </c>
      <c r="K47">
        <f>_xlfn.RANK.AVG(G47, G:G, 1)</f>
        <v>46.5</v>
      </c>
      <c r="L47">
        <f>(K47 - 0.5)/COUNT($G$2:$G$83)</f>
        <v>0.56097560975609762</v>
      </c>
      <c r="M47">
        <f>_xlfn.NORM.S.INV(L47)</f>
        <v>0.15344319882333449</v>
      </c>
      <c r="N47">
        <f>STANDARDIZE(G47,_mi,_sigma)</f>
        <v>0.1111111111111111</v>
      </c>
      <c r="P47">
        <f>ABS(H47-I47)</f>
        <v>5.7641189546886462E-3</v>
      </c>
    </row>
    <row r="48" spans="1:16" x14ac:dyDescent="0.3">
      <c r="F48">
        <v>46</v>
      </c>
      <c r="G48">
        <f>SMALL(B:B,(F48+1)/2)</f>
        <v>179</v>
      </c>
      <c r="H48">
        <f>COUNTIF(B:B,"&lt;="&amp;G48)/$D$7</f>
        <v>0.57499999999999996</v>
      </c>
      <c r="I48">
        <f>_xlfn.NORM.DIST(G48,[1]!_mi,[1]!_sigma,TRUE)</f>
        <v>0.5442358810453114</v>
      </c>
      <c r="K48">
        <f>_xlfn.RANK.AVG(G48, G:G, 1)</f>
        <v>46.5</v>
      </c>
      <c r="L48">
        <f>(K48 - 0.5)/COUNT($G$2:$G$83)</f>
        <v>0.56097560975609762</v>
      </c>
      <c r="M48">
        <f>_xlfn.NORM.S.INV(L48)</f>
        <v>0.15344319882333449</v>
      </c>
      <c r="N48">
        <f>STANDARDIZE(G48,_mi,_sigma)</f>
        <v>0.1111111111111111</v>
      </c>
      <c r="P48">
        <f>ABS(H48-I48)</f>
        <v>3.0764118954688557E-2</v>
      </c>
    </row>
    <row r="49" spans="6:16" x14ac:dyDescent="0.3">
      <c r="F49">
        <v>47</v>
      </c>
      <c r="G49">
        <f>SMALL(B:B,(F49+1)/2)</f>
        <v>180</v>
      </c>
      <c r="H49">
        <f>COUNTIF(B:B,"&lt;"&amp;G49)/$D$7</f>
        <v>0.57499999999999996</v>
      </c>
      <c r="I49">
        <f>_xlfn.NORM.DIST(G49,[1]!_mi,[1]!_sigma,TRUE)</f>
        <v>0.56618383261090366</v>
      </c>
      <c r="K49">
        <f>_xlfn.RANK.AVG(G49, G:G, 1)</f>
        <v>49.5</v>
      </c>
      <c r="L49">
        <f>(K49 - 0.5)/COUNT($G$2:$G$83)</f>
        <v>0.59756097560975607</v>
      </c>
      <c r="M49">
        <f>_xlfn.NORM.S.INV(L49)</f>
        <v>0.2470389907389772</v>
      </c>
      <c r="N49">
        <f>STANDARDIZE(G49,_mi,_sigma)</f>
        <v>0.16666666666666666</v>
      </c>
      <c r="P49">
        <f>ABS(H49-I49)</f>
        <v>8.8161673890962966E-3</v>
      </c>
    </row>
    <row r="50" spans="6:16" x14ac:dyDescent="0.3">
      <c r="F50">
        <v>48</v>
      </c>
      <c r="G50">
        <f>SMALL(B:B,(F50+1)/2)</f>
        <v>180</v>
      </c>
      <c r="H50">
        <f>COUNTIF(B:B,"&lt;="&amp;G50)/$D$7</f>
        <v>0.625</v>
      </c>
      <c r="I50">
        <f>_xlfn.NORM.DIST(G50,[1]!_mi,[1]!_sigma,TRUE)</f>
        <v>0.56618383261090366</v>
      </c>
      <c r="K50">
        <f>_xlfn.RANK.AVG(G50, G:G, 1)</f>
        <v>49.5</v>
      </c>
      <c r="L50">
        <f>(K50 - 0.5)/COUNT($G$2:$G$83)</f>
        <v>0.59756097560975607</v>
      </c>
      <c r="M50">
        <f>_xlfn.NORM.S.INV(L50)</f>
        <v>0.2470389907389772</v>
      </c>
      <c r="N50">
        <f>STANDARDIZE(G50,_mi,_sigma)</f>
        <v>0.16666666666666666</v>
      </c>
      <c r="P50">
        <f>ABS(H50-I50)</f>
        <v>5.8816167389096341E-2</v>
      </c>
    </row>
    <row r="51" spans="6:16" x14ac:dyDescent="0.3">
      <c r="F51">
        <v>49</v>
      </c>
      <c r="G51">
        <f>SMALL(B:B,(F51+1)/2)</f>
        <v>180</v>
      </c>
      <c r="H51">
        <f>COUNTIF(B:B,"&lt;"&amp;G51)/$D$7</f>
        <v>0.57499999999999996</v>
      </c>
      <c r="I51">
        <f>_xlfn.NORM.DIST(G51,[1]!_mi,[1]!_sigma,TRUE)</f>
        <v>0.56618383261090366</v>
      </c>
      <c r="K51">
        <f>_xlfn.RANK.AVG(G51, G:G, 1)</f>
        <v>49.5</v>
      </c>
      <c r="L51">
        <f>(K51 - 0.5)/COUNT($G$2:$G$83)</f>
        <v>0.59756097560975607</v>
      </c>
      <c r="M51">
        <f>_xlfn.NORM.S.INV(L51)</f>
        <v>0.2470389907389772</v>
      </c>
      <c r="N51">
        <f>STANDARDIZE(G51,_mi,_sigma)</f>
        <v>0.16666666666666666</v>
      </c>
      <c r="P51">
        <f>ABS(H51-I51)</f>
        <v>8.8161673890962966E-3</v>
      </c>
    </row>
    <row r="52" spans="6:16" x14ac:dyDescent="0.3">
      <c r="F52">
        <v>50</v>
      </c>
      <c r="G52">
        <f>SMALL(B:B,(F52+1)/2)</f>
        <v>180</v>
      </c>
      <c r="H52">
        <f>COUNTIF(B:B,"&lt;="&amp;G52)/$D$7</f>
        <v>0.625</v>
      </c>
      <c r="I52">
        <f>_xlfn.NORM.DIST(G52,[1]!_mi,[1]!_sigma,TRUE)</f>
        <v>0.56618383261090366</v>
      </c>
      <c r="K52">
        <f>_xlfn.RANK.AVG(G52, G:G, 1)</f>
        <v>49.5</v>
      </c>
      <c r="L52">
        <f>(K52 - 0.5)/COUNT($G$2:$G$83)</f>
        <v>0.59756097560975607</v>
      </c>
      <c r="M52">
        <f>_xlfn.NORM.S.INV(L52)</f>
        <v>0.2470389907389772</v>
      </c>
      <c r="N52">
        <f>STANDARDIZE(G52,_mi,_sigma)</f>
        <v>0.16666666666666666</v>
      </c>
      <c r="P52">
        <f>ABS(H52-I52)</f>
        <v>5.8816167389096341E-2</v>
      </c>
    </row>
    <row r="53" spans="6:16" x14ac:dyDescent="0.3">
      <c r="F53">
        <v>51</v>
      </c>
      <c r="G53">
        <f>SMALL(B:B,(F53+1)/2)</f>
        <v>184</v>
      </c>
      <c r="H53">
        <f>COUNTIF(B:B,"&lt;"&amp;G53)/$D$7</f>
        <v>0.625</v>
      </c>
      <c r="I53">
        <f>_xlfn.NORM.DIST(G53,[1]!_mi,[1]!_sigma,TRUE)</f>
        <v>0.6513208290612621</v>
      </c>
      <c r="K53">
        <f>_xlfn.RANK.AVG(G53, G:G, 1)</f>
        <v>53.5</v>
      </c>
      <c r="L53">
        <f>(K53 - 0.5)/COUNT($G$2:$G$83)</f>
        <v>0.64634146341463417</v>
      </c>
      <c r="M53">
        <f>_xlfn.NORM.S.INV(L53)</f>
        <v>0.37546177023551847</v>
      </c>
      <c r="N53">
        <f>STANDARDIZE(G53,_mi,_sigma)</f>
        <v>0.3888888888888889</v>
      </c>
      <c r="P53">
        <f>ABS(H53-I53)</f>
        <v>2.6320829061262097E-2</v>
      </c>
    </row>
    <row r="54" spans="6:16" x14ac:dyDescent="0.3">
      <c r="F54">
        <v>52</v>
      </c>
      <c r="G54">
        <f>SMALL(B:B,(F54+1)/2)</f>
        <v>184</v>
      </c>
      <c r="H54">
        <f>COUNTIF(B:B,"&lt;="&amp;G54)/$D$7</f>
        <v>0.67500000000000004</v>
      </c>
      <c r="I54">
        <f>_xlfn.NORM.DIST(G54,[1]!_mi,[1]!_sigma,TRUE)</f>
        <v>0.6513208290612621</v>
      </c>
      <c r="K54">
        <f>_xlfn.RANK.AVG(G54, G:G, 1)</f>
        <v>53.5</v>
      </c>
      <c r="L54">
        <f>(K54 - 0.5)/COUNT($G$2:$G$83)</f>
        <v>0.64634146341463417</v>
      </c>
      <c r="M54">
        <f>_xlfn.NORM.S.INV(L54)</f>
        <v>0.37546177023551847</v>
      </c>
      <c r="N54">
        <f>STANDARDIZE(G54,_mi,_sigma)</f>
        <v>0.3888888888888889</v>
      </c>
      <c r="P54">
        <f>ABS(H54-I54)</f>
        <v>2.3679170938737948E-2</v>
      </c>
    </row>
    <row r="55" spans="6:16" x14ac:dyDescent="0.3">
      <c r="F55">
        <v>53</v>
      </c>
      <c r="G55">
        <f>SMALL(B:B,(F55+1)/2)</f>
        <v>184</v>
      </c>
      <c r="H55">
        <f>COUNTIF(B:B,"&lt;"&amp;G55)/$D$7</f>
        <v>0.625</v>
      </c>
      <c r="I55">
        <f>_xlfn.NORM.DIST(G55,[1]!_mi,[1]!_sigma,TRUE)</f>
        <v>0.6513208290612621</v>
      </c>
      <c r="K55">
        <f>_xlfn.RANK.AVG(G55, G:G, 1)</f>
        <v>53.5</v>
      </c>
      <c r="L55">
        <f>(K55 - 0.5)/COUNT($G$2:$G$83)</f>
        <v>0.64634146341463417</v>
      </c>
      <c r="M55">
        <f>_xlfn.NORM.S.INV(L55)</f>
        <v>0.37546177023551847</v>
      </c>
      <c r="N55">
        <f>STANDARDIZE(G55,_mi,_sigma)</f>
        <v>0.3888888888888889</v>
      </c>
      <c r="P55">
        <f>ABS(H55-I55)</f>
        <v>2.6320829061262097E-2</v>
      </c>
    </row>
    <row r="56" spans="6:16" x14ac:dyDescent="0.3">
      <c r="F56">
        <v>54</v>
      </c>
      <c r="G56">
        <f>SMALL(B:B,(F56+1)/2)</f>
        <v>184</v>
      </c>
      <c r="H56">
        <f>COUNTIF(B:B,"&lt;="&amp;G56)/$D$7</f>
        <v>0.67500000000000004</v>
      </c>
      <c r="I56">
        <f>_xlfn.NORM.DIST(G56,[1]!_mi,[1]!_sigma,TRUE)</f>
        <v>0.6513208290612621</v>
      </c>
      <c r="K56">
        <f>_xlfn.RANK.AVG(G56, G:G, 1)</f>
        <v>53.5</v>
      </c>
      <c r="L56">
        <f>(K56 - 0.5)/COUNT($G$2:$G$83)</f>
        <v>0.64634146341463417</v>
      </c>
      <c r="M56">
        <f>_xlfn.NORM.S.INV(L56)</f>
        <v>0.37546177023551847</v>
      </c>
      <c r="N56">
        <f>STANDARDIZE(G56,_mi,_sigma)</f>
        <v>0.3888888888888889</v>
      </c>
      <c r="P56">
        <f>ABS(H56-I56)</f>
        <v>2.3679170938737948E-2</v>
      </c>
    </row>
    <row r="57" spans="6:16" x14ac:dyDescent="0.3">
      <c r="F57">
        <v>55</v>
      </c>
      <c r="G57">
        <f>SMALL(B:B,(F57+1)/2)</f>
        <v>185</v>
      </c>
      <c r="H57">
        <f>COUNTIF(B:B,"&lt;"&amp;G57)/$D$7</f>
        <v>0.67500000000000004</v>
      </c>
      <c r="I57">
        <f>_xlfn.NORM.DIST(G57,[1]!_mi,[1]!_sigma,TRUE)</f>
        <v>0.67163935671811481</v>
      </c>
      <c r="K57">
        <f>_xlfn.RANK.AVG(G57, G:G, 1)</f>
        <v>56.5</v>
      </c>
      <c r="L57">
        <f>(K57 - 0.5)/COUNT($G$2:$G$83)</f>
        <v>0.68292682926829273</v>
      </c>
      <c r="M57">
        <f>_xlfn.NORM.S.INV(L57)</f>
        <v>0.47589899043667905</v>
      </c>
      <c r="N57">
        <f>STANDARDIZE(G57,_mi,_sigma)</f>
        <v>0.44444444444444442</v>
      </c>
      <c r="P57">
        <f>ABS(H57-I57)</f>
        <v>3.3606432818852339E-3</v>
      </c>
    </row>
    <row r="58" spans="6:16" x14ac:dyDescent="0.3">
      <c r="F58">
        <v>56</v>
      </c>
      <c r="G58">
        <f>SMALL(B:B,(F58+1)/2)</f>
        <v>185</v>
      </c>
      <c r="H58">
        <f>COUNTIF(B:B,"&lt;="&amp;G58)/$D$7</f>
        <v>0.7</v>
      </c>
      <c r="I58">
        <f>_xlfn.NORM.DIST(G58,[1]!_mi,[1]!_sigma,TRUE)</f>
        <v>0.67163935671811481</v>
      </c>
      <c r="K58">
        <f>_xlfn.RANK.AVG(G58, G:G, 1)</f>
        <v>56.5</v>
      </c>
      <c r="L58">
        <f>(K58 - 0.5)/COUNT($G$2:$G$83)</f>
        <v>0.68292682926829273</v>
      </c>
      <c r="M58">
        <f>_xlfn.NORM.S.INV(L58)</f>
        <v>0.47589899043667905</v>
      </c>
      <c r="N58">
        <f>STANDARDIZE(G58,_mi,_sigma)</f>
        <v>0.44444444444444442</v>
      </c>
      <c r="P58">
        <f>ABS(H58-I58)</f>
        <v>2.8360643281885145E-2</v>
      </c>
    </row>
    <row r="59" spans="6:16" x14ac:dyDescent="0.3">
      <c r="F59">
        <v>57</v>
      </c>
      <c r="G59">
        <f>SMALL(B:B,(F59+1)/2)</f>
        <v>187</v>
      </c>
      <c r="H59">
        <f>COUNTIF(B:B,"&lt;"&amp;G59)/$D$7</f>
        <v>0.7</v>
      </c>
      <c r="I59">
        <f>_xlfn.NORM.DIST(G59,[1]!_mi,[1]!_sigma,TRUE)</f>
        <v>0.7107426392460281</v>
      </c>
      <c r="K59">
        <f>_xlfn.RANK.AVG(G59, G:G, 1)</f>
        <v>58.5</v>
      </c>
      <c r="L59">
        <f>(K59 - 0.5)/COUNT($G$2:$G$83)</f>
        <v>0.70731707317073167</v>
      </c>
      <c r="M59">
        <f>_xlfn.NORM.S.INV(L59)</f>
        <v>0.54556374182259537</v>
      </c>
      <c r="N59">
        <f>STANDARDIZE(G59,_mi,_sigma)</f>
        <v>0.55555555555555558</v>
      </c>
      <c r="P59">
        <f>ABS(H59-I59)</f>
        <v>1.0742639246028141E-2</v>
      </c>
    </row>
    <row r="60" spans="6:16" x14ac:dyDescent="0.3">
      <c r="F60">
        <v>58</v>
      </c>
      <c r="G60">
        <f>SMALL(B:B,(F60+1)/2)</f>
        <v>187</v>
      </c>
      <c r="H60">
        <f>COUNTIF(B:B,"&lt;="&amp;G60)/$D$7</f>
        <v>0.72499999999999998</v>
      </c>
      <c r="I60">
        <f>_xlfn.NORM.DIST(G60,[1]!_mi,[1]!_sigma,TRUE)</f>
        <v>0.7107426392460281</v>
      </c>
      <c r="K60">
        <f>_xlfn.RANK.AVG(G60, G:G, 1)</f>
        <v>58.5</v>
      </c>
      <c r="L60">
        <f>(K60 - 0.5)/COUNT($G$2:$G$83)</f>
        <v>0.70731707317073167</v>
      </c>
      <c r="M60">
        <f>_xlfn.NORM.S.INV(L60)</f>
        <v>0.54556374182259537</v>
      </c>
      <c r="N60">
        <f>STANDARDIZE(G60,_mi,_sigma)</f>
        <v>0.55555555555555558</v>
      </c>
      <c r="P60">
        <f>ABS(H60-I60)</f>
        <v>1.4257360753971882E-2</v>
      </c>
    </row>
    <row r="61" spans="6:16" x14ac:dyDescent="0.3">
      <c r="F61">
        <v>59</v>
      </c>
      <c r="G61">
        <f>SMALL(B:B,(F61+1)/2)</f>
        <v>189</v>
      </c>
      <c r="H61">
        <f>COUNTIF(B:B,"&lt;"&amp;G61)/$D$7</f>
        <v>0.72499999999999998</v>
      </c>
      <c r="I61">
        <f>_xlfn.NORM.DIST(G61,[1]!_mi,[1]!_sigma,TRUE)</f>
        <v>0.74750746245307709</v>
      </c>
      <c r="K61">
        <f>_xlfn.RANK.AVG(G61, G:G, 1)</f>
        <v>61.5</v>
      </c>
      <c r="L61">
        <f>(K61 - 0.5)/COUNT($G$2:$G$83)</f>
        <v>0.74390243902439024</v>
      </c>
      <c r="M61">
        <f>_xlfn.NORM.S.INV(L61)</f>
        <v>0.65542350523442661</v>
      </c>
      <c r="N61">
        <f>STANDARDIZE(G61,_mi,_sigma)</f>
        <v>0.66666666666666663</v>
      </c>
      <c r="P61">
        <f>ABS(H61-I61)</f>
        <v>2.2507462453077109E-2</v>
      </c>
    </row>
    <row r="62" spans="6:16" x14ac:dyDescent="0.3">
      <c r="F62">
        <v>60</v>
      </c>
      <c r="G62">
        <f>SMALL(B:B,(F62+1)/2)</f>
        <v>189</v>
      </c>
      <c r="H62">
        <f>COUNTIF(B:B,"&lt;="&amp;G62)/$D$7</f>
        <v>0.77500000000000002</v>
      </c>
      <c r="I62">
        <f>_xlfn.NORM.DIST(G62,[1]!_mi,[1]!_sigma,TRUE)</f>
        <v>0.74750746245307709</v>
      </c>
      <c r="K62">
        <f>_xlfn.RANK.AVG(G62, G:G, 1)</f>
        <v>61.5</v>
      </c>
      <c r="L62">
        <f>(K62 - 0.5)/COUNT($G$2:$G$83)</f>
        <v>0.74390243902439024</v>
      </c>
      <c r="M62">
        <f>_xlfn.NORM.S.INV(L62)</f>
        <v>0.65542350523442661</v>
      </c>
      <c r="N62">
        <f>STANDARDIZE(G62,_mi,_sigma)</f>
        <v>0.66666666666666663</v>
      </c>
      <c r="P62">
        <f>ABS(H62-I62)</f>
        <v>2.7492537546922935E-2</v>
      </c>
    </row>
    <row r="63" spans="6:16" x14ac:dyDescent="0.3">
      <c r="F63">
        <v>61</v>
      </c>
      <c r="G63">
        <f>SMALL(B:B,(F63+1)/2)</f>
        <v>189</v>
      </c>
      <c r="H63">
        <f>COUNTIF(B:B,"&lt;"&amp;G63)/$D$7</f>
        <v>0.72499999999999998</v>
      </c>
      <c r="I63">
        <f>_xlfn.NORM.DIST(G63,[1]!_mi,[1]!_sigma,TRUE)</f>
        <v>0.74750746245307709</v>
      </c>
      <c r="K63">
        <f>_xlfn.RANK.AVG(G63, G:G, 1)</f>
        <v>61.5</v>
      </c>
      <c r="L63">
        <f>(K63 - 0.5)/COUNT($G$2:$G$83)</f>
        <v>0.74390243902439024</v>
      </c>
      <c r="M63">
        <f>_xlfn.NORM.S.INV(L63)</f>
        <v>0.65542350523442661</v>
      </c>
      <c r="N63">
        <f>STANDARDIZE(G63,_mi,_sigma)</f>
        <v>0.66666666666666663</v>
      </c>
      <c r="P63">
        <f>ABS(H63-I63)</f>
        <v>2.2507462453077109E-2</v>
      </c>
    </row>
    <row r="64" spans="6:16" x14ac:dyDescent="0.3">
      <c r="F64">
        <v>62</v>
      </c>
      <c r="G64">
        <f>SMALL(B:B,(F64+1)/2)</f>
        <v>189</v>
      </c>
      <c r="H64">
        <f>COUNTIF(B:B,"&lt;="&amp;G64)/$D$7</f>
        <v>0.77500000000000002</v>
      </c>
      <c r="I64">
        <f>_xlfn.NORM.DIST(G64,[1]!_mi,[1]!_sigma,TRUE)</f>
        <v>0.74750746245307709</v>
      </c>
      <c r="K64">
        <f>_xlfn.RANK.AVG(G64, G:G, 1)</f>
        <v>61.5</v>
      </c>
      <c r="L64">
        <f>(K64 - 0.5)/COUNT($G$2:$G$83)</f>
        <v>0.74390243902439024</v>
      </c>
      <c r="M64">
        <f>_xlfn.NORM.S.INV(L64)</f>
        <v>0.65542350523442661</v>
      </c>
      <c r="N64">
        <f>STANDARDIZE(G64,_mi,_sigma)</f>
        <v>0.66666666666666663</v>
      </c>
      <c r="P64">
        <f>ABS(H64-I64)</f>
        <v>2.7492537546922935E-2</v>
      </c>
    </row>
    <row r="65" spans="6:16" x14ac:dyDescent="0.3">
      <c r="F65">
        <v>63</v>
      </c>
      <c r="G65">
        <f>SMALL(B:B,(F65+1)/2)</f>
        <v>190</v>
      </c>
      <c r="H65">
        <f>COUNTIF(B:B,"&lt;"&amp;G65)/$D$7</f>
        <v>0.77500000000000002</v>
      </c>
      <c r="I65">
        <f>_xlfn.NORM.DIST(G65,[1]!_mi,[1]!_sigma,TRUE)</f>
        <v>0.76492106857116515</v>
      </c>
      <c r="K65">
        <f>_xlfn.RANK.AVG(G65, G:G, 1)</f>
        <v>64.5</v>
      </c>
      <c r="L65">
        <f>(K65 - 0.5)/COUNT($G$2:$G$83)</f>
        <v>0.78048780487804881</v>
      </c>
      <c r="M65">
        <f>_xlfn.NORM.S.INV(L65)</f>
        <v>0.77384173233725317</v>
      </c>
      <c r="N65">
        <f>STANDARDIZE(G65,_mi,_sigma)</f>
        <v>0.72222222222222221</v>
      </c>
      <c r="P65">
        <f>ABS(H65-I65)</f>
        <v>1.007893142883487E-2</v>
      </c>
    </row>
    <row r="66" spans="6:16" x14ac:dyDescent="0.3">
      <c r="F66">
        <v>64</v>
      </c>
      <c r="G66">
        <f>SMALL(B:B,(F66+1)/2)</f>
        <v>190</v>
      </c>
      <c r="H66">
        <f>COUNTIF(B:B,"&lt;="&amp;G66)/$D$7</f>
        <v>0.8</v>
      </c>
      <c r="I66">
        <f>_xlfn.NORM.DIST(G66,[1]!_mi,[1]!_sigma,TRUE)</f>
        <v>0.76492106857116515</v>
      </c>
      <c r="K66">
        <f>_xlfn.RANK.AVG(G66, G:G, 1)</f>
        <v>64.5</v>
      </c>
      <c r="L66">
        <f>(K66 - 0.5)/COUNT($G$2:$G$83)</f>
        <v>0.78048780487804881</v>
      </c>
      <c r="M66">
        <f>_xlfn.NORM.S.INV(L66)</f>
        <v>0.77384173233725317</v>
      </c>
      <c r="N66">
        <f>STANDARDIZE(G66,_mi,_sigma)</f>
        <v>0.72222222222222221</v>
      </c>
      <c r="P66">
        <f>ABS(H66-I66)</f>
        <v>3.5078931428834892E-2</v>
      </c>
    </row>
    <row r="67" spans="6:16" x14ac:dyDescent="0.3">
      <c r="F67">
        <v>65</v>
      </c>
      <c r="G67">
        <f>SMALL(B:B,(F67+1)/2)</f>
        <v>193</v>
      </c>
      <c r="H67">
        <f>COUNTIF(B:B,"&lt;"&amp;G67)/$D$7</f>
        <v>0.8</v>
      </c>
      <c r="I67">
        <f>_xlfn.NORM.DIST(G67,[1]!_mi,[1]!_sigma,TRUE)</f>
        <v>0.81296860125455872</v>
      </c>
      <c r="K67">
        <f>_xlfn.RANK.AVG(G67, G:G, 1)</f>
        <v>66.5</v>
      </c>
      <c r="L67">
        <f>(K67 - 0.5)/COUNT($G$2:$G$83)</f>
        <v>0.80487804878048785</v>
      </c>
      <c r="M67">
        <f>_xlfn.NORM.S.INV(L67)</f>
        <v>0.85917512959585085</v>
      </c>
      <c r="N67">
        <f>STANDARDIZE(G67,_mi,_sigma)</f>
        <v>0.88888888888888884</v>
      </c>
      <c r="P67">
        <f>ABS(H67-I67)</f>
        <v>1.2968601254558676E-2</v>
      </c>
    </row>
    <row r="68" spans="6:16" x14ac:dyDescent="0.3">
      <c r="F68">
        <v>66</v>
      </c>
      <c r="G68">
        <f>SMALL(B:B,(F68+1)/2)</f>
        <v>193</v>
      </c>
      <c r="H68">
        <f>COUNTIF(B:B,"&lt;="&amp;G68)/$D$7</f>
        <v>0.82499999999999996</v>
      </c>
      <c r="I68">
        <f>_xlfn.NORM.DIST(G68,[1]!_mi,[1]!_sigma,TRUE)</f>
        <v>0.81296860125455872</v>
      </c>
      <c r="K68">
        <f>_xlfn.RANK.AVG(G68, G:G, 1)</f>
        <v>66.5</v>
      </c>
      <c r="L68">
        <f>(K68 - 0.5)/COUNT($G$2:$G$83)</f>
        <v>0.80487804878048785</v>
      </c>
      <c r="M68">
        <f>_xlfn.NORM.S.INV(L68)</f>
        <v>0.85917512959585085</v>
      </c>
      <c r="N68">
        <f>STANDARDIZE(G68,_mi,_sigma)</f>
        <v>0.88888888888888884</v>
      </c>
      <c r="P68">
        <f>ABS(H68-I68)</f>
        <v>1.2031398745441235E-2</v>
      </c>
    </row>
    <row r="69" spans="6:16" x14ac:dyDescent="0.3">
      <c r="F69">
        <v>67</v>
      </c>
      <c r="G69">
        <f>SMALL(B:B,(F69+1)/2)</f>
        <v>194</v>
      </c>
      <c r="H69">
        <f>COUNTIF(B:B,"&lt;"&amp;G69)/$D$7</f>
        <v>0.82499999999999996</v>
      </c>
      <c r="I69">
        <f>_xlfn.NORM.DIST(G69,[1]!_mi,[1]!_sigma,TRUE)</f>
        <v>0.82752871058569177</v>
      </c>
      <c r="K69">
        <f>_xlfn.RANK.AVG(G69, G:G, 1)</f>
        <v>68.5</v>
      </c>
      <c r="L69">
        <f>(K69 - 0.5)/COUNT($G$2:$G$83)</f>
        <v>0.82926829268292679</v>
      </c>
      <c r="M69">
        <f>_xlfn.NORM.S.INV(L69)</f>
        <v>0.95127771872909239</v>
      </c>
      <c r="N69">
        <f>STANDARDIZE(G69,_mi,_sigma)</f>
        <v>0.94444444444444442</v>
      </c>
      <c r="P69">
        <f>ABS(H69-I69)</f>
        <v>2.5287105856918179E-3</v>
      </c>
    </row>
    <row r="70" spans="6:16" x14ac:dyDescent="0.3">
      <c r="F70">
        <v>68</v>
      </c>
      <c r="G70">
        <f>SMALL(B:B,(F70+1)/2)</f>
        <v>194</v>
      </c>
      <c r="H70">
        <f>COUNTIF(B:B,"&lt;="&amp;G70)/$D$7</f>
        <v>0.85</v>
      </c>
      <c r="I70">
        <f>_xlfn.NORM.DIST(G70,[1]!_mi,[1]!_sigma,TRUE)</f>
        <v>0.82752871058569177</v>
      </c>
      <c r="K70">
        <f>_xlfn.RANK.AVG(G70, G:G, 1)</f>
        <v>68.5</v>
      </c>
      <c r="L70">
        <f>(K70 - 0.5)/COUNT($G$2:$G$83)</f>
        <v>0.82926829268292679</v>
      </c>
      <c r="M70">
        <f>_xlfn.NORM.S.INV(L70)</f>
        <v>0.95127771872909239</v>
      </c>
      <c r="N70">
        <f>STANDARDIZE(G70,_mi,_sigma)</f>
        <v>0.94444444444444442</v>
      </c>
      <c r="P70">
        <f>ABS(H70-I70)</f>
        <v>2.2471289414308204E-2</v>
      </c>
    </row>
    <row r="71" spans="6:16" x14ac:dyDescent="0.3">
      <c r="F71">
        <v>69</v>
      </c>
      <c r="G71">
        <f>SMALL(B:B,(F71+1)/2)</f>
        <v>195</v>
      </c>
      <c r="H71">
        <f>COUNTIF(B:B,"&lt;"&amp;G71)/$D$7</f>
        <v>0.85</v>
      </c>
      <c r="I71">
        <f>_xlfn.NORM.DIST(G71,[1]!_mi,[1]!_sigma,TRUE)</f>
        <v>0.84134474606854304</v>
      </c>
      <c r="K71">
        <f>_xlfn.RANK.AVG(G71, G:G, 1)</f>
        <v>70.5</v>
      </c>
      <c r="L71">
        <f>(K71 - 0.5)/COUNT($G$2:$G$83)</f>
        <v>0.85365853658536583</v>
      </c>
      <c r="M71">
        <f>_xlfn.NORM.S.INV(L71)</f>
        <v>1.0522542255562288</v>
      </c>
      <c r="N71">
        <f>STANDARDIZE(G71,_mi,_sigma)</f>
        <v>1</v>
      </c>
      <c r="P71">
        <f>ABS(H71-I71)</f>
        <v>8.655253931456941E-3</v>
      </c>
    </row>
    <row r="72" spans="6:16" x14ac:dyDescent="0.3">
      <c r="F72">
        <v>70</v>
      </c>
      <c r="G72">
        <f>SMALL(B:B,(F72+1)/2)</f>
        <v>195</v>
      </c>
      <c r="H72">
        <f>COUNTIF(B:B,"&lt;="&amp;G72)/$D$7</f>
        <v>0.875</v>
      </c>
      <c r="I72">
        <f>_xlfn.NORM.DIST(G72,[1]!_mi,[1]!_sigma,TRUE)</f>
        <v>0.84134474606854304</v>
      </c>
      <c r="K72">
        <f>_xlfn.RANK.AVG(G72, G:G, 1)</f>
        <v>70.5</v>
      </c>
      <c r="L72">
        <f>(K72 - 0.5)/COUNT($G$2:$G$83)</f>
        <v>0.85365853658536583</v>
      </c>
      <c r="M72">
        <f>_xlfn.NORM.S.INV(L72)</f>
        <v>1.0522542255562288</v>
      </c>
      <c r="N72">
        <f>STANDARDIZE(G72,_mi,_sigma)</f>
        <v>1</v>
      </c>
      <c r="P72">
        <f>ABS(H72-I72)</f>
        <v>3.3655253931456963E-2</v>
      </c>
    </row>
    <row r="73" spans="6:16" x14ac:dyDescent="0.3">
      <c r="F73">
        <v>71</v>
      </c>
      <c r="G73">
        <f>SMALL(B:B,(F73+1)/2)</f>
        <v>200</v>
      </c>
      <c r="H73">
        <f>COUNTIF(B:B,"&lt;"&amp;G73)/$D$7</f>
        <v>0.875</v>
      </c>
      <c r="I73">
        <f>_xlfn.NORM.DIST(G73,[1]!_mi,[1]!_sigma,TRUE)</f>
        <v>0.89933610400849928</v>
      </c>
      <c r="K73">
        <f>_xlfn.RANK.AVG(G73, G:G, 1)</f>
        <v>72.5</v>
      </c>
      <c r="L73">
        <f>(K73 - 0.5)/COUNT($G$2:$G$83)</f>
        <v>0.87804878048780488</v>
      </c>
      <c r="M73">
        <f>_xlfn.NORM.S.INV(L73)</f>
        <v>1.1652879896966826</v>
      </c>
      <c r="N73">
        <f>STANDARDIZE(G73,_mi,_sigma)</f>
        <v>1.2777777777777777</v>
      </c>
      <c r="P73">
        <f>ABS(H73-I73)</f>
        <v>2.4336104008499282E-2</v>
      </c>
    </row>
    <row r="74" spans="6:16" x14ac:dyDescent="0.3">
      <c r="F74">
        <v>72</v>
      </c>
      <c r="G74">
        <f>SMALL(B:B,(F74+1)/2)</f>
        <v>200</v>
      </c>
      <c r="H74">
        <f>COUNTIF(B:B,"&lt;="&amp;G74)/$D$7</f>
        <v>0.9</v>
      </c>
      <c r="I74">
        <f>_xlfn.NORM.DIST(G74,[1]!_mi,[1]!_sigma,TRUE)</f>
        <v>0.89933610400849928</v>
      </c>
      <c r="K74">
        <f>_xlfn.RANK.AVG(G74, G:G, 1)</f>
        <v>72.5</v>
      </c>
      <c r="L74">
        <f>(K74 - 0.5)/COUNT($G$2:$G$83)</f>
        <v>0.87804878048780488</v>
      </c>
      <c r="M74">
        <f>_xlfn.NORM.S.INV(L74)</f>
        <v>1.1652879896966826</v>
      </c>
      <c r="N74">
        <f>STANDARDIZE(G74,_mi,_sigma)</f>
        <v>1.2777777777777777</v>
      </c>
      <c r="P74">
        <f>ABS(H74-I74)</f>
        <v>6.638959915007403E-4</v>
      </c>
    </row>
    <row r="75" spans="6:16" x14ac:dyDescent="0.3">
      <c r="F75">
        <v>73</v>
      </c>
      <c r="G75">
        <f>SMALL(B:B,(F75+1)/2)</f>
        <v>202</v>
      </c>
      <c r="H75">
        <f>COUNTIF(B:B,"&lt;"&amp;G75)/$D$7</f>
        <v>0.9</v>
      </c>
      <c r="I75">
        <f>_xlfn.NORM.DIST(G75,[1]!_mi,[1]!_sigma,TRUE)</f>
        <v>0.9175667301260455</v>
      </c>
      <c r="K75">
        <f>_xlfn.RANK.AVG(G75, G:G, 1)</f>
        <v>74.5</v>
      </c>
      <c r="L75">
        <f>(K75 - 0.5)/COUNT($G$2:$G$83)</f>
        <v>0.90243902439024393</v>
      </c>
      <c r="M75">
        <f>_xlfn.NORM.S.INV(L75)</f>
        <v>1.2955749870976874</v>
      </c>
      <c r="N75">
        <f>STANDARDIZE(G75,_mi,_sigma)</f>
        <v>1.3888888888888888</v>
      </c>
      <c r="P75">
        <f>ABS(H75-I75)</f>
        <v>1.7566730126045482E-2</v>
      </c>
    </row>
    <row r="76" spans="6:16" x14ac:dyDescent="0.3">
      <c r="F76">
        <v>74</v>
      </c>
      <c r="G76">
        <f>SMALL(B:B,(F76+1)/2)</f>
        <v>202</v>
      </c>
      <c r="H76">
        <f>COUNTIF(B:B,"&lt;="&amp;G76)/$D$7</f>
        <v>0.92500000000000004</v>
      </c>
      <c r="I76">
        <f>_xlfn.NORM.DIST(G76,[1]!_mi,[1]!_sigma,TRUE)</f>
        <v>0.9175667301260455</v>
      </c>
      <c r="K76">
        <f>_xlfn.RANK.AVG(G76, G:G, 1)</f>
        <v>74.5</v>
      </c>
      <c r="L76">
        <f>(K76 - 0.5)/COUNT($G$2:$G$83)</f>
        <v>0.90243902439024393</v>
      </c>
      <c r="M76">
        <f>_xlfn.NORM.S.INV(L76)</f>
        <v>1.2955749870976874</v>
      </c>
      <c r="N76">
        <f>STANDARDIZE(G76,_mi,_sigma)</f>
        <v>1.3888888888888888</v>
      </c>
      <c r="P76">
        <f>ABS(H76-I76)</f>
        <v>7.43326987395454E-3</v>
      </c>
    </row>
    <row r="77" spans="6:16" x14ac:dyDescent="0.3">
      <c r="F77">
        <v>75</v>
      </c>
      <c r="G77">
        <f>SMALL(B:B,(F77+1)/2)</f>
        <v>203</v>
      </c>
      <c r="H77">
        <f>COUNTIF(B:B,"&lt;"&amp;G77)/$D$7</f>
        <v>0.92500000000000004</v>
      </c>
      <c r="I77">
        <f>_xlfn.NORM.DIST(G77,[1]!_mi,[1]!_sigma,TRUE)</f>
        <v>0.92569300177239411</v>
      </c>
      <c r="K77">
        <f>_xlfn.RANK.AVG(G77, G:G, 1)</f>
        <v>76.5</v>
      </c>
      <c r="L77">
        <f>(K77 - 0.5)/COUNT($G$2:$G$83)</f>
        <v>0.92682926829268297</v>
      </c>
      <c r="M77">
        <f>_xlfn.NORM.S.INV(L77)</f>
        <v>1.4525761808120046</v>
      </c>
      <c r="N77">
        <f>STANDARDIZE(G77,_mi,_sigma)</f>
        <v>1.4444444444444444</v>
      </c>
      <c r="P77">
        <f>ABS(H77-I77)</f>
        <v>6.9300177239406402E-4</v>
      </c>
    </row>
    <row r="78" spans="6:16" x14ac:dyDescent="0.3">
      <c r="F78">
        <v>76</v>
      </c>
      <c r="G78">
        <f>SMALL(B:B,(F78+1)/2)</f>
        <v>203</v>
      </c>
      <c r="H78">
        <f>COUNTIF(B:B,"&lt;="&amp;G78)/$D$7</f>
        <v>0.95</v>
      </c>
      <c r="I78">
        <f>_xlfn.NORM.DIST(G78,[1]!_mi,[1]!_sigma,TRUE)</f>
        <v>0.92569300177239411</v>
      </c>
      <c r="K78">
        <f>_xlfn.RANK.AVG(G78, G:G, 1)</f>
        <v>76.5</v>
      </c>
      <c r="L78">
        <f>(K78 - 0.5)/COUNT($G$2:$G$83)</f>
        <v>0.92682926829268297</v>
      </c>
      <c r="M78">
        <f>_xlfn.NORM.S.INV(L78)</f>
        <v>1.4525761808120046</v>
      </c>
      <c r="N78">
        <f>STANDARDIZE(G78,_mi,_sigma)</f>
        <v>1.4444444444444444</v>
      </c>
      <c r="P78">
        <f>ABS(H78-I78)</f>
        <v>2.4306998227605847E-2</v>
      </c>
    </row>
    <row r="79" spans="6:16" x14ac:dyDescent="0.3">
      <c r="F79">
        <v>77</v>
      </c>
      <c r="G79">
        <f>SMALL(B:B,(F79+1)/2)</f>
        <v>213</v>
      </c>
      <c r="H79">
        <f>COUNTIF(B:B,"&lt;"&amp;G79)/$D$7</f>
        <v>0.95</v>
      </c>
      <c r="I79">
        <f>_xlfn.NORM.DIST(G79,[1]!_mi,[1]!_sigma,TRUE)</f>
        <v>0.97724986805182079</v>
      </c>
      <c r="K79">
        <f>_xlfn.RANK.AVG(G79, G:G, 1)</f>
        <v>78.5</v>
      </c>
      <c r="L79">
        <f>(K79 - 0.5)/COUNT($G$2:$G$83)</f>
        <v>0.95121951219512191</v>
      </c>
      <c r="M79">
        <f>_xlfn.NORM.S.INV(L79)</f>
        <v>1.6567947658159803</v>
      </c>
      <c r="N79">
        <f>STANDARDIZE(G79,_mi,_sigma)</f>
        <v>2</v>
      </c>
      <c r="P79">
        <f>ABS(H79-I79)</f>
        <v>2.7249868051820836E-2</v>
      </c>
    </row>
    <row r="80" spans="6:16" x14ac:dyDescent="0.3">
      <c r="F80">
        <v>78</v>
      </c>
      <c r="G80">
        <f>SMALL(B:B,(F80+1)/2)</f>
        <v>213</v>
      </c>
      <c r="H80">
        <f>COUNTIF(B:B,"&lt;="&amp;G80)/$D$7</f>
        <v>0.97499999999999998</v>
      </c>
      <c r="I80">
        <f>_xlfn.NORM.DIST(G80,[1]!_mi,[1]!_sigma,TRUE)</f>
        <v>0.97724986805182079</v>
      </c>
      <c r="K80">
        <f>_xlfn.RANK.AVG(G80, G:G, 1)</f>
        <v>78.5</v>
      </c>
      <c r="L80">
        <f>(K80 - 0.5)/COUNT($G$2:$G$83)</f>
        <v>0.95121951219512191</v>
      </c>
      <c r="M80">
        <f>_xlfn.NORM.S.INV(L80)</f>
        <v>1.6567947658159803</v>
      </c>
      <c r="N80">
        <f>STANDARDIZE(G80,_mi,_sigma)</f>
        <v>2</v>
      </c>
      <c r="P80">
        <f>ABS(H80-I80)</f>
        <v>2.2498680518208136E-3</v>
      </c>
    </row>
    <row r="81" spans="6:16" x14ac:dyDescent="0.3">
      <c r="F81">
        <v>79</v>
      </c>
      <c r="G81">
        <f>SMALL(B:B,(F81+1)/2)</f>
        <v>214</v>
      </c>
      <c r="H81">
        <f>COUNTIF(B:B,"&lt;"&amp;G81)/$D$7</f>
        <v>0.97499999999999998</v>
      </c>
      <c r="I81">
        <f>_xlfn.NORM.DIST(G81,[1]!_mi,[1]!_sigma,TRUE)</f>
        <v>0.98008731225022472</v>
      </c>
      <c r="K81">
        <f>_xlfn.RANK.AVG(G81, G:G, 1)</f>
        <v>80.5</v>
      </c>
      <c r="L81">
        <f>(K81 - 0.5)/COUNT($G$2:$G$83)</f>
        <v>0.97560975609756095</v>
      </c>
      <c r="M81">
        <f>_xlfn.NORM.S.INV(L81)</f>
        <v>1.9705053031703283</v>
      </c>
      <c r="N81">
        <f>STANDARDIZE(G81,_mi,_sigma)</f>
        <v>2.0555555555555554</v>
      </c>
      <c r="P81">
        <f>ABS(H81-I81)</f>
        <v>5.0873122502247403E-3</v>
      </c>
    </row>
    <row r="82" spans="6:16" x14ac:dyDescent="0.3">
      <c r="F82">
        <v>80</v>
      </c>
      <c r="G82">
        <f>G81</f>
        <v>214</v>
      </c>
      <c r="H82">
        <f>COUNTIF(B:B,"&lt;="&amp;G82)/$D$7</f>
        <v>1</v>
      </c>
      <c r="I82">
        <f>_xlfn.NORM.DIST(G82,[1]!_mi,[1]!_sigma,TRUE)</f>
        <v>0.98008731225022472</v>
      </c>
      <c r="K82">
        <f>_xlfn.RANK.AVG(G82, G:G, 1)</f>
        <v>80.5</v>
      </c>
      <c r="L82">
        <f>(K82 - 0.5)/COUNT($G$2:$G$83)</f>
        <v>0.97560975609756095</v>
      </c>
      <c r="M82">
        <f>_xlfn.NORM.S.INV(L82)</f>
        <v>1.9705053031703283</v>
      </c>
      <c r="N82">
        <f>STANDARDIZE(G82,_mi,_sigma)</f>
        <v>2.0555555555555554</v>
      </c>
      <c r="P82">
        <f>ABS(H82-I82)</f>
        <v>1.9912687749775282E-2</v>
      </c>
    </row>
    <row r="83" spans="6:16" x14ac:dyDescent="0.3">
      <c r="F83">
        <v>81</v>
      </c>
      <c r="G83">
        <f>220</f>
        <v>220</v>
      </c>
      <c r="H83">
        <f>COUNTIF(B:B,"&lt;"&amp;G83)/$D$7</f>
        <v>1</v>
      </c>
      <c r="I83">
        <f>_xlfn.NORM.DIST(G83,[1]!_mi,[1]!_sigma,TRUE)</f>
        <v>0.99155029378774917</v>
      </c>
      <c r="K83">
        <f>_xlfn.RANK.AVG(G83, G:G, 1)</f>
        <v>82</v>
      </c>
      <c r="L83">
        <f>(K83 - 0.5)/COUNT($G$2:$G$83)</f>
        <v>0.99390243902439024</v>
      </c>
      <c r="M83">
        <f>_xlfn.NORM.S.INV(L83)</f>
        <v>2.5064473464808863</v>
      </c>
      <c r="N83">
        <f>STANDARDIZE(G83,_mi,_sigma)</f>
        <v>2.3888888888888888</v>
      </c>
      <c r="P83">
        <f>ABS(H83-I83)</f>
        <v>8.4497062122508293E-3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28A9B-EC12-405B-AA10-C2229867A679}">
  <sheetPr codeName="Arkusz1"/>
  <dimension ref="A1:AC576"/>
  <sheetViews>
    <sheetView workbookViewId="0">
      <selection activeCell="F16" sqref="F16"/>
    </sheetView>
  </sheetViews>
  <sheetFormatPr defaultRowHeight="14.4" x14ac:dyDescent="0.3"/>
  <cols>
    <col min="2" max="2" width="9.109375" bestFit="1" customWidth="1"/>
  </cols>
  <sheetData>
    <row r="1" spans="1:29" x14ac:dyDescent="0.3">
      <c r="A1" t="s">
        <v>0</v>
      </c>
      <c r="B1" t="s">
        <v>1</v>
      </c>
      <c r="C1" t="s">
        <v>7</v>
      </c>
      <c r="E1" t="s">
        <v>2</v>
      </c>
      <c r="F1">
        <v>180</v>
      </c>
      <c r="P1" t="s">
        <v>16</v>
      </c>
      <c r="Q1" t="s">
        <v>22</v>
      </c>
      <c r="R1" t="s">
        <v>23</v>
      </c>
      <c r="T1" t="s">
        <v>24</v>
      </c>
      <c r="Z1" t="s">
        <v>46</v>
      </c>
      <c r="AB1" t="s">
        <v>47</v>
      </c>
    </row>
    <row r="2" spans="1:29" x14ac:dyDescent="0.3">
      <c r="A2" cm="1">
        <f t="array" ref="A2">Losuj()</f>
        <v>6.9836854934692383E-2</v>
      </c>
      <c r="B2">
        <f t="shared" ref="B2:B65" si="0">_xlfn.NORM.INV(A2,_mu,_sigma)</f>
        <v>162.27591371603597</v>
      </c>
      <c r="C2">
        <f>INT(B2)</f>
        <v>162</v>
      </c>
      <c r="E2" t="s">
        <v>3</v>
      </c>
      <c r="F2">
        <v>12</v>
      </c>
      <c r="I2" t="s">
        <v>15</v>
      </c>
      <c r="J2" t="s">
        <v>17</v>
      </c>
      <c r="K2" t="s">
        <v>16</v>
      </c>
      <c r="L2" t="s">
        <v>18</v>
      </c>
      <c r="M2" t="s">
        <v>19</v>
      </c>
      <c r="N2" t="s">
        <v>20</v>
      </c>
      <c r="O2" t="s">
        <v>21</v>
      </c>
      <c r="P2">
        <f>I3</f>
        <v>146.18421052631578</v>
      </c>
      <c r="Q2">
        <v>0</v>
      </c>
      <c r="R2">
        <f t="shared" ref="R2:R32" si="1">_xlfn.NORM.DIST(P2,_mu,_sigma,TRUE)</f>
        <v>2.4163225160440506E-3</v>
      </c>
      <c r="U2" t="s">
        <v>29</v>
      </c>
      <c r="V2" t="s">
        <v>26</v>
      </c>
      <c r="W2" t="s">
        <v>27</v>
      </c>
      <c r="X2" t="s">
        <v>30</v>
      </c>
      <c r="Y2" t="s">
        <v>28</v>
      </c>
      <c r="Z2">
        <f>1.06*_xlfn.STDEV.S(C:C)/(_n^(1/5))</f>
        <v>3.3798222305067132</v>
      </c>
      <c r="AA2">
        <f>1.06*_xlfn.STDEV.S(C:C)/(_n^(1/5))</f>
        <v>3.3798222305067132</v>
      </c>
      <c r="AB2">
        <f>1.06*_xlfn.STDEV.S(C:C)/(_n^(1/5))/3</f>
        <v>1.1266074101689043</v>
      </c>
      <c r="AC2">
        <f>1.06*_xlfn.STDEV.S(C:C)/(_n^(1/5))/300</f>
        <v>1.1266074101689044E-2</v>
      </c>
    </row>
    <row r="3" spans="1:29" x14ac:dyDescent="0.3">
      <c r="A3" cm="1">
        <f t="array" ref="A3">Losuj()</f>
        <v>0.82260024547576904</v>
      </c>
      <c r="B3">
        <f t="shared" si="0"/>
        <v>191.10383929252194</v>
      </c>
      <c r="C3">
        <f t="shared" ref="C3:C66" si="2">INT(B3)</f>
        <v>191</v>
      </c>
      <c r="H3">
        <v>1</v>
      </c>
      <c r="I3">
        <f>F13-_h/2</f>
        <v>146.18421052631578</v>
      </c>
      <c r="J3">
        <f>(I3+K3)/2</f>
        <v>148</v>
      </c>
      <c r="K3">
        <f t="shared" ref="K3:K32" si="3">I3+_h</f>
        <v>149.81578947368419</v>
      </c>
      <c r="L3">
        <f>COUNTIF(C:C,"&lt;="&amp;K3)</f>
        <v>3</v>
      </c>
      <c r="M3">
        <f>L3</f>
        <v>3</v>
      </c>
      <c r="N3">
        <f t="shared" ref="N3:N32" si="4">M3/_n/_h</f>
        <v>1.4366729678638942E-3</v>
      </c>
      <c r="O3">
        <f>_xlfn.NORM.DIST(J3,_mu,_sigma,FALSE)</f>
        <v>9.4966550198312025E-4</v>
      </c>
      <c r="P3">
        <f>K3</f>
        <v>149.81578947368419</v>
      </c>
      <c r="Q3">
        <f t="shared" ref="Q3:Q32" si="5">L3/_n</f>
        <v>5.2173913043478265E-3</v>
      </c>
      <c r="R3">
        <f t="shared" si="1"/>
        <v>5.9456985525777788E-3</v>
      </c>
      <c r="T3">
        <v>1</v>
      </c>
      <c r="U3">
        <v>0.5</v>
      </c>
      <c r="V3">
        <f>I3</f>
        <v>146.18421052631578</v>
      </c>
      <c r="W3" t="e">
        <f>DNorm(V3)</f>
        <v>#VALUE!</v>
      </c>
      <c r="X3">
        <v>0.5</v>
      </c>
      <c r="Y3" t="e">
        <f>PNorm(V3)</f>
        <v>#VALUE!</v>
      </c>
      <c r="Z3">
        <f>EstymacjaGaussowska(V3,C:C,$Z$2)</f>
        <v>5.8125571455054583E-4</v>
      </c>
      <c r="AA3">
        <f>EstymacjaEpanecznikowa(V3,C:C,$AA$2)</f>
        <v>5.3831399831251188E-4</v>
      </c>
      <c r="AB3">
        <f>EstymacjaGaussowskaDystr($V3,$C:$C,AB$2)</f>
        <v>1.9694128672350351E-4</v>
      </c>
      <c r="AC3">
        <f>EstymacjaEpanecznikowaDystr($V3,$C:$C,AC$2)</f>
        <v>0</v>
      </c>
    </row>
    <row r="4" spans="1:29" x14ac:dyDescent="0.3">
      <c r="A4" cm="1">
        <f t="array" ref="A4">Losuj()</f>
        <v>0.41998052597045898</v>
      </c>
      <c r="B4">
        <f t="shared" si="0"/>
        <v>177.57668041669413</v>
      </c>
      <c r="C4">
        <f t="shared" si="2"/>
        <v>177</v>
      </c>
      <c r="E4" t="s">
        <v>4</v>
      </c>
      <c r="F4">
        <f>AVERAGE(B:B)</f>
        <v>180.17468511184669</v>
      </c>
      <c r="H4">
        <v>2</v>
      </c>
      <c r="I4">
        <f>K3</f>
        <v>149.81578947368419</v>
      </c>
      <c r="J4">
        <f t="shared" ref="J4:J32" si="6">(I4+K4)/2</f>
        <v>151.63157894736838</v>
      </c>
      <c r="K4">
        <f t="shared" si="3"/>
        <v>153.4473684210526</v>
      </c>
      <c r="L4">
        <f t="shared" ref="L4:L32" si="7">COUNTIF(C:C,"&lt;="&amp;K4)</f>
        <v>5</v>
      </c>
      <c r="M4">
        <f>L4-L3</f>
        <v>2</v>
      </c>
      <c r="N4">
        <f t="shared" si="4"/>
        <v>9.5778197857592938E-4</v>
      </c>
      <c r="O4">
        <f t="shared" ref="O4:O32" si="8">_xlfn.NORM.DIST(J4,_mu,_sigma,FALSE)</f>
        <v>2.0331354294700144E-3</v>
      </c>
      <c r="P4">
        <f t="shared" ref="P4:P32" si="9">K4</f>
        <v>153.4473684210526</v>
      </c>
      <c r="Q4">
        <f t="shared" si="5"/>
        <v>8.6956521739130436E-3</v>
      </c>
      <c r="R4">
        <f t="shared" si="1"/>
        <v>1.3458502034493294E-2</v>
      </c>
      <c r="T4">
        <v>2</v>
      </c>
      <c r="U4">
        <f t="shared" ref="U4:U35" si="10">U3+_k/100</f>
        <v>0.7</v>
      </c>
      <c r="V4">
        <f ca="1">V3+$F$22</f>
        <v>146.91052631578947</v>
      </c>
      <c r="W4">
        <f t="shared" ref="W4:W67" ca="1" si="11">DNorm(V4)</f>
        <v>7.4239629581946071E-4</v>
      </c>
      <c r="X4">
        <f t="shared" ref="X4:X35" si="12">X3+(_k+1)/100</f>
        <v>0.71</v>
      </c>
      <c r="Y4">
        <f t="shared" ref="Y4:Y67" ca="1" si="13">PNorm(V4)</f>
        <v>2.9126513767938488E-3</v>
      </c>
      <c r="Z4">
        <f t="shared" ref="Z4:Z67" ca="1" si="14">EstymacjaGaussowska(V4,C:C,$Z$2)</f>
        <v>6.8719851996948509E-4</v>
      </c>
      <c r="AA4">
        <f t="shared" ref="AA4:AA67" ca="1" si="15">EstymacjaEpanecznikowa(V4,C:C,$AA$2)</f>
        <v>6.3919471161694001E-4</v>
      </c>
      <c r="AB4">
        <f t="shared" ref="AB4:AB67" ca="1" si="16">EstymacjaGaussowskaDystr($V4,$C:$C,AB$2)</f>
        <v>6.3538579422412617E-4</v>
      </c>
      <c r="AC4">
        <f t="shared" ref="AC4:AC67" ca="1" si="17">EstymacjaEpanecznikowaDystr($V4,$C:$C,AC$2)</f>
        <v>0</v>
      </c>
    </row>
    <row r="5" spans="1:29" x14ac:dyDescent="0.3">
      <c r="A5" cm="1">
        <f t="array" ref="A5">Losuj()</f>
        <v>0.33235126733779907</v>
      </c>
      <c r="B5">
        <f t="shared" si="0"/>
        <v>174.79884206193356</v>
      </c>
      <c r="C5">
        <f t="shared" si="2"/>
        <v>174</v>
      </c>
      <c r="E5" t="s">
        <v>5</v>
      </c>
      <c r="F5">
        <f>_xlfn.STDEV.S(B:B)</f>
        <v>11.385598728584435</v>
      </c>
      <c r="H5">
        <v>3</v>
      </c>
      <c r="I5">
        <f t="shared" ref="I5:I32" si="18">K4</f>
        <v>153.4473684210526</v>
      </c>
      <c r="J5">
        <f t="shared" si="6"/>
        <v>155.26315789473682</v>
      </c>
      <c r="K5">
        <f t="shared" si="3"/>
        <v>157.07894736842101</v>
      </c>
      <c r="L5">
        <f t="shared" si="7"/>
        <v>9</v>
      </c>
      <c r="M5">
        <f t="shared" ref="M5:M32" si="19">L5-L4</f>
        <v>4</v>
      </c>
      <c r="N5">
        <f t="shared" si="4"/>
        <v>1.9155639571518588E-3</v>
      </c>
      <c r="O5">
        <f t="shared" si="8"/>
        <v>3.9717940047826169E-3</v>
      </c>
      <c r="P5">
        <f t="shared" si="9"/>
        <v>157.07894736842101</v>
      </c>
      <c r="Q5">
        <f t="shared" si="5"/>
        <v>1.5652173913043479E-2</v>
      </c>
      <c r="R5">
        <f t="shared" si="1"/>
        <v>2.8060959969289166E-2</v>
      </c>
      <c r="T5">
        <v>3</v>
      </c>
      <c r="U5">
        <f t="shared" si="10"/>
        <v>0.89999999999999991</v>
      </c>
      <c r="V5">
        <f t="shared" ref="V5:V68" ca="1" si="20">V4+$F$22</f>
        <v>147.63684210526316</v>
      </c>
      <c r="W5">
        <f t="shared" ca="1" si="11"/>
        <v>8.7563569895591012E-4</v>
      </c>
      <c r="X5">
        <f t="shared" si="12"/>
        <v>0.91999999999999993</v>
      </c>
      <c r="Y5">
        <f t="shared" ca="1" si="13"/>
        <v>3.499100824871254E-3</v>
      </c>
      <c r="Z5">
        <f t="shared" ca="1" si="14"/>
        <v>7.9244006097114626E-4</v>
      </c>
      <c r="AA5">
        <f t="shared" ca="1" si="15"/>
        <v>7.4170733096941602E-4</v>
      </c>
      <c r="AB5">
        <f t="shared" ca="1" si="16"/>
        <v>1.4962399131441975E-3</v>
      </c>
      <c r="AC5">
        <f t="shared" ca="1" si="17"/>
        <v>0</v>
      </c>
    </row>
    <row r="6" spans="1:29" x14ac:dyDescent="0.3">
      <c r="A6" cm="1">
        <f t="array" ref="A6">Losuj()</f>
        <v>0.69899094104766846</v>
      </c>
      <c r="B6">
        <f t="shared" si="0"/>
        <v>186.25800667978876</v>
      </c>
      <c r="C6">
        <f t="shared" si="2"/>
        <v>186</v>
      </c>
      <c r="E6" t="s">
        <v>6</v>
      </c>
      <c r="F6">
        <f>COUNT(B:B)</f>
        <v>575</v>
      </c>
      <c r="H6">
        <v>4</v>
      </c>
      <c r="I6">
        <f t="shared" si="18"/>
        <v>157.07894736842101</v>
      </c>
      <c r="J6">
        <f t="shared" si="6"/>
        <v>158.8947368421052</v>
      </c>
      <c r="K6">
        <f t="shared" si="3"/>
        <v>160.71052631578942</v>
      </c>
      <c r="L6">
        <f t="shared" si="7"/>
        <v>23</v>
      </c>
      <c r="M6">
        <f t="shared" si="19"/>
        <v>14</v>
      </c>
      <c r="N6">
        <f t="shared" si="4"/>
        <v>6.7044738500315051E-3</v>
      </c>
      <c r="O6">
        <f t="shared" si="8"/>
        <v>7.0799776110534998E-3</v>
      </c>
      <c r="P6">
        <f t="shared" si="9"/>
        <v>160.71052631578942</v>
      </c>
      <c r="Q6">
        <f t="shared" si="5"/>
        <v>0.04</v>
      </c>
      <c r="R6">
        <f t="shared" si="1"/>
        <v>5.3977171652867098E-2</v>
      </c>
      <c r="T6">
        <v>4</v>
      </c>
      <c r="U6">
        <f t="shared" si="10"/>
        <v>1.0999999999999999</v>
      </c>
      <c r="V6">
        <f t="shared" ca="1" si="20"/>
        <v>148.36315789473684</v>
      </c>
      <c r="W6">
        <f t="shared" ca="1" si="11"/>
        <v>1.0290112250158528E-3</v>
      </c>
      <c r="X6">
        <f t="shared" si="12"/>
        <v>1.1299999999999999</v>
      </c>
      <c r="Y6">
        <f t="shared" ca="1" si="13"/>
        <v>4.1895013447597763E-3</v>
      </c>
      <c r="Z6">
        <f t="shared" ca="1" si="14"/>
        <v>8.9708947071903884E-4</v>
      </c>
      <c r="AA6">
        <f t="shared" ca="1" si="15"/>
        <v>8.4705466764519886E-4</v>
      </c>
      <c r="AB6">
        <f t="shared" ca="1" si="16"/>
        <v>2.6761604532040233E-3</v>
      </c>
      <c r="AC6">
        <f t="shared" ca="1" si="17"/>
        <v>3.4782608695652175E-3</v>
      </c>
    </row>
    <row r="7" spans="1:29" x14ac:dyDescent="0.3">
      <c r="A7" cm="1">
        <f t="array" ref="A7">Losuj()</f>
        <v>0.79022639989852905</v>
      </c>
      <c r="B7">
        <f t="shared" si="0"/>
        <v>189.68648469313601</v>
      </c>
      <c r="C7">
        <f t="shared" si="2"/>
        <v>189</v>
      </c>
      <c r="H7">
        <v>5</v>
      </c>
      <c r="I7">
        <f t="shared" si="18"/>
        <v>160.71052631578942</v>
      </c>
      <c r="J7">
        <f t="shared" si="6"/>
        <v>162.52631578947364</v>
      </c>
      <c r="K7">
        <f t="shared" si="3"/>
        <v>164.34210526315783</v>
      </c>
      <c r="L7">
        <f t="shared" si="7"/>
        <v>51</v>
      </c>
      <c r="M7">
        <f t="shared" si="19"/>
        <v>28</v>
      </c>
      <c r="N7">
        <f t="shared" si="4"/>
        <v>1.340894770006301E-2</v>
      </c>
      <c r="O7">
        <f t="shared" si="8"/>
        <v>1.151600417470222E-2</v>
      </c>
      <c r="P7">
        <f t="shared" si="9"/>
        <v>164.34210526315783</v>
      </c>
      <c r="Q7">
        <f t="shared" si="5"/>
        <v>8.8695652173913037E-2</v>
      </c>
      <c r="R7">
        <f t="shared" si="1"/>
        <v>9.5976296818685136E-2</v>
      </c>
      <c r="T7">
        <v>5</v>
      </c>
      <c r="U7">
        <f t="shared" si="10"/>
        <v>1.2999999999999998</v>
      </c>
      <c r="V7">
        <f t="shared" ca="1" si="20"/>
        <v>149.08947368421053</v>
      </c>
      <c r="W7">
        <f t="shared" ca="1" si="11"/>
        <v>1.2048299532212573E-3</v>
      </c>
      <c r="X7">
        <f t="shared" si="12"/>
        <v>1.3399999999999999</v>
      </c>
      <c r="Y7">
        <f t="shared" ca="1" si="13"/>
        <v>4.9993075738053502E-3</v>
      </c>
      <c r="Z7">
        <f t="shared" ca="1" si="14"/>
        <v>1.0046151371898679E-3</v>
      </c>
      <c r="AA7">
        <f t="shared" ca="1" si="15"/>
        <v>9.3008500273571723E-4</v>
      </c>
      <c r="AB7">
        <f t="shared" ca="1" si="16"/>
        <v>3.8237406088805106E-3</v>
      </c>
      <c r="AC7">
        <f t="shared" ca="1" si="17"/>
        <v>5.2173913043478265E-3</v>
      </c>
    </row>
    <row r="8" spans="1:29" x14ac:dyDescent="0.3">
      <c r="A8" cm="1">
        <f t="array" ref="A8">Losuj()</f>
        <v>0.99394577741622925</v>
      </c>
      <c r="B8">
        <f t="shared" si="0"/>
        <v>210.10761604339712</v>
      </c>
      <c r="C8">
        <f t="shared" si="2"/>
        <v>210</v>
      </c>
      <c r="E8" t="s">
        <v>4</v>
      </c>
      <c r="F8">
        <f>AVERAGE(C:C)</f>
        <v>179.69739130434783</v>
      </c>
      <c r="H8">
        <v>6</v>
      </c>
      <c r="I8">
        <f t="shared" si="18"/>
        <v>164.34210526315783</v>
      </c>
      <c r="J8">
        <f t="shared" si="6"/>
        <v>166.15789473684202</v>
      </c>
      <c r="K8">
        <f t="shared" si="3"/>
        <v>167.97368421052624</v>
      </c>
      <c r="L8">
        <f t="shared" si="7"/>
        <v>74</v>
      </c>
      <c r="M8">
        <f t="shared" si="19"/>
        <v>23</v>
      </c>
      <c r="N8">
        <f t="shared" si="4"/>
        <v>1.1014492753623189E-2</v>
      </c>
      <c r="O8">
        <f t="shared" si="8"/>
        <v>1.7092142458109087E-2</v>
      </c>
      <c r="P8">
        <f t="shared" si="9"/>
        <v>167.97368421052624</v>
      </c>
      <c r="Q8">
        <f t="shared" si="5"/>
        <v>0.12869565217391304</v>
      </c>
      <c r="R8">
        <f t="shared" si="1"/>
        <v>0.15812519821664234</v>
      </c>
      <c r="T8">
        <v>6</v>
      </c>
      <c r="U8">
        <f t="shared" si="10"/>
        <v>1.4999999999999998</v>
      </c>
      <c r="V8">
        <f t="shared" ca="1" si="20"/>
        <v>149.81578947368422</v>
      </c>
      <c r="W8">
        <f t="shared" ca="1" si="11"/>
        <v>1.4055308748553805E-3</v>
      </c>
      <c r="X8">
        <f t="shared" si="12"/>
        <v>1.5499999999999998</v>
      </c>
      <c r="Y8">
        <f t="shared" ca="1" si="13"/>
        <v>5.9456985525778222E-3</v>
      </c>
      <c r="Z8">
        <f t="shared" ca="1" si="14"/>
        <v>1.1221094595175148E-3</v>
      </c>
      <c r="AA8">
        <f t="shared" ca="1" si="15"/>
        <v>1.0240562558763093E-3</v>
      </c>
      <c r="AB8">
        <f t="shared" ca="1" si="16"/>
        <v>4.6318141491393239E-3</v>
      </c>
      <c r="AC8">
        <f t="shared" ca="1" si="17"/>
        <v>5.2173913043478265E-3</v>
      </c>
    </row>
    <row r="9" spans="1:29" x14ac:dyDescent="0.3">
      <c r="A9">
        <v>0.59955913913534242</v>
      </c>
      <c r="B9">
        <f t="shared" si="0"/>
        <v>183.02647384592296</v>
      </c>
      <c r="C9">
        <f t="shared" si="2"/>
        <v>183</v>
      </c>
      <c r="E9" t="s">
        <v>5</v>
      </c>
      <c r="F9">
        <f>_xlfn.STDEV.S(C:C)</f>
        <v>11.363747149616279</v>
      </c>
      <c r="H9">
        <v>7</v>
      </c>
      <c r="I9">
        <f t="shared" si="18"/>
        <v>167.97368421052624</v>
      </c>
      <c r="J9">
        <f t="shared" si="6"/>
        <v>169.78947368421046</v>
      </c>
      <c r="K9">
        <f t="shared" si="3"/>
        <v>171.60526315789465</v>
      </c>
      <c r="L9">
        <f t="shared" si="7"/>
        <v>141</v>
      </c>
      <c r="M9">
        <f t="shared" si="19"/>
        <v>67</v>
      </c>
      <c r="N9">
        <f t="shared" si="4"/>
        <v>3.2085696282293637E-2</v>
      </c>
      <c r="O9">
        <f t="shared" si="8"/>
        <v>2.3148132256684512E-2</v>
      </c>
      <c r="P9">
        <f t="shared" si="9"/>
        <v>171.60526315789465</v>
      </c>
      <c r="Q9">
        <f t="shared" si="5"/>
        <v>0.24521739130434783</v>
      </c>
      <c r="R9">
        <f t="shared" si="1"/>
        <v>0.2421006267239379</v>
      </c>
      <c r="T9">
        <v>7</v>
      </c>
      <c r="U9">
        <f t="shared" si="10"/>
        <v>1.6999999999999997</v>
      </c>
      <c r="V9">
        <f t="shared" ca="1" si="20"/>
        <v>150.54210526315791</v>
      </c>
      <c r="W9">
        <f t="shared" ca="1" si="11"/>
        <v>1.6336687987585855E-3</v>
      </c>
      <c r="X9">
        <f t="shared" si="12"/>
        <v>1.7599999999999998</v>
      </c>
      <c r="Y9">
        <f t="shared" ca="1" si="13"/>
        <v>7.0476679808839874E-3</v>
      </c>
      <c r="Z9">
        <f t="shared" ca="1" si="14"/>
        <v>1.2599742363004712E-3</v>
      </c>
      <c r="AA9">
        <f t="shared" ca="1" si="15"/>
        <v>1.1494536852495198E-3</v>
      </c>
      <c r="AB9">
        <f t="shared" ca="1" si="16"/>
        <v>5.079425837863207E-3</v>
      </c>
      <c r="AC9">
        <f t="shared" ca="1" si="17"/>
        <v>5.2173913043478265E-3</v>
      </c>
    </row>
    <row r="10" spans="1:29" x14ac:dyDescent="0.3">
      <c r="A10">
        <v>0.20925832098822394</v>
      </c>
      <c r="B10">
        <f t="shared" si="0"/>
        <v>170.29203120361876</v>
      </c>
      <c r="C10">
        <f t="shared" si="2"/>
        <v>170</v>
      </c>
      <c r="E10" t="s">
        <v>6</v>
      </c>
      <c r="F10">
        <f>COUNT(C:C)</f>
        <v>575</v>
      </c>
      <c r="H10">
        <v>8</v>
      </c>
      <c r="I10">
        <f t="shared" si="18"/>
        <v>171.60526315789465</v>
      </c>
      <c r="J10">
        <f t="shared" si="6"/>
        <v>173.42105263157885</v>
      </c>
      <c r="K10">
        <f t="shared" si="3"/>
        <v>175.23684210526307</v>
      </c>
      <c r="L10">
        <f t="shared" si="7"/>
        <v>221</v>
      </c>
      <c r="M10">
        <f t="shared" si="19"/>
        <v>80</v>
      </c>
      <c r="N10">
        <f t="shared" si="4"/>
        <v>3.8311279143037176E-2</v>
      </c>
      <c r="O10">
        <f t="shared" si="8"/>
        <v>2.8606199765045845E-2</v>
      </c>
      <c r="P10">
        <f t="shared" si="9"/>
        <v>175.23684210526307</v>
      </c>
      <c r="Q10">
        <f t="shared" si="5"/>
        <v>0.3843478260869565</v>
      </c>
      <c r="R10">
        <f t="shared" si="1"/>
        <v>0.34570960509679205</v>
      </c>
      <c r="T10">
        <v>8</v>
      </c>
      <c r="U10">
        <f t="shared" si="10"/>
        <v>1.8999999999999997</v>
      </c>
      <c r="V10">
        <f t="shared" ca="1" si="20"/>
        <v>151.2684210526316</v>
      </c>
      <c r="W10">
        <f t="shared" ca="1" si="11"/>
        <v>1.8918932580447557E-3</v>
      </c>
      <c r="X10">
        <f t="shared" si="12"/>
        <v>1.9699999999999998</v>
      </c>
      <c r="Y10">
        <f t="shared" ca="1" si="13"/>
        <v>8.3261009911978039E-3</v>
      </c>
      <c r="Z10">
        <f t="shared" ca="1" si="14"/>
        <v>1.4311429275534028E-3</v>
      </c>
      <c r="AA10">
        <f t="shared" ca="1" si="15"/>
        <v>1.4058912811050429E-3</v>
      </c>
      <c r="AB10">
        <f t="shared" ca="1" si="16"/>
        <v>5.4029097084093468E-3</v>
      </c>
      <c r="AC10">
        <f t="shared" ca="1" si="17"/>
        <v>5.2173913043478265E-3</v>
      </c>
    </row>
    <row r="11" spans="1:29" x14ac:dyDescent="0.3">
      <c r="A11">
        <v>4.098708174114285E-3</v>
      </c>
      <c r="B11">
        <f t="shared" si="0"/>
        <v>148.27405724734206</v>
      </c>
      <c r="C11">
        <f t="shared" si="2"/>
        <v>148</v>
      </c>
      <c r="H11">
        <v>9</v>
      </c>
      <c r="I11">
        <f t="shared" si="18"/>
        <v>175.23684210526307</v>
      </c>
      <c r="J11">
        <f t="shared" si="6"/>
        <v>177.05263157894728</v>
      </c>
      <c r="K11">
        <f t="shared" si="3"/>
        <v>178.86842105263148</v>
      </c>
      <c r="L11">
        <f t="shared" si="7"/>
        <v>272</v>
      </c>
      <c r="M11">
        <f t="shared" si="19"/>
        <v>51</v>
      </c>
      <c r="N11">
        <f t="shared" si="4"/>
        <v>2.4423440453686197E-2</v>
      </c>
      <c r="O11">
        <f t="shared" si="8"/>
        <v>3.2257383696747029E-2</v>
      </c>
      <c r="P11">
        <f t="shared" si="9"/>
        <v>178.86842105263148</v>
      </c>
      <c r="Q11">
        <f t="shared" si="5"/>
        <v>0.47304347826086957</v>
      </c>
      <c r="R11">
        <f t="shared" si="1"/>
        <v>0.46243612175200255</v>
      </c>
      <c r="T11">
        <v>9</v>
      </c>
      <c r="U11">
        <f t="shared" si="10"/>
        <v>2.0999999999999996</v>
      </c>
      <c r="V11">
        <f t="shared" ca="1" si="20"/>
        <v>151.99473684210528</v>
      </c>
      <c r="W11">
        <f t="shared" ca="1" si="11"/>
        <v>2.1829220861978881E-3</v>
      </c>
      <c r="X11">
        <f t="shared" si="12"/>
        <v>2.1799999999999997</v>
      </c>
      <c r="Y11">
        <f t="shared" ca="1" si="13"/>
        <v>9.8038336833838335E-3</v>
      </c>
      <c r="Z11">
        <f t="shared" ca="1" si="14"/>
        <v>1.6500110559649207E-3</v>
      </c>
      <c r="AA11">
        <f t="shared" ca="1" si="15"/>
        <v>1.687411721975438E-3</v>
      </c>
      <c r="AB11">
        <f t="shared" ca="1" si="16"/>
        <v>5.9292027238484089E-3</v>
      </c>
      <c r="AC11">
        <f t="shared" ca="1" si="17"/>
        <v>5.2173913043478265E-3</v>
      </c>
    </row>
    <row r="12" spans="1:29" x14ac:dyDescent="0.3">
      <c r="A12">
        <v>0.17451158736417027</v>
      </c>
      <c r="B12">
        <f t="shared" si="0"/>
        <v>168.76217166763962</v>
      </c>
      <c r="C12">
        <f t="shared" si="2"/>
        <v>168</v>
      </c>
      <c r="H12">
        <v>10</v>
      </c>
      <c r="I12">
        <f t="shared" si="18"/>
        <v>178.86842105263148</v>
      </c>
      <c r="J12">
        <f t="shared" si="6"/>
        <v>180.68421052631567</v>
      </c>
      <c r="K12">
        <f t="shared" si="3"/>
        <v>182.49999999999989</v>
      </c>
      <c r="L12">
        <f t="shared" si="7"/>
        <v>336</v>
      </c>
      <c r="M12">
        <f t="shared" si="19"/>
        <v>64</v>
      </c>
      <c r="N12">
        <f t="shared" si="4"/>
        <v>3.064902331442974E-2</v>
      </c>
      <c r="O12">
        <f t="shared" si="8"/>
        <v>3.319119386921307E-2</v>
      </c>
      <c r="P12">
        <f t="shared" si="9"/>
        <v>182.49999999999989</v>
      </c>
      <c r="Q12">
        <f t="shared" si="5"/>
        <v>0.58434782608695657</v>
      </c>
      <c r="R12">
        <f t="shared" si="1"/>
        <v>0.58251564682051882</v>
      </c>
      <c r="T12">
        <v>10</v>
      </c>
      <c r="U12">
        <f t="shared" si="10"/>
        <v>2.2999999999999998</v>
      </c>
      <c r="V12">
        <f t="shared" ca="1" si="20"/>
        <v>152.72105263157897</v>
      </c>
      <c r="W12">
        <f t="shared" ca="1" si="11"/>
        <v>2.5095094232196443E-3</v>
      </c>
      <c r="X12">
        <f t="shared" si="12"/>
        <v>2.3899999999999997</v>
      </c>
      <c r="Y12">
        <f t="shared" ca="1" si="13"/>
        <v>1.1505691455805676E-2</v>
      </c>
      <c r="Z12">
        <f t="shared" ca="1" si="14"/>
        <v>1.9312018693352904E-3</v>
      </c>
      <c r="AA12">
        <f t="shared" ca="1" si="15"/>
        <v>1.9981140003660866E-3</v>
      </c>
      <c r="AB12">
        <f t="shared" ca="1" si="16"/>
        <v>6.8761366873996161E-3</v>
      </c>
      <c r="AC12">
        <f t="shared" ca="1" si="17"/>
        <v>5.2173913043478265E-3</v>
      </c>
    </row>
    <row r="13" spans="1:29" x14ac:dyDescent="0.3">
      <c r="A13">
        <v>0.44694762915690001</v>
      </c>
      <c r="B13">
        <f t="shared" si="0"/>
        <v>178.39947636561473</v>
      </c>
      <c r="C13">
        <f t="shared" si="2"/>
        <v>178</v>
      </c>
      <c r="E13" t="s">
        <v>11</v>
      </c>
      <c r="F13">
        <f>MIN(C:C)</f>
        <v>148</v>
      </c>
      <c r="H13">
        <v>11</v>
      </c>
      <c r="I13">
        <f t="shared" si="18"/>
        <v>182.49999999999989</v>
      </c>
      <c r="J13">
        <f t="shared" si="6"/>
        <v>184.31578947368411</v>
      </c>
      <c r="K13">
        <f t="shared" si="3"/>
        <v>186.1315789473683</v>
      </c>
      <c r="L13">
        <f t="shared" si="7"/>
        <v>417</v>
      </c>
      <c r="M13">
        <f t="shared" si="19"/>
        <v>81</v>
      </c>
      <c r="N13">
        <f t="shared" si="4"/>
        <v>3.8790170132325136E-2</v>
      </c>
      <c r="O13">
        <f t="shared" si="8"/>
        <v>3.1163151345807646E-2</v>
      </c>
      <c r="P13">
        <f t="shared" si="9"/>
        <v>186.1315789473683</v>
      </c>
      <c r="Q13">
        <f t="shared" si="5"/>
        <v>0.72521739130434781</v>
      </c>
      <c r="R13">
        <f t="shared" si="1"/>
        <v>0.69531218683314888</v>
      </c>
      <c r="T13">
        <v>11</v>
      </c>
      <c r="U13">
        <f t="shared" si="10"/>
        <v>2.5</v>
      </c>
      <c r="V13">
        <f t="shared" ca="1" si="20"/>
        <v>153.44736842105266</v>
      </c>
      <c r="W13">
        <f t="shared" ca="1" si="11"/>
        <v>2.8744080275148517E-3</v>
      </c>
      <c r="X13">
        <f t="shared" si="12"/>
        <v>2.5999999999999996</v>
      </c>
      <c r="Y13">
        <f t="shared" ca="1" si="13"/>
        <v>1.3458502034493452E-2</v>
      </c>
      <c r="Z13">
        <f t="shared" ca="1" si="14"/>
        <v>2.2882040520292479E-3</v>
      </c>
      <c r="AA13">
        <f t="shared" ca="1" si="15"/>
        <v>2.342552846323486E-3</v>
      </c>
      <c r="AB13">
        <f t="shared" ca="1" si="16"/>
        <v>8.1850342576866679E-3</v>
      </c>
      <c r="AC13">
        <f t="shared" ca="1" si="17"/>
        <v>8.6956521739130436E-3</v>
      </c>
    </row>
    <row r="14" spans="1:29" x14ac:dyDescent="0.3">
      <c r="A14">
        <v>0.21971961351074998</v>
      </c>
      <c r="B14">
        <f t="shared" si="0"/>
        <v>170.72231384421141</v>
      </c>
      <c r="C14">
        <f t="shared" si="2"/>
        <v>170</v>
      </c>
      <c r="E14" t="s">
        <v>12</v>
      </c>
      <c r="F14">
        <f>MAX(C:C)</f>
        <v>217</v>
      </c>
      <c r="H14">
        <v>12</v>
      </c>
      <c r="I14">
        <f t="shared" si="18"/>
        <v>186.1315789473683</v>
      </c>
      <c r="J14">
        <f t="shared" si="6"/>
        <v>187.94736842105249</v>
      </c>
      <c r="K14">
        <f t="shared" si="3"/>
        <v>189.76315789473671</v>
      </c>
      <c r="L14">
        <f t="shared" si="7"/>
        <v>465</v>
      </c>
      <c r="M14">
        <f t="shared" si="19"/>
        <v>48</v>
      </c>
      <c r="N14">
        <f t="shared" si="4"/>
        <v>2.2986767485822308E-2</v>
      </c>
      <c r="O14">
        <f t="shared" si="8"/>
        <v>2.6698362449109669E-2</v>
      </c>
      <c r="P14">
        <f t="shared" si="9"/>
        <v>189.76315789473671</v>
      </c>
      <c r="Q14">
        <f t="shared" si="5"/>
        <v>0.80869565217391304</v>
      </c>
      <c r="R14">
        <f t="shared" si="1"/>
        <v>0.79206192568016776</v>
      </c>
      <c r="T14">
        <v>12</v>
      </c>
      <c r="U14">
        <f t="shared" si="10"/>
        <v>2.7</v>
      </c>
      <c r="V14">
        <f t="shared" ca="1" si="20"/>
        <v>154.17368421052635</v>
      </c>
      <c r="W14">
        <f t="shared" ca="1" si="11"/>
        <v>3.2803259062537627E-3</v>
      </c>
      <c r="X14">
        <f t="shared" si="12"/>
        <v>2.8099999999999996</v>
      </c>
      <c r="Y14">
        <f t="shared" ca="1" si="13"/>
        <v>1.569107906022359E-2</v>
      </c>
      <c r="Z14">
        <f t="shared" ca="1" si="14"/>
        <v>2.7318664780913741E-3</v>
      </c>
      <c r="AA14">
        <f t="shared" ca="1" si="15"/>
        <v>2.86434559767419E-3</v>
      </c>
      <c r="AB14">
        <f t="shared" ca="1" si="16"/>
        <v>9.5818831893463782E-3</v>
      </c>
      <c r="AC14">
        <f t="shared" ca="1" si="17"/>
        <v>1.0434782608695653E-2</v>
      </c>
    </row>
    <row r="15" spans="1:29" x14ac:dyDescent="0.3">
      <c r="A15">
        <v>0.70489261633726408</v>
      </c>
      <c r="B15">
        <f t="shared" si="0"/>
        <v>186.46229796669761</v>
      </c>
      <c r="C15">
        <f t="shared" si="2"/>
        <v>186</v>
      </c>
      <c r="H15">
        <v>13</v>
      </c>
      <c r="I15">
        <f t="shared" si="18"/>
        <v>189.76315789473671</v>
      </c>
      <c r="J15">
        <f t="shared" si="6"/>
        <v>191.57894736842093</v>
      </c>
      <c r="K15">
        <f t="shared" si="3"/>
        <v>193.39473684210512</v>
      </c>
      <c r="L15">
        <f t="shared" si="7"/>
        <v>509</v>
      </c>
      <c r="M15">
        <f t="shared" si="19"/>
        <v>44</v>
      </c>
      <c r="N15">
        <f t="shared" si="4"/>
        <v>2.1071203528670444E-2</v>
      </c>
      <c r="O15">
        <f t="shared" si="8"/>
        <v>2.0871450936503756E-2</v>
      </c>
      <c r="P15">
        <f t="shared" si="9"/>
        <v>193.39473684210512</v>
      </c>
      <c r="Q15">
        <f t="shared" si="5"/>
        <v>0.88521739130434784</v>
      </c>
      <c r="R15">
        <f t="shared" si="1"/>
        <v>0.86783773900484751</v>
      </c>
      <c r="T15">
        <v>13</v>
      </c>
      <c r="U15">
        <f t="shared" si="10"/>
        <v>2.9000000000000004</v>
      </c>
      <c r="V15">
        <f t="shared" ca="1" si="20"/>
        <v>154.90000000000003</v>
      </c>
      <c r="W15">
        <f t="shared" ca="1" si="11"/>
        <v>3.7298774346297371E-3</v>
      </c>
      <c r="X15">
        <f t="shared" si="12"/>
        <v>3.0199999999999996</v>
      </c>
      <c r="Y15">
        <f t="shared" ca="1" si="13"/>
        <v>1.8234172158692382E-2</v>
      </c>
      <c r="Z15">
        <f t="shared" ca="1" si="14"/>
        <v>3.2687840145606013E-3</v>
      </c>
      <c r="AA15">
        <f t="shared" ca="1" si="15"/>
        <v>3.4494159211620741E-3</v>
      </c>
      <c r="AB15">
        <f t="shared" ca="1" si="16"/>
        <v>1.0854404266680382E-2</v>
      </c>
      <c r="AC15">
        <f t="shared" ca="1" si="17"/>
        <v>1.0434782608695653E-2</v>
      </c>
    </row>
    <row r="16" spans="1:29" x14ac:dyDescent="0.3">
      <c r="A16">
        <v>0.35956448561373722</v>
      </c>
      <c r="B16">
        <f t="shared" si="0"/>
        <v>175.68452223416728</v>
      </c>
      <c r="C16">
        <f t="shared" si="2"/>
        <v>175</v>
      </c>
      <c r="E16" t="s">
        <v>13</v>
      </c>
      <c r="F16">
        <v>20</v>
      </c>
      <c r="H16">
        <v>14</v>
      </c>
      <c r="I16">
        <f t="shared" si="18"/>
        <v>193.39473684210512</v>
      </c>
      <c r="J16">
        <f t="shared" si="6"/>
        <v>195.21052631578931</v>
      </c>
      <c r="K16">
        <f t="shared" si="3"/>
        <v>197.02631578947353</v>
      </c>
      <c r="L16">
        <f t="shared" si="7"/>
        <v>542</v>
      </c>
      <c r="M16">
        <f t="shared" si="19"/>
        <v>33</v>
      </c>
      <c r="N16">
        <f t="shared" si="4"/>
        <v>1.5803402646502835E-2</v>
      </c>
      <c r="O16">
        <f t="shared" si="8"/>
        <v>1.4888310545814043E-2</v>
      </c>
      <c r="P16">
        <f t="shared" si="9"/>
        <v>197.02631578947353</v>
      </c>
      <c r="Q16">
        <f t="shared" si="5"/>
        <v>0.94260869565217387</v>
      </c>
      <c r="R16">
        <f t="shared" si="1"/>
        <v>0.92203003085647872</v>
      </c>
      <c r="T16">
        <v>14</v>
      </c>
      <c r="U16">
        <f t="shared" si="10"/>
        <v>3.1000000000000005</v>
      </c>
      <c r="V16">
        <f t="shared" ca="1" si="20"/>
        <v>155.62631578947372</v>
      </c>
      <c r="W16">
        <f t="shared" ca="1" si="11"/>
        <v>4.2255293103090575E-3</v>
      </c>
      <c r="X16">
        <f t="shared" si="12"/>
        <v>3.2299999999999995</v>
      </c>
      <c r="Y16">
        <f t="shared" ca="1" si="13"/>
        <v>2.112037960560641E-2</v>
      </c>
      <c r="Z16">
        <f t="shared" ca="1" si="14"/>
        <v>3.8997561573374745E-3</v>
      </c>
      <c r="AA16">
        <f t="shared" ca="1" si="15"/>
        <v>4.0827787617193443E-3</v>
      </c>
      <c r="AB16">
        <f t="shared" ca="1" si="16"/>
        <v>1.2085530541241268E-2</v>
      </c>
      <c r="AC16">
        <f t="shared" ca="1" si="17"/>
        <v>1.2173913043478261E-2</v>
      </c>
    </row>
    <row r="17" spans="1:29" x14ac:dyDescent="0.3">
      <c r="A17">
        <v>1.6497290671740328E-2</v>
      </c>
      <c r="B17">
        <f t="shared" si="0"/>
        <v>154.41420934592833</v>
      </c>
      <c r="C17">
        <f t="shared" si="2"/>
        <v>154</v>
      </c>
      <c r="E17" t="s">
        <v>14</v>
      </c>
      <c r="F17">
        <f>(F14-F13)/(_k-1)</f>
        <v>3.6315789473684212</v>
      </c>
      <c r="H17">
        <v>15</v>
      </c>
      <c r="I17">
        <f t="shared" si="18"/>
        <v>197.02631578947353</v>
      </c>
      <c r="J17">
        <f t="shared" si="6"/>
        <v>198.84210526315775</v>
      </c>
      <c r="K17">
        <f t="shared" si="3"/>
        <v>200.65789473684194</v>
      </c>
      <c r="L17">
        <f t="shared" si="7"/>
        <v>552</v>
      </c>
      <c r="M17">
        <f t="shared" si="19"/>
        <v>10</v>
      </c>
      <c r="N17">
        <f t="shared" si="4"/>
        <v>4.788909892879647E-3</v>
      </c>
      <c r="O17">
        <f t="shared" si="8"/>
        <v>9.6908742334527401E-3</v>
      </c>
      <c r="P17">
        <f t="shared" si="9"/>
        <v>200.65789473684194</v>
      </c>
      <c r="Q17">
        <f t="shared" si="5"/>
        <v>0.96</v>
      </c>
      <c r="R17">
        <f t="shared" si="1"/>
        <v>0.95741913870596551</v>
      </c>
      <c r="T17">
        <v>15</v>
      </c>
      <c r="U17">
        <f t="shared" si="10"/>
        <v>3.3000000000000007</v>
      </c>
      <c r="V17">
        <f t="shared" ca="1" si="20"/>
        <v>156.35263157894741</v>
      </c>
      <c r="W17">
        <f t="shared" ca="1" si="11"/>
        <v>4.7695418799423451E-3</v>
      </c>
      <c r="X17">
        <f t="shared" si="12"/>
        <v>3.4399999999999995</v>
      </c>
      <c r="Y17">
        <f t="shared" ca="1" si="13"/>
        <v>2.4384020018479554E-2</v>
      </c>
      <c r="Z17">
        <f t="shared" ca="1" si="14"/>
        <v>4.6186772248007569E-3</v>
      </c>
      <c r="AA17">
        <f t="shared" ca="1" si="15"/>
        <v>4.8354577592844682E-3</v>
      </c>
      <c r="AB17">
        <f t="shared" ca="1" si="16"/>
        <v>1.3724618436002228E-2</v>
      </c>
      <c r="AC17">
        <f t="shared" ca="1" si="17"/>
        <v>1.2173913043478261E-2</v>
      </c>
    </row>
    <row r="18" spans="1:29" x14ac:dyDescent="0.3">
      <c r="A18">
        <v>0.77752890985289991</v>
      </c>
      <c r="B18">
        <f t="shared" si="0"/>
        <v>189.16649107159949</v>
      </c>
      <c r="C18">
        <f t="shared" si="2"/>
        <v>189</v>
      </c>
      <c r="H18">
        <v>16</v>
      </c>
      <c r="I18">
        <f t="shared" si="18"/>
        <v>200.65789473684194</v>
      </c>
      <c r="J18">
        <f t="shared" si="6"/>
        <v>202.47368421052613</v>
      </c>
      <c r="K18">
        <f t="shared" si="3"/>
        <v>204.28947368421035</v>
      </c>
      <c r="L18">
        <f t="shared" si="7"/>
        <v>566</v>
      </c>
      <c r="M18">
        <f t="shared" si="19"/>
        <v>14</v>
      </c>
      <c r="N18">
        <f t="shared" si="4"/>
        <v>6.7044738500315051E-3</v>
      </c>
      <c r="O18">
        <f t="shared" si="8"/>
        <v>5.7557941949270023E-3</v>
      </c>
      <c r="P18">
        <f t="shared" si="9"/>
        <v>204.28947368421035</v>
      </c>
      <c r="Q18">
        <f t="shared" si="5"/>
        <v>0.98434782608695648</v>
      </c>
      <c r="R18">
        <f t="shared" si="1"/>
        <v>0.97852124124619777</v>
      </c>
      <c r="T18">
        <v>16</v>
      </c>
      <c r="U18">
        <f t="shared" si="10"/>
        <v>3.5000000000000009</v>
      </c>
      <c r="V18">
        <f t="shared" ca="1" si="20"/>
        <v>157.0789473684211</v>
      </c>
      <c r="W18">
        <f t="shared" ca="1" si="11"/>
        <v>5.3639065752910092E-3</v>
      </c>
      <c r="X18">
        <f t="shared" si="12"/>
        <v>3.6499999999999995</v>
      </c>
      <c r="Y18">
        <f t="shared" ca="1" si="13"/>
        <v>2.8060959969289628E-2</v>
      </c>
      <c r="Z18">
        <f t="shared" ca="1" si="14"/>
        <v>5.4123217683995648E-3</v>
      </c>
      <c r="AA18">
        <f t="shared" ca="1" si="15"/>
        <v>5.5806892925053782E-3</v>
      </c>
      <c r="AB18">
        <f t="shared" ca="1" si="16"/>
        <v>1.6380673957089083E-2</v>
      </c>
      <c r="AC18">
        <f t="shared" ca="1" si="17"/>
        <v>1.5652173913043479E-2</v>
      </c>
    </row>
    <row r="19" spans="1:29" x14ac:dyDescent="0.3">
      <c r="A19">
        <v>0.82257556176624524</v>
      </c>
      <c r="B19">
        <f t="shared" si="0"/>
        <v>191.10270012474703</v>
      </c>
      <c r="C19">
        <f t="shared" si="2"/>
        <v>191</v>
      </c>
      <c r="F19">
        <f ca="1">SUM(OFFSET($J$3,0,0,_k,1))</f>
        <v>3649.9999999999973</v>
      </c>
      <c r="H19">
        <v>17</v>
      </c>
      <c r="I19">
        <f t="shared" si="18"/>
        <v>204.28947368421035</v>
      </c>
      <c r="J19">
        <f t="shared" si="6"/>
        <v>206.10526315789457</v>
      </c>
      <c r="K19">
        <f t="shared" si="3"/>
        <v>207.92105263157876</v>
      </c>
      <c r="L19">
        <f t="shared" si="7"/>
        <v>570</v>
      </c>
      <c r="M19">
        <f t="shared" si="19"/>
        <v>4</v>
      </c>
      <c r="N19">
        <f t="shared" si="4"/>
        <v>1.9155639571518588E-3</v>
      </c>
      <c r="O19">
        <f t="shared" si="8"/>
        <v>3.1194089739092056E-3</v>
      </c>
      <c r="P19">
        <f t="shared" si="9"/>
        <v>207.92105263157876</v>
      </c>
      <c r="Q19">
        <f t="shared" si="5"/>
        <v>0.99130434782608701</v>
      </c>
      <c r="R19">
        <f t="shared" si="1"/>
        <v>0.9900108292919354</v>
      </c>
      <c r="T19">
        <v>17</v>
      </c>
      <c r="U19">
        <f t="shared" si="10"/>
        <v>3.7000000000000011</v>
      </c>
      <c r="V19">
        <f t="shared" ca="1" si="20"/>
        <v>157.80526315789479</v>
      </c>
      <c r="W19">
        <f t="shared" ca="1" si="11"/>
        <v>6.0102804016947805E-3</v>
      </c>
      <c r="X19">
        <f t="shared" si="12"/>
        <v>3.8599999999999994</v>
      </c>
      <c r="Y19">
        <f t="shared" ca="1" si="13"/>
        <v>3.2188395022271679E-2</v>
      </c>
      <c r="Z19">
        <f t="shared" ca="1" si="14"/>
        <v>6.2614401914041617E-3</v>
      </c>
      <c r="AA19">
        <f t="shared" ca="1" si="15"/>
        <v>6.3280073715097189E-3</v>
      </c>
      <c r="AB19">
        <f t="shared" ca="1" si="16"/>
        <v>2.0326561424996149E-2</v>
      </c>
      <c r="AC19">
        <f t="shared" ca="1" si="17"/>
        <v>1.5652173913043479E-2</v>
      </c>
    </row>
    <row r="20" spans="1:29" x14ac:dyDescent="0.3">
      <c r="A20">
        <v>0.51847346299776897</v>
      </c>
      <c r="B20">
        <f t="shared" si="0"/>
        <v>180.55587198956383</v>
      </c>
      <c r="C20">
        <f t="shared" si="2"/>
        <v>180</v>
      </c>
      <c r="H20">
        <v>18</v>
      </c>
      <c r="I20">
        <f t="shared" si="18"/>
        <v>207.92105263157876</v>
      </c>
      <c r="J20">
        <f t="shared" si="6"/>
        <v>209.73684210526295</v>
      </c>
      <c r="K20">
        <f t="shared" si="3"/>
        <v>211.55263157894717</v>
      </c>
      <c r="L20">
        <f t="shared" si="7"/>
        <v>574</v>
      </c>
      <c r="M20">
        <f t="shared" si="19"/>
        <v>4</v>
      </c>
      <c r="N20">
        <f t="shared" si="4"/>
        <v>1.9155639571518588E-3</v>
      </c>
      <c r="O20">
        <f t="shared" si="8"/>
        <v>1.5426384023829202E-3</v>
      </c>
      <c r="P20">
        <f t="shared" si="9"/>
        <v>211.55263157894717</v>
      </c>
      <c r="Q20">
        <f t="shared" si="5"/>
        <v>0.99826086956521742</v>
      </c>
      <c r="R20">
        <f t="shared" si="1"/>
        <v>0.99572303924090655</v>
      </c>
      <c r="T20">
        <v>18</v>
      </c>
      <c r="U20">
        <f t="shared" si="10"/>
        <v>3.9000000000000012</v>
      </c>
      <c r="V20">
        <f t="shared" ca="1" si="20"/>
        <v>158.53157894736847</v>
      </c>
      <c r="W20">
        <f t="shared" ca="1" si="11"/>
        <v>6.7099186247032809E-3</v>
      </c>
      <c r="X20">
        <f t="shared" si="12"/>
        <v>4.0699999999999994</v>
      </c>
      <c r="Y20">
        <f t="shared" ca="1" si="13"/>
        <v>3.6804582459939089E-2</v>
      </c>
      <c r="Z20">
        <f t="shared" ca="1" si="14"/>
        <v>7.1433521867985518E-3</v>
      </c>
      <c r="AA20">
        <f t="shared" ca="1" si="15"/>
        <v>7.0570888343131832E-3</v>
      </c>
      <c r="AB20">
        <f t="shared" ca="1" si="16"/>
        <v>2.527626438029601E-2</v>
      </c>
      <c r="AC20">
        <f t="shared" ca="1" si="17"/>
        <v>2.6086956521739129E-2</v>
      </c>
    </row>
    <row r="21" spans="1:29" x14ac:dyDescent="0.3">
      <c r="A21">
        <v>0.33801639629565405</v>
      </c>
      <c r="B21">
        <f t="shared" si="0"/>
        <v>174.98540613607881</v>
      </c>
      <c r="C21">
        <f t="shared" si="2"/>
        <v>174</v>
      </c>
      <c r="H21">
        <v>19</v>
      </c>
      <c r="I21">
        <f t="shared" si="18"/>
        <v>211.55263157894717</v>
      </c>
      <c r="J21">
        <f t="shared" si="6"/>
        <v>213.36842105263139</v>
      </c>
      <c r="K21">
        <f t="shared" si="3"/>
        <v>215.18421052631558</v>
      </c>
      <c r="L21">
        <f t="shared" si="7"/>
        <v>574</v>
      </c>
      <c r="M21">
        <f t="shared" si="19"/>
        <v>0</v>
      </c>
      <c r="N21">
        <f t="shared" si="4"/>
        <v>0</v>
      </c>
      <c r="O21">
        <f t="shared" si="8"/>
        <v>6.9611456491331508E-4</v>
      </c>
      <c r="P21">
        <f t="shared" si="9"/>
        <v>215.18421052631558</v>
      </c>
      <c r="Q21">
        <f t="shared" si="5"/>
        <v>0.99826086956521742</v>
      </c>
      <c r="R21">
        <f t="shared" si="1"/>
        <v>0.99831616138945856</v>
      </c>
      <c r="T21">
        <v>19</v>
      </c>
      <c r="U21">
        <f t="shared" si="10"/>
        <v>4.1000000000000014</v>
      </c>
      <c r="V21">
        <f t="shared" ca="1" si="20"/>
        <v>159.25789473684216</v>
      </c>
      <c r="W21">
        <f t="shared" ca="1" si="11"/>
        <v>7.4636069943618188E-3</v>
      </c>
      <c r="X21">
        <f t="shared" si="12"/>
        <v>4.2799999999999994</v>
      </c>
      <c r="Y21">
        <f t="shared" ca="1" si="13"/>
        <v>4.1948524863789832E-2</v>
      </c>
      <c r="Z21">
        <f t="shared" ca="1" si="14"/>
        <v>8.0358589368082073E-3</v>
      </c>
      <c r="AA21">
        <f t="shared" ca="1" si="15"/>
        <v>7.7704936054860145E-3</v>
      </c>
      <c r="AB21">
        <f t="shared" ca="1" si="16"/>
        <v>3.0887934109811551E-2</v>
      </c>
      <c r="AC21">
        <f t="shared" ca="1" si="17"/>
        <v>3.1304347826086959E-2</v>
      </c>
    </row>
    <row r="22" spans="1:29" x14ac:dyDescent="0.3">
      <c r="A22">
        <v>0.52477961713984778</v>
      </c>
      <c r="B22">
        <f t="shared" si="0"/>
        <v>180.74583938941507</v>
      </c>
      <c r="C22">
        <f t="shared" si="2"/>
        <v>180</v>
      </c>
      <c r="E22" t="s">
        <v>25</v>
      </c>
      <c r="F22">
        <f ca="1">(OFFSET(K2,_k,0)-I3)/100</f>
        <v>0.72631578947368214</v>
      </c>
      <c r="H22">
        <v>20</v>
      </c>
      <c r="I22">
        <f t="shared" si="18"/>
        <v>215.18421052631558</v>
      </c>
      <c r="J22">
        <f t="shared" si="6"/>
        <v>216.99999999999977</v>
      </c>
      <c r="K22">
        <f t="shared" si="3"/>
        <v>218.81578947368399</v>
      </c>
      <c r="L22">
        <f t="shared" si="7"/>
        <v>575</v>
      </c>
      <c r="M22">
        <f t="shared" si="19"/>
        <v>1</v>
      </c>
      <c r="N22">
        <f t="shared" si="4"/>
        <v>4.7889098928796469E-4</v>
      </c>
      <c r="O22">
        <f t="shared" si="8"/>
        <v>2.8663027726522484E-4</v>
      </c>
      <c r="P22">
        <f t="shared" si="9"/>
        <v>218.81578947368399</v>
      </c>
      <c r="Q22">
        <f t="shared" si="5"/>
        <v>1</v>
      </c>
      <c r="R22">
        <f t="shared" si="1"/>
        <v>0.99939103849188893</v>
      </c>
      <c r="T22">
        <v>20</v>
      </c>
      <c r="U22">
        <f t="shared" si="10"/>
        <v>4.3000000000000016</v>
      </c>
      <c r="V22">
        <f t="shared" ca="1" si="20"/>
        <v>159.98421052631585</v>
      </c>
      <c r="W22">
        <f t="shared" ca="1" si="11"/>
        <v>8.271595022946724E-3</v>
      </c>
      <c r="X22">
        <f t="shared" si="12"/>
        <v>4.4899999999999993</v>
      </c>
      <c r="Y22">
        <f t="shared" ca="1" si="13"/>
        <v>4.7659604754373371E-2</v>
      </c>
      <c r="Z22">
        <f t="shared" ca="1" si="14"/>
        <v>8.9218782738326469E-3</v>
      </c>
      <c r="AA22">
        <f t="shared" ca="1" si="15"/>
        <v>8.5009346734339474E-3</v>
      </c>
      <c r="AB22">
        <f t="shared" ca="1" si="16"/>
        <v>3.7303734455314631E-2</v>
      </c>
      <c r="AC22">
        <f t="shared" ca="1" si="17"/>
        <v>3.209979536494896E-2</v>
      </c>
    </row>
    <row r="23" spans="1:29" x14ac:dyDescent="0.3">
      <c r="A23">
        <v>0.27985219889352675</v>
      </c>
      <c r="B23">
        <f t="shared" si="0"/>
        <v>173.00063240205623</v>
      </c>
      <c r="C23">
        <f t="shared" si="2"/>
        <v>173</v>
      </c>
      <c r="H23">
        <v>21</v>
      </c>
      <c r="I23">
        <f t="shared" si="18"/>
        <v>218.81578947368399</v>
      </c>
      <c r="J23">
        <f t="shared" si="6"/>
        <v>220.63157894736821</v>
      </c>
      <c r="K23">
        <f t="shared" si="3"/>
        <v>222.4473684210524</v>
      </c>
      <c r="L23">
        <f t="shared" si="7"/>
        <v>575</v>
      </c>
      <c r="M23">
        <f t="shared" si="19"/>
        <v>0</v>
      </c>
      <c r="N23">
        <f t="shared" si="4"/>
        <v>0</v>
      </c>
      <c r="O23">
        <f t="shared" si="8"/>
        <v>1.0769317173612338E-4</v>
      </c>
      <c r="P23">
        <f t="shared" si="9"/>
        <v>222.4473684210524</v>
      </c>
      <c r="Q23">
        <f t="shared" si="5"/>
        <v>1</v>
      </c>
      <c r="R23">
        <f t="shared" si="1"/>
        <v>0.99979786512195845</v>
      </c>
      <c r="T23">
        <v>21</v>
      </c>
      <c r="U23">
        <f t="shared" si="10"/>
        <v>4.5000000000000018</v>
      </c>
      <c r="V23">
        <f t="shared" ca="1" si="20"/>
        <v>160.71052631578954</v>
      </c>
      <c r="W23">
        <f t="shared" ca="1" si="11"/>
        <v>9.1335319826411562E-3</v>
      </c>
      <c r="X23">
        <f t="shared" si="12"/>
        <v>4.6999999999999993</v>
      </c>
      <c r="Y23">
        <f t="shared" ca="1" si="13"/>
        <v>5.397717165286809E-2</v>
      </c>
      <c r="Z23">
        <f t="shared" ca="1" si="14"/>
        <v>9.7938564694539515E-3</v>
      </c>
      <c r="AA23">
        <f t="shared" ca="1" si="15"/>
        <v>9.3123961655767629E-3</v>
      </c>
      <c r="AB23">
        <f t="shared" ca="1" si="16"/>
        <v>4.4888947600684043E-2</v>
      </c>
      <c r="AC23">
        <f t="shared" ca="1" si="17"/>
        <v>0.04</v>
      </c>
    </row>
    <row r="24" spans="1:29" x14ac:dyDescent="0.3">
      <c r="A24">
        <v>0.23795933473187736</v>
      </c>
      <c r="B24">
        <f t="shared" si="0"/>
        <v>171.44541388742061</v>
      </c>
      <c r="C24">
        <f t="shared" si="2"/>
        <v>171</v>
      </c>
      <c r="H24">
        <v>22</v>
      </c>
      <c r="I24">
        <f t="shared" si="18"/>
        <v>222.4473684210524</v>
      </c>
      <c r="J24">
        <f t="shared" si="6"/>
        <v>224.26315789473659</v>
      </c>
      <c r="K24">
        <f t="shared" si="3"/>
        <v>226.07894736842081</v>
      </c>
      <c r="L24">
        <f t="shared" si="7"/>
        <v>575</v>
      </c>
      <c r="M24">
        <f t="shared" si="19"/>
        <v>0</v>
      </c>
      <c r="N24">
        <f t="shared" si="4"/>
        <v>0</v>
      </c>
      <c r="O24">
        <f t="shared" si="8"/>
        <v>3.6921474163326314E-5</v>
      </c>
      <c r="P24">
        <f t="shared" si="9"/>
        <v>226.07894736842081</v>
      </c>
      <c r="Q24">
        <f t="shared" si="5"/>
        <v>1</v>
      </c>
      <c r="R24">
        <f t="shared" si="1"/>
        <v>0.99993846086054905</v>
      </c>
      <c r="T24">
        <v>22</v>
      </c>
      <c r="U24">
        <f t="shared" si="10"/>
        <v>4.700000000000002</v>
      </c>
      <c r="V24">
        <f t="shared" ca="1" si="20"/>
        <v>161.43684210526322</v>
      </c>
      <c r="W24">
        <f t="shared" ca="1" si="11"/>
        <v>1.0048407406477389E-2</v>
      </c>
      <c r="X24">
        <f t="shared" si="12"/>
        <v>4.9099999999999993</v>
      </c>
      <c r="Y24">
        <f t="shared" ca="1" si="13"/>
        <v>6.0940084181441319E-2</v>
      </c>
      <c r="Z24">
        <f t="shared" ca="1" si="14"/>
        <v>1.0656845902493292E-2</v>
      </c>
      <c r="AA24">
        <f t="shared" ca="1" si="15"/>
        <v>1.0285057035910913E-2</v>
      </c>
      <c r="AB24">
        <f t="shared" ca="1" si="16"/>
        <v>5.3619208697580356E-2</v>
      </c>
      <c r="AC24">
        <f t="shared" ca="1" si="17"/>
        <v>5.3913043478260869E-2</v>
      </c>
    </row>
    <row r="25" spans="1:29" x14ac:dyDescent="0.3">
      <c r="A25">
        <v>0.96331496341254785</v>
      </c>
      <c r="B25">
        <f t="shared" si="0"/>
        <v>201.48626105513395</v>
      </c>
      <c r="C25">
        <f t="shared" si="2"/>
        <v>201</v>
      </c>
      <c r="H25">
        <v>23</v>
      </c>
      <c r="I25">
        <f t="shared" si="18"/>
        <v>226.07894736842081</v>
      </c>
      <c r="J25">
        <f t="shared" si="6"/>
        <v>227.89473684210503</v>
      </c>
      <c r="K25">
        <f t="shared" si="3"/>
        <v>229.71052631578922</v>
      </c>
      <c r="L25">
        <f t="shared" si="7"/>
        <v>575</v>
      </c>
      <c r="M25">
        <f t="shared" si="19"/>
        <v>0</v>
      </c>
      <c r="N25">
        <f t="shared" si="4"/>
        <v>0</v>
      </c>
      <c r="O25">
        <f t="shared" si="8"/>
        <v>1.1550337079260439E-5</v>
      </c>
      <c r="P25">
        <f t="shared" si="9"/>
        <v>229.71052631578922</v>
      </c>
      <c r="Q25">
        <f t="shared" si="5"/>
        <v>1</v>
      </c>
      <c r="R25">
        <f t="shared" si="1"/>
        <v>0.99998282626723689</v>
      </c>
      <c r="T25">
        <v>23</v>
      </c>
      <c r="U25">
        <f t="shared" si="10"/>
        <v>4.9000000000000021</v>
      </c>
      <c r="V25">
        <f t="shared" ca="1" si="20"/>
        <v>162.16315789473691</v>
      </c>
      <c r="W25">
        <f t="shared" ca="1" si="11"/>
        <v>1.1014497950940623E-2</v>
      </c>
      <c r="X25">
        <f t="shared" si="12"/>
        <v>5.1199999999999992</v>
      </c>
      <c r="Y25">
        <f t="shared" ca="1" si="13"/>
        <v>6.8586211144939874E-2</v>
      </c>
      <c r="Z25">
        <f t="shared" ca="1" si="14"/>
        <v>1.1529254343893004E-2</v>
      </c>
      <c r="AA25">
        <f t="shared" ca="1" si="15"/>
        <v>1.1416621119792742E-2</v>
      </c>
      <c r="AB25">
        <f t="shared" ca="1" si="16"/>
        <v>6.2945339496363439E-2</v>
      </c>
      <c r="AC25">
        <f t="shared" ca="1" si="17"/>
        <v>6.7826086956521744E-2</v>
      </c>
    </row>
    <row r="26" spans="1:29" x14ac:dyDescent="0.3">
      <c r="A26">
        <v>0.79963977055455016</v>
      </c>
      <c r="B26">
        <f t="shared" si="0"/>
        <v>190.08402264832677</v>
      </c>
      <c r="C26">
        <f t="shared" si="2"/>
        <v>190</v>
      </c>
      <c r="H26">
        <v>24</v>
      </c>
      <c r="I26">
        <f t="shared" si="18"/>
        <v>229.71052631578922</v>
      </c>
      <c r="J26">
        <f t="shared" si="6"/>
        <v>231.52631578947341</v>
      </c>
      <c r="K26">
        <f t="shared" si="3"/>
        <v>233.34210526315763</v>
      </c>
      <c r="L26">
        <f t="shared" si="7"/>
        <v>575</v>
      </c>
      <c r="M26">
        <f t="shared" si="19"/>
        <v>0</v>
      </c>
      <c r="N26">
        <f t="shared" si="4"/>
        <v>0</v>
      </c>
      <c r="O26">
        <f t="shared" si="8"/>
        <v>3.297122214470626E-6</v>
      </c>
      <c r="P26">
        <f t="shared" si="9"/>
        <v>233.34210526315763</v>
      </c>
      <c r="Q26">
        <f t="shared" si="5"/>
        <v>1</v>
      </c>
      <c r="R26">
        <f t="shared" si="1"/>
        <v>0.99999560899143536</v>
      </c>
      <c r="T26">
        <v>24</v>
      </c>
      <c r="U26">
        <f t="shared" si="10"/>
        <v>5.1000000000000023</v>
      </c>
      <c r="V26">
        <f t="shared" ca="1" si="20"/>
        <v>162.8894736842106</v>
      </c>
      <c r="W26">
        <f t="shared" ca="1" si="11"/>
        <v>1.2029322504745543E-2</v>
      </c>
      <c r="X26">
        <f t="shared" si="12"/>
        <v>5.3299999999999992</v>
      </c>
      <c r="Y26">
        <f t="shared" ca="1" si="13"/>
        <v>7.6951896898886082E-2</v>
      </c>
      <c r="Z26">
        <f t="shared" ca="1" si="14"/>
        <v>1.2440700156700488E-2</v>
      </c>
      <c r="AA26">
        <f t="shared" ca="1" si="15"/>
        <v>1.2494615703380656E-2</v>
      </c>
      <c r="AB26">
        <f t="shared" ca="1" si="16"/>
        <v>7.2136596778802048E-2</v>
      </c>
      <c r="AC26">
        <f t="shared" ca="1" si="17"/>
        <v>6.7826086956521744E-2</v>
      </c>
    </row>
    <row r="27" spans="1:29" x14ac:dyDescent="0.3">
      <c r="A27">
        <v>0.74951686484577862</v>
      </c>
      <c r="B27">
        <f t="shared" si="0"/>
        <v>188.07564200968488</v>
      </c>
      <c r="C27">
        <f t="shared" si="2"/>
        <v>188</v>
      </c>
      <c r="H27">
        <v>25</v>
      </c>
      <c r="I27">
        <f t="shared" si="18"/>
        <v>233.34210526315763</v>
      </c>
      <c r="J27">
        <f t="shared" si="6"/>
        <v>235.15789473684185</v>
      </c>
      <c r="K27">
        <f t="shared" si="3"/>
        <v>236.97368421052605</v>
      </c>
      <c r="L27">
        <f t="shared" si="7"/>
        <v>575</v>
      </c>
      <c r="M27">
        <f t="shared" si="19"/>
        <v>0</v>
      </c>
      <c r="N27">
        <f t="shared" si="4"/>
        <v>0</v>
      </c>
      <c r="O27">
        <f t="shared" si="8"/>
        <v>8.5881613106590234E-7</v>
      </c>
      <c r="P27">
        <f t="shared" si="9"/>
        <v>236.97368421052605</v>
      </c>
      <c r="Q27">
        <f t="shared" si="5"/>
        <v>1</v>
      </c>
      <c r="R27">
        <f t="shared" si="1"/>
        <v>0.99999897182949915</v>
      </c>
      <c r="T27">
        <v>25</v>
      </c>
      <c r="U27">
        <f t="shared" si="10"/>
        <v>5.3000000000000025</v>
      </c>
      <c r="V27">
        <f t="shared" ca="1" si="20"/>
        <v>163.61578947368429</v>
      </c>
      <c r="W27">
        <f t="shared" ca="1" si="11"/>
        <v>1.3089607399374334E-2</v>
      </c>
      <c r="X27">
        <f t="shared" si="12"/>
        <v>5.5399999999999991</v>
      </c>
      <c r="Y27">
        <f t="shared" ca="1" si="13"/>
        <v>8.6071397670490712E-2</v>
      </c>
      <c r="Z27">
        <f t="shared" ca="1" si="14"/>
        <v>1.3427078800739692E-2</v>
      </c>
      <c r="AA27">
        <f t="shared" ca="1" si="15"/>
        <v>1.3583171290005242E-2</v>
      </c>
      <c r="AB27">
        <f t="shared" ca="1" si="16"/>
        <v>8.0747430405966977E-2</v>
      </c>
      <c r="AC27">
        <f t="shared" ca="1" si="17"/>
        <v>8.1739130434782606E-2</v>
      </c>
    </row>
    <row r="28" spans="1:29" x14ac:dyDescent="0.3">
      <c r="A28">
        <v>0.66812021476462613</v>
      </c>
      <c r="B28">
        <f t="shared" si="0"/>
        <v>185.21674098277526</v>
      </c>
      <c r="C28">
        <f t="shared" si="2"/>
        <v>185</v>
      </c>
      <c r="H28">
        <v>26</v>
      </c>
      <c r="I28">
        <f t="shared" si="18"/>
        <v>236.97368421052605</v>
      </c>
      <c r="J28">
        <f t="shared" si="6"/>
        <v>238.78947368421024</v>
      </c>
      <c r="K28">
        <f t="shared" si="3"/>
        <v>240.60526315789446</v>
      </c>
      <c r="L28">
        <f t="shared" si="7"/>
        <v>575</v>
      </c>
      <c r="M28">
        <f t="shared" si="19"/>
        <v>0</v>
      </c>
      <c r="N28">
        <f t="shared" si="4"/>
        <v>0</v>
      </c>
      <c r="O28">
        <f t="shared" si="8"/>
        <v>2.0412213482842513E-7</v>
      </c>
      <c r="P28">
        <f t="shared" si="9"/>
        <v>240.60526315789446</v>
      </c>
      <c r="Q28">
        <f t="shared" si="5"/>
        <v>1</v>
      </c>
      <c r="R28">
        <f t="shared" si="1"/>
        <v>0.99999977960160458</v>
      </c>
      <c r="T28">
        <v>26</v>
      </c>
      <c r="U28">
        <f t="shared" si="10"/>
        <v>5.5000000000000027</v>
      </c>
      <c r="V28">
        <f t="shared" ca="1" si="20"/>
        <v>164.34210526315798</v>
      </c>
      <c r="W28">
        <f t="shared" ca="1" si="11"/>
        <v>1.4191263488391283E-2</v>
      </c>
      <c r="X28">
        <f t="shared" si="12"/>
        <v>5.7499999999999991</v>
      </c>
      <c r="Y28">
        <f t="shared" ca="1" si="13"/>
        <v>9.5976296818687162E-2</v>
      </c>
      <c r="Z28">
        <f t="shared" ca="1" si="14"/>
        <v>1.4523681351886619E-2</v>
      </c>
      <c r="AA28">
        <f t="shared" ca="1" si="15"/>
        <v>1.4872890679755698E-2</v>
      </c>
      <c r="AB28">
        <f t="shared" ca="1" si="16"/>
        <v>8.8928250870030034E-2</v>
      </c>
      <c r="AC28">
        <f t="shared" ca="1" si="17"/>
        <v>8.8695652173913037E-2</v>
      </c>
    </row>
    <row r="29" spans="1:29" x14ac:dyDescent="0.3">
      <c r="A29">
        <v>0.27167084288881249</v>
      </c>
      <c r="B29">
        <f t="shared" si="0"/>
        <v>172.7067899720235</v>
      </c>
      <c r="C29">
        <f t="shared" si="2"/>
        <v>172</v>
      </c>
      <c r="H29">
        <v>27</v>
      </c>
      <c r="I29">
        <f t="shared" si="18"/>
        <v>240.60526315789446</v>
      </c>
      <c r="J29">
        <f t="shared" si="6"/>
        <v>242.42105263157868</v>
      </c>
      <c r="K29">
        <f t="shared" si="3"/>
        <v>244.23684210526287</v>
      </c>
      <c r="L29">
        <f t="shared" si="7"/>
        <v>575</v>
      </c>
      <c r="M29">
        <f t="shared" si="19"/>
        <v>0</v>
      </c>
      <c r="N29">
        <f t="shared" si="4"/>
        <v>0</v>
      </c>
      <c r="O29">
        <f t="shared" si="8"/>
        <v>4.4269515744505101E-8</v>
      </c>
      <c r="P29">
        <f t="shared" si="9"/>
        <v>244.23684210526287</v>
      </c>
      <c r="Q29">
        <f t="shared" si="5"/>
        <v>1</v>
      </c>
      <c r="R29">
        <f t="shared" si="1"/>
        <v>0.99999995676285358</v>
      </c>
      <c r="T29">
        <v>27</v>
      </c>
      <c r="U29">
        <f t="shared" si="10"/>
        <v>5.7000000000000028</v>
      </c>
      <c r="V29">
        <f t="shared" ca="1" si="20"/>
        <v>165.06842105263166</v>
      </c>
      <c r="W29">
        <f t="shared" ca="1" si="11"/>
        <v>1.5329376711529809E-2</v>
      </c>
      <c r="X29">
        <f t="shared" si="12"/>
        <v>5.9599999999999991</v>
      </c>
      <c r="Y29">
        <f t="shared" ca="1" si="13"/>
        <v>0.10669490825158577</v>
      </c>
      <c r="Z29">
        <f t="shared" ca="1" si="14"/>
        <v>1.5757764079249181E-2</v>
      </c>
      <c r="AA29">
        <f t="shared" ca="1" si="15"/>
        <v>1.6194717991257646E-2</v>
      </c>
      <c r="AB29">
        <f t="shared" ca="1" si="16"/>
        <v>9.7244788661972198E-2</v>
      </c>
      <c r="AC29">
        <f t="shared" ca="1" si="17"/>
        <v>0.10260869565217391</v>
      </c>
    </row>
    <row r="30" spans="1:29" x14ac:dyDescent="0.3">
      <c r="A30">
        <v>0.36159318770702575</v>
      </c>
      <c r="B30">
        <f t="shared" si="0"/>
        <v>175.74955791389343</v>
      </c>
      <c r="C30">
        <f t="shared" si="2"/>
        <v>175</v>
      </c>
      <c r="H30">
        <v>28</v>
      </c>
      <c r="I30">
        <f t="shared" si="18"/>
        <v>244.23684210526287</v>
      </c>
      <c r="J30">
        <f t="shared" si="6"/>
        <v>246.05263157894706</v>
      </c>
      <c r="K30">
        <f t="shared" si="3"/>
        <v>247.86842105263128</v>
      </c>
      <c r="L30">
        <f t="shared" si="7"/>
        <v>575</v>
      </c>
      <c r="M30">
        <f t="shared" si="19"/>
        <v>0</v>
      </c>
      <c r="N30">
        <f t="shared" si="4"/>
        <v>0</v>
      </c>
      <c r="O30">
        <f t="shared" si="8"/>
        <v>8.7608087924555736E-9</v>
      </c>
      <c r="P30">
        <f t="shared" si="9"/>
        <v>247.86842105263128</v>
      </c>
      <c r="Q30">
        <f t="shared" si="5"/>
        <v>1</v>
      </c>
      <c r="R30">
        <f t="shared" si="1"/>
        <v>0.99999999223946068</v>
      </c>
      <c r="T30">
        <v>28</v>
      </c>
      <c r="U30">
        <f t="shared" si="10"/>
        <v>5.900000000000003</v>
      </c>
      <c r="V30">
        <f t="shared" ca="1" si="20"/>
        <v>165.79473684210535</v>
      </c>
      <c r="W30">
        <f t="shared" ca="1" si="11"/>
        <v>1.6498213545400479E-2</v>
      </c>
      <c r="X30">
        <f t="shared" si="12"/>
        <v>6.169999999999999</v>
      </c>
      <c r="Y30">
        <f t="shared" ca="1" si="13"/>
        <v>0.11825167831949675</v>
      </c>
      <c r="Z30">
        <f t="shared" ca="1" si="14"/>
        <v>1.7142141072748019E-2</v>
      </c>
      <c r="AA30">
        <f t="shared" ca="1" si="15"/>
        <v>1.7579669286491212E-2</v>
      </c>
      <c r="AB30">
        <f t="shared" ca="1" si="16"/>
        <v>0.10631323140762555</v>
      </c>
      <c r="AC30">
        <f t="shared" ca="1" si="17"/>
        <v>0.10260869565217391</v>
      </c>
    </row>
    <row r="31" spans="1:29" x14ac:dyDescent="0.3">
      <c r="A31">
        <v>0.63145723687035471</v>
      </c>
      <c r="B31">
        <f t="shared" si="0"/>
        <v>184.02858424926671</v>
      </c>
      <c r="C31">
        <f t="shared" si="2"/>
        <v>184</v>
      </c>
      <c r="H31">
        <v>29</v>
      </c>
      <c r="I31">
        <f t="shared" si="18"/>
        <v>247.86842105263128</v>
      </c>
      <c r="J31">
        <f t="shared" si="6"/>
        <v>249.6842105263155</v>
      </c>
      <c r="K31">
        <f t="shared" si="3"/>
        <v>251.49999999999969</v>
      </c>
      <c r="L31">
        <f t="shared" si="7"/>
        <v>575</v>
      </c>
      <c r="M31">
        <f t="shared" si="19"/>
        <v>0</v>
      </c>
      <c r="N31">
        <f t="shared" si="4"/>
        <v>0</v>
      </c>
      <c r="O31">
        <f t="shared" si="8"/>
        <v>1.58200697230312E-9</v>
      </c>
      <c r="P31">
        <f t="shared" si="9"/>
        <v>251.49999999999969</v>
      </c>
      <c r="Q31">
        <f t="shared" si="5"/>
        <v>1</v>
      </c>
      <c r="R31">
        <f t="shared" si="1"/>
        <v>0.9999999987258833</v>
      </c>
      <c r="T31">
        <v>29</v>
      </c>
      <c r="U31">
        <f t="shared" si="10"/>
        <v>6.1000000000000032</v>
      </c>
      <c r="V31">
        <f t="shared" ca="1" si="20"/>
        <v>166.52105263157904</v>
      </c>
      <c r="W31">
        <f t="shared" ca="1" si="11"/>
        <v>1.76912424670502E-2</v>
      </c>
      <c r="X31">
        <f t="shared" si="12"/>
        <v>6.379999999999999</v>
      </c>
      <c r="Y31">
        <f t="shared" ca="1" si="13"/>
        <v>0.13066659742338604</v>
      </c>
      <c r="Z31">
        <f t="shared" ca="1" si="14"/>
        <v>1.8671087072576295E-2</v>
      </c>
      <c r="AA31">
        <f t="shared" ca="1" si="15"/>
        <v>1.9074131536299443E-2</v>
      </c>
      <c r="AB31">
        <f t="shared" ca="1" si="16"/>
        <v>0.11690154762276672</v>
      </c>
      <c r="AC31">
        <f t="shared" ca="1" si="17"/>
        <v>0.11304347826086956</v>
      </c>
    </row>
    <row r="32" spans="1:29" x14ac:dyDescent="0.3">
      <c r="A32">
        <v>0.23861870853883516</v>
      </c>
      <c r="B32">
        <f t="shared" si="0"/>
        <v>171.47096606861058</v>
      </c>
      <c r="C32">
        <f t="shared" si="2"/>
        <v>171</v>
      </c>
      <c r="H32">
        <v>30</v>
      </c>
      <c r="I32">
        <f t="shared" si="18"/>
        <v>251.49999999999969</v>
      </c>
      <c r="J32">
        <f t="shared" si="6"/>
        <v>253.31578947368388</v>
      </c>
      <c r="K32">
        <f t="shared" si="3"/>
        <v>255.1315789473681</v>
      </c>
      <c r="L32">
        <f t="shared" si="7"/>
        <v>575</v>
      </c>
      <c r="M32">
        <f t="shared" si="19"/>
        <v>0</v>
      </c>
      <c r="N32">
        <f t="shared" si="4"/>
        <v>0</v>
      </c>
      <c r="O32">
        <f t="shared" si="8"/>
        <v>2.6067377752890264E-10</v>
      </c>
      <c r="P32">
        <f t="shared" si="9"/>
        <v>255.1315789473681</v>
      </c>
      <c r="Q32">
        <f t="shared" si="5"/>
        <v>1</v>
      </c>
      <c r="R32">
        <f t="shared" si="1"/>
        <v>0.99999999980869869</v>
      </c>
      <c r="T32">
        <v>30</v>
      </c>
      <c r="U32">
        <f t="shared" si="10"/>
        <v>6.3000000000000034</v>
      </c>
      <c r="V32">
        <f t="shared" ca="1" si="20"/>
        <v>167.24736842105273</v>
      </c>
      <c r="W32">
        <f t="shared" ca="1" si="11"/>
        <v>1.8901172223650321E-2</v>
      </c>
      <c r="X32">
        <f t="shared" si="12"/>
        <v>6.589999999999999</v>
      </c>
      <c r="Y32">
        <f t="shared" ca="1" si="13"/>
        <v>0.14395463327901023</v>
      </c>
      <c r="Z32">
        <f t="shared" ca="1" si="14"/>
        <v>2.031920812801484E-2</v>
      </c>
      <c r="AA32">
        <f t="shared" ca="1" si="15"/>
        <v>2.0805345890575366E-2</v>
      </c>
      <c r="AB32">
        <f t="shared" ca="1" si="16"/>
        <v>0.12990963335913863</v>
      </c>
      <c r="AC32">
        <f t="shared" ca="1" si="17"/>
        <v>0.12869565217391304</v>
      </c>
    </row>
    <row r="33" spans="1:29" x14ac:dyDescent="0.3">
      <c r="A33">
        <v>0.37841135087059963</v>
      </c>
      <c r="B33">
        <f t="shared" si="0"/>
        <v>176.28413014127841</v>
      </c>
      <c r="C33">
        <f t="shared" si="2"/>
        <v>176</v>
      </c>
      <c r="T33">
        <v>31</v>
      </c>
      <c r="U33">
        <f t="shared" si="10"/>
        <v>6.5000000000000036</v>
      </c>
      <c r="V33">
        <f t="shared" ca="1" si="20"/>
        <v>167.97368421052641</v>
      </c>
      <c r="W33">
        <f t="shared" ca="1" si="11"/>
        <v>2.0120007317962561E-2</v>
      </c>
      <c r="X33">
        <f t="shared" si="12"/>
        <v>6.7999999999999989</v>
      </c>
      <c r="Y33">
        <f t="shared" ca="1" si="13"/>
        <v>0.15812519821664583</v>
      </c>
      <c r="Z33">
        <f t="shared" ca="1" si="14"/>
        <v>2.2043217955438267E-2</v>
      </c>
      <c r="AA33">
        <f t="shared" ca="1" si="15"/>
        <v>2.2444160213027649E-2</v>
      </c>
      <c r="AB33">
        <f t="shared" ca="1" si="16"/>
        <v>0.14555173410031041</v>
      </c>
      <c r="AC33">
        <f t="shared" ca="1" si="17"/>
        <v>0.12869565217391304</v>
      </c>
    </row>
    <row r="34" spans="1:29" x14ac:dyDescent="0.3">
      <c r="A34">
        <v>0.9066359271958585</v>
      </c>
      <c r="B34">
        <f t="shared" si="0"/>
        <v>195.84384198608348</v>
      </c>
      <c r="C34">
        <f t="shared" si="2"/>
        <v>195</v>
      </c>
      <c r="T34">
        <v>32</v>
      </c>
      <c r="U34">
        <f t="shared" si="10"/>
        <v>6.7000000000000037</v>
      </c>
      <c r="V34">
        <f t="shared" ca="1" si="20"/>
        <v>168.7000000000001</v>
      </c>
      <c r="W34">
        <f t="shared" ca="1" si="11"/>
        <v>2.1339120694033219E-2</v>
      </c>
      <c r="X34">
        <f t="shared" si="12"/>
        <v>7.0099999999999989</v>
      </c>
      <c r="Y34">
        <f t="shared" ca="1" si="13"/>
        <v>0.17318166304164495</v>
      </c>
      <c r="Z34">
        <f t="shared" ca="1" si="14"/>
        <v>2.3786019230424314E-2</v>
      </c>
      <c r="AA34">
        <f t="shared" ca="1" si="15"/>
        <v>2.3900523867243728E-2</v>
      </c>
      <c r="AB34">
        <f t="shared" ca="1" si="16"/>
        <v>0.16294567992740175</v>
      </c>
      <c r="AC34">
        <f t="shared" ca="1" si="17"/>
        <v>0.16</v>
      </c>
    </row>
    <row r="35" spans="1:29" x14ac:dyDescent="0.3">
      <c r="A35">
        <v>0.84258705076754181</v>
      </c>
      <c r="B35">
        <f t="shared" si="0"/>
        <v>192.06176831010873</v>
      </c>
      <c r="C35">
        <f t="shared" si="2"/>
        <v>192</v>
      </c>
      <c r="T35">
        <v>33</v>
      </c>
      <c r="U35">
        <f t="shared" si="10"/>
        <v>6.9000000000000039</v>
      </c>
      <c r="V35">
        <f t="shared" ca="1" si="20"/>
        <v>169.42631578947379</v>
      </c>
      <c r="W35">
        <f t="shared" ca="1" si="11"/>
        <v>2.2549343152167969E-2</v>
      </c>
      <c r="X35">
        <f t="shared" si="12"/>
        <v>7.2199999999999989</v>
      </c>
      <c r="Y35">
        <f t="shared" ca="1" si="13"/>
        <v>0.18912092980581827</v>
      </c>
      <c r="Z35">
        <f t="shared" ca="1" si="14"/>
        <v>2.5482281656672618E-2</v>
      </c>
      <c r="AA35">
        <f t="shared" ca="1" si="15"/>
        <v>2.5239543962359542E-2</v>
      </c>
      <c r="AB35">
        <f t="shared" ca="1" si="16"/>
        <v>0.18124962795458735</v>
      </c>
      <c r="AC35">
        <f t="shared" ca="1" si="17"/>
        <v>0.18260869565217391</v>
      </c>
    </row>
    <row r="36" spans="1:29" x14ac:dyDescent="0.3">
      <c r="A36">
        <v>0.32538819272472841</v>
      </c>
      <c r="B36">
        <f t="shared" si="0"/>
        <v>174.5677933833864</v>
      </c>
      <c r="C36">
        <f t="shared" si="2"/>
        <v>174</v>
      </c>
      <c r="T36">
        <v>34</v>
      </c>
      <c r="U36">
        <f t="shared" ref="U36:U67" si="21">U35+_k/100</f>
        <v>7.1000000000000041</v>
      </c>
      <c r="V36">
        <f t="shared" ca="1" si="20"/>
        <v>170.15263157894748</v>
      </c>
      <c r="W36">
        <f t="shared" ca="1" si="11"/>
        <v>2.3741068549968401E-2</v>
      </c>
      <c r="X36">
        <f t="shared" ref="X36:X67" si="22">X35+(_k+1)/100</f>
        <v>7.4299999999999988</v>
      </c>
      <c r="Y36">
        <f t="shared" ca="1" si="13"/>
        <v>0.20593307532666558</v>
      </c>
      <c r="Z36">
        <f t="shared" ca="1" si="14"/>
        <v>2.7064791691961691E-2</v>
      </c>
      <c r="AA36">
        <f t="shared" ca="1" si="15"/>
        <v>2.667649320714759E-2</v>
      </c>
      <c r="AB36">
        <f t="shared" ca="1" si="16"/>
        <v>0.20079116716097364</v>
      </c>
      <c r="AC36">
        <f t="shared" ca="1" si="17"/>
        <v>0.20347826086956522</v>
      </c>
    </row>
    <row r="37" spans="1:29" x14ac:dyDescent="0.3">
      <c r="A37">
        <v>0.4878142563045984</v>
      </c>
      <c r="B37">
        <f t="shared" si="0"/>
        <v>179.63340142753398</v>
      </c>
      <c r="C37">
        <f t="shared" si="2"/>
        <v>179</v>
      </c>
      <c r="T37">
        <v>35</v>
      </c>
      <c r="U37">
        <f t="shared" si="21"/>
        <v>7.3000000000000043</v>
      </c>
      <c r="V37">
        <f t="shared" ca="1" si="20"/>
        <v>170.87894736842117</v>
      </c>
      <c r="W37">
        <f t="shared" ca="1" si="11"/>
        <v>2.4904373371938578E-2</v>
      </c>
      <c r="X37">
        <f t="shared" si="22"/>
        <v>7.6399999999999988</v>
      </c>
      <c r="Y37">
        <f t="shared" ca="1" si="13"/>
        <v>0.22360107643381272</v>
      </c>
      <c r="Z37">
        <f t="shared" ca="1" si="14"/>
        <v>2.8471034341556727E-2</v>
      </c>
      <c r="AA37">
        <f t="shared" ca="1" si="15"/>
        <v>2.797904060756852E-2</v>
      </c>
      <c r="AB37">
        <f t="shared" ca="1" si="16"/>
        <v>0.22230892256542453</v>
      </c>
      <c r="AC37">
        <f t="shared" ca="1" si="17"/>
        <v>0.20347826086956522</v>
      </c>
    </row>
    <row r="38" spans="1:29" x14ac:dyDescent="0.3">
      <c r="A38">
        <v>0.34920586519446084</v>
      </c>
      <c r="B38">
        <f t="shared" si="0"/>
        <v>175.35041577161104</v>
      </c>
      <c r="C38">
        <f t="shared" si="2"/>
        <v>175</v>
      </c>
      <c r="T38">
        <v>36</v>
      </c>
      <c r="U38">
        <f t="shared" si="21"/>
        <v>7.5000000000000044</v>
      </c>
      <c r="V38">
        <f t="shared" ca="1" si="20"/>
        <v>171.60526315789485</v>
      </c>
      <c r="W38">
        <f t="shared" ca="1" si="11"/>
        <v>2.6029148789797174E-2</v>
      </c>
      <c r="X38">
        <f t="shared" si="22"/>
        <v>7.8499999999999988</v>
      </c>
      <c r="Y38">
        <f t="shared" ca="1" si="13"/>
        <v>0.24210062672394306</v>
      </c>
      <c r="Z38">
        <f t="shared" ca="1" si="14"/>
        <v>2.964955284994766E-2</v>
      </c>
      <c r="AA38">
        <f t="shared" ca="1" si="15"/>
        <v>2.9113079242663736E-2</v>
      </c>
      <c r="AB38">
        <f t="shared" ca="1" si="16"/>
        <v>0.24572755028327112</v>
      </c>
      <c r="AC38">
        <f t="shared" ca="1" si="17"/>
        <v>0.24521739130434783</v>
      </c>
    </row>
    <row r="39" spans="1:29" x14ac:dyDescent="0.3">
      <c r="A39">
        <v>0.76124276681600589</v>
      </c>
      <c r="B39">
        <f t="shared" si="0"/>
        <v>188.52367071350147</v>
      </c>
      <c r="C39">
        <f t="shared" si="2"/>
        <v>188</v>
      </c>
      <c r="T39">
        <v>37</v>
      </c>
      <c r="U39">
        <f t="shared" si="21"/>
        <v>7.7000000000000046</v>
      </c>
      <c r="V39">
        <f t="shared" ca="1" si="20"/>
        <v>172.33157894736854</v>
      </c>
      <c r="W39">
        <f t="shared" ca="1" si="11"/>
        <v>2.7105242905499361E-2</v>
      </c>
      <c r="X39">
        <f t="shared" si="22"/>
        <v>8.0599999999999987</v>
      </c>
      <c r="Y39">
        <f t="shared" ca="1" si="13"/>
        <v>0.26140005308306147</v>
      </c>
      <c r="Z39">
        <f t="shared" ca="1" si="14"/>
        <v>3.0565537996828349E-2</v>
      </c>
      <c r="AA39">
        <f t="shared" ca="1" si="15"/>
        <v>3.0107641269833039E-2</v>
      </c>
      <c r="AB39">
        <f t="shared" ca="1" si="16"/>
        <v>0.27060335439084016</v>
      </c>
      <c r="AC39">
        <f t="shared" ca="1" si="17"/>
        <v>0.27130434782608698</v>
      </c>
    </row>
    <row r="40" spans="1:29" x14ac:dyDescent="0.3">
      <c r="A40">
        <v>0.65719590684890306</v>
      </c>
      <c r="B40">
        <f t="shared" si="0"/>
        <v>184.85786677421808</v>
      </c>
      <c r="C40">
        <f t="shared" si="2"/>
        <v>184</v>
      </c>
      <c r="T40">
        <v>38</v>
      </c>
      <c r="U40">
        <f t="shared" si="21"/>
        <v>7.9000000000000048</v>
      </c>
      <c r="V40">
        <f t="shared" ca="1" si="20"/>
        <v>173.05789473684223</v>
      </c>
      <c r="W40">
        <f t="shared" ca="1" si="11"/>
        <v>2.8122610485216342E-2</v>
      </c>
      <c r="X40">
        <f t="shared" si="22"/>
        <v>8.27</v>
      </c>
      <c r="Y40">
        <f t="shared" ca="1" si="13"/>
        <v>0.28146033841594498</v>
      </c>
      <c r="Z40">
        <f t="shared" ca="1" si="14"/>
        <v>3.1204921920167012E-2</v>
      </c>
      <c r="AA40">
        <f t="shared" ca="1" si="15"/>
        <v>3.0876461160385671E-2</v>
      </c>
      <c r="AB40">
        <f t="shared" ca="1" si="16"/>
        <v>0.29679487567264229</v>
      </c>
      <c r="AC40">
        <f t="shared" ca="1" si="17"/>
        <v>0.31304347826086959</v>
      </c>
    </row>
    <row r="41" spans="1:29" x14ac:dyDescent="0.3">
      <c r="A41">
        <v>7.0141428315509402E-2</v>
      </c>
      <c r="B41">
        <f t="shared" si="0"/>
        <v>162.30313780043011</v>
      </c>
      <c r="C41">
        <f t="shared" si="2"/>
        <v>162</v>
      </c>
      <c r="T41">
        <v>39</v>
      </c>
      <c r="U41">
        <f t="shared" si="21"/>
        <v>8.100000000000005</v>
      </c>
      <c r="V41">
        <f t="shared" ca="1" si="20"/>
        <v>173.78421052631592</v>
      </c>
      <c r="W41">
        <f t="shared" ca="1" si="11"/>
        <v>2.907146717039048E-2</v>
      </c>
      <c r="X41">
        <f t="shared" si="22"/>
        <v>8.48</v>
      </c>
      <c r="Y41">
        <f t="shared" ca="1" si="13"/>
        <v>0.30223525494642689</v>
      </c>
      <c r="Z41">
        <f t="shared" ca="1" si="14"/>
        <v>3.1576196491790422E-2</v>
      </c>
      <c r="AA41">
        <f t="shared" ca="1" si="15"/>
        <v>3.1288466407757912E-2</v>
      </c>
      <c r="AB41">
        <f t="shared" ca="1" si="16"/>
        <v>0.32368128897299558</v>
      </c>
      <c r="AC41">
        <f t="shared" ca="1" si="17"/>
        <v>0.31304347826086959</v>
      </c>
    </row>
    <row r="42" spans="1:29" x14ac:dyDescent="0.3">
      <c r="A42">
        <v>0.31472480904054612</v>
      </c>
      <c r="B42">
        <f t="shared" si="0"/>
        <v>174.20998005665393</v>
      </c>
      <c r="C42">
        <f t="shared" si="2"/>
        <v>174</v>
      </c>
      <c r="T42">
        <v>40</v>
      </c>
      <c r="U42">
        <f t="shared" si="21"/>
        <v>8.3000000000000043</v>
      </c>
      <c r="V42">
        <f t="shared" ca="1" si="20"/>
        <v>174.5105263157896</v>
      </c>
      <c r="W42">
        <f t="shared" ca="1" si="11"/>
        <v>2.9942444905179482E-2</v>
      </c>
      <c r="X42">
        <f t="shared" si="22"/>
        <v>8.6900000000000013</v>
      </c>
      <c r="Y42">
        <f t="shared" ca="1" si="13"/>
        <v>0.32367161016856349</v>
      </c>
      <c r="Z42">
        <f t="shared" ca="1" si="14"/>
        <v>3.1709408338071211E-2</v>
      </c>
      <c r="AA42">
        <f t="shared" ca="1" si="15"/>
        <v>3.1334124395865824E-2</v>
      </c>
      <c r="AB42">
        <f t="shared" ca="1" si="16"/>
        <v>0.34975288920648839</v>
      </c>
      <c r="AC42">
        <f t="shared" ca="1" si="17"/>
        <v>0.35478260869565215</v>
      </c>
    </row>
    <row r="43" spans="1:29" x14ac:dyDescent="0.3">
      <c r="A43">
        <v>0.71078192031077803</v>
      </c>
      <c r="B43">
        <f t="shared" si="0"/>
        <v>186.66804542784516</v>
      </c>
      <c r="C43">
        <f t="shared" si="2"/>
        <v>186</v>
      </c>
      <c r="T43">
        <v>41</v>
      </c>
      <c r="U43">
        <f t="shared" si="21"/>
        <v>8.5000000000000036</v>
      </c>
      <c r="V43">
        <f t="shared" ca="1" si="20"/>
        <v>175.23684210526329</v>
      </c>
      <c r="W43">
        <f t="shared" ca="1" si="11"/>
        <v>3.0726745159636023E-2</v>
      </c>
      <c r="X43">
        <f t="shared" si="22"/>
        <v>8.9000000000000021</v>
      </c>
      <c r="Y43">
        <f t="shared" ca="1" si="13"/>
        <v>0.34570960509679904</v>
      </c>
      <c r="Z43">
        <f t="shared" ca="1" si="14"/>
        <v>3.165230005483298E-2</v>
      </c>
      <c r="AA43">
        <f t="shared" ca="1" si="15"/>
        <v>3.1372349245873267E-2</v>
      </c>
      <c r="AB43">
        <f t="shared" ca="1" si="16"/>
        <v>0.37378928210922169</v>
      </c>
      <c r="AC43">
        <f t="shared" ca="1" si="17"/>
        <v>0.3843478260869565</v>
      </c>
    </row>
    <row r="44" spans="1:29" x14ac:dyDescent="0.3">
      <c r="A44">
        <v>0.61580058009020533</v>
      </c>
      <c r="B44">
        <f t="shared" si="0"/>
        <v>183.53363912683398</v>
      </c>
      <c r="C44">
        <f t="shared" si="2"/>
        <v>183</v>
      </c>
      <c r="T44">
        <v>42</v>
      </c>
      <c r="U44">
        <f t="shared" si="21"/>
        <v>8.7000000000000028</v>
      </c>
      <c r="V44">
        <f t="shared" ca="1" si="20"/>
        <v>175.96315789473698</v>
      </c>
      <c r="W44">
        <f t="shared" ca="1" si="11"/>
        <v>3.1416286463600958E-2</v>
      </c>
      <c r="X44">
        <f t="shared" si="22"/>
        <v>9.110000000000003</v>
      </c>
      <c r="Y44">
        <f t="shared" ca="1" si="13"/>
        <v>0.36828330194939973</v>
      </c>
      <c r="Z44">
        <f t="shared" ca="1" si="14"/>
        <v>3.1464183245056794E-2</v>
      </c>
      <c r="AA44">
        <f t="shared" ca="1" si="15"/>
        <v>3.1442134254338241E-2</v>
      </c>
      <c r="AB44">
        <f t="shared" ca="1" si="16"/>
        <v>0.39593443864394945</v>
      </c>
      <c r="AC44">
        <f t="shared" ca="1" si="17"/>
        <v>0.3843478260869565</v>
      </c>
    </row>
    <row r="45" spans="1:29" x14ac:dyDescent="0.3">
      <c r="A45">
        <v>0.55587883069991351</v>
      </c>
      <c r="B45">
        <f t="shared" si="0"/>
        <v>181.68634348191574</v>
      </c>
      <c r="C45">
        <f t="shared" si="2"/>
        <v>181</v>
      </c>
      <c r="T45">
        <v>43</v>
      </c>
      <c r="U45">
        <f t="shared" si="21"/>
        <v>8.9000000000000021</v>
      </c>
      <c r="V45">
        <f t="shared" ca="1" si="20"/>
        <v>176.68947368421067</v>
      </c>
      <c r="W45">
        <f t="shared" ca="1" si="11"/>
        <v>3.2003842803063655E-2</v>
      </c>
      <c r="X45">
        <f t="shared" si="22"/>
        <v>9.3200000000000038</v>
      </c>
      <c r="Y45">
        <f t="shared" ca="1" si="13"/>
        <v>0.39132119587533637</v>
      </c>
      <c r="Z45">
        <f t="shared" ca="1" si="14"/>
        <v>3.1208579184856401E-2</v>
      </c>
      <c r="AA45">
        <f t="shared" ca="1" si="15"/>
        <v>3.1454517911301355E-2</v>
      </c>
      <c r="AB45">
        <f t="shared" ca="1" si="16"/>
        <v>0.41735083170916559</v>
      </c>
      <c r="AC45">
        <f t="shared" ca="1" si="17"/>
        <v>0.41043478260869565</v>
      </c>
    </row>
    <row r="46" spans="1:29" x14ac:dyDescent="0.3">
      <c r="A46">
        <v>0.65727476055187373</v>
      </c>
      <c r="B46">
        <f t="shared" si="0"/>
        <v>184.86044130714868</v>
      </c>
      <c r="C46">
        <f t="shared" si="2"/>
        <v>184</v>
      </c>
      <c r="T46">
        <v>44</v>
      </c>
      <c r="U46">
        <f t="shared" si="21"/>
        <v>9.1000000000000014</v>
      </c>
      <c r="V46">
        <f t="shared" ca="1" si="20"/>
        <v>177.41578947368436</v>
      </c>
      <c r="W46">
        <f t="shared" ca="1" si="11"/>
        <v>3.2483169570648972E-2</v>
      </c>
      <c r="X46">
        <f t="shared" si="22"/>
        <v>9.5300000000000047</v>
      </c>
      <c r="Y46">
        <f t="shared" ca="1" si="13"/>
        <v>0.41474688287485345</v>
      </c>
      <c r="Z46">
        <f t="shared" ca="1" si="14"/>
        <v>3.0945768812115096E-2</v>
      </c>
      <c r="AA46">
        <f t="shared" ca="1" si="15"/>
        <v>3.1426101853382196E-2</v>
      </c>
      <c r="AB46">
        <f t="shared" ca="1" si="16"/>
        <v>0.43910685017421319</v>
      </c>
      <c r="AC46">
        <f t="shared" ca="1" si="17"/>
        <v>0.44</v>
      </c>
    </row>
    <row r="47" spans="1:29" x14ac:dyDescent="0.3">
      <c r="A47">
        <v>0.89212699408368967</v>
      </c>
      <c r="B47">
        <f t="shared" si="0"/>
        <v>194.85503073997572</v>
      </c>
      <c r="C47">
        <f t="shared" si="2"/>
        <v>194</v>
      </c>
      <c r="T47">
        <v>45</v>
      </c>
      <c r="U47">
        <f t="shared" si="21"/>
        <v>9.3000000000000007</v>
      </c>
      <c r="V47">
        <f t="shared" ca="1" si="20"/>
        <v>178.14210526315804</v>
      </c>
      <c r="W47">
        <f t="shared" ca="1" si="11"/>
        <v>3.2849114003164939E-2</v>
      </c>
      <c r="X47">
        <f t="shared" si="22"/>
        <v>9.7400000000000055</v>
      </c>
      <c r="Y47">
        <f t="shared" ca="1" si="13"/>
        <v>0.43847981374267708</v>
      </c>
      <c r="Z47">
        <f t="shared" ca="1" si="14"/>
        <v>3.0726172126336486E-2</v>
      </c>
      <c r="AA47">
        <f t="shared" ca="1" si="15"/>
        <v>3.1310870242305153E-2</v>
      </c>
      <c r="AB47">
        <f t="shared" ca="1" si="16"/>
        <v>0.46139870119200888</v>
      </c>
      <c r="AC47">
        <f t="shared" ca="1" si="17"/>
        <v>0.47304347826086957</v>
      </c>
    </row>
    <row r="48" spans="1:29" x14ac:dyDescent="0.3">
      <c r="A48">
        <v>0.41629437103122158</v>
      </c>
      <c r="B48">
        <f t="shared" si="0"/>
        <v>177.46340893661505</v>
      </c>
      <c r="C48">
        <f t="shared" si="2"/>
        <v>177</v>
      </c>
      <c r="T48">
        <v>46</v>
      </c>
      <c r="U48">
        <f t="shared" si="21"/>
        <v>9.5</v>
      </c>
      <c r="V48">
        <f t="shared" ca="1" si="20"/>
        <v>178.86842105263173</v>
      </c>
      <c r="W48">
        <f t="shared" ca="1" si="11"/>
        <v>3.3097707376241341E-2</v>
      </c>
      <c r="X48">
        <f t="shared" si="22"/>
        <v>9.9500000000000064</v>
      </c>
      <c r="Y48">
        <f t="shared" ca="1" si="13"/>
        <v>0.46243612175201099</v>
      </c>
      <c r="Z48">
        <f t="shared" ca="1" si="14"/>
        <v>3.0585118196775295E-2</v>
      </c>
      <c r="AA48">
        <f t="shared" ca="1" si="15"/>
        <v>3.1168350286463264E-2</v>
      </c>
      <c r="AB48">
        <f t="shared" ca="1" si="16"/>
        <v>0.48352255836510699</v>
      </c>
      <c r="AC48">
        <f t="shared" ca="1" si="17"/>
        <v>0.47304347826086957</v>
      </c>
    </row>
    <row r="49" spans="1:29" x14ac:dyDescent="0.3">
      <c r="A49">
        <v>0.49625084817137433</v>
      </c>
      <c r="B49">
        <f t="shared" si="0"/>
        <v>179.88722558022965</v>
      </c>
      <c r="C49">
        <f t="shared" si="2"/>
        <v>179</v>
      </c>
      <c r="T49">
        <v>47</v>
      </c>
      <c r="U49">
        <f t="shared" si="21"/>
        <v>9.6999999999999993</v>
      </c>
      <c r="V49">
        <f t="shared" ca="1" si="20"/>
        <v>179.59473684210542</v>
      </c>
      <c r="W49">
        <f t="shared" ca="1" si="11"/>
        <v>3.3226236649809483E-2</v>
      </c>
      <c r="X49">
        <f t="shared" si="22"/>
        <v>10.160000000000007</v>
      </c>
      <c r="Y49">
        <f t="shared" ca="1" si="13"/>
        <v>0.48652950996363203</v>
      </c>
      <c r="Z49">
        <f t="shared" ca="1" si="14"/>
        <v>3.0539296755079107E-2</v>
      </c>
      <c r="AA49">
        <f t="shared" ca="1" si="15"/>
        <v>3.1032277839808758E-2</v>
      </c>
      <c r="AB49">
        <f t="shared" ca="1" si="16"/>
        <v>0.50456315408525032</v>
      </c>
      <c r="AC49">
        <f t="shared" ca="1" si="17"/>
        <v>0.50608695652173918</v>
      </c>
    </row>
    <row r="50" spans="1:29" x14ac:dyDescent="0.3">
      <c r="A50">
        <v>0.92754519418945258</v>
      </c>
      <c r="B50">
        <f t="shared" si="0"/>
        <v>197.49299360292142</v>
      </c>
      <c r="C50">
        <f t="shared" si="2"/>
        <v>197</v>
      </c>
      <c r="T50">
        <v>48</v>
      </c>
      <c r="U50">
        <f t="shared" si="21"/>
        <v>9.8999999999999986</v>
      </c>
      <c r="V50">
        <f t="shared" ca="1" si="20"/>
        <v>180.32105263157911</v>
      </c>
      <c r="W50">
        <f t="shared" ca="1" si="11"/>
        <v>3.323329375596637E-2</v>
      </c>
      <c r="X50">
        <f t="shared" si="22"/>
        <v>10.370000000000008</v>
      </c>
      <c r="Y50">
        <f t="shared" ca="1" si="13"/>
        <v>0.51067218254606017</v>
      </c>
      <c r="Z50">
        <f t="shared" ca="1" si="14"/>
        <v>3.0585106347280538E-2</v>
      </c>
      <c r="AA50">
        <f t="shared" ca="1" si="15"/>
        <v>3.0899115109852666E-2</v>
      </c>
      <c r="AB50">
        <f t="shared" ca="1" si="16"/>
        <v>0.52438818311465885</v>
      </c>
      <c r="AC50">
        <f t="shared" ca="1" si="17"/>
        <v>0.52869565217391301</v>
      </c>
    </row>
    <row r="51" spans="1:29" x14ac:dyDescent="0.3">
      <c r="A51">
        <v>0.7388419484120321</v>
      </c>
      <c r="B51">
        <f t="shared" si="0"/>
        <v>187.67735139377521</v>
      </c>
      <c r="C51">
        <f t="shared" si="2"/>
        <v>187</v>
      </c>
      <c r="T51">
        <v>49</v>
      </c>
      <c r="U51">
        <f t="shared" si="21"/>
        <v>10.099999999999998</v>
      </c>
      <c r="V51">
        <f t="shared" ca="1" si="20"/>
        <v>181.04736842105279</v>
      </c>
      <c r="W51">
        <f t="shared" ca="1" si="11"/>
        <v>3.311880127717632E-2</v>
      </c>
      <c r="X51">
        <f t="shared" si="22"/>
        <v>10.580000000000009</v>
      </c>
      <c r="Y51">
        <f t="shared" ca="1" si="13"/>
        <v>0.53477580337830377</v>
      </c>
      <c r="Z51">
        <f t="shared" ca="1" si="14"/>
        <v>3.0699153585399423E-2</v>
      </c>
      <c r="AA51">
        <f t="shared" ca="1" si="15"/>
        <v>3.0941112125396835E-2</v>
      </c>
      <c r="AB51">
        <f t="shared" ca="1" si="16"/>
        <v>0.54402104474955915</v>
      </c>
      <c r="AC51">
        <f t="shared" ca="1" si="17"/>
        <v>0.55304347826086953</v>
      </c>
    </row>
    <row r="52" spans="1:29" x14ac:dyDescent="0.3">
      <c r="A52">
        <v>0.55290035725466402</v>
      </c>
      <c r="B52">
        <f t="shared" si="0"/>
        <v>181.59591040138156</v>
      </c>
      <c r="C52">
        <f t="shared" si="2"/>
        <v>181</v>
      </c>
      <c r="T52">
        <v>50</v>
      </c>
      <c r="U52">
        <f t="shared" si="21"/>
        <v>10.299999999999997</v>
      </c>
      <c r="V52">
        <f t="shared" ca="1" si="20"/>
        <v>181.77368421052648</v>
      </c>
      <c r="W52">
        <f t="shared" ca="1" si="11"/>
        <v>3.2884013860016006E-2</v>
      </c>
      <c r="X52">
        <f t="shared" si="22"/>
        <v>10.79000000000001</v>
      </c>
      <c r="Y52">
        <f t="shared" ca="1" si="13"/>
        <v>0.55875246451229343</v>
      </c>
      <c r="Z52">
        <f t="shared" ca="1" si="14"/>
        <v>3.0841122552483058E-2</v>
      </c>
      <c r="AA52">
        <f t="shared" ca="1" si="15"/>
        <v>3.0909997659921331E-2</v>
      </c>
      <c r="AB52">
        <f t="shared" ca="1" si="16"/>
        <v>0.56493063832091528</v>
      </c>
      <c r="AC52">
        <f t="shared" ca="1" si="17"/>
        <v>0.55304347826086953</v>
      </c>
    </row>
    <row r="53" spans="1:29" x14ac:dyDescent="0.3">
      <c r="A53">
        <v>0.68354133684001472</v>
      </c>
      <c r="B53">
        <f t="shared" si="0"/>
        <v>185.73149675679946</v>
      </c>
      <c r="C53">
        <f t="shared" si="2"/>
        <v>185</v>
      </c>
      <c r="T53">
        <v>51</v>
      </c>
      <c r="U53">
        <f t="shared" si="21"/>
        <v>10.499999999999996</v>
      </c>
      <c r="V53">
        <f t="shared" ca="1" si="20"/>
        <v>182.50000000000017</v>
      </c>
      <c r="W53">
        <f t="shared" ca="1" si="11"/>
        <v>3.2531495328363434E-2</v>
      </c>
      <c r="X53">
        <f t="shared" si="22"/>
        <v>11.000000000000011</v>
      </c>
      <c r="Y53">
        <f t="shared" ca="1" si="13"/>
        <v>0.58251564682052803</v>
      </c>
      <c r="Z53">
        <f t="shared" ca="1" si="14"/>
        <v>3.0958973321539435E-2</v>
      </c>
      <c r="AA53">
        <f t="shared" ca="1" si="15"/>
        <v>3.0856630016686096E-2</v>
      </c>
      <c r="AB53">
        <f t="shared" ca="1" si="16"/>
        <v>0.58795786684581908</v>
      </c>
      <c r="AC53">
        <f t="shared" ca="1" si="17"/>
        <v>0.58434782608695657</v>
      </c>
    </row>
    <row r="54" spans="1:29" x14ac:dyDescent="0.3">
      <c r="A54">
        <v>0.26658797425520342</v>
      </c>
      <c r="B54">
        <f t="shared" si="0"/>
        <v>172.5220172505544</v>
      </c>
      <c r="C54">
        <f t="shared" si="2"/>
        <v>172</v>
      </c>
      <c r="T54">
        <v>52</v>
      </c>
      <c r="U54">
        <f t="shared" si="21"/>
        <v>10.699999999999996</v>
      </c>
      <c r="V54">
        <f t="shared" ca="1" si="20"/>
        <v>183.22631578947386</v>
      </c>
      <c r="W54">
        <f t="shared" ca="1" si="11"/>
        <v>3.206507207980943E-2</v>
      </c>
      <c r="X54">
        <f t="shared" si="22"/>
        <v>11.210000000000012</v>
      </c>
      <c r="Y54">
        <f t="shared" ca="1" si="13"/>
        <v>0.60598115535389541</v>
      </c>
      <c r="Z54">
        <f t="shared" ca="1" si="14"/>
        <v>3.0995956869559291E-2</v>
      </c>
      <c r="AA54">
        <f t="shared" ca="1" si="15"/>
        <v>3.082924026045394E-2</v>
      </c>
      <c r="AB54">
        <f t="shared" ca="1" si="16"/>
        <v>0.61275997646179514</v>
      </c>
      <c r="AC54">
        <f t="shared" ca="1" si="17"/>
        <v>0.62260869565217392</v>
      </c>
    </row>
    <row r="55" spans="1:29" x14ac:dyDescent="0.3">
      <c r="A55">
        <v>0.72136079394921293</v>
      </c>
      <c r="B55">
        <f t="shared" si="0"/>
        <v>187.0426652463147</v>
      </c>
      <c r="C55">
        <f t="shared" si="2"/>
        <v>187</v>
      </c>
      <c r="T55">
        <v>53</v>
      </c>
      <c r="U55">
        <f t="shared" si="21"/>
        <v>10.899999999999995</v>
      </c>
      <c r="V55">
        <f t="shared" ca="1" si="20"/>
        <v>183.95263157894755</v>
      </c>
      <c r="W55">
        <f t="shared" ca="1" si="11"/>
        <v>3.1489763949827124E-2</v>
      </c>
      <c r="X55">
        <f t="shared" si="22"/>
        <v>11.420000000000012</v>
      </c>
      <c r="Y55">
        <f t="shared" ca="1" si="13"/>
        <v>0.6290680125785697</v>
      </c>
      <c r="Z55">
        <f t="shared" ca="1" si="14"/>
        <v>3.0898430220047492E-2</v>
      </c>
      <c r="AA55">
        <f t="shared" ca="1" si="15"/>
        <v>3.0603812513143439E-2</v>
      </c>
      <c r="AB55">
        <f t="shared" ca="1" si="16"/>
        <v>0.63809777824994718</v>
      </c>
      <c r="AC55">
        <f t="shared" ca="1" si="17"/>
        <v>0.62260869565217392</v>
      </c>
    </row>
    <row r="56" spans="1:29" x14ac:dyDescent="0.3">
      <c r="A56">
        <v>0.75956995277425354</v>
      </c>
      <c r="B56">
        <f t="shared" si="0"/>
        <v>188.45903862263484</v>
      </c>
      <c r="C56">
        <f t="shared" si="2"/>
        <v>188</v>
      </c>
      <c r="T56">
        <v>54</v>
      </c>
      <c r="U56">
        <f t="shared" si="21"/>
        <v>11.099999999999994</v>
      </c>
      <c r="V56">
        <f t="shared" ca="1" si="20"/>
        <v>184.67894736842123</v>
      </c>
      <c r="W56">
        <f t="shared" ca="1" si="11"/>
        <v>3.0811694290328418E-2</v>
      </c>
      <c r="X56">
        <f t="shared" si="22"/>
        <v>11.630000000000013</v>
      </c>
      <c r="Y56">
        <f t="shared" ca="1" si="13"/>
        <v>0.65169929372826885</v>
      </c>
      <c r="Z56">
        <f t="shared" ca="1" si="14"/>
        <v>3.0623156003730015E-2</v>
      </c>
      <c r="AA56">
        <f t="shared" ca="1" si="15"/>
        <v>3.0114631569407798E-2</v>
      </c>
      <c r="AB56">
        <f t="shared" ca="1" si="16"/>
        <v>0.66284842955679779</v>
      </c>
      <c r="AC56">
        <f t="shared" ca="1" si="17"/>
        <v>0.66086956521739126</v>
      </c>
    </row>
    <row r="57" spans="1:29" x14ac:dyDescent="0.3">
      <c r="A57">
        <v>0.70173301770959395</v>
      </c>
      <c r="B57">
        <f t="shared" si="0"/>
        <v>186.35269676876177</v>
      </c>
      <c r="C57">
        <f t="shared" si="2"/>
        <v>186</v>
      </c>
      <c r="T57">
        <v>55</v>
      </c>
      <c r="U57">
        <f t="shared" si="21"/>
        <v>11.299999999999994</v>
      </c>
      <c r="V57">
        <f t="shared" ca="1" si="20"/>
        <v>185.40526315789492</v>
      </c>
      <c r="W57">
        <f t="shared" ca="1" si="11"/>
        <v>3.0037981514667782E-2</v>
      </c>
      <c r="X57">
        <f t="shared" si="22"/>
        <v>11.840000000000014</v>
      </c>
      <c r="Y57">
        <f t="shared" ca="1" si="13"/>
        <v>0.67380288996424631</v>
      </c>
      <c r="Z57">
        <f t="shared" ca="1" si="14"/>
        <v>3.0142822911636329E-2</v>
      </c>
      <c r="AA57">
        <f t="shared" ca="1" si="15"/>
        <v>2.9503108761993555E-2</v>
      </c>
      <c r="AB57">
        <f t="shared" ca="1" si="16"/>
        <v>0.68683232150407425</v>
      </c>
      <c r="AC57">
        <f t="shared" ca="1" si="17"/>
        <v>0.68695652173913047</v>
      </c>
    </row>
    <row r="58" spans="1:29" x14ac:dyDescent="0.3">
      <c r="A58">
        <v>6.9262185457556913E-2</v>
      </c>
      <c r="B58">
        <f t="shared" si="0"/>
        <v>162.22429738865574</v>
      </c>
      <c r="C58">
        <f t="shared" si="2"/>
        <v>162</v>
      </c>
      <c r="T58">
        <v>56</v>
      </c>
      <c r="U58">
        <f t="shared" si="21"/>
        <v>11.499999999999993</v>
      </c>
      <c r="V58">
        <f t="shared" ca="1" si="20"/>
        <v>186.13157894736861</v>
      </c>
      <c r="W58">
        <f t="shared" ca="1" si="11"/>
        <v>2.9176614794165025E-2</v>
      </c>
      <c r="X58">
        <f t="shared" si="22"/>
        <v>12.050000000000015</v>
      </c>
      <c r="Y58">
        <f t="shared" ca="1" si="13"/>
        <v>0.69531218683315799</v>
      </c>
      <c r="Z58">
        <f t="shared" ca="1" si="14"/>
        <v>2.944891105780208E-2</v>
      </c>
      <c r="AA58">
        <f t="shared" ca="1" si="15"/>
        <v>2.8958009087667876E-2</v>
      </c>
      <c r="AB58">
        <f t="shared" ca="1" si="16"/>
        <v>0.71039607066368304</v>
      </c>
      <c r="AC58">
        <f t="shared" ca="1" si="17"/>
        <v>0.72521739130434781</v>
      </c>
    </row>
    <row r="59" spans="1:29" x14ac:dyDescent="0.3">
      <c r="A59">
        <v>0.75614813593987185</v>
      </c>
      <c r="B59">
        <f t="shared" si="0"/>
        <v>188.327588236298</v>
      </c>
      <c r="C59">
        <f t="shared" si="2"/>
        <v>188</v>
      </c>
      <c r="T59">
        <v>57</v>
      </c>
      <c r="U59">
        <f t="shared" si="21"/>
        <v>11.699999999999992</v>
      </c>
      <c r="V59">
        <f t="shared" ca="1" si="20"/>
        <v>186.8578947368423</v>
      </c>
      <c r="W59">
        <f t="shared" ca="1" si="11"/>
        <v>2.8236316938896815E-2</v>
      </c>
      <c r="X59">
        <f t="shared" si="22"/>
        <v>12.260000000000016</v>
      </c>
      <c r="Y59">
        <f t="shared" ca="1" si="13"/>
        <v>0.71616664759491222</v>
      </c>
      <c r="Z59">
        <f t="shared" ca="1" si="14"/>
        <v>2.8551597601111634E-2</v>
      </c>
      <c r="AA59">
        <f t="shared" ca="1" si="15"/>
        <v>2.827567930655564E-2</v>
      </c>
      <c r="AB59">
        <f t="shared" ca="1" si="16"/>
        <v>0.7335094314314029</v>
      </c>
      <c r="AC59">
        <f t="shared" ca="1" si="17"/>
        <v>0.72521739130434781</v>
      </c>
    </row>
    <row r="60" spans="1:29" x14ac:dyDescent="0.3">
      <c r="A60">
        <v>0.44316757290887754</v>
      </c>
      <c r="B60">
        <f t="shared" si="0"/>
        <v>178.28468320468201</v>
      </c>
      <c r="C60">
        <f t="shared" si="2"/>
        <v>178</v>
      </c>
      <c r="T60">
        <v>58</v>
      </c>
      <c r="U60">
        <f t="shared" si="21"/>
        <v>11.899999999999991</v>
      </c>
      <c r="V60">
        <f t="shared" ca="1" si="20"/>
        <v>187.58421052631599</v>
      </c>
      <c r="W60">
        <f t="shared" ca="1" si="11"/>
        <v>2.7226397748246697E-2</v>
      </c>
      <c r="X60">
        <f t="shared" si="22"/>
        <v>12.470000000000017</v>
      </c>
      <c r="Y60">
        <f t="shared" ca="1" si="13"/>
        <v>0.73631229329309655</v>
      </c>
      <c r="Z60">
        <f t="shared" ca="1" si="14"/>
        <v>2.7476966709972423E-2</v>
      </c>
      <c r="AA60">
        <f t="shared" ca="1" si="15"/>
        <v>2.7436244441504058E-2</v>
      </c>
      <c r="AB60">
        <f t="shared" ca="1" si="16"/>
        <v>0.75573139945849366</v>
      </c>
      <c r="AC60">
        <f t="shared" ca="1" si="17"/>
        <v>0.75304347826086959</v>
      </c>
    </row>
    <row r="61" spans="1:29" x14ac:dyDescent="0.3">
      <c r="A61">
        <v>0.61668442180247041</v>
      </c>
      <c r="B61">
        <f t="shared" si="0"/>
        <v>183.56141216772113</v>
      </c>
      <c r="C61">
        <f t="shared" si="2"/>
        <v>183</v>
      </c>
      <c r="T61">
        <v>59</v>
      </c>
      <c r="U61">
        <f t="shared" si="21"/>
        <v>12.099999999999991</v>
      </c>
      <c r="V61">
        <f t="shared" ca="1" si="20"/>
        <v>188.31052631578967</v>
      </c>
      <c r="W61">
        <f t="shared" ca="1" si="11"/>
        <v>2.615660126852502E-2</v>
      </c>
      <c r="X61">
        <f t="shared" si="22"/>
        <v>12.680000000000017</v>
      </c>
      <c r="Y61">
        <f t="shared" ca="1" si="13"/>
        <v>0.75570207388823252</v>
      </c>
      <c r="Z61">
        <f t="shared" ca="1" si="14"/>
        <v>2.6262224558045149E-2</v>
      </c>
      <c r="AA61">
        <f t="shared" ca="1" si="15"/>
        <v>2.6451616483363156E-2</v>
      </c>
      <c r="AB61">
        <f t="shared" ca="1" si="16"/>
        <v>0.77652215343594844</v>
      </c>
      <c r="AC61">
        <f t="shared" ca="1" si="17"/>
        <v>0.7860869565217391</v>
      </c>
    </row>
    <row r="62" spans="1:29" x14ac:dyDescent="0.3">
      <c r="A62">
        <v>3.9326149869122085E-2</v>
      </c>
      <c r="B62">
        <f t="shared" si="0"/>
        <v>158.89728195346751</v>
      </c>
      <c r="C62">
        <f t="shared" si="2"/>
        <v>158</v>
      </c>
      <c r="T62">
        <v>60</v>
      </c>
      <c r="U62">
        <f t="shared" si="21"/>
        <v>12.29999999999999</v>
      </c>
      <c r="V62">
        <f t="shared" ca="1" si="20"/>
        <v>189.03684210526336</v>
      </c>
      <c r="W62">
        <f t="shared" ca="1" si="11"/>
        <v>2.5036950443671293E-2</v>
      </c>
      <c r="X62">
        <f t="shared" si="22"/>
        <v>12.890000000000018</v>
      </c>
      <c r="Y62">
        <f t="shared" ca="1" si="13"/>
        <v>0.77429612729460273</v>
      </c>
      <c r="Z62">
        <f t="shared" ca="1" si="14"/>
        <v>2.4949879734435843E-2</v>
      </c>
      <c r="AA62">
        <f t="shared" ca="1" si="15"/>
        <v>2.5231912161063491E-2</v>
      </c>
      <c r="AB62">
        <f t="shared" ca="1" si="16"/>
        <v>0.79540644197447574</v>
      </c>
      <c r="AC62">
        <f t="shared" ca="1" si="17"/>
        <v>0.80869565217391304</v>
      </c>
    </row>
    <row r="63" spans="1:29" x14ac:dyDescent="0.3">
      <c r="A63">
        <v>0.10290325883749751</v>
      </c>
      <c r="B63">
        <f t="shared" si="0"/>
        <v>164.81783020541454</v>
      </c>
      <c r="C63">
        <f t="shared" si="2"/>
        <v>164</v>
      </c>
      <c r="T63">
        <v>61</v>
      </c>
      <c r="U63">
        <f t="shared" si="21"/>
        <v>12.499999999999989</v>
      </c>
      <c r="V63">
        <f t="shared" ca="1" si="20"/>
        <v>189.76315789473705</v>
      </c>
      <c r="W63">
        <f t="shared" ca="1" si="11"/>
        <v>2.387759259219098E-2</v>
      </c>
      <c r="X63">
        <f t="shared" si="22"/>
        <v>13.100000000000019</v>
      </c>
      <c r="Y63">
        <f t="shared" ca="1" si="13"/>
        <v>0.79206192568017597</v>
      </c>
      <c r="Z63">
        <f t="shared" ca="1" si="14"/>
        <v>2.3581938882591112E-2</v>
      </c>
      <c r="AA63">
        <f t="shared" ca="1" si="15"/>
        <v>2.3836495016848515E-2</v>
      </c>
      <c r="AB63">
        <f t="shared" ca="1" si="16"/>
        <v>0.81236752811926105</v>
      </c>
      <c r="AC63">
        <f t="shared" ca="1" si="17"/>
        <v>0.80869565217391304</v>
      </c>
    </row>
    <row r="64" spans="1:29" x14ac:dyDescent="0.3">
      <c r="A64">
        <v>0.14750026486792656</v>
      </c>
      <c r="B64">
        <f t="shared" si="0"/>
        <v>167.4334226316885</v>
      </c>
      <c r="C64">
        <f t="shared" si="2"/>
        <v>167</v>
      </c>
      <c r="T64">
        <v>62</v>
      </c>
      <c r="U64">
        <f t="shared" si="21"/>
        <v>12.699999999999989</v>
      </c>
      <c r="V64">
        <f t="shared" ca="1" si="20"/>
        <v>190.48947368421074</v>
      </c>
      <c r="W64">
        <f t="shared" ca="1" si="11"/>
        <v>2.2688648994204429E-2</v>
      </c>
      <c r="X64">
        <f t="shared" si="22"/>
        <v>13.31000000000002</v>
      </c>
      <c r="Y64">
        <f t="shared" ca="1" si="13"/>
        <v>0.80897431083410987</v>
      </c>
      <c r="Z64">
        <f t="shared" ca="1" si="14"/>
        <v>2.2195097107412565E-2</v>
      </c>
      <c r="AA64">
        <f t="shared" ca="1" si="15"/>
        <v>2.239215542437676E-2</v>
      </c>
      <c r="AB64">
        <f t="shared" ca="1" si="16"/>
        <v>0.8279210442985323</v>
      </c>
      <c r="AC64">
        <f t="shared" ca="1" si="17"/>
        <v>0.82782608695652171</v>
      </c>
    </row>
    <row r="65" spans="1:29" x14ac:dyDescent="0.3">
      <c r="A65">
        <v>0.48248013968170822</v>
      </c>
      <c r="B65">
        <f t="shared" si="0"/>
        <v>179.47284116712703</v>
      </c>
      <c r="C65">
        <f t="shared" si="2"/>
        <v>179</v>
      </c>
      <c r="T65">
        <v>63</v>
      </c>
      <c r="U65">
        <f t="shared" si="21"/>
        <v>12.899999999999988</v>
      </c>
      <c r="V65">
        <f t="shared" ca="1" si="20"/>
        <v>191.21578947368442</v>
      </c>
      <c r="W65">
        <f t="shared" ca="1" si="11"/>
        <v>2.1480071635206741E-2</v>
      </c>
      <c r="X65">
        <f t="shared" si="22"/>
        <v>13.520000000000021</v>
      </c>
      <c r="Y65">
        <f t="shared" ca="1" si="13"/>
        <v>0.8250154227102926</v>
      </c>
      <c r="Z65">
        <f t="shared" ca="1" si="14"/>
        <v>2.0817671369656982E-2</v>
      </c>
      <c r="AA65">
        <f t="shared" ca="1" si="15"/>
        <v>2.103978322327776E-2</v>
      </c>
      <c r="AB65">
        <f t="shared" ca="1" si="16"/>
        <v>0.84255697468831525</v>
      </c>
      <c r="AC65">
        <f t="shared" ca="1" si="17"/>
        <v>0.85043478260869565</v>
      </c>
    </row>
    <row r="66" spans="1:29" x14ac:dyDescent="0.3">
      <c r="A66">
        <v>0.73491741660341703</v>
      </c>
      <c r="B66">
        <f t="shared" ref="B66:B129" si="23">_xlfn.NORM.INV(A66,_mu,_sigma)</f>
        <v>187.53304685837301</v>
      </c>
      <c r="C66">
        <f t="shared" si="2"/>
        <v>187</v>
      </c>
      <c r="T66">
        <v>64</v>
      </c>
      <c r="U66">
        <f t="shared" si="21"/>
        <v>13.099999999999987</v>
      </c>
      <c r="V66">
        <f t="shared" ca="1" si="20"/>
        <v>191.94210526315811</v>
      </c>
      <c r="W66">
        <f t="shared" ca="1" si="11"/>
        <v>2.0261509839074949E-2</v>
      </c>
      <c r="X66">
        <f t="shared" si="22"/>
        <v>13.730000000000022</v>
      </c>
      <c r="Y66">
        <f t="shared" ca="1" si="13"/>
        <v>0.84017452735838127</v>
      </c>
      <c r="Z66">
        <f t="shared" ca="1" si="14"/>
        <v>1.9468643569632682E-2</v>
      </c>
      <c r="AA66">
        <f t="shared" ca="1" si="15"/>
        <v>1.9647015252090796E-2</v>
      </c>
      <c r="AB66">
        <f t="shared" ca="1" si="16"/>
        <v>0.85647444390707039</v>
      </c>
      <c r="AC66">
        <f t="shared" ca="1" si="17"/>
        <v>0.85043478260869565</v>
      </c>
    </row>
    <row r="67" spans="1:29" x14ac:dyDescent="0.3">
      <c r="A67">
        <v>0.34625961598306298</v>
      </c>
      <c r="B67">
        <f t="shared" si="23"/>
        <v>175.25473688466897</v>
      </c>
      <c r="C67">
        <f t="shared" ref="C67:C130" si="24">INT(B67)</f>
        <v>175</v>
      </c>
      <c r="T67">
        <v>65</v>
      </c>
      <c r="U67">
        <f t="shared" si="21"/>
        <v>13.299999999999986</v>
      </c>
      <c r="V67">
        <f t="shared" ca="1" si="20"/>
        <v>192.6684210526318</v>
      </c>
      <c r="W67">
        <f t="shared" ca="1" si="11"/>
        <v>1.9042189145489913E-2</v>
      </c>
      <c r="X67">
        <f t="shared" si="22"/>
        <v>13.940000000000023</v>
      </c>
      <c r="Y67">
        <f t="shared" ca="1" si="13"/>
        <v>0.85444775230482639</v>
      </c>
      <c r="Z67">
        <f t="shared" ca="1" si="14"/>
        <v>1.8158705550846338E-2</v>
      </c>
      <c r="AA67">
        <f t="shared" ca="1" si="15"/>
        <v>1.821348546069318E-2</v>
      </c>
      <c r="AB67">
        <f t="shared" ca="1" si="16"/>
        <v>0.86984634572250641</v>
      </c>
      <c r="AC67">
        <f t="shared" ca="1" si="17"/>
        <v>0.86608695652173917</v>
      </c>
    </row>
    <row r="68" spans="1:29" x14ac:dyDescent="0.3">
      <c r="A68">
        <v>0.27481169037852105</v>
      </c>
      <c r="B68">
        <f t="shared" si="23"/>
        <v>172.82010507669335</v>
      </c>
      <c r="C68">
        <f t="shared" si="24"/>
        <v>172</v>
      </c>
      <c r="T68">
        <v>66</v>
      </c>
      <c r="U68">
        <f t="shared" ref="U68:U103" si="25">U67+_k/100</f>
        <v>13.499999999999986</v>
      </c>
      <c r="V68">
        <f t="shared" ca="1" si="20"/>
        <v>193.39473684210549</v>
      </c>
      <c r="W68">
        <f t="shared" ref="W68:W103" ca="1" si="26">DNorm(V68)</f>
        <v>1.7830804361369395E-2</v>
      </c>
      <c r="X68">
        <f t="shared" ref="X68:X103" si="27">X67+(_k+1)/100</f>
        <v>14.150000000000023</v>
      </c>
      <c r="Y68">
        <f t="shared" ref="Y68:Y103" ca="1" si="28">PNorm(V68)</f>
        <v>0.86783773900485406</v>
      </c>
      <c r="Z68">
        <f t="shared" ref="Z68:Z103" ca="1" si="29">EstymacjaGaussowska(V68,C:C,$Z$2)</f>
        <v>1.6892741350641824E-2</v>
      </c>
      <c r="AA68">
        <f t="shared" ref="AA68:AA103" ca="1" si="30">EstymacjaEpanecznikowa(V68,C:C,$AA$2)</f>
        <v>1.6778312818374375E-2</v>
      </c>
      <c r="AB68">
        <f t="shared" ref="AB68:AB103" ca="1" si="31">EstymacjaGaussowskaDystr($V68,$C:$C,AB$2)</f>
        <v>0.8827581413897615</v>
      </c>
      <c r="AC68">
        <f t="shared" ref="AC68:AC103" ca="1" si="32">EstymacjaEpanecznikowaDystr($V68,$C:$C,AC$2)</f>
        <v>0.88521739130434784</v>
      </c>
    </row>
    <row r="69" spans="1:29" x14ac:dyDescent="0.3">
      <c r="A69">
        <v>0.28236499832128636</v>
      </c>
      <c r="B69">
        <f t="shared" si="23"/>
        <v>173.09003827605108</v>
      </c>
      <c r="C69">
        <f t="shared" si="24"/>
        <v>173</v>
      </c>
      <c r="T69">
        <v>67</v>
      </c>
      <c r="U69">
        <f t="shared" si="25"/>
        <v>13.699999999999985</v>
      </c>
      <c r="V69">
        <f t="shared" ref="V69:V103" ca="1" si="33">V68+$F$22</f>
        <v>194.12105263157918</v>
      </c>
      <c r="W69">
        <f t="shared" ca="1" si="26"/>
        <v>1.6635428258203033E-2</v>
      </c>
      <c r="X69">
        <f t="shared" si="27"/>
        <v>14.360000000000024</v>
      </c>
      <c r="Y69">
        <f t="shared" ca="1" si="28"/>
        <v>0.88035322322310361</v>
      </c>
      <c r="Z69">
        <f t="shared" ca="1" si="29"/>
        <v>1.5672873083917058E-2</v>
      </c>
      <c r="AA69">
        <f t="shared" ca="1" si="30"/>
        <v>1.5548375187136329E-2</v>
      </c>
      <c r="AB69">
        <f t="shared" ca="1" si="31"/>
        <v>0.89487157284271468</v>
      </c>
      <c r="AC69">
        <f t="shared" ca="1" si="32"/>
        <v>0.90434782608695652</v>
      </c>
    </row>
    <row r="70" spans="1:29" x14ac:dyDescent="0.3">
      <c r="A70">
        <v>0.24775672161796924</v>
      </c>
      <c r="B70">
        <f t="shared" si="23"/>
        <v>171.82120843914771</v>
      </c>
      <c r="C70">
        <f t="shared" si="24"/>
        <v>171</v>
      </c>
      <c r="T70">
        <v>68</v>
      </c>
      <c r="U70">
        <f t="shared" si="25"/>
        <v>13.899999999999984</v>
      </c>
      <c r="V70">
        <f t="shared" ca="1" si="33"/>
        <v>194.84736842105286</v>
      </c>
      <c r="W70">
        <f t="shared" ca="1" si="26"/>
        <v>1.5463436913689522E-2</v>
      </c>
      <c r="X70">
        <f t="shared" si="27"/>
        <v>14.570000000000025</v>
      </c>
      <c r="Y70">
        <f t="shared" ca="1" si="28"/>
        <v>0.8920085550981911</v>
      </c>
      <c r="Z70">
        <f t="shared" ca="1" si="29"/>
        <v>1.4501132035308711E-2</v>
      </c>
      <c r="AA70">
        <f t="shared" ca="1" si="30"/>
        <v>1.4387697524759975E-2</v>
      </c>
      <c r="AB70">
        <f t="shared" ca="1" si="31"/>
        <v>0.90571082083013743</v>
      </c>
      <c r="AC70">
        <f t="shared" ca="1" si="32"/>
        <v>0.90434782608695652</v>
      </c>
    </row>
    <row r="71" spans="1:29" x14ac:dyDescent="0.3">
      <c r="A71">
        <v>0.22570898151717156</v>
      </c>
      <c r="B71">
        <f t="shared" si="23"/>
        <v>170.96336194431032</v>
      </c>
      <c r="C71">
        <f t="shared" si="24"/>
        <v>170</v>
      </c>
      <c r="T71">
        <v>69</v>
      </c>
      <c r="U71">
        <f t="shared" si="25"/>
        <v>14.099999999999984</v>
      </c>
      <c r="V71">
        <f t="shared" ca="1" si="33"/>
        <v>195.57368421052655</v>
      </c>
      <c r="W71">
        <f t="shared" ca="1" si="26"/>
        <v>1.4321452222786558E-2</v>
      </c>
      <c r="X71">
        <f t="shared" si="27"/>
        <v>14.780000000000026</v>
      </c>
      <c r="Y71">
        <f t="shared" ca="1" si="28"/>
        <v>0.90282317119925937</v>
      </c>
      <c r="Z71">
        <f t="shared" ca="1" si="29"/>
        <v>1.338101658899033E-2</v>
      </c>
      <c r="AA71">
        <f t="shared" ca="1" si="30"/>
        <v>1.3253189089740866E-2</v>
      </c>
      <c r="AB71">
        <f t="shared" ca="1" si="31"/>
        <v>0.91534551165374189</v>
      </c>
      <c r="AC71">
        <f t="shared" ca="1" si="32"/>
        <v>0.9147826086956522</v>
      </c>
    </row>
    <row r="72" spans="1:29" x14ac:dyDescent="0.3">
      <c r="A72">
        <v>0.34702014565708872</v>
      </c>
      <c r="B72">
        <f t="shared" si="23"/>
        <v>175.27946359729833</v>
      </c>
      <c r="C72">
        <f t="shared" si="24"/>
        <v>175</v>
      </c>
      <c r="T72">
        <v>70</v>
      </c>
      <c r="U72">
        <f t="shared" si="25"/>
        <v>14.299999999999983</v>
      </c>
      <c r="V72">
        <f t="shared" ca="1" si="33"/>
        <v>196.30000000000024</v>
      </c>
      <c r="W72">
        <f t="shared" ca="1" si="26"/>
        <v>1.3215301645212988E-2</v>
      </c>
      <c r="X72">
        <f t="shared" si="27"/>
        <v>14.990000000000027</v>
      </c>
      <c r="Y72">
        <f t="shared" ca="1" si="28"/>
        <v>0.91282103109627355</v>
      </c>
      <c r="Z72">
        <f t="shared" ca="1" si="29"/>
        <v>1.2317601769023103E-2</v>
      </c>
      <c r="AA72">
        <f t="shared" ca="1" si="30"/>
        <v>1.2402232116250458E-2</v>
      </c>
      <c r="AB72">
        <f t="shared" ca="1" si="31"/>
        <v>0.92430753336977289</v>
      </c>
      <c r="AC72">
        <f t="shared" ca="1" si="32"/>
        <v>0.92521739130434788</v>
      </c>
    </row>
    <row r="73" spans="1:29" x14ac:dyDescent="0.3">
      <c r="A73">
        <v>0.14064307553280542</v>
      </c>
      <c r="B73">
        <f t="shared" si="23"/>
        <v>167.07078473383334</v>
      </c>
      <c r="C73">
        <f t="shared" si="24"/>
        <v>167</v>
      </c>
      <c r="T73">
        <v>71</v>
      </c>
      <c r="U73">
        <f t="shared" si="25"/>
        <v>14.499999999999982</v>
      </c>
      <c r="V73">
        <f t="shared" ca="1" si="33"/>
        <v>197.02631578947393</v>
      </c>
      <c r="W73">
        <f t="shared" ca="1" si="26"/>
        <v>1.2149994827119532E-2</v>
      </c>
      <c r="X73">
        <f t="shared" si="27"/>
        <v>15.200000000000028</v>
      </c>
      <c r="Y73">
        <f t="shared" ca="1" si="28"/>
        <v>0.9220300308564835</v>
      </c>
      <c r="Z73">
        <f t="shared" ca="1" si="29"/>
        <v>1.1316351127128624E-2</v>
      </c>
      <c r="AA73">
        <f t="shared" ca="1" si="30"/>
        <v>1.1503639529068802E-2</v>
      </c>
      <c r="AB73">
        <f t="shared" ca="1" si="31"/>
        <v>0.93271792692467659</v>
      </c>
      <c r="AC73">
        <f t="shared" ca="1" si="32"/>
        <v>0.94260869565217387</v>
      </c>
    </row>
    <row r="74" spans="1:29" x14ac:dyDescent="0.3">
      <c r="A74">
        <v>0.88113536598095665</v>
      </c>
      <c r="B74">
        <f t="shared" si="23"/>
        <v>194.1681781635906</v>
      </c>
      <c r="C74">
        <f t="shared" si="24"/>
        <v>194</v>
      </c>
      <c r="T74">
        <v>72</v>
      </c>
      <c r="U74">
        <f t="shared" si="25"/>
        <v>14.699999999999982</v>
      </c>
      <c r="V74">
        <f t="shared" ca="1" si="33"/>
        <v>197.75263157894761</v>
      </c>
      <c r="W74">
        <f t="shared" ca="1" si="26"/>
        <v>1.1129716345684064E-2</v>
      </c>
      <c r="X74">
        <f t="shared" si="27"/>
        <v>15.410000000000029</v>
      </c>
      <c r="Y74">
        <f t="shared" ca="1" si="28"/>
        <v>0.93048140547233571</v>
      </c>
      <c r="Z74">
        <f t="shared" ca="1" si="29"/>
        <v>1.0381208780002999E-2</v>
      </c>
      <c r="AA74">
        <f t="shared" ca="1" si="30"/>
        <v>1.0553078785795289E-2</v>
      </c>
      <c r="AB74">
        <f t="shared" ca="1" si="31"/>
        <v>0.9400605256151483</v>
      </c>
      <c r="AC74">
        <f t="shared" ca="1" si="32"/>
        <v>0.94260869565217387</v>
      </c>
    </row>
    <row r="75" spans="1:29" x14ac:dyDescent="0.3">
      <c r="A75">
        <v>0.18072348538018213</v>
      </c>
      <c r="B75">
        <f t="shared" si="23"/>
        <v>169.04866352517735</v>
      </c>
      <c r="C75">
        <f t="shared" si="24"/>
        <v>169</v>
      </c>
      <c r="T75">
        <v>73</v>
      </c>
      <c r="U75">
        <f t="shared" si="25"/>
        <v>14.899999999999981</v>
      </c>
      <c r="V75">
        <f t="shared" ca="1" si="33"/>
        <v>198.4789473684213</v>
      </c>
      <c r="W75">
        <f t="shared" ca="1" si="26"/>
        <v>1.0157833486170401E-2</v>
      </c>
      <c r="X75">
        <f t="shared" si="27"/>
        <v>15.620000000000029</v>
      </c>
      <c r="Y75">
        <f t="shared" ca="1" si="28"/>
        <v>0.93820913155403929</v>
      </c>
      <c r="Z75">
        <f t="shared" ca="1" si="29"/>
        <v>9.5127896761556859E-3</v>
      </c>
      <c r="AA75">
        <f t="shared" ca="1" si="30"/>
        <v>9.59108911241063E-3</v>
      </c>
      <c r="AB75">
        <f t="shared" ca="1" si="31"/>
        <v>0.94607180012253889</v>
      </c>
      <c r="AC75">
        <f t="shared" ca="1" si="32"/>
        <v>0.94608695652173913</v>
      </c>
    </row>
    <row r="76" spans="1:29" x14ac:dyDescent="0.3">
      <c r="A76">
        <v>0.55285050038404782</v>
      </c>
      <c r="B76">
        <f t="shared" si="23"/>
        <v>181.59439742119028</v>
      </c>
      <c r="C76">
        <f t="shared" si="24"/>
        <v>181</v>
      </c>
      <c r="T76">
        <v>74</v>
      </c>
      <c r="U76">
        <f t="shared" si="25"/>
        <v>15.09999999999998</v>
      </c>
      <c r="V76">
        <f t="shared" ca="1" si="33"/>
        <v>199.20526315789499</v>
      </c>
      <c r="W76">
        <f t="shared" ca="1" si="26"/>
        <v>9.2369176784636593E-3</v>
      </c>
      <c r="X76">
        <f t="shared" si="27"/>
        <v>15.83000000000003</v>
      </c>
      <c r="Y76">
        <f t="shared" ca="1" si="28"/>
        <v>0.94524934072177602</v>
      </c>
      <c r="Z76">
        <f t="shared" ca="1" si="29"/>
        <v>8.70745655366853E-3</v>
      </c>
      <c r="AA76">
        <f t="shared" ca="1" si="30"/>
        <v>8.7698257112519811E-3</v>
      </c>
      <c r="AB76">
        <f t="shared" ca="1" si="31"/>
        <v>0.95125061826025148</v>
      </c>
      <c r="AC76">
        <f t="shared" ca="1" si="32"/>
        <v>0.95304347826086955</v>
      </c>
    </row>
    <row r="77" spans="1:29" x14ac:dyDescent="0.3">
      <c r="A77">
        <v>0.42456675794241672</v>
      </c>
      <c r="B77">
        <f t="shared" si="23"/>
        <v>177.71731063231849</v>
      </c>
      <c r="C77">
        <f t="shared" si="24"/>
        <v>177</v>
      </c>
      <c r="T77">
        <v>75</v>
      </c>
      <c r="U77">
        <f t="shared" si="25"/>
        <v>15.299999999999979</v>
      </c>
      <c r="V77">
        <f t="shared" ca="1" si="33"/>
        <v>199.93157894736868</v>
      </c>
      <c r="W77">
        <f t="shared" ca="1" si="26"/>
        <v>8.368777998689677E-3</v>
      </c>
      <c r="X77">
        <f t="shared" si="27"/>
        <v>16.040000000000031</v>
      </c>
      <c r="Y77">
        <f t="shared" ca="1" si="28"/>
        <v>0.95163975305113335</v>
      </c>
      <c r="Z77">
        <f t="shared" ca="1" si="29"/>
        <v>7.9577630542267928E-3</v>
      </c>
      <c r="AA77">
        <f t="shared" ca="1" si="30"/>
        <v>7.9439068050325707E-3</v>
      </c>
      <c r="AB77">
        <f t="shared" ca="1" si="31"/>
        <v>0.95630796233984139</v>
      </c>
      <c r="AC77">
        <f t="shared" ca="1" si="32"/>
        <v>0.95304347826086955</v>
      </c>
    </row>
    <row r="78" spans="1:29" x14ac:dyDescent="0.3">
      <c r="A78">
        <v>0.31898623183284625</v>
      </c>
      <c r="B78">
        <f t="shared" si="23"/>
        <v>174.35357376922673</v>
      </c>
      <c r="C78">
        <f t="shared" si="24"/>
        <v>174</v>
      </c>
      <c r="T78">
        <v>76</v>
      </c>
      <c r="U78">
        <f t="shared" si="25"/>
        <v>15.499999999999979</v>
      </c>
      <c r="V78">
        <f t="shared" ca="1" si="33"/>
        <v>200.65789473684237</v>
      </c>
      <c r="W78">
        <f t="shared" ca="1" si="26"/>
        <v>7.5545049831794095E-3</v>
      </c>
      <c r="X78">
        <f t="shared" si="27"/>
        <v>16.250000000000032</v>
      </c>
      <c r="Y78">
        <f t="shared" ca="1" si="28"/>
        <v>0.95741913870596873</v>
      </c>
      <c r="Z78">
        <f t="shared" ca="1" si="29"/>
        <v>7.2542382672581103E-3</v>
      </c>
      <c r="AA78">
        <f t="shared" ca="1" si="30"/>
        <v>7.1123399365362874E-3</v>
      </c>
      <c r="AB78">
        <f t="shared" ca="1" si="31"/>
        <v>0.96165973863756971</v>
      </c>
      <c r="AC78">
        <f t="shared" ca="1" si="32"/>
        <v>0.96</v>
      </c>
    </row>
    <row r="79" spans="1:29" x14ac:dyDescent="0.3">
      <c r="A79">
        <v>0.1142673924926324</v>
      </c>
      <c r="B79">
        <f t="shared" si="23"/>
        <v>165.55029867264236</v>
      </c>
      <c r="C79">
        <f t="shared" si="24"/>
        <v>165</v>
      </c>
      <c r="T79">
        <v>77</v>
      </c>
      <c r="U79">
        <f t="shared" si="25"/>
        <v>15.699999999999978</v>
      </c>
      <c r="V79">
        <f t="shared" ca="1" si="33"/>
        <v>201.38421052631605</v>
      </c>
      <c r="W79">
        <f t="shared" ca="1" si="26"/>
        <v>6.7945229063311732E-3</v>
      </c>
      <c r="X79">
        <f t="shared" si="27"/>
        <v>16.460000000000033</v>
      </c>
      <c r="Y79">
        <f t="shared" ca="1" si="28"/>
        <v>0.96262681458138599</v>
      </c>
      <c r="Z79">
        <f t="shared" ca="1" si="29"/>
        <v>6.5879591277248194E-3</v>
      </c>
      <c r="AA79">
        <f t="shared" ca="1" si="30"/>
        <v>6.4086844145031059E-3</v>
      </c>
      <c r="AB79">
        <f t="shared" ca="1" si="31"/>
        <v>0.9673604623911336</v>
      </c>
      <c r="AC79">
        <f t="shared" ca="1" si="32"/>
        <v>0.96695652173913038</v>
      </c>
    </row>
    <row r="80" spans="1:29" x14ac:dyDescent="0.3">
      <c r="A80">
        <v>0.20283169348990215</v>
      </c>
      <c r="B80">
        <f t="shared" si="23"/>
        <v>170.02140833905128</v>
      </c>
      <c r="C80">
        <f t="shared" si="24"/>
        <v>170</v>
      </c>
      <c r="T80">
        <v>78</v>
      </c>
      <c r="U80">
        <f t="shared" si="25"/>
        <v>15.899999999999977</v>
      </c>
      <c r="V80">
        <f t="shared" ca="1" si="33"/>
        <v>202.11052631578974</v>
      </c>
      <c r="W80">
        <f t="shared" ca="1" si="26"/>
        <v>6.0886486382895847E-3</v>
      </c>
      <c r="X80">
        <f t="shared" si="27"/>
        <v>16.670000000000034</v>
      </c>
      <c r="Y80">
        <f t="shared" ca="1" si="28"/>
        <v>0.96730218142047686</v>
      </c>
      <c r="Z80">
        <f t="shared" ca="1" si="29"/>
        <v>5.953010245327078E-3</v>
      </c>
      <c r="AA80">
        <f t="shared" ca="1" si="30"/>
        <v>5.8536956795692437E-3</v>
      </c>
      <c r="AB80">
        <f t="shared" ca="1" si="31"/>
        <v>0.97299679788920412</v>
      </c>
      <c r="AC80">
        <f t="shared" ca="1" si="32"/>
        <v>0.97913043478260875</v>
      </c>
    </row>
    <row r="81" spans="1:29" x14ac:dyDescent="0.3">
      <c r="A81">
        <v>0.44400571641422337</v>
      </c>
      <c r="B81">
        <f t="shared" si="23"/>
        <v>178.31014921589872</v>
      </c>
      <c r="C81">
        <f t="shared" si="24"/>
        <v>178</v>
      </c>
      <c r="T81">
        <v>79</v>
      </c>
      <c r="U81">
        <f t="shared" si="25"/>
        <v>16.099999999999977</v>
      </c>
      <c r="V81">
        <f t="shared" ca="1" si="33"/>
        <v>202.83684210526343</v>
      </c>
      <c r="W81">
        <f t="shared" ca="1" si="26"/>
        <v>5.4361552183819486E-3</v>
      </c>
      <c r="X81">
        <f t="shared" si="27"/>
        <v>16.880000000000035</v>
      </c>
      <c r="Y81">
        <f t="shared" ca="1" si="28"/>
        <v>0.97148430550411913</v>
      </c>
      <c r="Z81">
        <f t="shared" ca="1" si="29"/>
        <v>5.3479236912493547E-3</v>
      </c>
      <c r="AA81">
        <f t="shared" ca="1" si="30"/>
        <v>5.3166539920861729E-3</v>
      </c>
      <c r="AB81">
        <f t="shared" ca="1" si="31"/>
        <v>0.97779712231411609</v>
      </c>
      <c r="AC81">
        <f t="shared" ca="1" si="32"/>
        <v>0.97913043478260875</v>
      </c>
    </row>
    <row r="82" spans="1:29" x14ac:dyDescent="0.3">
      <c r="A82">
        <v>0.88786427108272681</v>
      </c>
      <c r="B82">
        <f t="shared" si="23"/>
        <v>194.58297789901133</v>
      </c>
      <c r="C82">
        <f t="shared" si="24"/>
        <v>194</v>
      </c>
      <c r="T82">
        <v>80</v>
      </c>
      <c r="U82">
        <f t="shared" si="25"/>
        <v>16.299999999999976</v>
      </c>
      <c r="V82">
        <f t="shared" ca="1" si="33"/>
        <v>203.56315789473712</v>
      </c>
      <c r="W82">
        <f t="shared" ca="1" si="26"/>
        <v>4.835838349997075E-3</v>
      </c>
      <c r="X82">
        <f t="shared" si="27"/>
        <v>17.090000000000035</v>
      </c>
      <c r="Y82">
        <f t="shared" ca="1" si="28"/>
        <v>0.97521154768174201</v>
      </c>
      <c r="Z82">
        <f t="shared" ca="1" si="29"/>
        <v>4.7755511753042063E-3</v>
      </c>
      <c r="AA82">
        <f t="shared" ca="1" si="30"/>
        <v>4.7624945095720156E-3</v>
      </c>
      <c r="AB82">
        <f t="shared" ca="1" si="31"/>
        <v>0.98125751458946797</v>
      </c>
      <c r="AC82">
        <f t="shared" ca="1" si="32"/>
        <v>0.9826086956521739</v>
      </c>
    </row>
    <row r="83" spans="1:29" x14ac:dyDescent="0.3">
      <c r="A83">
        <v>0.37703569092853895</v>
      </c>
      <c r="B83">
        <f t="shared" si="23"/>
        <v>176.24069431135999</v>
      </c>
      <c r="C83">
        <f t="shared" si="24"/>
        <v>176</v>
      </c>
      <c r="T83">
        <v>81</v>
      </c>
      <c r="U83">
        <f t="shared" si="25"/>
        <v>16.499999999999975</v>
      </c>
      <c r="V83">
        <f t="shared" ca="1" si="33"/>
        <v>204.2894736842108</v>
      </c>
      <c r="W83">
        <f t="shared" ca="1" si="26"/>
        <v>4.2860841349789559E-3</v>
      </c>
      <c r="X83">
        <f t="shared" si="27"/>
        <v>17.300000000000036</v>
      </c>
      <c r="Y83">
        <f t="shared" ca="1" si="28"/>
        <v>0.97852124124619966</v>
      </c>
      <c r="Z83">
        <f t="shared" ca="1" si="29"/>
        <v>4.2414148568944423E-3</v>
      </c>
      <c r="AA83">
        <f t="shared" ca="1" si="30"/>
        <v>4.2625105051120335E-3</v>
      </c>
      <c r="AB83">
        <f t="shared" ca="1" si="31"/>
        <v>0.98354693151575601</v>
      </c>
      <c r="AC83">
        <f t="shared" ca="1" si="32"/>
        <v>0.98434782608695648</v>
      </c>
    </row>
    <row r="84" spans="1:29" x14ac:dyDescent="0.3">
      <c r="A84">
        <v>0.16917545780010601</v>
      </c>
      <c r="B84">
        <f t="shared" si="23"/>
        <v>168.51085553755908</v>
      </c>
      <c r="C84">
        <f t="shared" si="24"/>
        <v>168</v>
      </c>
      <c r="T84">
        <v>82</v>
      </c>
      <c r="U84">
        <f t="shared" si="25"/>
        <v>16.699999999999974</v>
      </c>
      <c r="V84">
        <f t="shared" ca="1" si="33"/>
        <v>205.01578947368449</v>
      </c>
      <c r="W84">
        <f t="shared" ca="1" si="26"/>
        <v>3.7849365127969846E-3</v>
      </c>
      <c r="X84">
        <f t="shared" si="27"/>
        <v>17.510000000000037</v>
      </c>
      <c r="Y84">
        <f t="shared" ca="1" si="28"/>
        <v>0.98144941898587368</v>
      </c>
      <c r="Z84">
        <f t="shared" ca="1" si="29"/>
        <v>3.7511666527431545E-3</v>
      </c>
      <c r="AA84">
        <f t="shared" ca="1" si="30"/>
        <v>3.84428260395509E-3</v>
      </c>
      <c r="AB84">
        <f t="shared" ca="1" si="31"/>
        <v>0.98520948203587189</v>
      </c>
      <c r="AC84">
        <f t="shared" ca="1" si="32"/>
        <v>0.9859278670139775</v>
      </c>
    </row>
    <row r="85" spans="1:29" x14ac:dyDescent="0.3">
      <c r="A85">
        <v>0.46941025099231326</v>
      </c>
      <c r="B85">
        <f t="shared" si="23"/>
        <v>179.07897095429146</v>
      </c>
      <c r="C85">
        <f t="shared" si="24"/>
        <v>179</v>
      </c>
      <c r="T85">
        <v>83</v>
      </c>
      <c r="U85">
        <f t="shared" si="25"/>
        <v>16.899999999999974</v>
      </c>
      <c r="V85">
        <f t="shared" ca="1" si="33"/>
        <v>205.74210526315818</v>
      </c>
      <c r="W85">
        <f t="shared" ca="1" si="26"/>
        <v>3.3301630435160655E-3</v>
      </c>
      <c r="X85">
        <f t="shared" si="27"/>
        <v>17.720000000000038</v>
      </c>
      <c r="Y85">
        <f t="shared" ca="1" si="28"/>
        <v>0.98403058869416749</v>
      </c>
      <c r="Z85">
        <f t="shared" ca="1" si="29"/>
        <v>3.3081140043312788E-3</v>
      </c>
      <c r="AA85">
        <f t="shared" ca="1" si="30"/>
        <v>3.461354159796327E-3</v>
      </c>
      <c r="AB85">
        <f t="shared" ca="1" si="31"/>
        <v>0.98672334635099068</v>
      </c>
      <c r="AC85">
        <f t="shared" ca="1" si="32"/>
        <v>0.98608695652173917</v>
      </c>
    </row>
    <row r="86" spans="1:29" x14ac:dyDescent="0.3">
      <c r="A86">
        <v>0.80140068790650421</v>
      </c>
      <c r="B86">
        <f t="shared" si="23"/>
        <v>190.15961945955465</v>
      </c>
      <c r="C86">
        <f t="shared" si="24"/>
        <v>190</v>
      </c>
      <c r="T86">
        <v>84</v>
      </c>
      <c r="U86">
        <f t="shared" si="25"/>
        <v>17.099999999999973</v>
      </c>
      <c r="V86">
        <f t="shared" ca="1" si="33"/>
        <v>206.46842105263187</v>
      </c>
      <c r="W86">
        <f t="shared" ca="1" si="26"/>
        <v>2.9193178656593019E-3</v>
      </c>
      <c r="X86">
        <f t="shared" si="27"/>
        <v>17.930000000000039</v>
      </c>
      <c r="Y86">
        <f t="shared" ca="1" si="28"/>
        <v>0.98629755549694742</v>
      </c>
      <c r="Z86">
        <f t="shared" ca="1" si="29"/>
        <v>2.9117105664741533E-3</v>
      </c>
      <c r="AA86">
        <f t="shared" ca="1" si="30"/>
        <v>3.0304927937867816E-3</v>
      </c>
      <c r="AB86">
        <f t="shared" ca="1" si="31"/>
        <v>0.98834429379692867</v>
      </c>
      <c r="AC86">
        <f t="shared" ca="1" si="32"/>
        <v>0.98782608695652174</v>
      </c>
    </row>
    <row r="87" spans="1:29" x14ac:dyDescent="0.3">
      <c r="A87">
        <v>0.57412931151409241</v>
      </c>
      <c r="B87">
        <f t="shared" si="23"/>
        <v>182.24276422094977</v>
      </c>
      <c r="C87">
        <f t="shared" si="24"/>
        <v>182</v>
      </c>
      <c r="T87">
        <v>85</v>
      </c>
      <c r="U87">
        <f t="shared" si="25"/>
        <v>17.299999999999972</v>
      </c>
      <c r="V87">
        <f t="shared" ca="1" si="33"/>
        <v>207.19473684210556</v>
      </c>
      <c r="W87">
        <f t="shared" ca="1" si="26"/>
        <v>2.5498008624495402E-3</v>
      </c>
      <c r="X87">
        <f t="shared" si="27"/>
        <v>18.14000000000004</v>
      </c>
      <c r="Y87">
        <f t="shared" ca="1" si="28"/>
        <v>0.98828128858259567</v>
      </c>
      <c r="Z87">
        <f t="shared" ca="1" si="29"/>
        <v>2.5575028586026631E-3</v>
      </c>
      <c r="AA87">
        <f t="shared" ca="1" si="30"/>
        <v>2.6253125883044497E-3</v>
      </c>
      <c r="AB87">
        <f t="shared" ca="1" si="31"/>
        <v>0.99011722068273866</v>
      </c>
      <c r="AC87">
        <f t="shared" ca="1" si="32"/>
        <v>0.99130434782608701</v>
      </c>
    </row>
    <row r="88" spans="1:29" x14ac:dyDescent="0.3">
      <c r="A88">
        <v>0.85252485999684779</v>
      </c>
      <c r="B88">
        <f t="shared" si="23"/>
        <v>192.56788515263864</v>
      </c>
      <c r="C88">
        <f t="shared" si="24"/>
        <v>192</v>
      </c>
      <c r="T88">
        <v>86</v>
      </c>
      <c r="U88">
        <f t="shared" si="25"/>
        <v>17.499999999999972</v>
      </c>
      <c r="V88">
        <f t="shared" ca="1" si="33"/>
        <v>207.92105263157924</v>
      </c>
      <c r="W88">
        <f t="shared" ca="1" si="26"/>
        <v>2.2189122752010906E-3</v>
      </c>
      <c r="X88">
        <f t="shared" si="27"/>
        <v>18.350000000000041</v>
      </c>
      <c r="Y88">
        <f t="shared" ca="1" si="28"/>
        <v>0.99001082929193651</v>
      </c>
      <c r="Z88">
        <f t="shared" ca="1" si="29"/>
        <v>2.2384538046603475E-3</v>
      </c>
      <c r="AA88">
        <f t="shared" ca="1" si="30"/>
        <v>2.2214354969663586E-3</v>
      </c>
      <c r="AB88">
        <f t="shared" ca="1" si="31"/>
        <v>0.99196531589036963</v>
      </c>
      <c r="AC88">
        <f t="shared" ca="1" si="32"/>
        <v>0.99130434782608701</v>
      </c>
    </row>
    <row r="89" spans="1:29" x14ac:dyDescent="0.3">
      <c r="A89">
        <v>0.71057103588905601</v>
      </c>
      <c r="B89">
        <f t="shared" si="23"/>
        <v>186.66064443875038</v>
      </c>
      <c r="C89">
        <f t="shared" si="24"/>
        <v>186</v>
      </c>
      <c r="T89">
        <v>87</v>
      </c>
      <c r="U89">
        <f t="shared" si="25"/>
        <v>17.699999999999971</v>
      </c>
      <c r="V89">
        <f t="shared" ca="1" si="33"/>
        <v>208.64736842105293</v>
      </c>
      <c r="W89">
        <f t="shared" ca="1" si="26"/>
        <v>1.9239022041445352E-3</v>
      </c>
      <c r="X89">
        <f t="shared" si="27"/>
        <v>18.560000000000041</v>
      </c>
      <c r="Y89">
        <f t="shared" ca="1" si="28"/>
        <v>0.9915132370459937</v>
      </c>
      <c r="Z89">
        <f t="shared" ca="1" si="29"/>
        <v>1.9470694730294299E-3</v>
      </c>
      <c r="AA89">
        <f t="shared" ca="1" si="30"/>
        <v>1.828619474196862E-3</v>
      </c>
      <c r="AB89">
        <f t="shared" ca="1" si="31"/>
        <v>0.99379611080086172</v>
      </c>
      <c r="AC89">
        <f t="shared" ca="1" si="32"/>
        <v>0.99304347826086958</v>
      </c>
    </row>
    <row r="90" spans="1:29" x14ac:dyDescent="0.3">
      <c r="A90">
        <v>0.2614075290818153</v>
      </c>
      <c r="B90">
        <f t="shared" si="23"/>
        <v>172.33185475909536</v>
      </c>
      <c r="C90">
        <f t="shared" si="24"/>
        <v>172</v>
      </c>
      <c r="T90">
        <v>88</v>
      </c>
      <c r="U90">
        <f t="shared" si="25"/>
        <v>17.89999999999997</v>
      </c>
      <c r="V90">
        <f t="shared" ca="1" si="33"/>
        <v>209.37368421052662</v>
      </c>
      <c r="W90">
        <f t="shared" ca="1" si="26"/>
        <v>1.6620146289678776E-3</v>
      </c>
      <c r="X90">
        <f t="shared" si="27"/>
        <v>18.770000000000042</v>
      </c>
      <c r="Y90">
        <f t="shared" ca="1" si="28"/>
        <v>0.99281356925346775</v>
      </c>
      <c r="Z90">
        <f t="shared" ca="1" si="29"/>
        <v>1.6775198419322675E-3</v>
      </c>
      <c r="AA90">
        <f t="shared" ca="1" si="30"/>
        <v>1.4897984128619624E-3</v>
      </c>
      <c r="AB90">
        <f t="shared" ca="1" si="31"/>
        <v>0.9954801598293227</v>
      </c>
      <c r="AC90">
        <f t="shared" ca="1" si="32"/>
        <v>0.99652173913043474</v>
      </c>
    </row>
    <row r="91" spans="1:29" x14ac:dyDescent="0.3">
      <c r="A91">
        <v>0.74403398491800987</v>
      </c>
      <c r="B91">
        <f t="shared" si="23"/>
        <v>187.86998762486331</v>
      </c>
      <c r="C91">
        <f t="shared" si="24"/>
        <v>187</v>
      </c>
      <c r="T91">
        <v>89</v>
      </c>
      <c r="U91">
        <f t="shared" si="25"/>
        <v>18.099999999999969</v>
      </c>
      <c r="V91">
        <f t="shared" ca="1" si="33"/>
        <v>210.10000000000031</v>
      </c>
      <c r="W91">
        <f t="shared" ca="1" si="26"/>
        <v>1.4305257591393004E-3</v>
      </c>
      <c r="X91">
        <f t="shared" si="27"/>
        <v>18.980000000000043</v>
      </c>
      <c r="Y91">
        <f t="shared" ca="1" si="28"/>
        <v>0.99393489113828237</v>
      </c>
      <c r="Z91">
        <f t="shared" ca="1" si="29"/>
        <v>1.42702720523114E-3</v>
      </c>
      <c r="AA91">
        <f t="shared" ca="1" si="30"/>
        <v>1.3019820838348951E-3</v>
      </c>
      <c r="AB91">
        <f t="shared" ca="1" si="31"/>
        <v>0.99681610301977308</v>
      </c>
      <c r="AC91">
        <f t="shared" ca="1" si="32"/>
        <v>0.99826086956521742</v>
      </c>
    </row>
    <row r="92" spans="1:29" x14ac:dyDescent="0.3">
      <c r="A92">
        <v>0.93186880462822042</v>
      </c>
      <c r="B92">
        <f t="shared" si="23"/>
        <v>197.87825886628133</v>
      </c>
      <c r="C92">
        <f t="shared" si="24"/>
        <v>197</v>
      </c>
      <c r="T92">
        <v>90</v>
      </c>
      <c r="U92">
        <f t="shared" si="25"/>
        <v>18.299999999999969</v>
      </c>
      <c r="V92">
        <f t="shared" ca="1" si="33"/>
        <v>210.82631578947399</v>
      </c>
      <c r="W92">
        <f t="shared" ca="1" si="26"/>
        <v>1.2267766840113423E-3</v>
      </c>
      <c r="X92">
        <f t="shared" si="27"/>
        <v>19.190000000000044</v>
      </c>
      <c r="Y92">
        <f t="shared" ca="1" si="28"/>
        <v>0.99489831134885387</v>
      </c>
      <c r="Z92">
        <f t="shared" ca="1" si="29"/>
        <v>1.1961255017357011E-3</v>
      </c>
      <c r="AA92">
        <f t="shared" ca="1" si="30"/>
        <v>1.1621138916162704E-3</v>
      </c>
      <c r="AB92">
        <f t="shared" ca="1" si="31"/>
        <v>0.99766366422501584</v>
      </c>
      <c r="AC92">
        <f t="shared" ca="1" si="32"/>
        <v>0.99826086956521742</v>
      </c>
    </row>
    <row r="93" spans="1:29" x14ac:dyDescent="0.3">
      <c r="A93">
        <v>0.18025101293971524</v>
      </c>
      <c r="B93">
        <f t="shared" si="23"/>
        <v>169.027093174236</v>
      </c>
      <c r="C93">
        <f t="shared" si="24"/>
        <v>169</v>
      </c>
      <c r="T93">
        <v>91</v>
      </c>
      <c r="U93">
        <f t="shared" si="25"/>
        <v>18.499999999999968</v>
      </c>
      <c r="V93">
        <f t="shared" ca="1" si="33"/>
        <v>211.55263157894768</v>
      </c>
      <c r="W93">
        <f t="shared" ca="1" si="26"/>
        <v>1.0482004322406873E-3</v>
      </c>
      <c r="X93">
        <f t="shared" si="27"/>
        <v>19.400000000000045</v>
      </c>
      <c r="Y93">
        <f t="shared" ca="1" si="28"/>
        <v>0.99572303924090699</v>
      </c>
      <c r="Z93">
        <f t="shared" ca="1" si="29"/>
        <v>9.8781766813401924E-4</v>
      </c>
      <c r="AA93">
        <f t="shared" ca="1" si="30"/>
        <v>1.0308917704937904E-3</v>
      </c>
      <c r="AB93">
        <f t="shared" ca="1" si="31"/>
        <v>0.99807234036581494</v>
      </c>
      <c r="AC93">
        <f t="shared" ca="1" si="32"/>
        <v>0.99826086956521742</v>
      </c>
    </row>
    <row r="94" spans="1:29" x14ac:dyDescent="0.3">
      <c r="A94">
        <v>0.24876949217371336</v>
      </c>
      <c r="B94">
        <f t="shared" si="23"/>
        <v>171.85959518896397</v>
      </c>
      <c r="C94">
        <f t="shared" si="24"/>
        <v>171</v>
      </c>
      <c r="T94">
        <v>92</v>
      </c>
      <c r="U94">
        <f t="shared" si="25"/>
        <v>18.699999999999967</v>
      </c>
      <c r="V94">
        <f t="shared" ca="1" si="33"/>
        <v>212.27894736842137</v>
      </c>
      <c r="W94">
        <f t="shared" ca="1" si="26"/>
        <v>8.9234366766990274E-4</v>
      </c>
      <c r="X94">
        <f t="shared" si="27"/>
        <v>19.610000000000046</v>
      </c>
      <c r="Y94">
        <f t="shared" ca="1" si="28"/>
        <v>0.99642645984928757</v>
      </c>
      <c r="Z94">
        <f t="shared" ca="1" si="29"/>
        <v>8.0601457005538167E-4</v>
      </c>
      <c r="AA94">
        <f t="shared" ca="1" si="30"/>
        <v>9.0231151115838422E-4</v>
      </c>
      <c r="AB94">
        <f t="shared" ca="1" si="31"/>
        <v>0.99821701645873362</v>
      </c>
      <c r="AC94">
        <f t="shared" ca="1" si="32"/>
        <v>0.99826086956521742</v>
      </c>
    </row>
    <row r="95" spans="1:29" x14ac:dyDescent="0.3">
      <c r="A95">
        <v>0.33304140333199883</v>
      </c>
      <c r="B95">
        <f t="shared" si="23"/>
        <v>174.82163608159712</v>
      </c>
      <c r="C95">
        <f t="shared" si="24"/>
        <v>174</v>
      </c>
      <c r="T95">
        <v>93</v>
      </c>
      <c r="U95">
        <f t="shared" si="25"/>
        <v>18.899999999999967</v>
      </c>
      <c r="V95">
        <f t="shared" ca="1" si="33"/>
        <v>213.00526315789506</v>
      </c>
      <c r="W95">
        <f t="shared" ca="1" si="26"/>
        <v>7.5688334393427393E-4</v>
      </c>
      <c r="X95">
        <f t="shared" si="27"/>
        <v>19.820000000000046</v>
      </c>
      <c r="Y95">
        <f t="shared" ca="1" si="28"/>
        <v>0.99702422276510283</v>
      </c>
      <c r="Z95">
        <f t="shared" ca="1" si="29"/>
        <v>6.5381884062372549E-4</v>
      </c>
      <c r="AA95">
        <f t="shared" ca="1" si="30"/>
        <v>7.6631702787386693E-4</v>
      </c>
      <c r="AB95">
        <f t="shared" ca="1" si="31"/>
        <v>0.99825390068786679</v>
      </c>
      <c r="AC95">
        <f t="shared" ca="1" si="32"/>
        <v>0.99826086956521742</v>
      </c>
    </row>
    <row r="96" spans="1:29" x14ac:dyDescent="0.3">
      <c r="A96">
        <v>6.6590692484881475E-2</v>
      </c>
      <c r="B96">
        <f t="shared" si="23"/>
        <v>161.97991493420039</v>
      </c>
      <c r="C96">
        <f t="shared" si="24"/>
        <v>161</v>
      </c>
      <c r="T96">
        <v>94</v>
      </c>
      <c r="U96">
        <f t="shared" si="25"/>
        <v>19.099999999999966</v>
      </c>
      <c r="V96">
        <f t="shared" ca="1" si="33"/>
        <v>213.73157894736875</v>
      </c>
      <c r="W96">
        <f t="shared" ca="1" si="26"/>
        <v>6.396387129456115E-4</v>
      </c>
      <c r="X96">
        <f t="shared" si="27"/>
        <v>20.030000000000047</v>
      </c>
      <c r="Y96">
        <f t="shared" ca="1" si="28"/>
        <v>0.99753034139638208</v>
      </c>
      <c r="Z96">
        <f t="shared" ca="1" si="29"/>
        <v>5.3219092259628982E-4</v>
      </c>
      <c r="AA96">
        <f t="shared" ca="1" si="30"/>
        <v>6.2534780924632767E-4</v>
      </c>
      <c r="AB96">
        <f t="shared" ca="1" si="31"/>
        <v>0.99826325129210325</v>
      </c>
      <c r="AC96">
        <f t="shared" ca="1" si="32"/>
        <v>0.99826086956521742</v>
      </c>
    </row>
    <row r="97" spans="1:29" x14ac:dyDescent="0.3">
      <c r="A97">
        <v>0.4980066111525725</v>
      </c>
      <c r="B97">
        <f t="shared" si="23"/>
        <v>179.94003953232721</v>
      </c>
      <c r="C97">
        <f t="shared" si="24"/>
        <v>179</v>
      </c>
      <c r="T97">
        <v>95</v>
      </c>
      <c r="U97">
        <f t="shared" si="25"/>
        <v>19.299999999999965</v>
      </c>
      <c r="V97">
        <f t="shared" ca="1" si="33"/>
        <v>214.45789473684243</v>
      </c>
      <c r="W97">
        <f t="shared" ca="1" si="26"/>
        <v>5.3857913404488486E-4</v>
      </c>
      <c r="X97">
        <f t="shared" si="27"/>
        <v>20.240000000000048</v>
      </c>
      <c r="Y97">
        <f t="shared" ca="1" si="28"/>
        <v>0.99795729939745048</v>
      </c>
      <c r="Z97">
        <f t="shared" ca="1" si="29"/>
        <v>4.3934654435805306E-4</v>
      </c>
      <c r="AA97">
        <f t="shared" ca="1" si="30"/>
        <v>4.8636325278984615E-4</v>
      </c>
      <c r="AB97">
        <f t="shared" ca="1" si="31"/>
        <v>0.9982817091731836</v>
      </c>
      <c r="AC97">
        <f t="shared" ca="1" si="32"/>
        <v>0.99826086956521742</v>
      </c>
    </row>
    <row r="98" spans="1:29" x14ac:dyDescent="0.3">
      <c r="A98">
        <v>0.88443801764472973</v>
      </c>
      <c r="B98">
        <f t="shared" si="23"/>
        <v>194.36962303250334</v>
      </c>
      <c r="C98">
        <f t="shared" si="24"/>
        <v>194</v>
      </c>
      <c r="T98">
        <v>96</v>
      </c>
      <c r="U98">
        <f t="shared" si="25"/>
        <v>19.499999999999964</v>
      </c>
      <c r="V98">
        <f t="shared" ca="1" si="33"/>
        <v>215.18421052631612</v>
      </c>
      <c r="W98">
        <f t="shared" ca="1" si="26"/>
        <v>4.5182816255989928E-4</v>
      </c>
      <c r="X98">
        <f t="shared" si="27"/>
        <v>20.450000000000049</v>
      </c>
      <c r="Y98">
        <f t="shared" ca="1" si="28"/>
        <v>0.99831616138945878</v>
      </c>
      <c r="Z98">
        <f t="shared" ca="1" si="29"/>
        <v>3.7097104082398243E-4</v>
      </c>
      <c r="AA98">
        <f t="shared" ca="1" si="30"/>
        <v>3.8468246566028449E-4</v>
      </c>
      <c r="AB98">
        <f t="shared" ca="1" si="31"/>
        <v>0.99835392691106339</v>
      </c>
      <c r="AC98">
        <f t="shared" ca="1" si="32"/>
        <v>0.99826086956521742</v>
      </c>
    </row>
    <row r="99" spans="1:29" x14ac:dyDescent="0.3">
      <c r="A99">
        <v>0.68332876370192985</v>
      </c>
      <c r="B99">
        <f t="shared" si="23"/>
        <v>185.7243311255715</v>
      </c>
      <c r="C99">
        <f t="shared" si="24"/>
        <v>185</v>
      </c>
      <c r="T99">
        <v>97</v>
      </c>
      <c r="U99">
        <f t="shared" si="25"/>
        <v>19.699999999999964</v>
      </c>
      <c r="V99">
        <f t="shared" ca="1" si="33"/>
        <v>215.91052631578981</v>
      </c>
      <c r="W99">
        <f t="shared" ca="1" si="26"/>
        <v>3.7766441073814022E-4</v>
      </c>
      <c r="X99">
        <f t="shared" si="27"/>
        <v>20.66000000000005</v>
      </c>
      <c r="Y99">
        <f t="shared" ca="1" si="28"/>
        <v>0.99861668544840021</v>
      </c>
      <c r="Z99">
        <f t="shared" ca="1" si="29"/>
        <v>3.2108872223536637E-4</v>
      </c>
      <c r="AA99">
        <f t="shared" ca="1" si="30"/>
        <v>2.9260078619720587E-4</v>
      </c>
      <c r="AB99">
        <f t="shared" ca="1" si="31"/>
        <v>0.99855089061896485</v>
      </c>
      <c r="AC99">
        <f t="shared" ca="1" si="32"/>
        <v>0.99826086956521742</v>
      </c>
    </row>
    <row r="100" spans="1:29" x14ac:dyDescent="0.3">
      <c r="A100">
        <v>0.89947269962227294</v>
      </c>
      <c r="B100">
        <f t="shared" si="23"/>
        <v>195.34263290126779</v>
      </c>
      <c r="C100">
        <f t="shared" si="24"/>
        <v>195</v>
      </c>
      <c r="T100">
        <v>98</v>
      </c>
      <c r="U100">
        <f t="shared" si="25"/>
        <v>19.899999999999963</v>
      </c>
      <c r="V100">
        <f t="shared" ca="1" si="33"/>
        <v>216.6368421052635</v>
      </c>
      <c r="W100">
        <f t="shared" ca="1" si="26"/>
        <v>3.1451967282761798E-4</v>
      </c>
      <c r="X100">
        <f t="shared" si="27"/>
        <v>20.870000000000051</v>
      </c>
      <c r="Y100">
        <f t="shared" ca="1" si="28"/>
        <v>0.99886743519542454</v>
      </c>
      <c r="Z100">
        <f t="shared" ca="1" si="29"/>
        <v>2.8326450237049446E-4</v>
      </c>
      <c r="AA100">
        <f t="shared" ca="1" si="30"/>
        <v>2.116800939800714E-4</v>
      </c>
      <c r="AB100">
        <f t="shared" ca="1" si="31"/>
        <v>0.99891060021444145</v>
      </c>
      <c r="AC100">
        <f t="shared" ca="1" si="32"/>
        <v>0.99826086956521742</v>
      </c>
    </row>
    <row r="101" spans="1:29" x14ac:dyDescent="0.3">
      <c r="A101">
        <v>0.74118676375021753</v>
      </c>
      <c r="B101">
        <f t="shared" si="23"/>
        <v>187.76410143947319</v>
      </c>
      <c r="C101">
        <f t="shared" si="24"/>
        <v>187</v>
      </c>
      <c r="T101">
        <v>99</v>
      </c>
      <c r="U101">
        <f t="shared" si="25"/>
        <v>20.099999999999962</v>
      </c>
      <c r="V101">
        <f t="shared" ca="1" si="33"/>
        <v>217.36315789473718</v>
      </c>
      <c r="W101">
        <f t="shared" ca="1" si="26"/>
        <v>2.6097479189425316E-4</v>
      </c>
      <c r="X101">
        <f t="shared" si="27"/>
        <v>21.080000000000052</v>
      </c>
      <c r="Y101">
        <f t="shared" ca="1" si="28"/>
        <v>0.99907588967699945</v>
      </c>
      <c r="Z101">
        <f t="shared" ca="1" si="29"/>
        <v>2.5177204828369528E-4</v>
      </c>
      <c r="AA101">
        <f t="shared" ca="1" si="30"/>
        <v>1.8095378744963173E-4</v>
      </c>
      <c r="AB101">
        <f t="shared" ca="1" si="31"/>
        <v>0.99935026934736171</v>
      </c>
      <c r="AC101">
        <f t="shared" ca="1" si="32"/>
        <v>1</v>
      </c>
    </row>
    <row r="102" spans="1:29" x14ac:dyDescent="0.3">
      <c r="A102">
        <v>0.98396494638559662</v>
      </c>
      <c r="B102">
        <f t="shared" si="23"/>
        <v>205.72242846179617</v>
      </c>
      <c r="C102">
        <f t="shared" si="24"/>
        <v>205</v>
      </c>
      <c r="T102">
        <v>100</v>
      </c>
      <c r="U102">
        <f t="shared" si="25"/>
        <v>20.299999999999962</v>
      </c>
      <c r="V102">
        <f t="shared" ca="1" si="33"/>
        <v>218.08947368421087</v>
      </c>
      <c r="W102">
        <f t="shared" ca="1" si="26"/>
        <v>2.1575372128669111E-4</v>
      </c>
      <c r="X102">
        <f t="shared" si="27"/>
        <v>21.290000000000052</v>
      </c>
      <c r="Y102">
        <f t="shared" ca="1" si="28"/>
        <v>0.99924854956094944</v>
      </c>
      <c r="Z102">
        <f t="shared" ca="1" si="29"/>
        <v>2.2243046939393108E-4</v>
      </c>
      <c r="AA102">
        <f t="shared" ca="1" si="30"/>
        <v>1.6900291366056167E-4</v>
      </c>
      <c r="AB102">
        <f t="shared" ca="1" si="31"/>
        <v>0.99970997880982038</v>
      </c>
      <c r="AC102">
        <f t="shared" ca="1" si="32"/>
        <v>1</v>
      </c>
    </row>
    <row r="103" spans="1:29" x14ac:dyDescent="0.3">
      <c r="A103">
        <v>0.41789417099080928</v>
      </c>
      <c r="B103">
        <f t="shared" si="23"/>
        <v>177.51259619558812</v>
      </c>
      <c r="C103">
        <f t="shared" si="24"/>
        <v>177</v>
      </c>
      <c r="T103">
        <v>101</v>
      </c>
      <c r="U103">
        <f t="shared" si="25"/>
        <v>20.499999999999961</v>
      </c>
      <c r="V103">
        <f t="shared" ca="1" si="33"/>
        <v>218.81578947368456</v>
      </c>
      <c r="W103">
        <f t="shared" ca="1" si="26"/>
        <v>1.7771620093184158E-4</v>
      </c>
      <c r="X103">
        <f t="shared" si="27"/>
        <v>21.500000000000053</v>
      </c>
      <c r="Y103">
        <f t="shared" ca="1" si="28"/>
        <v>0.99939103849188904</v>
      </c>
      <c r="Z103">
        <f t="shared" ca="1" si="29"/>
        <v>1.9295237919483306E-4</v>
      </c>
      <c r="AA103">
        <f t="shared" ca="1" si="30"/>
        <v>1.6262662749334171E-4</v>
      </c>
      <c r="AB103">
        <f t="shared" ca="1" si="31"/>
        <v>0.9999069389382863</v>
      </c>
      <c r="AC103">
        <f t="shared" ca="1" si="32"/>
        <v>1</v>
      </c>
    </row>
    <row r="104" spans="1:29" x14ac:dyDescent="0.3">
      <c r="A104">
        <v>0.91801269890931481</v>
      </c>
      <c r="B104">
        <f t="shared" si="23"/>
        <v>196.70193151137659</v>
      </c>
      <c r="C104">
        <f t="shared" si="24"/>
        <v>196</v>
      </c>
    </row>
    <row r="105" spans="1:29" x14ac:dyDescent="0.3">
      <c r="A105">
        <v>3.6191286039833015E-2</v>
      </c>
      <c r="B105">
        <f t="shared" si="23"/>
        <v>158.43954810682158</v>
      </c>
      <c r="C105">
        <f t="shared" si="24"/>
        <v>158</v>
      </c>
    </row>
    <row r="106" spans="1:29" x14ac:dyDescent="0.3">
      <c r="A106">
        <v>0.28331529467078476</v>
      </c>
      <c r="B106">
        <f t="shared" si="23"/>
        <v>173.1237500222162</v>
      </c>
      <c r="C106">
        <f t="shared" si="24"/>
        <v>173</v>
      </c>
    </row>
    <row r="107" spans="1:29" x14ac:dyDescent="0.3">
      <c r="A107">
        <v>0.84846124480132556</v>
      </c>
      <c r="B107">
        <f t="shared" si="23"/>
        <v>192.35827449858132</v>
      </c>
      <c r="C107">
        <f t="shared" si="24"/>
        <v>192</v>
      </c>
    </row>
    <row r="108" spans="1:29" x14ac:dyDescent="0.3">
      <c r="A108">
        <v>0.58105074278918334</v>
      </c>
      <c r="B108">
        <f t="shared" si="23"/>
        <v>182.45498715523848</v>
      </c>
      <c r="C108">
        <f t="shared" si="24"/>
        <v>182</v>
      </c>
    </row>
    <row r="109" spans="1:29" x14ac:dyDescent="0.3">
      <c r="A109">
        <v>0.87776012569959005</v>
      </c>
      <c r="B109">
        <f t="shared" si="23"/>
        <v>193.9663497087088</v>
      </c>
      <c r="C109">
        <f t="shared" si="24"/>
        <v>193</v>
      </c>
    </row>
    <row r="110" spans="1:29" x14ac:dyDescent="0.3">
      <c r="A110">
        <v>0.57237684042582782</v>
      </c>
      <c r="B110">
        <f t="shared" si="23"/>
        <v>182.18914417375638</v>
      </c>
      <c r="C110">
        <f t="shared" si="24"/>
        <v>182</v>
      </c>
    </row>
    <row r="111" spans="1:29" x14ac:dyDescent="0.3">
      <c r="A111">
        <v>0.77654591428777808</v>
      </c>
      <c r="B111">
        <f t="shared" si="23"/>
        <v>189.12695594054298</v>
      </c>
      <c r="C111">
        <f t="shared" si="24"/>
        <v>189</v>
      </c>
    </row>
    <row r="112" spans="1:29" x14ac:dyDescent="0.3">
      <c r="A112">
        <v>0.93044695811961209</v>
      </c>
      <c r="B112">
        <f t="shared" si="23"/>
        <v>197.74953709013027</v>
      </c>
      <c r="C112">
        <f t="shared" si="24"/>
        <v>197</v>
      </c>
    </row>
    <row r="113" spans="1:3" x14ac:dyDescent="0.3">
      <c r="A113">
        <v>0.755360755374474</v>
      </c>
      <c r="B113">
        <f t="shared" si="23"/>
        <v>188.29748218513879</v>
      </c>
      <c r="C113">
        <f t="shared" si="24"/>
        <v>188</v>
      </c>
    </row>
    <row r="114" spans="1:3" x14ac:dyDescent="0.3">
      <c r="A114">
        <v>0.66720003932939675</v>
      </c>
      <c r="B114">
        <f t="shared" si="23"/>
        <v>185.18633623048666</v>
      </c>
      <c r="C114">
        <f t="shared" si="24"/>
        <v>185</v>
      </c>
    </row>
    <row r="115" spans="1:3" x14ac:dyDescent="0.3">
      <c r="A115">
        <v>0.18072599027112235</v>
      </c>
      <c r="B115">
        <f t="shared" si="23"/>
        <v>169.04877778966105</v>
      </c>
      <c r="C115">
        <f t="shared" si="24"/>
        <v>169</v>
      </c>
    </row>
    <row r="116" spans="1:3" x14ac:dyDescent="0.3">
      <c r="A116">
        <v>0.49032975922688726</v>
      </c>
      <c r="B116">
        <f t="shared" si="23"/>
        <v>179.70909512210753</v>
      </c>
      <c r="C116">
        <f t="shared" si="24"/>
        <v>179</v>
      </c>
    </row>
    <row r="117" spans="1:3" x14ac:dyDescent="0.3">
      <c r="A117">
        <v>0.14601565506146941</v>
      </c>
      <c r="B117">
        <f t="shared" si="23"/>
        <v>167.3558887743871</v>
      </c>
      <c r="C117">
        <f t="shared" si="24"/>
        <v>167</v>
      </c>
    </row>
    <row r="118" spans="1:3" x14ac:dyDescent="0.3">
      <c r="A118">
        <v>0.79457664297959096</v>
      </c>
      <c r="B118">
        <f t="shared" si="23"/>
        <v>189.86885410653457</v>
      </c>
      <c r="C118">
        <f t="shared" si="24"/>
        <v>189</v>
      </c>
    </row>
    <row r="119" spans="1:3" x14ac:dyDescent="0.3">
      <c r="A119">
        <v>0.93172202693403239</v>
      </c>
      <c r="B119">
        <f t="shared" si="23"/>
        <v>197.86487550592204</v>
      </c>
      <c r="C119">
        <f t="shared" si="24"/>
        <v>197</v>
      </c>
    </row>
    <row r="120" spans="1:3" x14ac:dyDescent="0.3">
      <c r="A120">
        <v>0.17098675155926013</v>
      </c>
      <c r="B120">
        <f t="shared" si="23"/>
        <v>168.59672278953096</v>
      </c>
      <c r="C120">
        <f t="shared" si="24"/>
        <v>168</v>
      </c>
    </row>
    <row r="121" spans="1:3" x14ac:dyDescent="0.3">
      <c r="A121">
        <v>0.24625557249531749</v>
      </c>
      <c r="B121">
        <f t="shared" si="23"/>
        <v>171.76415629338445</v>
      </c>
      <c r="C121">
        <f t="shared" si="24"/>
        <v>171</v>
      </c>
    </row>
    <row r="122" spans="1:3" x14ac:dyDescent="0.3">
      <c r="A122">
        <v>0.64425384731434254</v>
      </c>
      <c r="B122">
        <f t="shared" si="23"/>
        <v>184.43823144586082</v>
      </c>
      <c r="C122">
        <f t="shared" si="24"/>
        <v>184</v>
      </c>
    </row>
    <row r="123" spans="1:3" x14ac:dyDescent="0.3">
      <c r="A123">
        <v>0.12536500346958313</v>
      </c>
      <c r="B123">
        <f t="shared" si="23"/>
        <v>166.21706324283699</v>
      </c>
      <c r="C123">
        <f t="shared" si="24"/>
        <v>166</v>
      </c>
    </row>
    <row r="124" spans="1:3" x14ac:dyDescent="0.3">
      <c r="A124">
        <v>0.72635707216828249</v>
      </c>
      <c r="B124">
        <f t="shared" si="23"/>
        <v>187.22198609736603</v>
      </c>
      <c r="C124">
        <f t="shared" si="24"/>
        <v>187</v>
      </c>
    </row>
    <row r="125" spans="1:3" x14ac:dyDescent="0.3">
      <c r="A125">
        <v>0.457635002043565</v>
      </c>
      <c r="B125">
        <f t="shared" si="23"/>
        <v>178.72327579219925</v>
      </c>
      <c r="C125">
        <f t="shared" si="24"/>
        <v>178</v>
      </c>
    </row>
    <row r="126" spans="1:3" x14ac:dyDescent="0.3">
      <c r="A126">
        <v>0.67073263137674743</v>
      </c>
      <c r="B126">
        <f t="shared" si="23"/>
        <v>185.30324496317246</v>
      </c>
      <c r="C126">
        <f t="shared" si="24"/>
        <v>185</v>
      </c>
    </row>
    <row r="127" spans="1:3" x14ac:dyDescent="0.3">
      <c r="A127">
        <v>0.74096329196048039</v>
      </c>
      <c r="B127">
        <f t="shared" si="23"/>
        <v>187.75581631417677</v>
      </c>
      <c r="C127">
        <f t="shared" si="24"/>
        <v>187</v>
      </c>
    </row>
    <row r="128" spans="1:3" x14ac:dyDescent="0.3">
      <c r="A128">
        <v>0.29637411395291835</v>
      </c>
      <c r="B128">
        <f t="shared" si="23"/>
        <v>173.58170703742462</v>
      </c>
      <c r="C128">
        <f t="shared" si="24"/>
        <v>173</v>
      </c>
    </row>
    <row r="129" spans="1:3" x14ac:dyDescent="0.3">
      <c r="A129">
        <v>0.43659788016833023</v>
      </c>
      <c r="B129">
        <f t="shared" si="23"/>
        <v>178.08479362297857</v>
      </c>
      <c r="C129">
        <f t="shared" si="24"/>
        <v>178</v>
      </c>
    </row>
    <row r="130" spans="1:3" x14ac:dyDescent="0.3">
      <c r="A130">
        <v>0.11042887466428974</v>
      </c>
      <c r="B130">
        <f t="shared" ref="B130:B193" si="34">_xlfn.NORM.INV(A130,_mu,_sigma)</f>
        <v>165.3089941716915</v>
      </c>
      <c r="C130">
        <f t="shared" si="24"/>
        <v>165</v>
      </c>
    </row>
    <row r="131" spans="1:3" x14ac:dyDescent="0.3">
      <c r="A131">
        <v>0.16873838954971365</v>
      </c>
      <c r="B131">
        <f t="shared" si="34"/>
        <v>168.49004739016351</v>
      </c>
      <c r="C131">
        <f t="shared" ref="C131:C194" si="35">INT(B131)</f>
        <v>168</v>
      </c>
    </row>
    <row r="132" spans="1:3" x14ac:dyDescent="0.3">
      <c r="A132">
        <v>0.57546256145923336</v>
      </c>
      <c r="B132">
        <f t="shared" si="34"/>
        <v>182.28358738951158</v>
      </c>
      <c r="C132">
        <f t="shared" si="35"/>
        <v>182</v>
      </c>
    </row>
    <row r="133" spans="1:3" x14ac:dyDescent="0.3">
      <c r="A133">
        <v>0.50117838233820478</v>
      </c>
      <c r="B133">
        <f t="shared" si="34"/>
        <v>180.03544524938906</v>
      </c>
      <c r="C133">
        <f t="shared" si="35"/>
        <v>180</v>
      </c>
    </row>
    <row r="134" spans="1:3" x14ac:dyDescent="0.3">
      <c r="A134">
        <v>0.33674609304233905</v>
      </c>
      <c r="B134">
        <f t="shared" si="34"/>
        <v>174.9436793895342</v>
      </c>
      <c r="C134">
        <f t="shared" si="35"/>
        <v>174</v>
      </c>
    </row>
    <row r="135" spans="1:3" x14ac:dyDescent="0.3">
      <c r="A135">
        <v>0.2896894219400058</v>
      </c>
      <c r="B135">
        <f t="shared" si="34"/>
        <v>173.34849283389758</v>
      </c>
      <c r="C135">
        <f t="shared" si="35"/>
        <v>173</v>
      </c>
    </row>
    <row r="136" spans="1:3" x14ac:dyDescent="0.3">
      <c r="A136">
        <v>0.13676031349188311</v>
      </c>
      <c r="B136">
        <f t="shared" si="34"/>
        <v>166.86010930285835</v>
      </c>
      <c r="C136">
        <f t="shared" si="35"/>
        <v>166</v>
      </c>
    </row>
    <row r="137" spans="1:3" x14ac:dyDescent="0.3">
      <c r="A137">
        <v>0.78841498986750458</v>
      </c>
      <c r="B137">
        <f t="shared" si="34"/>
        <v>189.61120458583807</v>
      </c>
      <c r="C137">
        <f t="shared" si="35"/>
        <v>189</v>
      </c>
    </row>
    <row r="138" spans="1:3" x14ac:dyDescent="0.3">
      <c r="A138">
        <v>0.86223536973674608</v>
      </c>
      <c r="B138">
        <f t="shared" si="34"/>
        <v>193.0850104358652</v>
      </c>
      <c r="C138">
        <f t="shared" si="35"/>
        <v>193</v>
      </c>
    </row>
    <row r="139" spans="1:3" x14ac:dyDescent="0.3">
      <c r="A139">
        <v>0.48054009698218392</v>
      </c>
      <c r="B139">
        <f t="shared" si="34"/>
        <v>179.41442276403566</v>
      </c>
      <c r="C139">
        <f t="shared" si="35"/>
        <v>179</v>
      </c>
    </row>
    <row r="140" spans="1:3" x14ac:dyDescent="0.3">
      <c r="A140">
        <v>0.44267656941702016</v>
      </c>
      <c r="B140">
        <f t="shared" si="34"/>
        <v>178.26976105543608</v>
      </c>
      <c r="C140">
        <f t="shared" si="35"/>
        <v>178</v>
      </c>
    </row>
    <row r="141" spans="1:3" x14ac:dyDescent="0.3">
      <c r="A141">
        <v>0.56118435724312854</v>
      </c>
      <c r="B141">
        <f t="shared" si="34"/>
        <v>181.84767202860164</v>
      </c>
      <c r="C141">
        <f t="shared" si="35"/>
        <v>181</v>
      </c>
    </row>
    <row r="142" spans="1:3" x14ac:dyDescent="0.3">
      <c r="A142">
        <v>0.43234800435610066</v>
      </c>
      <c r="B142">
        <f t="shared" si="34"/>
        <v>177.95520666193596</v>
      </c>
      <c r="C142">
        <f t="shared" si="35"/>
        <v>177</v>
      </c>
    </row>
    <row r="143" spans="1:3" x14ac:dyDescent="0.3">
      <c r="A143">
        <v>0.58631595312475704</v>
      </c>
      <c r="B143">
        <f t="shared" si="34"/>
        <v>182.6169397671388</v>
      </c>
      <c r="C143">
        <f t="shared" si="35"/>
        <v>182</v>
      </c>
    </row>
    <row r="144" spans="1:3" x14ac:dyDescent="0.3">
      <c r="A144">
        <v>0.38564211555347405</v>
      </c>
      <c r="B144">
        <f t="shared" si="34"/>
        <v>176.5116542757236</v>
      </c>
      <c r="C144">
        <f t="shared" si="35"/>
        <v>176</v>
      </c>
    </row>
    <row r="145" spans="1:3" x14ac:dyDescent="0.3">
      <c r="A145">
        <v>0.24059516887896604</v>
      </c>
      <c r="B145">
        <f t="shared" si="34"/>
        <v>171.54732782389135</v>
      </c>
      <c r="C145">
        <f t="shared" si="35"/>
        <v>171</v>
      </c>
    </row>
    <row r="146" spans="1:3" x14ac:dyDescent="0.3">
      <c r="A146">
        <v>0.82461916724019624</v>
      </c>
      <c r="B146">
        <f t="shared" si="34"/>
        <v>191.1973551207625</v>
      </c>
      <c r="C146">
        <f t="shared" si="35"/>
        <v>191</v>
      </c>
    </row>
    <row r="147" spans="1:3" x14ac:dyDescent="0.3">
      <c r="A147">
        <v>0.61184879549791493</v>
      </c>
      <c r="B147">
        <f t="shared" si="34"/>
        <v>183.40969072819328</v>
      </c>
      <c r="C147">
        <f t="shared" si="35"/>
        <v>183</v>
      </c>
    </row>
    <row r="148" spans="1:3" x14ac:dyDescent="0.3">
      <c r="A148">
        <v>6.4652510540541885E-2</v>
      </c>
      <c r="B148">
        <f t="shared" si="34"/>
        <v>161.79782191625185</v>
      </c>
      <c r="C148">
        <f t="shared" si="35"/>
        <v>161</v>
      </c>
    </row>
    <row r="149" spans="1:3" x14ac:dyDescent="0.3">
      <c r="A149">
        <v>0.77496076283458193</v>
      </c>
      <c r="B149">
        <f t="shared" si="34"/>
        <v>189.06341044945501</v>
      </c>
      <c r="C149">
        <f t="shared" si="35"/>
        <v>189</v>
      </c>
    </row>
    <row r="150" spans="1:3" x14ac:dyDescent="0.3">
      <c r="A150">
        <v>0.67594066941526953</v>
      </c>
      <c r="B150">
        <f t="shared" si="34"/>
        <v>185.47652802031217</v>
      </c>
      <c r="C150">
        <f t="shared" si="35"/>
        <v>185</v>
      </c>
    </row>
    <row r="151" spans="1:3" x14ac:dyDescent="0.3">
      <c r="A151">
        <v>0.84894027714768561</v>
      </c>
      <c r="B151">
        <f t="shared" si="34"/>
        <v>192.38278771265638</v>
      </c>
      <c r="C151">
        <f t="shared" si="35"/>
        <v>192</v>
      </c>
    </row>
    <row r="152" spans="1:3" x14ac:dyDescent="0.3">
      <c r="A152">
        <v>0.56132071029831576</v>
      </c>
      <c r="B152">
        <f t="shared" si="34"/>
        <v>181.85182248315255</v>
      </c>
      <c r="C152">
        <f t="shared" si="35"/>
        <v>181</v>
      </c>
    </row>
    <row r="153" spans="1:3" x14ac:dyDescent="0.3">
      <c r="A153">
        <v>0.16870504251721374</v>
      </c>
      <c r="B153">
        <f t="shared" si="34"/>
        <v>168.4884583681218</v>
      </c>
      <c r="C153">
        <f t="shared" si="35"/>
        <v>168</v>
      </c>
    </row>
    <row r="154" spans="1:3" x14ac:dyDescent="0.3">
      <c r="A154">
        <v>0.55799957395322763</v>
      </c>
      <c r="B154">
        <f t="shared" si="34"/>
        <v>181.75079208797874</v>
      </c>
      <c r="C154">
        <f t="shared" si="35"/>
        <v>181</v>
      </c>
    </row>
    <row r="155" spans="1:3" x14ac:dyDescent="0.3">
      <c r="A155">
        <v>5.2715370354790569E-2</v>
      </c>
      <c r="B155">
        <f t="shared" si="34"/>
        <v>160.57107844909567</v>
      </c>
      <c r="C155">
        <f t="shared" si="35"/>
        <v>160</v>
      </c>
    </row>
    <row r="156" spans="1:3" x14ac:dyDescent="0.3">
      <c r="A156">
        <v>0.20026404855712621</v>
      </c>
      <c r="B156">
        <f t="shared" si="34"/>
        <v>169.91185861515123</v>
      </c>
      <c r="C156">
        <f t="shared" si="35"/>
        <v>169</v>
      </c>
    </row>
    <row r="157" spans="1:3" x14ac:dyDescent="0.3">
      <c r="A157">
        <v>0.96306601226499466</v>
      </c>
      <c r="B157">
        <f t="shared" si="34"/>
        <v>201.44916304688024</v>
      </c>
      <c r="C157">
        <f t="shared" si="35"/>
        <v>201</v>
      </c>
    </row>
    <row r="158" spans="1:3" x14ac:dyDescent="0.3">
      <c r="A158">
        <v>0.78341027244102535</v>
      </c>
      <c r="B158">
        <f t="shared" si="34"/>
        <v>189.40515054096039</v>
      </c>
      <c r="C158">
        <f t="shared" si="35"/>
        <v>189</v>
      </c>
    </row>
    <row r="159" spans="1:3" x14ac:dyDescent="0.3">
      <c r="A159">
        <v>0.30057163766773998</v>
      </c>
      <c r="B159">
        <f t="shared" si="34"/>
        <v>173.7269144266993</v>
      </c>
      <c r="C159">
        <f t="shared" si="35"/>
        <v>173</v>
      </c>
    </row>
    <row r="160" spans="1:3" x14ac:dyDescent="0.3">
      <c r="A160">
        <v>0.2852055460706272</v>
      </c>
      <c r="B160">
        <f t="shared" si="34"/>
        <v>173.1906460114912</v>
      </c>
      <c r="C160">
        <f t="shared" si="35"/>
        <v>173</v>
      </c>
    </row>
    <row r="161" spans="1:3" x14ac:dyDescent="0.3">
      <c r="A161">
        <v>0.92049884218531008</v>
      </c>
      <c r="B161">
        <f t="shared" si="34"/>
        <v>196.90121942569803</v>
      </c>
      <c r="C161">
        <f t="shared" si="35"/>
        <v>196</v>
      </c>
    </row>
    <row r="162" spans="1:3" x14ac:dyDescent="0.3">
      <c r="A162">
        <v>0.81542648662270234</v>
      </c>
      <c r="B162">
        <f t="shared" si="34"/>
        <v>190.7768671226078</v>
      </c>
      <c r="C162">
        <f t="shared" si="35"/>
        <v>190</v>
      </c>
    </row>
    <row r="163" spans="1:3" x14ac:dyDescent="0.3">
      <c r="A163">
        <v>0.75645446790335713</v>
      </c>
      <c r="B163">
        <f t="shared" si="34"/>
        <v>188.33931522229514</v>
      </c>
      <c r="C163">
        <f t="shared" si="35"/>
        <v>188</v>
      </c>
    </row>
    <row r="164" spans="1:3" x14ac:dyDescent="0.3">
      <c r="A164">
        <v>0.87041043264848206</v>
      </c>
      <c r="B164">
        <f t="shared" si="34"/>
        <v>193.54000103346618</v>
      </c>
      <c r="C164">
        <f t="shared" si="35"/>
        <v>193</v>
      </c>
    </row>
    <row r="165" spans="1:3" x14ac:dyDescent="0.3">
      <c r="A165">
        <v>0.91566685285063287</v>
      </c>
      <c r="B165">
        <f t="shared" si="34"/>
        <v>196.51802300129592</v>
      </c>
      <c r="C165">
        <f t="shared" si="35"/>
        <v>196</v>
      </c>
    </row>
    <row r="166" spans="1:3" x14ac:dyDescent="0.3">
      <c r="A166">
        <v>0.69506769011946223</v>
      </c>
      <c r="B166">
        <f t="shared" si="34"/>
        <v>186.12320055511447</v>
      </c>
      <c r="C166">
        <f t="shared" si="35"/>
        <v>186</v>
      </c>
    </row>
    <row r="167" spans="1:3" x14ac:dyDescent="0.3">
      <c r="A167">
        <v>0.97469579290070718</v>
      </c>
      <c r="B167">
        <f t="shared" si="34"/>
        <v>203.45742387957242</v>
      </c>
      <c r="C167">
        <f t="shared" si="35"/>
        <v>203</v>
      </c>
    </row>
    <row r="168" spans="1:3" x14ac:dyDescent="0.3">
      <c r="A168">
        <v>0.17079492707642796</v>
      </c>
      <c r="B168">
        <f t="shared" si="34"/>
        <v>168.58765671628794</v>
      </c>
      <c r="C168">
        <f t="shared" si="35"/>
        <v>168</v>
      </c>
    </row>
    <row r="169" spans="1:3" x14ac:dyDescent="0.3">
      <c r="A169">
        <v>0.55741730493252739</v>
      </c>
      <c r="B169">
        <f t="shared" si="34"/>
        <v>181.73309219577797</v>
      </c>
      <c r="C169">
        <f t="shared" si="35"/>
        <v>181</v>
      </c>
    </row>
    <row r="170" spans="1:3" x14ac:dyDescent="0.3">
      <c r="A170">
        <v>0.17496711687591304</v>
      </c>
      <c r="B170">
        <f t="shared" si="34"/>
        <v>168.78339763486647</v>
      </c>
      <c r="C170">
        <f t="shared" si="35"/>
        <v>168</v>
      </c>
    </row>
    <row r="171" spans="1:3" x14ac:dyDescent="0.3">
      <c r="A171">
        <v>0.20239996859939535</v>
      </c>
      <c r="B171">
        <f t="shared" si="34"/>
        <v>170.00304691228902</v>
      </c>
      <c r="C171">
        <f t="shared" si="35"/>
        <v>170</v>
      </c>
    </row>
    <row r="172" spans="1:3" x14ac:dyDescent="0.3">
      <c r="A172">
        <v>0.32397125986775521</v>
      </c>
      <c r="B172">
        <f t="shared" si="34"/>
        <v>174.52053193126855</v>
      </c>
      <c r="C172">
        <f t="shared" si="35"/>
        <v>174</v>
      </c>
    </row>
    <row r="173" spans="1:3" x14ac:dyDescent="0.3">
      <c r="A173">
        <v>0.74062907059861205</v>
      </c>
      <c r="B173">
        <f t="shared" si="34"/>
        <v>187.74343208793155</v>
      </c>
      <c r="C173">
        <f t="shared" si="35"/>
        <v>187</v>
      </c>
    </row>
    <row r="174" spans="1:3" x14ac:dyDescent="0.3">
      <c r="A174">
        <v>9.3781303728744048E-2</v>
      </c>
      <c r="B174">
        <f t="shared" si="34"/>
        <v>164.18611327783378</v>
      </c>
      <c r="C174">
        <f t="shared" si="35"/>
        <v>164</v>
      </c>
    </row>
    <row r="175" spans="1:3" x14ac:dyDescent="0.3">
      <c r="A175">
        <v>0.99917579044774574</v>
      </c>
      <c r="B175">
        <f t="shared" si="34"/>
        <v>217.76640544453602</v>
      </c>
      <c r="C175">
        <f t="shared" si="35"/>
        <v>217</v>
      </c>
    </row>
    <row r="176" spans="1:3" x14ac:dyDescent="0.3">
      <c r="A176">
        <v>0.32365401047412934</v>
      </c>
      <c r="B176">
        <f t="shared" si="34"/>
        <v>174.50993852505712</v>
      </c>
      <c r="C176">
        <f t="shared" si="35"/>
        <v>174</v>
      </c>
    </row>
    <row r="177" spans="1:3" x14ac:dyDescent="0.3">
      <c r="A177">
        <v>0.18931734669765865</v>
      </c>
      <c r="B177">
        <f t="shared" si="34"/>
        <v>169.43502354297004</v>
      </c>
      <c r="C177">
        <f t="shared" si="35"/>
        <v>169</v>
      </c>
    </row>
    <row r="178" spans="1:3" x14ac:dyDescent="0.3">
      <c r="A178">
        <v>0.27675395630198518</v>
      </c>
      <c r="B178">
        <f t="shared" si="34"/>
        <v>172.88985824186693</v>
      </c>
      <c r="C178">
        <f t="shared" si="35"/>
        <v>172</v>
      </c>
    </row>
    <row r="179" spans="1:3" x14ac:dyDescent="0.3">
      <c r="A179">
        <v>0.23091846525879445</v>
      </c>
      <c r="B179">
        <f t="shared" si="34"/>
        <v>171.17009459189407</v>
      </c>
      <c r="C179">
        <f t="shared" si="35"/>
        <v>171</v>
      </c>
    </row>
    <row r="180" spans="1:3" x14ac:dyDescent="0.3">
      <c r="A180">
        <v>0.28537716076198671</v>
      </c>
      <c r="B180">
        <f t="shared" si="34"/>
        <v>173.19670895837393</v>
      </c>
      <c r="C180">
        <f t="shared" si="35"/>
        <v>173</v>
      </c>
    </row>
    <row r="181" spans="1:3" x14ac:dyDescent="0.3">
      <c r="A181">
        <v>0.54583466568319605</v>
      </c>
      <c r="B181">
        <f t="shared" si="34"/>
        <v>181.38173278748914</v>
      </c>
      <c r="C181">
        <f t="shared" si="35"/>
        <v>181</v>
      </c>
    </row>
    <row r="182" spans="1:3" x14ac:dyDescent="0.3">
      <c r="A182">
        <v>0.22416342056274785</v>
      </c>
      <c r="B182">
        <f t="shared" si="34"/>
        <v>170.90151138522944</v>
      </c>
      <c r="C182">
        <f t="shared" si="35"/>
        <v>170</v>
      </c>
    </row>
    <row r="183" spans="1:3" x14ac:dyDescent="0.3">
      <c r="A183">
        <v>0.86907252720344275</v>
      </c>
      <c r="B183">
        <f t="shared" si="34"/>
        <v>193.46421151458293</v>
      </c>
      <c r="C183">
        <f t="shared" si="35"/>
        <v>193</v>
      </c>
    </row>
    <row r="184" spans="1:3" x14ac:dyDescent="0.3">
      <c r="A184">
        <v>0.17871338471363751</v>
      </c>
      <c r="B184">
        <f t="shared" si="34"/>
        <v>168.95664715906889</v>
      </c>
      <c r="C184">
        <f t="shared" si="35"/>
        <v>168</v>
      </c>
    </row>
    <row r="185" spans="1:3" x14ac:dyDescent="0.3">
      <c r="A185">
        <v>0.58665538756818403</v>
      </c>
      <c r="B185">
        <f t="shared" si="34"/>
        <v>182.62739648836813</v>
      </c>
      <c r="C185">
        <f t="shared" si="35"/>
        <v>182</v>
      </c>
    </row>
    <row r="186" spans="1:3" x14ac:dyDescent="0.3">
      <c r="A186">
        <v>0.99228484782985005</v>
      </c>
      <c r="B186">
        <f t="shared" si="34"/>
        <v>209.06542584514719</v>
      </c>
      <c r="C186">
        <f t="shared" si="35"/>
        <v>209</v>
      </c>
    </row>
    <row r="187" spans="1:3" x14ac:dyDescent="0.3">
      <c r="A187">
        <v>0.85563677800879989</v>
      </c>
      <c r="B187">
        <f t="shared" si="34"/>
        <v>192.73103512329379</v>
      </c>
      <c r="C187">
        <f t="shared" si="35"/>
        <v>192</v>
      </c>
    </row>
    <row r="188" spans="1:3" x14ac:dyDescent="0.3">
      <c r="A188">
        <v>0.61473495150673274</v>
      </c>
      <c r="B188">
        <f t="shared" si="34"/>
        <v>183.50017891516643</v>
      </c>
      <c r="C188">
        <f t="shared" si="35"/>
        <v>183</v>
      </c>
    </row>
    <row r="189" spans="1:3" x14ac:dyDescent="0.3">
      <c r="A189">
        <v>0.8754681502180468</v>
      </c>
      <c r="B189">
        <f t="shared" si="34"/>
        <v>193.83151863817324</v>
      </c>
      <c r="C189">
        <f t="shared" si="35"/>
        <v>193</v>
      </c>
    </row>
    <row r="190" spans="1:3" x14ac:dyDescent="0.3">
      <c r="A190">
        <v>0.49827791101848751</v>
      </c>
      <c r="B190">
        <f t="shared" si="34"/>
        <v>179.94820019594223</v>
      </c>
      <c r="C190">
        <f t="shared" si="35"/>
        <v>179</v>
      </c>
    </row>
    <row r="191" spans="1:3" x14ac:dyDescent="0.3">
      <c r="A191">
        <v>0.72921877145018132</v>
      </c>
      <c r="B191">
        <f t="shared" si="34"/>
        <v>187.32542352307178</v>
      </c>
      <c r="C191">
        <f t="shared" si="35"/>
        <v>187</v>
      </c>
    </row>
    <row r="192" spans="1:3" x14ac:dyDescent="0.3">
      <c r="A192">
        <v>0.97017010798420666</v>
      </c>
      <c r="B192">
        <f t="shared" si="34"/>
        <v>202.59959463126327</v>
      </c>
      <c r="C192">
        <f t="shared" si="35"/>
        <v>202</v>
      </c>
    </row>
    <row r="193" spans="1:3" x14ac:dyDescent="0.3">
      <c r="A193">
        <v>0.28859446114947818</v>
      </c>
      <c r="B193">
        <f t="shared" si="34"/>
        <v>173.31005381574082</v>
      </c>
      <c r="C193">
        <f t="shared" si="35"/>
        <v>173</v>
      </c>
    </row>
    <row r="194" spans="1:3" x14ac:dyDescent="0.3">
      <c r="A194">
        <v>0.17351295522811327</v>
      </c>
      <c r="B194">
        <f t="shared" ref="B194:B257" si="36">_xlfn.NORM.INV(A194,_mu,_sigma)</f>
        <v>168.71551566450384</v>
      </c>
      <c r="C194">
        <f t="shared" si="35"/>
        <v>168</v>
      </c>
    </row>
    <row r="195" spans="1:3" x14ac:dyDescent="0.3">
      <c r="A195">
        <v>0.64453326415982137</v>
      </c>
      <c r="B195">
        <f t="shared" si="36"/>
        <v>184.44723238500134</v>
      </c>
      <c r="C195">
        <f t="shared" ref="C195:C258" si="37">INT(B195)</f>
        <v>184</v>
      </c>
    </row>
    <row r="196" spans="1:3" x14ac:dyDescent="0.3">
      <c r="A196">
        <v>0.70250940359451375</v>
      </c>
      <c r="B196">
        <f t="shared" si="36"/>
        <v>186.37957887697712</v>
      </c>
      <c r="C196">
        <f t="shared" si="37"/>
        <v>186</v>
      </c>
    </row>
    <row r="197" spans="1:3" x14ac:dyDescent="0.3">
      <c r="A197">
        <v>0.93429377564319416</v>
      </c>
      <c r="B197">
        <f t="shared" si="36"/>
        <v>198.10266434599095</v>
      </c>
      <c r="C197">
        <f t="shared" si="37"/>
        <v>198</v>
      </c>
    </row>
    <row r="198" spans="1:3" x14ac:dyDescent="0.3">
      <c r="A198">
        <v>0.65323028369618552</v>
      </c>
      <c r="B198">
        <f t="shared" si="36"/>
        <v>184.72867626605438</v>
      </c>
      <c r="C198">
        <f t="shared" si="37"/>
        <v>184</v>
      </c>
    </row>
    <row r="199" spans="1:3" x14ac:dyDescent="0.3">
      <c r="A199">
        <v>8.7197590699560901E-2</v>
      </c>
      <c r="B199">
        <f t="shared" si="36"/>
        <v>163.70140899628424</v>
      </c>
      <c r="C199">
        <f t="shared" si="37"/>
        <v>163</v>
      </c>
    </row>
    <row r="200" spans="1:3" x14ac:dyDescent="0.3">
      <c r="A200">
        <v>0.71001162567352027</v>
      </c>
      <c r="B200">
        <f t="shared" si="36"/>
        <v>186.64102419451743</v>
      </c>
      <c r="C200">
        <f t="shared" si="37"/>
        <v>186</v>
      </c>
    </row>
    <row r="201" spans="1:3" x14ac:dyDescent="0.3">
      <c r="A201">
        <v>0.37847829549235334</v>
      </c>
      <c r="B201">
        <f t="shared" si="36"/>
        <v>176.28624264058803</v>
      </c>
      <c r="C201">
        <f t="shared" si="37"/>
        <v>176</v>
      </c>
    </row>
    <row r="202" spans="1:3" x14ac:dyDescent="0.3">
      <c r="A202">
        <v>0.12864109715647687</v>
      </c>
      <c r="B202">
        <f t="shared" si="36"/>
        <v>166.40594125612571</v>
      </c>
      <c r="C202">
        <f t="shared" si="37"/>
        <v>166</v>
      </c>
    </row>
    <row r="203" spans="1:3" x14ac:dyDescent="0.3">
      <c r="A203">
        <v>0.26976921819761313</v>
      </c>
      <c r="B203">
        <f t="shared" si="36"/>
        <v>172.63786663366142</v>
      </c>
      <c r="C203">
        <f t="shared" si="37"/>
        <v>172</v>
      </c>
    </row>
    <row r="204" spans="1:3" x14ac:dyDescent="0.3">
      <c r="A204">
        <v>0.23665479313823579</v>
      </c>
      <c r="B204">
        <f t="shared" si="36"/>
        <v>171.3947453572203</v>
      </c>
      <c r="C204">
        <f t="shared" si="37"/>
        <v>171</v>
      </c>
    </row>
    <row r="205" spans="1:3" x14ac:dyDescent="0.3">
      <c r="A205">
        <v>0.37122949445825826</v>
      </c>
      <c r="B205">
        <f t="shared" si="36"/>
        <v>176.0568149351177</v>
      </c>
      <c r="C205">
        <f t="shared" si="37"/>
        <v>176</v>
      </c>
    </row>
    <row r="206" spans="1:3" x14ac:dyDescent="0.3">
      <c r="A206">
        <v>0.45971548341757551</v>
      </c>
      <c r="B206">
        <f t="shared" si="36"/>
        <v>178.78619364413066</v>
      </c>
      <c r="C206">
        <f t="shared" si="37"/>
        <v>178</v>
      </c>
    </row>
    <row r="207" spans="1:3" x14ac:dyDescent="0.3">
      <c r="A207">
        <v>7.5328404202618993E-2</v>
      </c>
      <c r="B207">
        <f t="shared" si="36"/>
        <v>162.75341561817311</v>
      </c>
      <c r="C207">
        <f t="shared" si="37"/>
        <v>162</v>
      </c>
    </row>
    <row r="208" spans="1:3" x14ac:dyDescent="0.3">
      <c r="A208">
        <v>0.47030039893172282</v>
      </c>
      <c r="B208">
        <f t="shared" si="36"/>
        <v>179.10582289248592</v>
      </c>
      <c r="C208">
        <f t="shared" si="37"/>
        <v>179</v>
      </c>
    </row>
    <row r="209" spans="1:3" x14ac:dyDescent="0.3">
      <c r="A209">
        <v>0.92337513341822774</v>
      </c>
      <c r="B209">
        <f t="shared" si="36"/>
        <v>197.13775644014163</v>
      </c>
      <c r="C209">
        <f t="shared" si="37"/>
        <v>197</v>
      </c>
    </row>
    <row r="210" spans="1:3" x14ac:dyDescent="0.3">
      <c r="A210">
        <v>0.87123510177808416</v>
      </c>
      <c r="B210">
        <f t="shared" si="36"/>
        <v>193.58698709734162</v>
      </c>
      <c r="C210">
        <f t="shared" si="37"/>
        <v>193</v>
      </c>
    </row>
    <row r="211" spans="1:3" x14ac:dyDescent="0.3">
      <c r="A211">
        <v>0.78816426126922123</v>
      </c>
      <c r="B211">
        <f t="shared" si="36"/>
        <v>189.60081439943207</v>
      </c>
      <c r="C211">
        <f t="shared" si="37"/>
        <v>189</v>
      </c>
    </row>
    <row r="212" spans="1:3" x14ac:dyDescent="0.3">
      <c r="A212">
        <v>0.50848151834642474</v>
      </c>
      <c r="B212">
        <f t="shared" si="36"/>
        <v>180.2551393859782</v>
      </c>
      <c r="C212">
        <f t="shared" si="37"/>
        <v>180</v>
      </c>
    </row>
    <row r="213" spans="1:3" x14ac:dyDescent="0.3">
      <c r="A213">
        <v>0.98864077461982747</v>
      </c>
      <c r="B213">
        <f t="shared" si="36"/>
        <v>207.33763707652912</v>
      </c>
      <c r="C213">
        <f t="shared" si="37"/>
        <v>207</v>
      </c>
    </row>
    <row r="214" spans="1:3" x14ac:dyDescent="0.3">
      <c r="A214">
        <v>0.45167926109097278</v>
      </c>
      <c r="B214">
        <f t="shared" si="36"/>
        <v>178.54296220922413</v>
      </c>
      <c r="C214">
        <f t="shared" si="37"/>
        <v>178</v>
      </c>
    </row>
    <row r="215" spans="1:3" x14ac:dyDescent="0.3">
      <c r="A215">
        <v>0.48548919643555211</v>
      </c>
      <c r="B215">
        <f t="shared" si="36"/>
        <v>179.56342542526536</v>
      </c>
      <c r="C215">
        <f t="shared" si="37"/>
        <v>179</v>
      </c>
    </row>
    <row r="216" spans="1:3" x14ac:dyDescent="0.3">
      <c r="A216">
        <v>0.75605491542808423</v>
      </c>
      <c r="B216">
        <f t="shared" si="36"/>
        <v>188.32402115127599</v>
      </c>
      <c r="C216">
        <f t="shared" si="37"/>
        <v>188</v>
      </c>
    </row>
    <row r="217" spans="1:3" x14ac:dyDescent="0.3">
      <c r="A217">
        <v>0.16238342004337369</v>
      </c>
      <c r="B217">
        <f t="shared" si="36"/>
        <v>168.18348734572044</v>
      </c>
      <c r="C217">
        <f t="shared" si="37"/>
        <v>168</v>
      </c>
    </row>
    <row r="218" spans="1:3" x14ac:dyDescent="0.3">
      <c r="A218">
        <v>4.9822922707164152E-2</v>
      </c>
      <c r="B218">
        <f t="shared" si="36"/>
        <v>160.24112408675614</v>
      </c>
      <c r="C218">
        <f t="shared" si="37"/>
        <v>160</v>
      </c>
    </row>
    <row r="219" spans="1:3" x14ac:dyDescent="0.3">
      <c r="A219">
        <v>7.0135959388948232E-2</v>
      </c>
      <c r="B219">
        <f t="shared" si="36"/>
        <v>162.30264976677256</v>
      </c>
      <c r="C219">
        <f t="shared" si="37"/>
        <v>162</v>
      </c>
    </row>
    <row r="220" spans="1:3" x14ac:dyDescent="0.3">
      <c r="A220">
        <v>8.0755689217671178E-2</v>
      </c>
      <c r="B220">
        <f t="shared" si="36"/>
        <v>163.19992225710934</v>
      </c>
      <c r="C220">
        <f t="shared" si="37"/>
        <v>163</v>
      </c>
    </row>
    <row r="221" spans="1:3" x14ac:dyDescent="0.3">
      <c r="A221">
        <v>0.21133959631831023</v>
      </c>
      <c r="B221">
        <f t="shared" si="36"/>
        <v>170.37861848956615</v>
      </c>
      <c r="C221">
        <f t="shared" si="37"/>
        <v>170</v>
      </c>
    </row>
    <row r="222" spans="1:3" x14ac:dyDescent="0.3">
      <c r="A222">
        <v>0.88934551939183737</v>
      </c>
      <c r="B222">
        <f t="shared" si="36"/>
        <v>194.67665880196793</v>
      </c>
      <c r="C222">
        <f t="shared" si="37"/>
        <v>194</v>
      </c>
    </row>
    <row r="223" spans="1:3" x14ac:dyDescent="0.3">
      <c r="A223">
        <v>0.23884897088568213</v>
      </c>
      <c r="B223">
        <f t="shared" si="36"/>
        <v>171.47988013110589</v>
      </c>
      <c r="C223">
        <f t="shared" si="37"/>
        <v>171</v>
      </c>
    </row>
    <row r="224" spans="1:3" x14ac:dyDescent="0.3">
      <c r="A224">
        <v>0.28182051055278912</v>
      </c>
      <c r="B224">
        <f t="shared" si="36"/>
        <v>173.07069799568993</v>
      </c>
      <c r="C224">
        <f t="shared" si="37"/>
        <v>173</v>
      </c>
    </row>
    <row r="225" spans="1:3" x14ac:dyDescent="0.3">
      <c r="A225">
        <v>0.60056577234863329</v>
      </c>
      <c r="B225">
        <f t="shared" si="36"/>
        <v>183.05774168799809</v>
      </c>
      <c r="C225">
        <f t="shared" si="37"/>
        <v>183</v>
      </c>
    </row>
    <row r="226" spans="1:3" x14ac:dyDescent="0.3">
      <c r="A226">
        <v>5.0135804200479583E-3</v>
      </c>
      <c r="B226">
        <f t="shared" si="36"/>
        <v>149.10130500698813</v>
      </c>
      <c r="C226">
        <f t="shared" si="37"/>
        <v>149</v>
      </c>
    </row>
    <row r="227" spans="1:3" x14ac:dyDescent="0.3">
      <c r="A227">
        <v>0.16050523606687228</v>
      </c>
      <c r="B227">
        <f t="shared" si="36"/>
        <v>168.09139768940963</v>
      </c>
      <c r="C227">
        <f t="shared" si="37"/>
        <v>168</v>
      </c>
    </row>
    <row r="228" spans="1:3" x14ac:dyDescent="0.3">
      <c r="A228">
        <v>0.41980363909311358</v>
      </c>
      <c r="B228">
        <f t="shared" si="36"/>
        <v>177.57124988744366</v>
      </c>
      <c r="C228">
        <f t="shared" si="37"/>
        <v>177</v>
      </c>
    </row>
    <row r="229" spans="1:3" x14ac:dyDescent="0.3">
      <c r="A229">
        <v>0.81526901229184812</v>
      </c>
      <c r="B229">
        <f t="shared" si="36"/>
        <v>190.7697794707756</v>
      </c>
      <c r="C229">
        <f t="shared" si="37"/>
        <v>190</v>
      </c>
    </row>
    <row r="230" spans="1:3" x14ac:dyDescent="0.3">
      <c r="A230">
        <v>3.1073514841219119E-2</v>
      </c>
      <c r="B230">
        <f t="shared" si="36"/>
        <v>157.61705649886972</v>
      </c>
      <c r="C230">
        <f t="shared" si="37"/>
        <v>157</v>
      </c>
    </row>
    <row r="231" spans="1:3" x14ac:dyDescent="0.3">
      <c r="A231">
        <v>0.55243357979133045</v>
      </c>
      <c r="B231">
        <f t="shared" si="36"/>
        <v>181.58174634132592</v>
      </c>
      <c r="C231">
        <f t="shared" si="37"/>
        <v>181</v>
      </c>
    </row>
    <row r="232" spans="1:3" x14ac:dyDescent="0.3">
      <c r="A232">
        <v>7.3317736475577155E-2</v>
      </c>
      <c r="B232">
        <f t="shared" si="36"/>
        <v>162.58177534162755</v>
      </c>
      <c r="C232">
        <f t="shared" si="37"/>
        <v>162</v>
      </c>
    </row>
    <row r="233" spans="1:3" x14ac:dyDescent="0.3">
      <c r="A233">
        <v>0.6572821635319378</v>
      </c>
      <c r="B233">
        <f t="shared" si="36"/>
        <v>184.86068302213454</v>
      </c>
      <c r="C233">
        <f t="shared" si="37"/>
        <v>184</v>
      </c>
    </row>
    <row r="234" spans="1:3" x14ac:dyDescent="0.3">
      <c r="A234">
        <v>0.82846100120547483</v>
      </c>
      <c r="B234">
        <f t="shared" si="36"/>
        <v>191.37721298176209</v>
      </c>
      <c r="C234">
        <f t="shared" si="37"/>
        <v>191</v>
      </c>
    </row>
    <row r="235" spans="1:3" x14ac:dyDescent="0.3">
      <c r="A235">
        <v>0.15263330192619273</v>
      </c>
      <c r="B235">
        <f t="shared" si="36"/>
        <v>167.69754341711365</v>
      </c>
      <c r="C235">
        <f t="shared" si="37"/>
        <v>167</v>
      </c>
    </row>
    <row r="236" spans="1:3" x14ac:dyDescent="0.3">
      <c r="A236">
        <v>6.6996866254830811E-2</v>
      </c>
      <c r="B236">
        <f t="shared" si="36"/>
        <v>162.01755348054343</v>
      </c>
      <c r="C236">
        <f t="shared" si="37"/>
        <v>162</v>
      </c>
    </row>
    <row r="237" spans="1:3" x14ac:dyDescent="0.3">
      <c r="A237">
        <v>0.52849277042288179</v>
      </c>
      <c r="B237">
        <f t="shared" si="36"/>
        <v>180.85777933588778</v>
      </c>
      <c r="C237">
        <f t="shared" si="37"/>
        <v>180</v>
      </c>
    </row>
    <row r="238" spans="1:3" x14ac:dyDescent="0.3">
      <c r="A238">
        <v>0.26658706620991202</v>
      </c>
      <c r="B238">
        <f t="shared" si="36"/>
        <v>172.52198408365163</v>
      </c>
      <c r="C238">
        <f t="shared" si="37"/>
        <v>172</v>
      </c>
    </row>
    <row r="239" spans="1:3" x14ac:dyDescent="0.3">
      <c r="A239">
        <v>0.37835233054834683</v>
      </c>
      <c r="B239">
        <f t="shared" si="36"/>
        <v>176.28226760503162</v>
      </c>
      <c r="C239">
        <f t="shared" si="37"/>
        <v>176</v>
      </c>
    </row>
    <row r="240" spans="1:3" x14ac:dyDescent="0.3">
      <c r="A240">
        <v>0.96838242022613574</v>
      </c>
      <c r="B240">
        <f t="shared" si="36"/>
        <v>202.29041298515403</v>
      </c>
      <c r="C240">
        <f t="shared" si="37"/>
        <v>202</v>
      </c>
    </row>
    <row r="241" spans="1:3" x14ac:dyDescent="0.3">
      <c r="A241">
        <v>0.60028380481410204</v>
      </c>
      <c r="B241">
        <f t="shared" si="36"/>
        <v>183.04898118391654</v>
      </c>
      <c r="C241">
        <f t="shared" si="37"/>
        <v>183</v>
      </c>
    </row>
    <row r="242" spans="1:3" x14ac:dyDescent="0.3">
      <c r="A242">
        <v>0.35163302609805192</v>
      </c>
      <c r="B242">
        <f t="shared" si="36"/>
        <v>175.42901564150256</v>
      </c>
      <c r="C242">
        <f t="shared" si="37"/>
        <v>175</v>
      </c>
    </row>
    <row r="243" spans="1:3" x14ac:dyDescent="0.3">
      <c r="A243">
        <v>0.51725577024507186</v>
      </c>
      <c r="B243">
        <f t="shared" si="36"/>
        <v>180.51920757155338</v>
      </c>
      <c r="C243">
        <f t="shared" si="37"/>
        <v>180</v>
      </c>
    </row>
    <row r="244" spans="1:3" x14ac:dyDescent="0.3">
      <c r="A244">
        <v>0.62733094107936604</v>
      </c>
      <c r="B244">
        <f t="shared" si="36"/>
        <v>183.89751005353602</v>
      </c>
      <c r="C244">
        <f t="shared" si="37"/>
        <v>183</v>
      </c>
    </row>
    <row r="245" spans="1:3" x14ac:dyDescent="0.3">
      <c r="A245">
        <v>0.4426969620744583</v>
      </c>
      <c r="B245">
        <f t="shared" si="36"/>
        <v>178.2703808643648</v>
      </c>
      <c r="C245">
        <f t="shared" si="37"/>
        <v>178</v>
      </c>
    </row>
    <row r="246" spans="1:3" x14ac:dyDescent="0.3">
      <c r="A246">
        <v>0.48712515081632746</v>
      </c>
      <c r="B246">
        <f t="shared" si="36"/>
        <v>179.61266321924498</v>
      </c>
      <c r="C246">
        <f t="shared" si="37"/>
        <v>179</v>
      </c>
    </row>
    <row r="247" spans="1:3" x14ac:dyDescent="0.3">
      <c r="A247">
        <v>0.46549985104372149</v>
      </c>
      <c r="B247">
        <f t="shared" si="36"/>
        <v>178.96095452815013</v>
      </c>
      <c r="C247">
        <f t="shared" si="37"/>
        <v>178</v>
      </c>
    </row>
    <row r="248" spans="1:3" x14ac:dyDescent="0.3">
      <c r="A248">
        <v>0.52860888930789784</v>
      </c>
      <c r="B248">
        <f t="shared" si="36"/>
        <v>180.86128110988125</v>
      </c>
      <c r="C248">
        <f t="shared" si="37"/>
        <v>180</v>
      </c>
    </row>
    <row r="249" spans="1:3" x14ac:dyDescent="0.3">
      <c r="A249">
        <v>0.71019542075190323</v>
      </c>
      <c r="B249">
        <f t="shared" si="36"/>
        <v>186.64746849503871</v>
      </c>
      <c r="C249">
        <f t="shared" si="37"/>
        <v>186</v>
      </c>
    </row>
    <row r="250" spans="1:3" x14ac:dyDescent="0.3">
      <c r="A250">
        <v>0.35127981507953188</v>
      </c>
      <c r="B250">
        <f t="shared" si="36"/>
        <v>175.41758971169082</v>
      </c>
      <c r="C250">
        <f t="shared" si="37"/>
        <v>175</v>
      </c>
    </row>
    <row r="251" spans="1:3" x14ac:dyDescent="0.3">
      <c r="A251">
        <v>0.96776966246444862</v>
      </c>
      <c r="B251">
        <f t="shared" si="36"/>
        <v>202.18776213002846</v>
      </c>
      <c r="C251">
        <f t="shared" si="37"/>
        <v>202</v>
      </c>
    </row>
    <row r="252" spans="1:3" x14ac:dyDescent="0.3">
      <c r="A252">
        <v>0.11820413750938075</v>
      </c>
      <c r="B252">
        <f t="shared" si="36"/>
        <v>165.79185485923435</v>
      </c>
      <c r="C252">
        <f t="shared" si="37"/>
        <v>165</v>
      </c>
    </row>
    <row r="253" spans="1:3" x14ac:dyDescent="0.3">
      <c r="A253">
        <v>0.94051212150395347</v>
      </c>
      <c r="B253">
        <f t="shared" si="36"/>
        <v>198.70904567888343</v>
      </c>
      <c r="C253">
        <f t="shared" si="37"/>
        <v>198</v>
      </c>
    </row>
    <row r="254" spans="1:3" x14ac:dyDescent="0.3">
      <c r="A254">
        <v>0.68804995696480253</v>
      </c>
      <c r="B254">
        <f t="shared" si="36"/>
        <v>185.88396535086881</v>
      </c>
      <c r="C254">
        <f t="shared" si="37"/>
        <v>185</v>
      </c>
    </row>
    <row r="255" spans="1:3" x14ac:dyDescent="0.3">
      <c r="A255">
        <v>0.18052571590037669</v>
      </c>
      <c r="B255">
        <f t="shared" si="36"/>
        <v>169.03963882741209</v>
      </c>
      <c r="C255">
        <f t="shared" si="37"/>
        <v>169</v>
      </c>
    </row>
    <row r="256" spans="1:3" x14ac:dyDescent="0.3">
      <c r="A256">
        <v>0.24959166487529671</v>
      </c>
      <c r="B256">
        <f t="shared" si="36"/>
        <v>171.89069660084087</v>
      </c>
      <c r="C256">
        <f t="shared" si="37"/>
        <v>171</v>
      </c>
    </row>
    <row r="257" spans="1:3" x14ac:dyDescent="0.3">
      <c r="A257">
        <v>0.88777309572936736</v>
      </c>
      <c r="B257">
        <f t="shared" si="36"/>
        <v>194.57724054534339</v>
      </c>
      <c r="C257">
        <f t="shared" si="37"/>
        <v>194</v>
      </c>
    </row>
    <row r="258" spans="1:3" x14ac:dyDescent="0.3">
      <c r="A258">
        <v>0.85984199609103751</v>
      </c>
      <c r="B258">
        <f t="shared" ref="B258:B321" si="38">_xlfn.NORM.INV(A258,_mu,_sigma)</f>
        <v>192.95531673165667</v>
      </c>
      <c r="C258">
        <f t="shared" si="37"/>
        <v>192</v>
      </c>
    </row>
    <row r="259" spans="1:3" x14ac:dyDescent="0.3">
      <c r="A259">
        <v>0.24633265266783733</v>
      </c>
      <c r="B259">
        <f t="shared" si="38"/>
        <v>171.76709030275885</v>
      </c>
      <c r="C259">
        <f t="shared" ref="C259:C322" si="39">INT(B259)</f>
        <v>171</v>
      </c>
    </row>
    <row r="260" spans="1:3" x14ac:dyDescent="0.3">
      <c r="A260">
        <v>0.6648153706908414</v>
      </c>
      <c r="B260">
        <f t="shared" si="38"/>
        <v>185.1076953132488</v>
      </c>
      <c r="C260">
        <f t="shared" si="39"/>
        <v>185</v>
      </c>
    </row>
    <row r="261" spans="1:3" x14ac:dyDescent="0.3">
      <c r="A261">
        <v>0.29978216395079293</v>
      </c>
      <c r="B261">
        <f t="shared" si="38"/>
        <v>173.69967438299645</v>
      </c>
      <c r="C261">
        <f t="shared" si="39"/>
        <v>173</v>
      </c>
    </row>
    <row r="262" spans="1:3" x14ac:dyDescent="0.3">
      <c r="A262">
        <v>0.52904362924473569</v>
      </c>
      <c r="B262">
        <f t="shared" si="38"/>
        <v>180.87439212899392</v>
      </c>
      <c r="C262">
        <f t="shared" si="39"/>
        <v>180</v>
      </c>
    </row>
    <row r="263" spans="1:3" x14ac:dyDescent="0.3">
      <c r="A263">
        <v>0.47137376043731716</v>
      </c>
      <c r="B263">
        <f t="shared" si="38"/>
        <v>179.13819565566408</v>
      </c>
      <c r="C263">
        <f t="shared" si="39"/>
        <v>179</v>
      </c>
    </row>
    <row r="264" spans="1:3" x14ac:dyDescent="0.3">
      <c r="A264">
        <v>0.74485862963667182</v>
      </c>
      <c r="B264">
        <f t="shared" si="38"/>
        <v>187.90077001280227</v>
      </c>
      <c r="C264">
        <f t="shared" si="39"/>
        <v>187</v>
      </c>
    </row>
    <row r="265" spans="1:3" x14ac:dyDescent="0.3">
      <c r="A265">
        <v>3.36914907812772E-2</v>
      </c>
      <c r="B265">
        <f t="shared" si="38"/>
        <v>158.05066801074531</v>
      </c>
      <c r="C265">
        <f t="shared" si="39"/>
        <v>158</v>
      </c>
    </row>
    <row r="266" spans="1:3" x14ac:dyDescent="0.3">
      <c r="A266">
        <v>0.87318202193816119</v>
      </c>
      <c r="B266">
        <f t="shared" si="38"/>
        <v>193.6987489277904</v>
      </c>
      <c r="C266">
        <f t="shared" si="39"/>
        <v>193</v>
      </c>
    </row>
    <row r="267" spans="1:3" x14ac:dyDescent="0.3">
      <c r="A267">
        <v>0.97251917327575532</v>
      </c>
      <c r="B267">
        <f t="shared" si="38"/>
        <v>203.03015092135746</v>
      </c>
      <c r="C267">
        <f t="shared" si="39"/>
        <v>203</v>
      </c>
    </row>
    <row r="268" spans="1:3" x14ac:dyDescent="0.3">
      <c r="A268">
        <v>0.23935963310208541</v>
      </c>
      <c r="B268">
        <f t="shared" si="38"/>
        <v>171.49963245974408</v>
      </c>
      <c r="C268">
        <f t="shared" si="39"/>
        <v>171</v>
      </c>
    </row>
    <row r="269" spans="1:3" x14ac:dyDescent="0.3">
      <c r="A269">
        <v>0.98911704357827201</v>
      </c>
      <c r="B269">
        <f t="shared" si="38"/>
        <v>207.53313882727861</v>
      </c>
      <c r="C269">
        <f t="shared" si="39"/>
        <v>207</v>
      </c>
    </row>
    <row r="270" spans="1:3" x14ac:dyDescent="0.3">
      <c r="A270">
        <v>0.92004219016704381</v>
      </c>
      <c r="B270">
        <f t="shared" si="38"/>
        <v>196.86426489733083</v>
      </c>
      <c r="C270">
        <f t="shared" si="39"/>
        <v>196</v>
      </c>
    </row>
    <row r="271" spans="1:3" x14ac:dyDescent="0.3">
      <c r="A271">
        <v>0.36433933111217598</v>
      </c>
      <c r="B271">
        <f t="shared" si="38"/>
        <v>175.83739511261149</v>
      </c>
      <c r="C271">
        <f t="shared" si="39"/>
        <v>175</v>
      </c>
    </row>
    <row r="272" spans="1:3" x14ac:dyDescent="0.3">
      <c r="A272">
        <v>4.3989698534208976E-2</v>
      </c>
      <c r="B272">
        <f t="shared" si="38"/>
        <v>159.52615111980737</v>
      </c>
      <c r="C272">
        <f t="shared" si="39"/>
        <v>159</v>
      </c>
    </row>
    <row r="273" spans="1:3" x14ac:dyDescent="0.3">
      <c r="A273">
        <v>0.22115410786537837</v>
      </c>
      <c r="B273">
        <f t="shared" si="38"/>
        <v>170.78038466707113</v>
      </c>
      <c r="C273">
        <f t="shared" si="39"/>
        <v>170</v>
      </c>
    </row>
    <row r="274" spans="1:3" x14ac:dyDescent="0.3">
      <c r="A274">
        <v>0.65025631214198754</v>
      </c>
      <c r="B274">
        <f t="shared" si="38"/>
        <v>184.63215057622548</v>
      </c>
      <c r="C274">
        <f t="shared" si="39"/>
        <v>184</v>
      </c>
    </row>
    <row r="275" spans="1:3" x14ac:dyDescent="0.3">
      <c r="A275">
        <v>0.70588754780720064</v>
      </c>
      <c r="B275">
        <f t="shared" si="38"/>
        <v>186.49692194507227</v>
      </c>
      <c r="C275">
        <f t="shared" si="39"/>
        <v>186</v>
      </c>
    </row>
    <row r="276" spans="1:3" x14ac:dyDescent="0.3">
      <c r="A276">
        <v>0.833838577165397</v>
      </c>
      <c r="B276">
        <f t="shared" si="38"/>
        <v>191.63334874913463</v>
      </c>
      <c r="C276">
        <f t="shared" si="39"/>
        <v>191</v>
      </c>
    </row>
    <row r="277" spans="1:3" x14ac:dyDescent="0.3">
      <c r="A277">
        <v>0.9705050955666773</v>
      </c>
      <c r="B277">
        <f t="shared" si="38"/>
        <v>202.65923139184628</v>
      </c>
      <c r="C277">
        <f t="shared" si="39"/>
        <v>202</v>
      </c>
    </row>
    <row r="278" spans="1:3" x14ac:dyDescent="0.3">
      <c r="A278">
        <v>0.80155330091199661</v>
      </c>
      <c r="B278">
        <f t="shared" si="38"/>
        <v>190.16619017321861</v>
      </c>
      <c r="C278">
        <f t="shared" si="39"/>
        <v>190</v>
      </c>
    </row>
    <row r="279" spans="1:3" x14ac:dyDescent="0.3">
      <c r="A279">
        <v>0.46485566735277206</v>
      </c>
      <c r="B279">
        <f t="shared" si="38"/>
        <v>178.94150363283418</v>
      </c>
      <c r="C279">
        <f t="shared" si="39"/>
        <v>178</v>
      </c>
    </row>
    <row r="280" spans="1:3" x14ac:dyDescent="0.3">
      <c r="A280">
        <v>0.34517839329560907</v>
      </c>
      <c r="B280">
        <f t="shared" si="38"/>
        <v>175.21954889937473</v>
      </c>
      <c r="C280">
        <f t="shared" si="39"/>
        <v>175</v>
      </c>
    </row>
    <row r="281" spans="1:3" x14ac:dyDescent="0.3">
      <c r="A281">
        <v>5.8651486637567696E-2</v>
      </c>
      <c r="B281">
        <f t="shared" si="38"/>
        <v>161.2056600186782</v>
      </c>
      <c r="C281">
        <f t="shared" si="39"/>
        <v>161</v>
      </c>
    </row>
    <row r="282" spans="1:3" x14ac:dyDescent="0.3">
      <c r="A282">
        <v>0.16079294481032957</v>
      </c>
      <c r="B282">
        <f t="shared" si="38"/>
        <v>168.10554983280895</v>
      </c>
      <c r="C282">
        <f t="shared" si="39"/>
        <v>168</v>
      </c>
    </row>
    <row r="283" spans="1:3" x14ac:dyDescent="0.3">
      <c r="A283">
        <v>0.42234533370885285</v>
      </c>
      <c r="B283">
        <f t="shared" si="38"/>
        <v>177.64923419073742</v>
      </c>
      <c r="C283">
        <f t="shared" si="39"/>
        <v>177</v>
      </c>
    </row>
    <row r="284" spans="1:3" x14ac:dyDescent="0.3">
      <c r="A284">
        <v>0.69911273525364026</v>
      </c>
      <c r="B284">
        <f t="shared" si="38"/>
        <v>186.26220420590278</v>
      </c>
      <c r="C284">
        <f t="shared" si="39"/>
        <v>186</v>
      </c>
    </row>
    <row r="285" spans="1:3" x14ac:dyDescent="0.3">
      <c r="A285">
        <v>0.69150957565016469</v>
      </c>
      <c r="B285">
        <f t="shared" si="38"/>
        <v>186.00160592761713</v>
      </c>
      <c r="C285">
        <f t="shared" si="39"/>
        <v>186</v>
      </c>
    </row>
    <row r="286" spans="1:3" x14ac:dyDescent="0.3">
      <c r="A286">
        <v>0.1499013305824799</v>
      </c>
      <c r="B286">
        <f t="shared" si="38"/>
        <v>167.5577199856944</v>
      </c>
      <c r="C286">
        <f t="shared" si="39"/>
        <v>167</v>
      </c>
    </row>
    <row r="287" spans="1:3" x14ac:dyDescent="0.3">
      <c r="A287">
        <v>0.77020647679751963</v>
      </c>
      <c r="B287">
        <f t="shared" si="38"/>
        <v>188.87432408720741</v>
      </c>
      <c r="C287">
        <f t="shared" si="39"/>
        <v>188</v>
      </c>
    </row>
    <row r="288" spans="1:3" x14ac:dyDescent="0.3">
      <c r="A288">
        <v>0.79808550665039912</v>
      </c>
      <c r="B288">
        <f t="shared" si="38"/>
        <v>190.01762853681001</v>
      </c>
      <c r="C288">
        <f t="shared" si="39"/>
        <v>190</v>
      </c>
    </row>
    <row r="289" spans="1:3" x14ac:dyDescent="0.3">
      <c r="A289">
        <v>0.6044433981349111</v>
      </c>
      <c r="B289">
        <f t="shared" si="38"/>
        <v>183.17838401671858</v>
      </c>
      <c r="C289">
        <f t="shared" si="39"/>
        <v>183</v>
      </c>
    </row>
    <row r="290" spans="1:3" x14ac:dyDescent="0.3">
      <c r="A290">
        <v>0.23887247388482857</v>
      </c>
      <c r="B290">
        <f t="shared" si="38"/>
        <v>171.48078972970563</v>
      </c>
      <c r="C290">
        <f t="shared" si="39"/>
        <v>171</v>
      </c>
    </row>
    <row r="291" spans="1:3" x14ac:dyDescent="0.3">
      <c r="A291">
        <v>0.76781967217697056</v>
      </c>
      <c r="B291">
        <f t="shared" si="38"/>
        <v>188.78022389708613</v>
      </c>
      <c r="C291">
        <f t="shared" si="39"/>
        <v>188</v>
      </c>
    </row>
    <row r="292" spans="1:3" x14ac:dyDescent="0.3">
      <c r="A292">
        <v>0.32344484487995595</v>
      </c>
      <c r="B292">
        <f t="shared" si="38"/>
        <v>174.50295184934009</v>
      </c>
      <c r="C292">
        <f t="shared" si="39"/>
        <v>174</v>
      </c>
    </row>
    <row r="293" spans="1:3" x14ac:dyDescent="0.3">
      <c r="A293">
        <v>0.28310889803975992</v>
      </c>
      <c r="B293">
        <f t="shared" si="38"/>
        <v>173.11643272654968</v>
      </c>
      <c r="C293">
        <f t="shared" si="39"/>
        <v>173</v>
      </c>
    </row>
    <row r="294" spans="1:3" x14ac:dyDescent="0.3">
      <c r="A294">
        <v>0.60733613861032232</v>
      </c>
      <c r="B294">
        <f t="shared" si="38"/>
        <v>183.26859319007957</v>
      </c>
      <c r="C294">
        <f t="shared" si="39"/>
        <v>183</v>
      </c>
    </row>
    <row r="295" spans="1:3" x14ac:dyDescent="0.3">
      <c r="A295">
        <v>9.520682075317366E-2</v>
      </c>
      <c r="B295">
        <f t="shared" si="38"/>
        <v>164.28772278924046</v>
      </c>
      <c r="C295">
        <f t="shared" si="39"/>
        <v>164</v>
      </c>
    </row>
    <row r="296" spans="1:3" x14ac:dyDescent="0.3">
      <c r="A296">
        <v>0.23750605770629962</v>
      </c>
      <c r="B296">
        <f t="shared" si="38"/>
        <v>171.42782589161777</v>
      </c>
      <c r="C296">
        <f t="shared" si="39"/>
        <v>171</v>
      </c>
    </row>
    <row r="297" spans="1:3" x14ac:dyDescent="0.3">
      <c r="A297">
        <v>0.59053672824171</v>
      </c>
      <c r="B297">
        <f t="shared" si="38"/>
        <v>182.74711027893105</v>
      </c>
      <c r="C297">
        <f t="shared" si="39"/>
        <v>182</v>
      </c>
    </row>
    <row r="298" spans="1:3" x14ac:dyDescent="0.3">
      <c r="A298">
        <v>0.69691168774418655</v>
      </c>
      <c r="B298">
        <f t="shared" si="38"/>
        <v>186.18646455656628</v>
      </c>
      <c r="C298">
        <f t="shared" si="39"/>
        <v>186</v>
      </c>
    </row>
    <row r="299" spans="1:3" x14ac:dyDescent="0.3">
      <c r="A299">
        <v>5.5130730399065797E-2</v>
      </c>
      <c r="B299">
        <f t="shared" si="38"/>
        <v>160.83577139505707</v>
      </c>
      <c r="C299">
        <f t="shared" si="39"/>
        <v>160</v>
      </c>
    </row>
    <row r="300" spans="1:3" x14ac:dyDescent="0.3">
      <c r="A300">
        <v>0.60879583308031615</v>
      </c>
      <c r="B300">
        <f t="shared" si="38"/>
        <v>183.31418318529711</v>
      </c>
      <c r="C300">
        <f t="shared" si="39"/>
        <v>183</v>
      </c>
    </row>
    <row r="301" spans="1:3" x14ac:dyDescent="0.3">
      <c r="A301">
        <v>0.90283110904360431</v>
      </c>
      <c r="B301">
        <f t="shared" si="38"/>
        <v>195.57423848966991</v>
      </c>
      <c r="C301">
        <f t="shared" si="39"/>
        <v>195</v>
      </c>
    </row>
    <row r="302" spans="1:3" x14ac:dyDescent="0.3">
      <c r="A302">
        <v>0.82515697514198483</v>
      </c>
      <c r="B302">
        <f t="shared" si="38"/>
        <v>191.22238110807095</v>
      </c>
      <c r="C302">
        <f t="shared" si="39"/>
        <v>191</v>
      </c>
    </row>
    <row r="303" spans="1:3" x14ac:dyDescent="0.3">
      <c r="A303">
        <v>0.42490902271179565</v>
      </c>
      <c r="B303">
        <f t="shared" si="38"/>
        <v>177.72779289092315</v>
      </c>
      <c r="C303">
        <f t="shared" si="39"/>
        <v>177</v>
      </c>
    </row>
    <row r="304" spans="1:3" x14ac:dyDescent="0.3">
      <c r="A304">
        <v>0.89865708132353272</v>
      </c>
      <c r="B304">
        <f t="shared" si="38"/>
        <v>195.28724084816008</v>
      </c>
      <c r="C304">
        <f t="shared" si="39"/>
        <v>195</v>
      </c>
    </row>
    <row r="305" spans="1:3" x14ac:dyDescent="0.3">
      <c r="A305">
        <v>0.76979638998133515</v>
      </c>
      <c r="B305">
        <f t="shared" si="38"/>
        <v>188.85811762980146</v>
      </c>
      <c r="C305">
        <f t="shared" si="39"/>
        <v>188</v>
      </c>
    </row>
    <row r="306" spans="1:3" x14ac:dyDescent="0.3">
      <c r="A306">
        <v>3.6649707777626217E-2</v>
      </c>
      <c r="B306">
        <f t="shared" si="38"/>
        <v>158.50845767396186</v>
      </c>
      <c r="C306">
        <f t="shared" si="39"/>
        <v>158</v>
      </c>
    </row>
    <row r="307" spans="1:3" x14ac:dyDescent="0.3">
      <c r="A307">
        <v>0.99363381776350168</v>
      </c>
      <c r="B307">
        <f t="shared" si="38"/>
        <v>209.89402453416278</v>
      </c>
      <c r="C307">
        <f t="shared" si="39"/>
        <v>209</v>
      </c>
    </row>
    <row r="308" spans="1:3" x14ac:dyDescent="0.3">
      <c r="A308">
        <v>1.2630746621251854E-2</v>
      </c>
      <c r="B308">
        <f t="shared" si="38"/>
        <v>153.15143608202456</v>
      </c>
      <c r="C308">
        <f t="shared" si="39"/>
        <v>153</v>
      </c>
    </row>
    <row r="309" spans="1:3" x14ac:dyDescent="0.3">
      <c r="A309">
        <v>0.8399382583082573</v>
      </c>
      <c r="B309">
        <f t="shared" si="38"/>
        <v>191.93044991666397</v>
      </c>
      <c r="C309">
        <f t="shared" si="39"/>
        <v>191</v>
      </c>
    </row>
    <row r="310" spans="1:3" x14ac:dyDescent="0.3">
      <c r="A310">
        <v>0.89054205257599672</v>
      </c>
      <c r="B310">
        <f t="shared" si="38"/>
        <v>194.75299134428823</v>
      </c>
      <c r="C310">
        <f t="shared" si="39"/>
        <v>194</v>
      </c>
    </row>
    <row r="311" spans="1:3" x14ac:dyDescent="0.3">
      <c r="A311">
        <v>0.20541406340775448</v>
      </c>
      <c r="B311">
        <f t="shared" si="38"/>
        <v>170.13075385476594</v>
      </c>
      <c r="C311">
        <f t="shared" si="39"/>
        <v>170</v>
      </c>
    </row>
    <row r="312" spans="1:3" x14ac:dyDescent="0.3">
      <c r="A312">
        <v>0.68284474921830041</v>
      </c>
      <c r="B312">
        <f t="shared" si="38"/>
        <v>185.70802308052862</v>
      </c>
      <c r="C312">
        <f t="shared" si="39"/>
        <v>185</v>
      </c>
    </row>
    <row r="313" spans="1:3" x14ac:dyDescent="0.3">
      <c r="A313">
        <v>0.27011535832016476</v>
      </c>
      <c r="B313">
        <f t="shared" si="38"/>
        <v>172.650430318784</v>
      </c>
      <c r="C313">
        <f t="shared" si="39"/>
        <v>172</v>
      </c>
    </row>
    <row r="314" spans="1:3" x14ac:dyDescent="0.3">
      <c r="A314">
        <v>0.24690251958616671</v>
      </c>
      <c r="B314">
        <f t="shared" si="38"/>
        <v>171.78876669159891</v>
      </c>
      <c r="C314">
        <f t="shared" si="39"/>
        <v>171</v>
      </c>
    </row>
    <row r="315" spans="1:3" x14ac:dyDescent="0.3">
      <c r="A315">
        <v>0.64168226583761645</v>
      </c>
      <c r="B315">
        <f t="shared" si="38"/>
        <v>184.35550870147199</v>
      </c>
      <c r="C315">
        <f t="shared" si="39"/>
        <v>184</v>
      </c>
    </row>
    <row r="316" spans="1:3" x14ac:dyDescent="0.3">
      <c r="A316">
        <v>0.62200560441470865</v>
      </c>
      <c r="B316">
        <f t="shared" si="38"/>
        <v>183.72902986291814</v>
      </c>
      <c r="C316">
        <f t="shared" si="39"/>
        <v>183</v>
      </c>
    </row>
    <row r="317" spans="1:3" x14ac:dyDescent="0.3">
      <c r="A317">
        <v>0.36490453005631818</v>
      </c>
      <c r="B317">
        <f t="shared" si="38"/>
        <v>175.85544557542519</v>
      </c>
      <c r="C317">
        <f t="shared" si="39"/>
        <v>175</v>
      </c>
    </row>
    <row r="318" spans="1:3" x14ac:dyDescent="0.3">
      <c r="A318">
        <v>0.28041567767117204</v>
      </c>
      <c r="B318">
        <f t="shared" si="38"/>
        <v>173.02071472721417</v>
      </c>
      <c r="C318">
        <f t="shared" si="39"/>
        <v>173</v>
      </c>
    </row>
    <row r="319" spans="1:3" x14ac:dyDescent="0.3">
      <c r="A319">
        <v>0.95204370092757118</v>
      </c>
      <c r="B319">
        <f t="shared" si="38"/>
        <v>199.98000948408139</v>
      </c>
      <c r="C319">
        <f t="shared" si="39"/>
        <v>199</v>
      </c>
    </row>
    <row r="320" spans="1:3" x14ac:dyDescent="0.3">
      <c r="A320">
        <v>0.31131012142321091</v>
      </c>
      <c r="B320">
        <f t="shared" si="38"/>
        <v>174.09431772731659</v>
      </c>
      <c r="C320">
        <f t="shared" si="39"/>
        <v>174</v>
      </c>
    </row>
    <row r="321" spans="1:3" x14ac:dyDescent="0.3">
      <c r="A321">
        <v>0.81166354957902109</v>
      </c>
      <c r="B321">
        <f t="shared" si="38"/>
        <v>190.60851822685336</v>
      </c>
      <c r="C321">
        <f t="shared" si="39"/>
        <v>190</v>
      </c>
    </row>
    <row r="322" spans="1:3" x14ac:dyDescent="0.3">
      <c r="A322">
        <v>0.82498040275507079</v>
      </c>
      <c r="B322">
        <f t="shared" ref="B322:B385" si="40">_xlfn.NORM.INV(A322,_mu,_sigma)</f>
        <v>191.2141592308885</v>
      </c>
      <c r="C322">
        <f t="shared" si="39"/>
        <v>191</v>
      </c>
    </row>
    <row r="323" spans="1:3" x14ac:dyDescent="0.3">
      <c r="A323">
        <v>0.92867851973973981</v>
      </c>
      <c r="B323">
        <f t="shared" si="40"/>
        <v>197.59223461699133</v>
      </c>
      <c r="C323">
        <f t="shared" ref="C323:C386" si="41">INT(B323)</f>
        <v>197</v>
      </c>
    </row>
    <row r="324" spans="1:3" x14ac:dyDescent="0.3">
      <c r="A324">
        <v>0.12707314320024987</v>
      </c>
      <c r="B324">
        <f t="shared" si="40"/>
        <v>166.31596630861617</v>
      </c>
      <c r="C324">
        <f t="shared" si="41"/>
        <v>166</v>
      </c>
    </row>
    <row r="325" spans="1:3" x14ac:dyDescent="0.3">
      <c r="A325">
        <v>0.59856255934993374</v>
      </c>
      <c r="B325">
        <f t="shared" si="40"/>
        <v>182.99553851019675</v>
      </c>
      <c r="C325">
        <f t="shared" si="41"/>
        <v>182</v>
      </c>
    </row>
    <row r="326" spans="1:3" x14ac:dyDescent="0.3">
      <c r="A326">
        <v>0.73509955027584895</v>
      </c>
      <c r="B326">
        <f t="shared" si="40"/>
        <v>187.53971968032349</v>
      </c>
      <c r="C326">
        <f t="shared" si="41"/>
        <v>187</v>
      </c>
    </row>
    <row r="327" spans="1:3" x14ac:dyDescent="0.3">
      <c r="A327">
        <v>0.92962253150664476</v>
      </c>
      <c r="B327">
        <f t="shared" si="40"/>
        <v>197.67582638537428</v>
      </c>
      <c r="C327">
        <f t="shared" si="41"/>
        <v>197</v>
      </c>
    </row>
    <row r="328" spans="1:3" x14ac:dyDescent="0.3">
      <c r="A328">
        <v>0.2955379238165774</v>
      </c>
      <c r="B328">
        <f t="shared" si="40"/>
        <v>173.55266830943054</v>
      </c>
      <c r="C328">
        <f t="shared" si="41"/>
        <v>173</v>
      </c>
    </row>
    <row r="329" spans="1:3" x14ac:dyDescent="0.3">
      <c r="A329">
        <v>0.80608948912593292</v>
      </c>
      <c r="B329">
        <f t="shared" si="40"/>
        <v>190.3629083150314</v>
      </c>
      <c r="C329">
        <f t="shared" si="41"/>
        <v>190</v>
      </c>
    </row>
    <row r="330" spans="1:3" x14ac:dyDescent="0.3">
      <c r="A330">
        <v>0.46598849743452053</v>
      </c>
      <c r="B330">
        <f t="shared" si="40"/>
        <v>178.97570720719384</v>
      </c>
      <c r="C330">
        <f t="shared" si="41"/>
        <v>178</v>
      </c>
    </row>
    <row r="331" spans="1:3" x14ac:dyDescent="0.3">
      <c r="A331">
        <v>0.69344542861275882</v>
      </c>
      <c r="B331">
        <f t="shared" si="40"/>
        <v>186.06768432514144</v>
      </c>
      <c r="C331">
        <f t="shared" si="41"/>
        <v>186</v>
      </c>
    </row>
    <row r="332" spans="1:3" x14ac:dyDescent="0.3">
      <c r="A332">
        <v>0.92838288232949928</v>
      </c>
      <c r="B332">
        <f t="shared" si="40"/>
        <v>197.56623082825379</v>
      </c>
      <c r="C332">
        <f t="shared" si="41"/>
        <v>197</v>
      </c>
    </row>
    <row r="333" spans="1:3" x14ac:dyDescent="0.3">
      <c r="A333">
        <v>0.72899652957294492</v>
      </c>
      <c r="B333">
        <f t="shared" si="40"/>
        <v>187.31737106594849</v>
      </c>
      <c r="C333">
        <f t="shared" si="41"/>
        <v>187</v>
      </c>
    </row>
    <row r="334" spans="1:3" x14ac:dyDescent="0.3">
      <c r="A334">
        <v>0.18778086688180817</v>
      </c>
      <c r="B334">
        <f t="shared" si="40"/>
        <v>169.36675747833232</v>
      </c>
      <c r="C334">
        <f t="shared" si="41"/>
        <v>169</v>
      </c>
    </row>
    <row r="335" spans="1:3" x14ac:dyDescent="0.3">
      <c r="A335">
        <v>0.32376355076843089</v>
      </c>
      <c r="B335">
        <f t="shared" si="40"/>
        <v>174.51359671369963</v>
      </c>
      <c r="C335">
        <f t="shared" si="41"/>
        <v>174</v>
      </c>
    </row>
    <row r="336" spans="1:3" x14ac:dyDescent="0.3">
      <c r="A336">
        <v>0.7615327443266352</v>
      </c>
      <c r="B336">
        <f t="shared" si="40"/>
        <v>188.53489963767385</v>
      </c>
      <c r="C336">
        <f t="shared" si="41"/>
        <v>188</v>
      </c>
    </row>
    <row r="337" spans="1:3" x14ac:dyDescent="0.3">
      <c r="A337">
        <v>0.84717101777997228</v>
      </c>
      <c r="B337">
        <f t="shared" si="40"/>
        <v>192.29250561877407</v>
      </c>
      <c r="C337">
        <f t="shared" si="41"/>
        <v>192</v>
      </c>
    </row>
    <row r="338" spans="1:3" x14ac:dyDescent="0.3">
      <c r="A338">
        <v>0.82428750885029567</v>
      </c>
      <c r="B338">
        <f t="shared" si="40"/>
        <v>191.18194620349718</v>
      </c>
      <c r="C338">
        <f t="shared" si="41"/>
        <v>191</v>
      </c>
    </row>
    <row r="339" spans="1:3" x14ac:dyDescent="0.3">
      <c r="A339">
        <v>0.89782411425161457</v>
      </c>
      <c r="B339">
        <f t="shared" si="40"/>
        <v>195.23100476772288</v>
      </c>
      <c r="C339">
        <f t="shared" si="41"/>
        <v>195</v>
      </c>
    </row>
    <row r="340" spans="1:3" x14ac:dyDescent="0.3">
      <c r="A340">
        <v>0.37479742126778692</v>
      </c>
      <c r="B340">
        <f t="shared" si="40"/>
        <v>176.16991628660452</v>
      </c>
      <c r="C340">
        <f t="shared" si="41"/>
        <v>176</v>
      </c>
    </row>
    <row r="341" spans="1:3" x14ac:dyDescent="0.3">
      <c r="A341">
        <v>3.886762534124677E-3</v>
      </c>
      <c r="B341">
        <f t="shared" si="40"/>
        <v>148.05898234209295</v>
      </c>
      <c r="C341">
        <f t="shared" si="41"/>
        <v>148</v>
      </c>
    </row>
    <row r="342" spans="1:3" x14ac:dyDescent="0.3">
      <c r="A342">
        <v>0.72116626843662002</v>
      </c>
      <c r="B342">
        <f t="shared" si="40"/>
        <v>187.03571551813744</v>
      </c>
      <c r="C342">
        <f t="shared" si="41"/>
        <v>187</v>
      </c>
    </row>
    <row r="343" spans="1:3" x14ac:dyDescent="0.3">
      <c r="A343">
        <v>0.16067322614104196</v>
      </c>
      <c r="B343">
        <f t="shared" si="40"/>
        <v>168.09966298608353</v>
      </c>
      <c r="C343">
        <f t="shared" si="41"/>
        <v>168</v>
      </c>
    </row>
    <row r="344" spans="1:3" x14ac:dyDescent="0.3">
      <c r="A344">
        <v>0.96484875182141561</v>
      </c>
      <c r="B344">
        <f t="shared" si="40"/>
        <v>201.71948085307113</v>
      </c>
      <c r="C344">
        <f t="shared" si="41"/>
        <v>201</v>
      </c>
    </row>
    <row r="345" spans="1:3" x14ac:dyDescent="0.3">
      <c r="A345">
        <v>0.31328550907709707</v>
      </c>
      <c r="B345">
        <f t="shared" si="40"/>
        <v>174.16129425979653</v>
      </c>
      <c r="C345">
        <f t="shared" si="41"/>
        <v>174</v>
      </c>
    </row>
    <row r="346" spans="1:3" x14ac:dyDescent="0.3">
      <c r="A346">
        <v>0.16906762299542677</v>
      </c>
      <c r="B346">
        <f t="shared" si="40"/>
        <v>168.5057248999799</v>
      </c>
      <c r="C346">
        <f t="shared" si="41"/>
        <v>168</v>
      </c>
    </row>
    <row r="347" spans="1:3" x14ac:dyDescent="0.3">
      <c r="A347">
        <v>0.27025854974804187</v>
      </c>
      <c r="B347">
        <f t="shared" si="40"/>
        <v>172.65562531508462</v>
      </c>
      <c r="C347">
        <f t="shared" si="41"/>
        <v>172</v>
      </c>
    </row>
    <row r="348" spans="1:3" x14ac:dyDescent="0.3">
      <c r="A348">
        <v>5.8943102680401371E-2</v>
      </c>
      <c r="B348">
        <f t="shared" si="40"/>
        <v>161.2355064114067</v>
      </c>
      <c r="C348">
        <f t="shared" si="41"/>
        <v>161</v>
      </c>
    </row>
    <row r="349" spans="1:3" x14ac:dyDescent="0.3">
      <c r="A349">
        <v>0.72366885290193261</v>
      </c>
      <c r="B349">
        <f t="shared" si="40"/>
        <v>187.12530570450687</v>
      </c>
      <c r="C349">
        <f t="shared" si="41"/>
        <v>187</v>
      </c>
    </row>
    <row r="350" spans="1:3" x14ac:dyDescent="0.3">
      <c r="A350">
        <v>0.28890687223801736</v>
      </c>
      <c r="B350">
        <f t="shared" si="40"/>
        <v>173.3210281099482</v>
      </c>
      <c r="C350">
        <f t="shared" si="41"/>
        <v>173</v>
      </c>
    </row>
    <row r="351" spans="1:3" x14ac:dyDescent="0.3">
      <c r="A351">
        <v>5.9391866561311235E-2</v>
      </c>
      <c r="B351">
        <f t="shared" si="40"/>
        <v>161.28121110027715</v>
      </c>
      <c r="C351">
        <f t="shared" si="41"/>
        <v>161</v>
      </c>
    </row>
    <row r="352" spans="1:3" x14ac:dyDescent="0.3">
      <c r="A352">
        <v>0.48774582174199677</v>
      </c>
      <c r="B352">
        <f t="shared" si="40"/>
        <v>179.6313419812011</v>
      </c>
      <c r="C352">
        <f t="shared" si="41"/>
        <v>179</v>
      </c>
    </row>
    <row r="353" spans="1:3" x14ac:dyDescent="0.3">
      <c r="A353">
        <v>0.30309194835381448</v>
      </c>
      <c r="B353">
        <f t="shared" si="40"/>
        <v>173.81366035970848</v>
      </c>
      <c r="C353">
        <f t="shared" si="41"/>
        <v>173</v>
      </c>
    </row>
    <row r="354" spans="1:3" x14ac:dyDescent="0.3">
      <c r="A354">
        <v>0.23728971168322877</v>
      </c>
      <c r="B354">
        <f t="shared" si="40"/>
        <v>171.41942476737768</v>
      </c>
      <c r="C354">
        <f t="shared" si="41"/>
        <v>171</v>
      </c>
    </row>
    <row r="355" spans="1:3" x14ac:dyDescent="0.3">
      <c r="A355">
        <v>0.62937086930495367</v>
      </c>
      <c r="B355">
        <f t="shared" si="40"/>
        <v>183.96225047422732</v>
      </c>
      <c r="C355">
        <f t="shared" si="41"/>
        <v>183</v>
      </c>
    </row>
    <row r="356" spans="1:3" x14ac:dyDescent="0.3">
      <c r="A356">
        <v>0.76584470464587007</v>
      </c>
      <c r="B356">
        <f t="shared" si="40"/>
        <v>188.70276685808827</v>
      </c>
      <c r="C356">
        <f t="shared" si="41"/>
        <v>188</v>
      </c>
    </row>
    <row r="357" spans="1:3" x14ac:dyDescent="0.3">
      <c r="A357">
        <v>0.5776915129505128</v>
      </c>
      <c r="B357">
        <f t="shared" si="40"/>
        <v>182.3518956220384</v>
      </c>
      <c r="C357">
        <f t="shared" si="41"/>
        <v>182</v>
      </c>
    </row>
    <row r="358" spans="1:3" x14ac:dyDescent="0.3">
      <c r="A358">
        <v>0.5788929364148091</v>
      </c>
      <c r="B358">
        <f t="shared" si="40"/>
        <v>182.38874582176192</v>
      </c>
      <c r="C358">
        <f t="shared" si="41"/>
        <v>182</v>
      </c>
    </row>
    <row r="359" spans="1:3" x14ac:dyDescent="0.3">
      <c r="A359">
        <v>0.28977669703080178</v>
      </c>
      <c r="B359">
        <f t="shared" si="40"/>
        <v>173.35155371945368</v>
      </c>
      <c r="C359">
        <f t="shared" si="41"/>
        <v>173</v>
      </c>
    </row>
    <row r="360" spans="1:3" x14ac:dyDescent="0.3">
      <c r="A360">
        <v>0.23156996873909785</v>
      </c>
      <c r="B360">
        <f t="shared" si="40"/>
        <v>171.19576415143081</v>
      </c>
      <c r="C360">
        <f t="shared" si="41"/>
        <v>171</v>
      </c>
    </row>
    <row r="361" spans="1:3" x14ac:dyDescent="0.3">
      <c r="A361">
        <v>0.82636105513606617</v>
      </c>
      <c r="B361">
        <f t="shared" si="40"/>
        <v>191.27858871419718</v>
      </c>
      <c r="C361">
        <f t="shared" si="41"/>
        <v>191</v>
      </c>
    </row>
    <row r="362" spans="1:3" x14ac:dyDescent="0.3">
      <c r="A362">
        <v>0.71760346113101536</v>
      </c>
      <c r="B362">
        <f t="shared" si="40"/>
        <v>186.90884194963181</v>
      </c>
      <c r="C362">
        <f t="shared" si="41"/>
        <v>186</v>
      </c>
    </row>
    <row r="363" spans="1:3" x14ac:dyDescent="0.3">
      <c r="A363">
        <v>0.60127985107132387</v>
      </c>
      <c r="B363">
        <f t="shared" si="40"/>
        <v>183.079934841349</v>
      </c>
      <c r="C363">
        <f t="shared" si="41"/>
        <v>183</v>
      </c>
    </row>
    <row r="364" spans="1:3" x14ac:dyDescent="0.3">
      <c r="A364">
        <v>0.33789874792288566</v>
      </c>
      <c r="B364">
        <f t="shared" si="40"/>
        <v>174.98154419288747</v>
      </c>
      <c r="C364">
        <f t="shared" si="41"/>
        <v>174</v>
      </c>
    </row>
    <row r="365" spans="1:3" x14ac:dyDescent="0.3">
      <c r="A365">
        <v>0.61901877185788734</v>
      </c>
      <c r="B365">
        <f t="shared" si="40"/>
        <v>183.63485692211461</v>
      </c>
      <c r="C365">
        <f t="shared" si="41"/>
        <v>183</v>
      </c>
    </row>
    <row r="366" spans="1:3" x14ac:dyDescent="0.3">
      <c r="A366">
        <v>9.777519820929137E-2</v>
      </c>
      <c r="B366">
        <f t="shared" si="40"/>
        <v>164.46800309456387</v>
      </c>
      <c r="C366">
        <f t="shared" si="41"/>
        <v>164</v>
      </c>
    </row>
    <row r="367" spans="1:3" x14ac:dyDescent="0.3">
      <c r="A367">
        <v>0.5112779628826174</v>
      </c>
      <c r="B367">
        <f t="shared" si="40"/>
        <v>180.33928112508403</v>
      </c>
      <c r="C367">
        <f t="shared" si="41"/>
        <v>180</v>
      </c>
    </row>
    <row r="368" spans="1:3" x14ac:dyDescent="0.3">
      <c r="A368">
        <v>0.89290337049565638</v>
      </c>
      <c r="B368">
        <f t="shared" si="40"/>
        <v>194.90540849316295</v>
      </c>
      <c r="C368">
        <f t="shared" si="41"/>
        <v>194</v>
      </c>
    </row>
    <row r="369" spans="1:3" x14ac:dyDescent="0.3">
      <c r="A369">
        <v>5.9813235141441434E-2</v>
      </c>
      <c r="B369">
        <f t="shared" si="40"/>
        <v>161.32387989881673</v>
      </c>
      <c r="C369">
        <f t="shared" si="41"/>
        <v>161</v>
      </c>
    </row>
    <row r="370" spans="1:3" x14ac:dyDescent="0.3">
      <c r="A370">
        <v>8.0643663818441569E-2</v>
      </c>
      <c r="B370">
        <f t="shared" si="40"/>
        <v>163.1909391244985</v>
      </c>
      <c r="C370">
        <f t="shared" si="41"/>
        <v>163</v>
      </c>
    </row>
    <row r="371" spans="1:3" x14ac:dyDescent="0.3">
      <c r="A371">
        <v>0.6518435691086284</v>
      </c>
      <c r="B371">
        <f t="shared" si="40"/>
        <v>184.68363021251548</v>
      </c>
      <c r="C371">
        <f t="shared" si="41"/>
        <v>184</v>
      </c>
    </row>
    <row r="372" spans="1:3" x14ac:dyDescent="0.3">
      <c r="A372">
        <v>0.25000207772066008</v>
      </c>
      <c r="B372">
        <f t="shared" si="40"/>
        <v>171.90620145715312</v>
      </c>
      <c r="C372">
        <f t="shared" si="41"/>
        <v>171</v>
      </c>
    </row>
    <row r="373" spans="1:3" x14ac:dyDescent="0.3">
      <c r="A373">
        <v>0.80052845832398078</v>
      </c>
      <c r="B373">
        <f t="shared" si="40"/>
        <v>190.12212412236957</v>
      </c>
      <c r="C373">
        <f t="shared" si="41"/>
        <v>190</v>
      </c>
    </row>
    <row r="374" spans="1:3" x14ac:dyDescent="0.3">
      <c r="A374">
        <v>0.83679718224172628</v>
      </c>
      <c r="B374">
        <f t="shared" si="40"/>
        <v>191.77655390390674</v>
      </c>
      <c r="C374">
        <f t="shared" si="41"/>
        <v>191</v>
      </c>
    </row>
    <row r="375" spans="1:3" x14ac:dyDescent="0.3">
      <c r="A375">
        <v>0.65264929653256765</v>
      </c>
      <c r="B375">
        <f t="shared" si="40"/>
        <v>184.70979539749126</v>
      </c>
      <c r="C375">
        <f t="shared" si="41"/>
        <v>184</v>
      </c>
    </row>
    <row r="376" spans="1:3" x14ac:dyDescent="0.3">
      <c r="A376">
        <v>0.41096750949210803</v>
      </c>
      <c r="B376">
        <f t="shared" si="40"/>
        <v>177.29931734367301</v>
      </c>
      <c r="C376">
        <f t="shared" si="41"/>
        <v>177</v>
      </c>
    </row>
    <row r="377" spans="1:3" x14ac:dyDescent="0.3">
      <c r="A377">
        <v>0.46794920508127513</v>
      </c>
      <c r="B377">
        <f t="shared" si="40"/>
        <v>179.03488741595575</v>
      </c>
      <c r="C377">
        <f t="shared" si="41"/>
        <v>179</v>
      </c>
    </row>
    <row r="378" spans="1:3" x14ac:dyDescent="0.3">
      <c r="A378">
        <v>0.41792494713782946</v>
      </c>
      <c r="B378">
        <f t="shared" si="40"/>
        <v>177.51354202309548</v>
      </c>
      <c r="C378">
        <f t="shared" si="41"/>
        <v>177</v>
      </c>
    </row>
    <row r="379" spans="1:3" x14ac:dyDescent="0.3">
      <c r="A379">
        <v>0.32181137479698574</v>
      </c>
      <c r="B379">
        <f t="shared" si="40"/>
        <v>174.44832531430234</v>
      </c>
      <c r="C379">
        <f t="shared" si="41"/>
        <v>174</v>
      </c>
    </row>
    <row r="380" spans="1:3" x14ac:dyDescent="0.3">
      <c r="A380">
        <v>0.62206592980817643</v>
      </c>
      <c r="B380">
        <f t="shared" si="40"/>
        <v>183.73093423293574</v>
      </c>
      <c r="C380">
        <f t="shared" si="41"/>
        <v>183</v>
      </c>
    </row>
    <row r="381" spans="1:3" x14ac:dyDescent="0.3">
      <c r="A381">
        <v>0.48127005555542168</v>
      </c>
      <c r="B381">
        <f t="shared" si="40"/>
        <v>179.43640476936139</v>
      </c>
      <c r="C381">
        <f t="shared" si="41"/>
        <v>179</v>
      </c>
    </row>
    <row r="382" spans="1:3" x14ac:dyDescent="0.3">
      <c r="A382">
        <v>6.2666070413152641E-2</v>
      </c>
      <c r="B382">
        <f t="shared" si="40"/>
        <v>161.60674081824772</v>
      </c>
      <c r="C382">
        <f t="shared" si="41"/>
        <v>161</v>
      </c>
    </row>
    <row r="383" spans="1:3" x14ac:dyDescent="0.3">
      <c r="A383">
        <v>0.88509746081488316</v>
      </c>
      <c r="B383">
        <f t="shared" si="40"/>
        <v>194.41033343557208</v>
      </c>
      <c r="C383">
        <f t="shared" si="41"/>
        <v>194</v>
      </c>
    </row>
    <row r="384" spans="1:3" x14ac:dyDescent="0.3">
      <c r="A384">
        <v>0.60931384878249284</v>
      </c>
      <c r="B384">
        <f t="shared" si="40"/>
        <v>183.33037361484398</v>
      </c>
      <c r="C384">
        <f t="shared" si="41"/>
        <v>183</v>
      </c>
    </row>
    <row r="385" spans="1:3" x14ac:dyDescent="0.3">
      <c r="A385">
        <v>0.83343424165707458</v>
      </c>
      <c r="B385">
        <f t="shared" si="40"/>
        <v>191.61390622959902</v>
      </c>
      <c r="C385">
        <f t="shared" si="41"/>
        <v>191</v>
      </c>
    </row>
    <row r="386" spans="1:3" x14ac:dyDescent="0.3">
      <c r="A386">
        <v>0.40646310167750332</v>
      </c>
      <c r="B386">
        <f t="shared" ref="B386:B449" si="42">_xlfn.NORM.INV(A386,_mu,_sigma)</f>
        <v>177.16016714843119</v>
      </c>
      <c r="C386">
        <f t="shared" si="41"/>
        <v>177</v>
      </c>
    </row>
    <row r="387" spans="1:3" x14ac:dyDescent="0.3">
      <c r="A387">
        <v>0.36787171451484557</v>
      </c>
      <c r="B387">
        <f t="shared" si="42"/>
        <v>175.95005440087226</v>
      </c>
      <c r="C387">
        <f t="shared" ref="C387:C450" si="43">INT(B387)</f>
        <v>175</v>
      </c>
    </row>
    <row r="388" spans="1:3" x14ac:dyDescent="0.3">
      <c r="A388">
        <v>0.9205338361819525</v>
      </c>
      <c r="B388">
        <f t="shared" si="42"/>
        <v>196.90405793072682</v>
      </c>
      <c r="C388">
        <f t="shared" si="43"/>
        <v>196</v>
      </c>
    </row>
    <row r="389" spans="1:3" x14ac:dyDescent="0.3">
      <c r="A389">
        <v>0.2201999129493124</v>
      </c>
      <c r="B389">
        <f t="shared" si="42"/>
        <v>170.74178133653064</v>
      </c>
      <c r="C389">
        <f t="shared" si="43"/>
        <v>170</v>
      </c>
    </row>
    <row r="390" spans="1:3" x14ac:dyDescent="0.3">
      <c r="A390">
        <v>0.66583759886775207</v>
      </c>
      <c r="B390">
        <f t="shared" si="42"/>
        <v>185.14137900507887</v>
      </c>
      <c r="C390">
        <f t="shared" si="43"/>
        <v>185</v>
      </c>
    </row>
    <row r="391" spans="1:3" x14ac:dyDescent="0.3">
      <c r="A391">
        <v>0.92377798604683914</v>
      </c>
      <c r="B391">
        <f t="shared" si="42"/>
        <v>197.17142167400124</v>
      </c>
      <c r="C391">
        <f t="shared" si="43"/>
        <v>197</v>
      </c>
    </row>
    <row r="392" spans="1:3" x14ac:dyDescent="0.3">
      <c r="A392">
        <v>0.2730615081319635</v>
      </c>
      <c r="B392">
        <f t="shared" si="42"/>
        <v>172.75704186261297</v>
      </c>
      <c r="C392">
        <f t="shared" si="43"/>
        <v>172</v>
      </c>
    </row>
    <row r="393" spans="1:3" x14ac:dyDescent="0.3">
      <c r="A393">
        <v>0.95655350794738481</v>
      </c>
      <c r="B393">
        <f t="shared" si="42"/>
        <v>200.54423991451557</v>
      </c>
      <c r="C393">
        <f t="shared" si="43"/>
        <v>200</v>
      </c>
    </row>
    <row r="394" spans="1:3" x14ac:dyDescent="0.3">
      <c r="A394">
        <v>0.63999377126864432</v>
      </c>
      <c r="B394">
        <f t="shared" si="42"/>
        <v>184.30130573013022</v>
      </c>
      <c r="C394">
        <f t="shared" si="43"/>
        <v>184</v>
      </c>
    </row>
    <row r="395" spans="1:3" x14ac:dyDescent="0.3">
      <c r="A395">
        <v>0.36991659602819127</v>
      </c>
      <c r="B395">
        <f t="shared" si="42"/>
        <v>176.01510897824122</v>
      </c>
      <c r="C395">
        <f t="shared" si="43"/>
        <v>176</v>
      </c>
    </row>
    <row r="396" spans="1:3" x14ac:dyDescent="0.3">
      <c r="A396">
        <v>0.48072860037326082</v>
      </c>
      <c r="B396">
        <f t="shared" si="42"/>
        <v>179.42009954887408</v>
      </c>
      <c r="C396">
        <f t="shared" si="43"/>
        <v>179</v>
      </c>
    </row>
    <row r="397" spans="1:3" x14ac:dyDescent="0.3">
      <c r="A397">
        <v>0.76363989085157458</v>
      </c>
      <c r="B397">
        <f t="shared" si="42"/>
        <v>188.61672144031601</v>
      </c>
      <c r="C397">
        <f t="shared" si="43"/>
        <v>188</v>
      </c>
    </row>
    <row r="398" spans="1:3" x14ac:dyDescent="0.3">
      <c r="A398">
        <v>0.87472599014046315</v>
      </c>
      <c r="B398">
        <f t="shared" si="42"/>
        <v>193.78823167994307</v>
      </c>
      <c r="C398">
        <f t="shared" si="43"/>
        <v>193</v>
      </c>
    </row>
    <row r="399" spans="1:3" x14ac:dyDescent="0.3">
      <c r="A399">
        <v>0.12643271640907439</v>
      </c>
      <c r="B399">
        <f t="shared" si="42"/>
        <v>166.27899412856706</v>
      </c>
      <c r="C399">
        <f t="shared" si="43"/>
        <v>166</v>
      </c>
    </row>
    <row r="400" spans="1:3" x14ac:dyDescent="0.3">
      <c r="A400">
        <v>0.99090358216459273</v>
      </c>
      <c r="B400">
        <f t="shared" si="42"/>
        <v>208.34003826228741</v>
      </c>
      <c r="C400">
        <f t="shared" si="43"/>
        <v>208</v>
      </c>
    </row>
    <row r="401" spans="1:3" x14ac:dyDescent="0.3">
      <c r="A401">
        <v>0.53061128952440839</v>
      </c>
      <c r="B401">
        <f t="shared" si="42"/>
        <v>180.92167888714491</v>
      </c>
      <c r="C401">
        <f t="shared" si="43"/>
        <v>180</v>
      </c>
    </row>
    <row r="402" spans="1:3" x14ac:dyDescent="0.3">
      <c r="A402">
        <v>0.32630440828818352</v>
      </c>
      <c r="B402">
        <f t="shared" si="42"/>
        <v>174.59830868867294</v>
      </c>
      <c r="C402">
        <f t="shared" si="43"/>
        <v>174</v>
      </c>
    </row>
    <row r="403" spans="1:3" x14ac:dyDescent="0.3">
      <c r="A403">
        <v>0.18920595415581976</v>
      </c>
      <c r="B403">
        <f t="shared" si="42"/>
        <v>169.43008585863828</v>
      </c>
      <c r="C403">
        <f t="shared" si="43"/>
        <v>169</v>
      </c>
    </row>
    <row r="404" spans="1:3" x14ac:dyDescent="0.3">
      <c r="A404">
        <v>0.43245398934182433</v>
      </c>
      <c r="B404">
        <f t="shared" si="42"/>
        <v>177.95844118787622</v>
      </c>
      <c r="C404">
        <f t="shared" si="43"/>
        <v>177</v>
      </c>
    </row>
    <row r="405" spans="1:3" x14ac:dyDescent="0.3">
      <c r="A405">
        <v>0.1989625823099237</v>
      </c>
      <c r="B405">
        <f t="shared" si="42"/>
        <v>169.85600880577664</v>
      </c>
      <c r="C405">
        <f t="shared" si="43"/>
        <v>169</v>
      </c>
    </row>
    <row r="406" spans="1:3" x14ac:dyDescent="0.3">
      <c r="A406">
        <v>0.41538573299083048</v>
      </c>
      <c r="B406">
        <f t="shared" si="42"/>
        <v>177.43545312404731</v>
      </c>
      <c r="C406">
        <f t="shared" si="43"/>
        <v>177</v>
      </c>
    </row>
    <row r="407" spans="1:3" x14ac:dyDescent="0.3">
      <c r="A407">
        <v>0.95546421942919224</v>
      </c>
      <c r="B407">
        <f t="shared" si="42"/>
        <v>200.40378825454067</v>
      </c>
      <c r="C407">
        <f t="shared" si="43"/>
        <v>200</v>
      </c>
    </row>
    <row r="408" spans="1:3" x14ac:dyDescent="0.3">
      <c r="A408">
        <v>0.19094351782183849</v>
      </c>
      <c r="B408">
        <f t="shared" si="42"/>
        <v>169.50690414391244</v>
      </c>
      <c r="C408">
        <f t="shared" si="43"/>
        <v>169</v>
      </c>
    </row>
    <row r="409" spans="1:3" x14ac:dyDescent="0.3">
      <c r="A409">
        <v>0.5703082290510012</v>
      </c>
      <c r="B409">
        <f t="shared" si="42"/>
        <v>182.12590735168996</v>
      </c>
      <c r="C409">
        <f t="shared" si="43"/>
        <v>182</v>
      </c>
    </row>
    <row r="410" spans="1:3" x14ac:dyDescent="0.3">
      <c r="A410">
        <v>0.77492145837748461</v>
      </c>
      <c r="B410">
        <f t="shared" si="42"/>
        <v>189.06183804576435</v>
      </c>
      <c r="C410">
        <f t="shared" si="43"/>
        <v>189</v>
      </c>
    </row>
    <row r="411" spans="1:3" x14ac:dyDescent="0.3">
      <c r="A411">
        <v>0.60848592837399795</v>
      </c>
      <c r="B411">
        <f t="shared" si="42"/>
        <v>183.30450008951343</v>
      </c>
      <c r="C411">
        <f t="shared" si="43"/>
        <v>183</v>
      </c>
    </row>
    <row r="412" spans="1:3" x14ac:dyDescent="0.3">
      <c r="A412">
        <v>0.54484133311571403</v>
      </c>
      <c r="B412">
        <f t="shared" si="42"/>
        <v>181.3516593802494</v>
      </c>
      <c r="C412">
        <f t="shared" si="43"/>
        <v>181</v>
      </c>
    </row>
    <row r="413" spans="1:3" x14ac:dyDescent="0.3">
      <c r="A413">
        <v>0.56965754982279415</v>
      </c>
      <c r="B413">
        <f t="shared" si="42"/>
        <v>182.10602856733982</v>
      </c>
      <c r="C413">
        <f t="shared" si="43"/>
        <v>182</v>
      </c>
    </row>
    <row r="414" spans="1:3" x14ac:dyDescent="0.3">
      <c r="A414">
        <v>0.18062663750494135</v>
      </c>
      <c r="B414">
        <f t="shared" si="42"/>
        <v>169.04424489756806</v>
      </c>
      <c r="C414">
        <f t="shared" si="43"/>
        <v>169</v>
      </c>
    </row>
    <row r="415" spans="1:3" x14ac:dyDescent="0.3">
      <c r="A415">
        <v>4.9594904518178495E-2</v>
      </c>
      <c r="B415">
        <f t="shared" si="42"/>
        <v>160.2144699184251</v>
      </c>
      <c r="C415">
        <f t="shared" si="43"/>
        <v>160</v>
      </c>
    </row>
    <row r="416" spans="1:3" x14ac:dyDescent="0.3">
      <c r="A416">
        <v>0.43717049506485883</v>
      </c>
      <c r="B416">
        <f t="shared" si="42"/>
        <v>178.10223636848676</v>
      </c>
      <c r="C416">
        <f t="shared" si="43"/>
        <v>178</v>
      </c>
    </row>
    <row r="417" spans="1:3" x14ac:dyDescent="0.3">
      <c r="A417">
        <v>0.29281921041386161</v>
      </c>
      <c r="B417">
        <f t="shared" si="42"/>
        <v>173.45799172889394</v>
      </c>
      <c r="C417">
        <f t="shared" si="43"/>
        <v>173</v>
      </c>
    </row>
    <row r="418" spans="1:3" x14ac:dyDescent="0.3">
      <c r="A418">
        <v>0.65536772636989704</v>
      </c>
      <c r="B418">
        <f t="shared" si="42"/>
        <v>184.79823997711711</v>
      </c>
      <c r="C418">
        <f t="shared" si="43"/>
        <v>184</v>
      </c>
    </row>
    <row r="419" spans="1:3" x14ac:dyDescent="0.3">
      <c r="A419">
        <v>0.10618718571473362</v>
      </c>
      <c r="B419">
        <f t="shared" si="42"/>
        <v>165.03524311943886</v>
      </c>
      <c r="C419">
        <f t="shared" si="43"/>
        <v>165</v>
      </c>
    </row>
    <row r="420" spans="1:3" x14ac:dyDescent="0.3">
      <c r="A420">
        <v>0.50159545878607681</v>
      </c>
      <c r="B420">
        <f t="shared" si="42"/>
        <v>180.04799079317633</v>
      </c>
      <c r="C420">
        <f t="shared" si="43"/>
        <v>180</v>
      </c>
    </row>
    <row r="421" spans="1:3" x14ac:dyDescent="0.3">
      <c r="A421">
        <v>0.55637286207650261</v>
      </c>
      <c r="B421">
        <f t="shared" si="42"/>
        <v>181.70135249997168</v>
      </c>
      <c r="C421">
        <f t="shared" si="43"/>
        <v>181</v>
      </c>
    </row>
    <row r="422" spans="1:3" x14ac:dyDescent="0.3">
      <c r="A422">
        <v>0.22984789396736682</v>
      </c>
      <c r="B422">
        <f t="shared" si="42"/>
        <v>171.12782555275095</v>
      </c>
      <c r="C422">
        <f t="shared" si="43"/>
        <v>171</v>
      </c>
    </row>
    <row r="423" spans="1:3" x14ac:dyDescent="0.3">
      <c r="A423">
        <v>3.7789609918811973E-2</v>
      </c>
      <c r="B423">
        <f t="shared" si="42"/>
        <v>158.67680077439056</v>
      </c>
      <c r="C423">
        <f t="shared" si="43"/>
        <v>158</v>
      </c>
    </row>
    <row r="424" spans="1:3" x14ac:dyDescent="0.3">
      <c r="A424">
        <v>0.45879446619985698</v>
      </c>
      <c r="B424">
        <f t="shared" si="42"/>
        <v>178.75834448931968</v>
      </c>
      <c r="C424">
        <f t="shared" si="43"/>
        <v>178</v>
      </c>
    </row>
    <row r="425" spans="1:3" x14ac:dyDescent="0.3">
      <c r="A425">
        <v>8.1163239765300488E-2</v>
      </c>
      <c r="B425">
        <f t="shared" si="42"/>
        <v>163.23252390380756</v>
      </c>
      <c r="C425">
        <f t="shared" si="43"/>
        <v>163</v>
      </c>
    </row>
    <row r="426" spans="1:3" x14ac:dyDescent="0.3">
      <c r="A426">
        <v>0.3873860227846837</v>
      </c>
      <c r="B426">
        <f t="shared" si="42"/>
        <v>176.56633800912218</v>
      </c>
      <c r="C426">
        <f t="shared" si="43"/>
        <v>176</v>
      </c>
    </row>
    <row r="427" spans="1:3" x14ac:dyDescent="0.3">
      <c r="A427">
        <v>0.42440528656395549</v>
      </c>
      <c r="B427">
        <f t="shared" si="42"/>
        <v>177.71236477834992</v>
      </c>
      <c r="C427">
        <f t="shared" si="43"/>
        <v>177</v>
      </c>
    </row>
    <row r="428" spans="1:3" x14ac:dyDescent="0.3">
      <c r="A428">
        <v>0.60564781174149418</v>
      </c>
      <c r="B428">
        <f t="shared" si="42"/>
        <v>183.21592115077468</v>
      </c>
      <c r="C428">
        <f t="shared" si="43"/>
        <v>183</v>
      </c>
    </row>
    <row r="429" spans="1:3" x14ac:dyDescent="0.3">
      <c r="A429">
        <v>0.69948985226537619</v>
      </c>
      <c r="B429">
        <f t="shared" si="42"/>
        <v>186.27520606305399</v>
      </c>
      <c r="C429">
        <f t="shared" si="43"/>
        <v>186</v>
      </c>
    </row>
    <row r="430" spans="1:3" x14ac:dyDescent="0.3">
      <c r="A430">
        <v>0.34637357075029074</v>
      </c>
      <c r="B430">
        <f t="shared" si="42"/>
        <v>175.25844311873476</v>
      </c>
      <c r="C430">
        <f t="shared" si="43"/>
        <v>175</v>
      </c>
    </row>
    <row r="431" spans="1:3" x14ac:dyDescent="0.3">
      <c r="A431">
        <v>0.96944268005761547</v>
      </c>
      <c r="B431">
        <f t="shared" si="42"/>
        <v>202.47198169219882</v>
      </c>
      <c r="C431">
        <f t="shared" si="43"/>
        <v>202</v>
      </c>
    </row>
    <row r="432" spans="1:3" x14ac:dyDescent="0.3">
      <c r="A432">
        <v>1.3080116374093897E-2</v>
      </c>
      <c r="B432">
        <f t="shared" si="42"/>
        <v>153.31410215033492</v>
      </c>
      <c r="C432">
        <f t="shared" si="43"/>
        <v>153</v>
      </c>
    </row>
    <row r="433" spans="1:3" x14ac:dyDescent="0.3">
      <c r="A433">
        <v>0.2382509824645056</v>
      </c>
      <c r="B433">
        <f t="shared" si="42"/>
        <v>171.45672065402294</v>
      </c>
      <c r="C433">
        <f t="shared" si="43"/>
        <v>171</v>
      </c>
    </row>
    <row r="434" spans="1:3" x14ac:dyDescent="0.3">
      <c r="A434">
        <v>0.58573050855715603</v>
      </c>
      <c r="B434">
        <f t="shared" si="42"/>
        <v>182.59890904629418</v>
      </c>
      <c r="C434">
        <f t="shared" si="43"/>
        <v>182</v>
      </c>
    </row>
    <row r="435" spans="1:3" x14ac:dyDescent="0.3">
      <c r="A435">
        <v>0.70261560992136485</v>
      </c>
      <c r="B435">
        <f t="shared" si="42"/>
        <v>186.38325872398983</v>
      </c>
      <c r="C435">
        <f t="shared" si="43"/>
        <v>186</v>
      </c>
    </row>
    <row r="436" spans="1:3" x14ac:dyDescent="0.3">
      <c r="A436">
        <v>0.14684630239772112</v>
      </c>
      <c r="B436">
        <f t="shared" si="42"/>
        <v>167.39933421449896</v>
      </c>
      <c r="C436">
        <f t="shared" si="43"/>
        <v>167</v>
      </c>
    </row>
    <row r="437" spans="1:3" x14ac:dyDescent="0.3">
      <c r="A437">
        <v>0.11072663000229221</v>
      </c>
      <c r="B437">
        <f t="shared" si="42"/>
        <v>165.32792499120251</v>
      </c>
      <c r="C437">
        <f t="shared" si="43"/>
        <v>165</v>
      </c>
    </row>
    <row r="438" spans="1:3" x14ac:dyDescent="0.3">
      <c r="A438">
        <v>3.9005555429830974E-2</v>
      </c>
      <c r="B438">
        <f t="shared" si="42"/>
        <v>158.85186609003273</v>
      </c>
      <c r="C438">
        <f t="shared" si="43"/>
        <v>158</v>
      </c>
    </row>
    <row r="439" spans="1:3" x14ac:dyDescent="0.3">
      <c r="A439">
        <v>0.59882739189367518</v>
      </c>
      <c r="B439">
        <f t="shared" si="42"/>
        <v>183.00375736025686</v>
      </c>
      <c r="C439">
        <f t="shared" si="43"/>
        <v>183</v>
      </c>
    </row>
    <row r="440" spans="1:3" x14ac:dyDescent="0.3">
      <c r="A440">
        <v>8.0032883501466312E-2</v>
      </c>
      <c r="B440">
        <f t="shared" si="42"/>
        <v>163.14179514545603</v>
      </c>
      <c r="C440">
        <f t="shared" si="43"/>
        <v>163</v>
      </c>
    </row>
    <row r="441" spans="1:3" x14ac:dyDescent="0.3">
      <c r="A441">
        <v>0.38660822588260246</v>
      </c>
      <c r="B441">
        <f t="shared" si="42"/>
        <v>176.54195749255092</v>
      </c>
      <c r="C441">
        <f t="shared" si="43"/>
        <v>176</v>
      </c>
    </row>
    <row r="442" spans="1:3" x14ac:dyDescent="0.3">
      <c r="A442">
        <v>0.46645543601988904</v>
      </c>
      <c r="B442">
        <f t="shared" si="42"/>
        <v>178.9898030612008</v>
      </c>
      <c r="C442">
        <f t="shared" si="43"/>
        <v>178</v>
      </c>
    </row>
    <row r="443" spans="1:3" x14ac:dyDescent="0.3">
      <c r="A443">
        <v>0.6565059863188939</v>
      </c>
      <c r="B443">
        <f t="shared" si="42"/>
        <v>184.83535074169436</v>
      </c>
      <c r="C443">
        <f t="shared" si="43"/>
        <v>184</v>
      </c>
    </row>
    <row r="444" spans="1:3" x14ac:dyDescent="0.3">
      <c r="A444">
        <v>0.57571006434577421</v>
      </c>
      <c r="B444">
        <f t="shared" si="42"/>
        <v>182.29116864768946</v>
      </c>
      <c r="C444">
        <f t="shared" si="43"/>
        <v>182</v>
      </c>
    </row>
    <row r="445" spans="1:3" x14ac:dyDescent="0.3">
      <c r="A445">
        <v>0.39218970632163275</v>
      </c>
      <c r="B445">
        <f t="shared" si="42"/>
        <v>176.71660293792621</v>
      </c>
      <c r="C445">
        <f t="shared" si="43"/>
        <v>176</v>
      </c>
    </row>
    <row r="446" spans="1:3" x14ac:dyDescent="0.3">
      <c r="A446">
        <v>0.95415057690953864</v>
      </c>
      <c r="B446">
        <f t="shared" si="42"/>
        <v>200.23804295674182</v>
      </c>
      <c r="C446">
        <f t="shared" si="43"/>
        <v>200</v>
      </c>
    </row>
    <row r="447" spans="1:3" x14ac:dyDescent="0.3">
      <c r="A447">
        <v>0.33143530140911281</v>
      </c>
      <c r="B447">
        <f t="shared" si="42"/>
        <v>174.76856023781917</v>
      </c>
      <c r="C447">
        <f t="shared" si="43"/>
        <v>174</v>
      </c>
    </row>
    <row r="448" spans="1:3" x14ac:dyDescent="0.3">
      <c r="A448">
        <v>0.66723491304140514</v>
      </c>
      <c r="B448">
        <f t="shared" si="42"/>
        <v>185.18748793159781</v>
      </c>
      <c r="C448">
        <f t="shared" si="43"/>
        <v>185</v>
      </c>
    </row>
    <row r="449" spans="1:3" x14ac:dyDescent="0.3">
      <c r="A449">
        <v>0.93248547721509423</v>
      </c>
      <c r="B449">
        <f t="shared" si="42"/>
        <v>197.93473224217132</v>
      </c>
      <c r="C449">
        <f t="shared" si="43"/>
        <v>197</v>
      </c>
    </row>
    <row r="450" spans="1:3" x14ac:dyDescent="0.3">
      <c r="A450">
        <v>0.59217599507563223</v>
      </c>
      <c r="B450">
        <f t="shared" ref="B450:B513" si="44">_xlfn.NORM.INV(A450,_mu,_sigma)</f>
        <v>182.79775240590661</v>
      </c>
      <c r="C450">
        <f t="shared" si="43"/>
        <v>182</v>
      </c>
    </row>
    <row r="451" spans="1:3" x14ac:dyDescent="0.3">
      <c r="A451">
        <v>0.65997826487623501</v>
      </c>
      <c r="B451">
        <f t="shared" si="44"/>
        <v>184.94884573304412</v>
      </c>
      <c r="C451">
        <f t="shared" ref="C451:C514" si="45">INT(B451)</f>
        <v>184</v>
      </c>
    </row>
    <row r="452" spans="1:3" x14ac:dyDescent="0.3">
      <c r="A452">
        <v>0.7681481948296095</v>
      </c>
      <c r="B452">
        <f t="shared" si="44"/>
        <v>188.79314383199741</v>
      </c>
      <c r="C452">
        <f t="shared" si="45"/>
        <v>188</v>
      </c>
    </row>
    <row r="453" spans="1:3" x14ac:dyDescent="0.3">
      <c r="A453">
        <v>0.3524012151860243</v>
      </c>
      <c r="B453">
        <f t="shared" si="44"/>
        <v>175.45385130294588</v>
      </c>
      <c r="C453">
        <f t="shared" si="45"/>
        <v>175</v>
      </c>
    </row>
    <row r="454" spans="1:3" x14ac:dyDescent="0.3">
      <c r="A454">
        <v>0.31642326768125928</v>
      </c>
      <c r="B454">
        <f t="shared" si="44"/>
        <v>174.26730989802186</v>
      </c>
      <c r="C454">
        <f t="shared" si="45"/>
        <v>174</v>
      </c>
    </row>
    <row r="455" spans="1:3" x14ac:dyDescent="0.3">
      <c r="A455">
        <v>2.0233271134843855E-2</v>
      </c>
      <c r="B455">
        <f t="shared" si="44"/>
        <v>155.4125432949115</v>
      </c>
      <c r="C455">
        <f t="shared" si="45"/>
        <v>155</v>
      </c>
    </row>
    <row r="456" spans="1:3" x14ac:dyDescent="0.3">
      <c r="A456">
        <v>0.26483282970287159</v>
      </c>
      <c r="B456">
        <f t="shared" si="44"/>
        <v>172.45780233498283</v>
      </c>
      <c r="C456">
        <f t="shared" si="45"/>
        <v>172</v>
      </c>
    </row>
    <row r="457" spans="1:3" x14ac:dyDescent="0.3">
      <c r="A457">
        <v>0.46356591115807511</v>
      </c>
      <c r="B457">
        <f t="shared" si="44"/>
        <v>178.90255149606227</v>
      </c>
      <c r="C457">
        <f t="shared" si="45"/>
        <v>178</v>
      </c>
    </row>
    <row r="458" spans="1:3" x14ac:dyDescent="0.3">
      <c r="A458">
        <v>0.14782868497833745</v>
      </c>
      <c r="B458">
        <f t="shared" si="44"/>
        <v>167.4505036507162</v>
      </c>
      <c r="C458">
        <f t="shared" si="45"/>
        <v>167</v>
      </c>
    </row>
    <row r="459" spans="1:3" x14ac:dyDescent="0.3">
      <c r="A459">
        <v>0.33294593747118972</v>
      </c>
      <c r="B459">
        <f t="shared" si="44"/>
        <v>174.81848412152303</v>
      </c>
      <c r="C459">
        <f t="shared" si="45"/>
        <v>174</v>
      </c>
    </row>
    <row r="460" spans="1:3" x14ac:dyDescent="0.3">
      <c r="A460">
        <v>0.2323081103629554</v>
      </c>
      <c r="B460">
        <f t="shared" si="44"/>
        <v>171.22479870641655</v>
      </c>
      <c r="C460">
        <f t="shared" si="45"/>
        <v>171</v>
      </c>
    </row>
    <row r="461" spans="1:3" x14ac:dyDescent="0.3">
      <c r="A461">
        <v>8.9824152049957418E-2</v>
      </c>
      <c r="B461">
        <f t="shared" si="44"/>
        <v>163.89793571014886</v>
      </c>
      <c r="C461">
        <f t="shared" si="45"/>
        <v>163</v>
      </c>
    </row>
    <row r="462" spans="1:3" x14ac:dyDescent="0.3">
      <c r="A462">
        <v>0.17362949838577613</v>
      </c>
      <c r="B462">
        <f t="shared" si="44"/>
        <v>168.72096933704751</v>
      </c>
      <c r="C462">
        <f t="shared" si="45"/>
        <v>168</v>
      </c>
    </row>
    <row r="463" spans="1:3" x14ac:dyDescent="0.3">
      <c r="A463">
        <v>0.77478422840396444</v>
      </c>
      <c r="B463">
        <f t="shared" si="44"/>
        <v>189.05634927929088</v>
      </c>
      <c r="C463">
        <f t="shared" si="45"/>
        <v>189</v>
      </c>
    </row>
    <row r="464" spans="1:3" x14ac:dyDescent="0.3">
      <c r="A464">
        <v>0.98725513100089446</v>
      </c>
      <c r="B464">
        <f t="shared" si="44"/>
        <v>206.8067846062136</v>
      </c>
      <c r="C464">
        <f t="shared" si="45"/>
        <v>206</v>
      </c>
    </row>
    <row r="465" spans="1:3" x14ac:dyDescent="0.3">
      <c r="A465">
        <v>0.15520693020669307</v>
      </c>
      <c r="B465">
        <f t="shared" si="44"/>
        <v>167.82775186964369</v>
      </c>
      <c r="C465">
        <f t="shared" si="45"/>
        <v>167</v>
      </c>
    </row>
    <row r="466" spans="1:3" x14ac:dyDescent="0.3">
      <c r="A466">
        <v>0.97002700426626109</v>
      </c>
      <c r="B466">
        <f t="shared" si="44"/>
        <v>202.57428759689853</v>
      </c>
      <c r="C466">
        <f t="shared" si="45"/>
        <v>202</v>
      </c>
    </row>
    <row r="467" spans="1:3" x14ac:dyDescent="0.3">
      <c r="A467">
        <v>0.32635175303990016</v>
      </c>
      <c r="B467">
        <f t="shared" si="44"/>
        <v>174.5998845937458</v>
      </c>
      <c r="C467">
        <f t="shared" si="45"/>
        <v>174</v>
      </c>
    </row>
    <row r="468" spans="1:3" x14ac:dyDescent="0.3">
      <c r="A468">
        <v>0.85380504158723536</v>
      </c>
      <c r="B468">
        <f t="shared" si="44"/>
        <v>192.63471908538972</v>
      </c>
      <c r="C468">
        <f t="shared" si="45"/>
        <v>192</v>
      </c>
    </row>
    <row r="469" spans="1:3" x14ac:dyDescent="0.3">
      <c r="A469">
        <v>0.27447665480311556</v>
      </c>
      <c r="B469">
        <f t="shared" si="44"/>
        <v>172.80804834072816</v>
      </c>
      <c r="C469">
        <f t="shared" si="45"/>
        <v>172</v>
      </c>
    </row>
    <row r="470" spans="1:3" x14ac:dyDescent="0.3">
      <c r="A470">
        <v>0.88334114077547921</v>
      </c>
      <c r="B470">
        <f t="shared" si="44"/>
        <v>194.3022718443944</v>
      </c>
      <c r="C470">
        <f t="shared" si="45"/>
        <v>194</v>
      </c>
    </row>
    <row r="471" spans="1:3" x14ac:dyDescent="0.3">
      <c r="A471">
        <v>0.76044060318393436</v>
      </c>
      <c r="B471">
        <f t="shared" si="44"/>
        <v>188.49264697886957</v>
      </c>
      <c r="C471">
        <f t="shared" si="45"/>
        <v>188</v>
      </c>
    </row>
    <row r="472" spans="1:3" x14ac:dyDescent="0.3">
      <c r="A472">
        <v>0.3695688526534906</v>
      </c>
      <c r="B472">
        <f t="shared" si="44"/>
        <v>176.00405440256665</v>
      </c>
      <c r="C472">
        <f t="shared" si="45"/>
        <v>176</v>
      </c>
    </row>
    <row r="473" spans="1:3" x14ac:dyDescent="0.3">
      <c r="A473">
        <v>0.46502791272392252</v>
      </c>
      <c r="B473">
        <f t="shared" si="44"/>
        <v>178.94670479026814</v>
      </c>
      <c r="C473">
        <f t="shared" si="45"/>
        <v>178</v>
      </c>
    </row>
    <row r="474" spans="1:3" x14ac:dyDescent="0.3">
      <c r="A474">
        <v>0.16104829590738634</v>
      </c>
      <c r="B474">
        <f t="shared" si="44"/>
        <v>168.11809648880552</v>
      </c>
      <c r="C474">
        <f t="shared" si="45"/>
        <v>168</v>
      </c>
    </row>
    <row r="475" spans="1:3" x14ac:dyDescent="0.3">
      <c r="A475">
        <v>0.15406406129923922</v>
      </c>
      <c r="B475">
        <f t="shared" si="44"/>
        <v>167.77010804903875</v>
      </c>
      <c r="C475">
        <f t="shared" si="45"/>
        <v>167</v>
      </c>
    </row>
    <row r="476" spans="1:3" x14ac:dyDescent="0.3">
      <c r="A476">
        <v>0.87671616581409184</v>
      </c>
      <c r="B476">
        <f t="shared" si="44"/>
        <v>193.90471850273087</v>
      </c>
      <c r="C476">
        <f t="shared" si="45"/>
        <v>193</v>
      </c>
    </row>
    <row r="477" spans="1:3" x14ac:dyDescent="0.3">
      <c r="A477">
        <v>0.31570227839144405</v>
      </c>
      <c r="B477">
        <f t="shared" si="44"/>
        <v>174.24298965318422</v>
      </c>
      <c r="C477">
        <f t="shared" si="45"/>
        <v>174</v>
      </c>
    </row>
    <row r="478" spans="1:3" x14ac:dyDescent="0.3">
      <c r="A478">
        <v>6.828790080792968E-2</v>
      </c>
      <c r="B478">
        <f t="shared" si="44"/>
        <v>162.13602891509098</v>
      </c>
      <c r="C478">
        <f t="shared" si="45"/>
        <v>162</v>
      </c>
    </row>
    <row r="479" spans="1:3" x14ac:dyDescent="0.3">
      <c r="A479">
        <v>0.95080687778290829</v>
      </c>
      <c r="B479">
        <f t="shared" si="44"/>
        <v>199.83273533705238</v>
      </c>
      <c r="C479">
        <f t="shared" si="45"/>
        <v>199</v>
      </c>
    </row>
    <row r="480" spans="1:3" x14ac:dyDescent="0.3">
      <c r="A480">
        <v>0.81246828697753937</v>
      </c>
      <c r="B480">
        <f t="shared" si="44"/>
        <v>190.6443449104332</v>
      </c>
      <c r="C480">
        <f t="shared" si="45"/>
        <v>190</v>
      </c>
    </row>
    <row r="481" spans="1:3" x14ac:dyDescent="0.3">
      <c r="A481">
        <v>8.4230231847471804E-2</v>
      </c>
      <c r="B481">
        <f t="shared" si="44"/>
        <v>163.47398985556626</v>
      </c>
      <c r="C481">
        <f t="shared" si="45"/>
        <v>163</v>
      </c>
    </row>
    <row r="482" spans="1:3" x14ac:dyDescent="0.3">
      <c r="A482">
        <v>0.72054128595501854</v>
      </c>
      <c r="B482">
        <f t="shared" si="44"/>
        <v>187.01340298701578</v>
      </c>
      <c r="C482">
        <f t="shared" si="45"/>
        <v>187</v>
      </c>
    </row>
    <row r="483" spans="1:3" x14ac:dyDescent="0.3">
      <c r="A483">
        <v>0.51052634452343038</v>
      </c>
      <c r="B483">
        <f t="shared" si="44"/>
        <v>180.31666434212681</v>
      </c>
      <c r="C483">
        <f t="shared" si="45"/>
        <v>180</v>
      </c>
    </row>
    <row r="484" spans="1:3" x14ac:dyDescent="0.3">
      <c r="A484">
        <v>0.75302908246869515</v>
      </c>
      <c r="B484">
        <f t="shared" si="44"/>
        <v>188.20863341381096</v>
      </c>
      <c r="C484">
        <f t="shared" si="45"/>
        <v>188</v>
      </c>
    </row>
    <row r="485" spans="1:3" x14ac:dyDescent="0.3">
      <c r="A485">
        <v>0.39015254999918214</v>
      </c>
      <c r="B485">
        <f t="shared" si="44"/>
        <v>176.65294249333647</v>
      </c>
      <c r="C485">
        <f t="shared" si="45"/>
        <v>176</v>
      </c>
    </row>
    <row r="486" spans="1:3" x14ac:dyDescent="0.3">
      <c r="A486">
        <v>0.97962894376670562</v>
      </c>
      <c r="B486">
        <f t="shared" si="44"/>
        <v>204.55373929823386</v>
      </c>
      <c r="C486">
        <f t="shared" si="45"/>
        <v>204</v>
      </c>
    </row>
    <row r="487" spans="1:3" x14ac:dyDescent="0.3">
      <c r="A487">
        <v>4.4901821234018646E-2</v>
      </c>
      <c r="B487">
        <f t="shared" si="44"/>
        <v>159.64278712429575</v>
      </c>
      <c r="C487">
        <f t="shared" si="45"/>
        <v>159</v>
      </c>
    </row>
    <row r="488" spans="1:3" x14ac:dyDescent="0.3">
      <c r="A488">
        <v>0.78827091702417396</v>
      </c>
      <c r="B488">
        <f t="shared" si="44"/>
        <v>189.60523333097007</v>
      </c>
      <c r="C488">
        <f t="shared" si="45"/>
        <v>189</v>
      </c>
    </row>
    <row r="489" spans="1:3" x14ac:dyDescent="0.3">
      <c r="A489">
        <v>2.8154760684601432E-2</v>
      </c>
      <c r="B489">
        <f t="shared" si="44"/>
        <v>157.09641046922371</v>
      </c>
      <c r="C489">
        <f t="shared" si="45"/>
        <v>157</v>
      </c>
    </row>
    <row r="490" spans="1:3" x14ac:dyDescent="0.3">
      <c r="A490">
        <v>0.240936660750104</v>
      </c>
      <c r="B490">
        <f t="shared" si="44"/>
        <v>171.56048687631966</v>
      </c>
      <c r="C490">
        <f t="shared" si="45"/>
        <v>171</v>
      </c>
    </row>
    <row r="491" spans="1:3" x14ac:dyDescent="0.3">
      <c r="A491">
        <v>0.9571862948354477</v>
      </c>
      <c r="B491">
        <f t="shared" si="44"/>
        <v>200.62714078766669</v>
      </c>
      <c r="C491">
        <f t="shared" si="45"/>
        <v>200</v>
      </c>
    </row>
    <row r="492" spans="1:3" x14ac:dyDescent="0.3">
      <c r="A492">
        <v>0.707168385200036</v>
      </c>
      <c r="B492">
        <f t="shared" si="44"/>
        <v>186.54157537870492</v>
      </c>
      <c r="C492">
        <f t="shared" si="45"/>
        <v>186</v>
      </c>
    </row>
    <row r="493" spans="1:3" x14ac:dyDescent="0.3">
      <c r="A493">
        <v>0.24793281334370953</v>
      </c>
      <c r="B493">
        <f t="shared" si="44"/>
        <v>171.8278887955951</v>
      </c>
      <c r="C493">
        <f t="shared" si="45"/>
        <v>171</v>
      </c>
    </row>
    <row r="494" spans="1:3" x14ac:dyDescent="0.3">
      <c r="A494">
        <v>5.8215893706594968E-2</v>
      </c>
      <c r="B494">
        <f t="shared" si="44"/>
        <v>161.16086011874657</v>
      </c>
      <c r="C494">
        <f t="shared" si="45"/>
        <v>161</v>
      </c>
    </row>
    <row r="495" spans="1:3" x14ac:dyDescent="0.3">
      <c r="A495">
        <v>0.75829540587570166</v>
      </c>
      <c r="B495">
        <f t="shared" si="44"/>
        <v>188.40995856334729</v>
      </c>
      <c r="C495">
        <f t="shared" si="45"/>
        <v>188</v>
      </c>
    </row>
    <row r="496" spans="1:3" x14ac:dyDescent="0.3">
      <c r="A496">
        <v>0.49612676059391758</v>
      </c>
      <c r="B496">
        <f t="shared" si="44"/>
        <v>179.8834929127209</v>
      </c>
      <c r="C496">
        <f t="shared" si="45"/>
        <v>179</v>
      </c>
    </row>
    <row r="497" spans="1:3" x14ac:dyDescent="0.3">
      <c r="A497">
        <v>0.90560860820126909</v>
      </c>
      <c r="B497">
        <f t="shared" si="44"/>
        <v>195.77026178379376</v>
      </c>
      <c r="C497">
        <f t="shared" si="45"/>
        <v>195</v>
      </c>
    </row>
    <row r="498" spans="1:3" x14ac:dyDescent="0.3">
      <c r="A498">
        <v>0.1138410291471651</v>
      </c>
      <c r="B498">
        <f t="shared" si="44"/>
        <v>165.52378418363355</v>
      </c>
      <c r="C498">
        <f t="shared" si="45"/>
        <v>165</v>
      </c>
    </row>
    <row r="499" spans="1:3" x14ac:dyDescent="0.3">
      <c r="A499">
        <v>0.36241931328224386</v>
      </c>
      <c r="B499">
        <f t="shared" si="44"/>
        <v>175.77600582578609</v>
      </c>
      <c r="C499">
        <f t="shared" si="45"/>
        <v>175</v>
      </c>
    </row>
    <row r="500" spans="1:3" x14ac:dyDescent="0.3">
      <c r="A500">
        <v>0.1798771386887017</v>
      </c>
      <c r="B500">
        <f t="shared" si="44"/>
        <v>169.00999908412234</v>
      </c>
      <c r="C500">
        <f t="shared" si="45"/>
        <v>169</v>
      </c>
    </row>
    <row r="501" spans="1:3" x14ac:dyDescent="0.3">
      <c r="A501">
        <v>0.66151224947531351</v>
      </c>
      <c r="B501">
        <f t="shared" si="44"/>
        <v>184.99912632185934</v>
      </c>
      <c r="C501">
        <f t="shared" si="45"/>
        <v>184</v>
      </c>
    </row>
    <row r="502" spans="1:3" x14ac:dyDescent="0.3">
      <c r="A502">
        <v>0.56578255005933487</v>
      </c>
      <c r="B502">
        <f t="shared" si="44"/>
        <v>181.9877618297771</v>
      </c>
      <c r="C502">
        <f t="shared" si="45"/>
        <v>181</v>
      </c>
    </row>
    <row r="503" spans="1:3" x14ac:dyDescent="0.3">
      <c r="A503">
        <v>0.96165507843562592</v>
      </c>
      <c r="B503">
        <f t="shared" si="44"/>
        <v>201.24268725388359</v>
      </c>
      <c r="C503">
        <f t="shared" si="45"/>
        <v>201</v>
      </c>
    </row>
    <row r="504" spans="1:3" x14ac:dyDescent="0.3">
      <c r="A504">
        <v>0.54528145554696938</v>
      </c>
      <c r="B504">
        <f t="shared" si="44"/>
        <v>181.36498314511906</v>
      </c>
      <c r="C504">
        <f t="shared" si="45"/>
        <v>181</v>
      </c>
    </row>
    <row r="505" spans="1:3" x14ac:dyDescent="0.3">
      <c r="A505">
        <v>0.16166806173092552</v>
      </c>
      <c r="B505">
        <f t="shared" si="44"/>
        <v>168.14849474783253</v>
      </c>
      <c r="C505">
        <f t="shared" si="45"/>
        <v>168</v>
      </c>
    </row>
    <row r="506" spans="1:3" x14ac:dyDescent="0.3">
      <c r="A506">
        <v>0.22111930785817902</v>
      </c>
      <c r="B506">
        <f t="shared" si="44"/>
        <v>170.77897846016415</v>
      </c>
      <c r="C506">
        <f t="shared" si="45"/>
        <v>170</v>
      </c>
    </row>
    <row r="507" spans="1:3" x14ac:dyDescent="0.3">
      <c r="A507">
        <v>0.33005650007705079</v>
      </c>
      <c r="B507">
        <f t="shared" si="44"/>
        <v>174.72291410929273</v>
      </c>
      <c r="C507">
        <f t="shared" si="45"/>
        <v>174</v>
      </c>
    </row>
    <row r="508" spans="1:3" x14ac:dyDescent="0.3">
      <c r="A508">
        <v>7.9299529084363773E-2</v>
      </c>
      <c r="B508">
        <f t="shared" si="44"/>
        <v>163.08241265706613</v>
      </c>
      <c r="C508">
        <f t="shared" si="45"/>
        <v>163</v>
      </c>
    </row>
    <row r="509" spans="1:3" x14ac:dyDescent="0.3">
      <c r="A509">
        <v>0.94616891895581312</v>
      </c>
      <c r="B509">
        <f t="shared" si="44"/>
        <v>199.30548582313804</v>
      </c>
      <c r="C509">
        <f t="shared" si="45"/>
        <v>199</v>
      </c>
    </row>
    <row r="510" spans="1:3" x14ac:dyDescent="0.3">
      <c r="A510">
        <v>0.8863499294644912</v>
      </c>
      <c r="B510">
        <f t="shared" si="44"/>
        <v>194.48811400924313</v>
      </c>
      <c r="C510">
        <f t="shared" si="45"/>
        <v>194</v>
      </c>
    </row>
    <row r="511" spans="1:3" x14ac:dyDescent="0.3">
      <c r="A511">
        <v>0.96892746608883251</v>
      </c>
      <c r="B511">
        <f t="shared" si="44"/>
        <v>202.38311153643701</v>
      </c>
      <c r="C511">
        <f t="shared" si="45"/>
        <v>202</v>
      </c>
    </row>
    <row r="512" spans="1:3" x14ac:dyDescent="0.3">
      <c r="A512">
        <v>0.67675839416122097</v>
      </c>
      <c r="B512">
        <f t="shared" si="44"/>
        <v>185.50383864947383</v>
      </c>
      <c r="C512">
        <f t="shared" si="45"/>
        <v>185</v>
      </c>
    </row>
    <row r="513" spans="1:3" x14ac:dyDescent="0.3">
      <c r="A513">
        <v>0.46842263703301479</v>
      </c>
      <c r="B513">
        <f t="shared" si="44"/>
        <v>179.04917348157034</v>
      </c>
      <c r="C513">
        <f t="shared" si="45"/>
        <v>179</v>
      </c>
    </row>
    <row r="514" spans="1:3" x14ac:dyDescent="0.3">
      <c r="A514">
        <v>0.36608268050771775</v>
      </c>
      <c r="B514">
        <f t="shared" ref="B514:B576" si="46">_xlfn.NORM.INV(A514,_mu,_sigma)</f>
        <v>175.89304147691124</v>
      </c>
      <c r="C514">
        <f t="shared" si="45"/>
        <v>175</v>
      </c>
    </row>
    <row r="515" spans="1:3" x14ac:dyDescent="0.3">
      <c r="A515">
        <v>0.40410192277293977</v>
      </c>
      <c r="B515">
        <f t="shared" si="46"/>
        <v>177.08707395094859</v>
      </c>
      <c r="C515">
        <f t="shared" ref="C515:C576" si="47">INT(B515)</f>
        <v>177</v>
      </c>
    </row>
    <row r="516" spans="1:3" x14ac:dyDescent="0.3">
      <c r="A516">
        <v>0.36495103169764076</v>
      </c>
      <c r="B516">
        <f t="shared" si="46"/>
        <v>175.85693025602035</v>
      </c>
      <c r="C516">
        <f t="shared" si="47"/>
        <v>175</v>
      </c>
    </row>
    <row r="517" spans="1:3" x14ac:dyDescent="0.3">
      <c r="A517">
        <v>0.28060156598765329</v>
      </c>
      <c r="B517">
        <f t="shared" si="46"/>
        <v>173.027335479242</v>
      </c>
      <c r="C517">
        <f t="shared" si="47"/>
        <v>173</v>
      </c>
    </row>
    <row r="518" spans="1:3" x14ac:dyDescent="0.3">
      <c r="A518">
        <v>0.74869419883177613</v>
      </c>
      <c r="B518">
        <f t="shared" si="46"/>
        <v>188.04463491108825</v>
      </c>
      <c r="C518">
        <f t="shared" si="47"/>
        <v>188</v>
      </c>
    </row>
    <row r="519" spans="1:3" x14ac:dyDescent="0.3">
      <c r="A519">
        <v>0.25937400687247181</v>
      </c>
      <c r="B519">
        <f t="shared" si="46"/>
        <v>172.25668190623958</v>
      </c>
      <c r="C519">
        <f t="shared" si="47"/>
        <v>172</v>
      </c>
    </row>
    <row r="520" spans="1:3" x14ac:dyDescent="0.3">
      <c r="A520">
        <v>0.46957611558880707</v>
      </c>
      <c r="B520">
        <f t="shared" si="46"/>
        <v>179.08397472199599</v>
      </c>
      <c r="C520">
        <f t="shared" si="47"/>
        <v>179</v>
      </c>
    </row>
    <row r="521" spans="1:3" x14ac:dyDescent="0.3">
      <c r="A521">
        <v>0.67215294357730349</v>
      </c>
      <c r="B521">
        <f t="shared" si="46"/>
        <v>185.35039084549001</v>
      </c>
      <c r="C521">
        <f t="shared" si="47"/>
        <v>185</v>
      </c>
    </row>
    <row r="522" spans="1:3" x14ac:dyDescent="0.3">
      <c r="A522">
        <v>0.81124041986203099</v>
      </c>
      <c r="B522">
        <f t="shared" si="46"/>
        <v>190.5897184930345</v>
      </c>
      <c r="C522">
        <f t="shared" si="47"/>
        <v>190</v>
      </c>
    </row>
    <row r="523" spans="1:3" x14ac:dyDescent="0.3">
      <c r="A523">
        <v>0.37836259284354323</v>
      </c>
      <c r="B523">
        <f t="shared" si="46"/>
        <v>176.28259146426569</v>
      </c>
      <c r="C523">
        <f t="shared" si="47"/>
        <v>176</v>
      </c>
    </row>
    <row r="524" spans="1:3" x14ac:dyDescent="0.3">
      <c r="A524">
        <v>0.57135868032385784</v>
      </c>
      <c r="B524">
        <f t="shared" si="46"/>
        <v>182.15801184026097</v>
      </c>
      <c r="C524">
        <f t="shared" si="47"/>
        <v>182</v>
      </c>
    </row>
    <row r="525" spans="1:3" x14ac:dyDescent="0.3">
      <c r="A525">
        <v>0.29659439006368915</v>
      </c>
      <c r="B525">
        <f t="shared" si="46"/>
        <v>173.58935040158869</v>
      </c>
      <c r="C525">
        <f t="shared" si="47"/>
        <v>173</v>
      </c>
    </row>
    <row r="526" spans="1:3" x14ac:dyDescent="0.3">
      <c r="A526">
        <v>0.66363736861739986</v>
      </c>
      <c r="B526">
        <f t="shared" si="46"/>
        <v>185.06892850565302</v>
      </c>
      <c r="C526">
        <f t="shared" si="47"/>
        <v>185</v>
      </c>
    </row>
    <row r="527" spans="1:3" x14ac:dyDescent="0.3">
      <c r="A527">
        <v>0.25026941788402257</v>
      </c>
      <c r="B527">
        <f t="shared" si="46"/>
        <v>171.91629395180263</v>
      </c>
      <c r="C527">
        <f t="shared" si="47"/>
        <v>171</v>
      </c>
    </row>
    <row r="528" spans="1:3" x14ac:dyDescent="0.3">
      <c r="A528">
        <v>0.69461113271439223</v>
      </c>
      <c r="B528">
        <f t="shared" si="46"/>
        <v>186.10756326890166</v>
      </c>
      <c r="C528">
        <f t="shared" si="47"/>
        <v>186</v>
      </c>
    </row>
    <row r="529" spans="1:3" x14ac:dyDescent="0.3">
      <c r="A529">
        <v>0.64013682517544501</v>
      </c>
      <c r="B529">
        <f t="shared" si="46"/>
        <v>184.30589453850524</v>
      </c>
      <c r="C529">
        <f t="shared" si="47"/>
        <v>184</v>
      </c>
    </row>
    <row r="530" spans="1:3" x14ac:dyDescent="0.3">
      <c r="A530">
        <v>0.77542431693650293</v>
      </c>
      <c r="B530">
        <f t="shared" si="46"/>
        <v>189.08196702943147</v>
      </c>
      <c r="C530">
        <f t="shared" si="47"/>
        <v>189</v>
      </c>
    </row>
    <row r="531" spans="1:3" x14ac:dyDescent="0.3">
      <c r="A531">
        <v>0.66390735013902091</v>
      </c>
      <c r="B531">
        <f t="shared" si="46"/>
        <v>185.07780862686553</v>
      </c>
      <c r="C531">
        <f t="shared" si="47"/>
        <v>185</v>
      </c>
    </row>
    <row r="532" spans="1:3" x14ac:dyDescent="0.3">
      <c r="A532">
        <v>5.2013152188639888E-2</v>
      </c>
      <c r="B532">
        <f t="shared" si="46"/>
        <v>160.49232245989666</v>
      </c>
      <c r="C532">
        <f t="shared" si="47"/>
        <v>160</v>
      </c>
    </row>
    <row r="533" spans="1:3" x14ac:dyDescent="0.3">
      <c r="A533">
        <v>0.46533009308262685</v>
      </c>
      <c r="B533">
        <f t="shared" si="46"/>
        <v>178.95582901444396</v>
      </c>
      <c r="C533">
        <f t="shared" si="47"/>
        <v>178</v>
      </c>
    </row>
    <row r="534" spans="1:3" x14ac:dyDescent="0.3">
      <c r="A534">
        <v>0.55451564365532524</v>
      </c>
      <c r="B534">
        <f t="shared" si="46"/>
        <v>181.64494251400194</v>
      </c>
      <c r="C534">
        <f t="shared" si="47"/>
        <v>181</v>
      </c>
    </row>
    <row r="535" spans="1:3" x14ac:dyDescent="0.3">
      <c r="A535">
        <v>0.19655783412034122</v>
      </c>
      <c r="B535">
        <f t="shared" si="46"/>
        <v>169.75223127638256</v>
      </c>
      <c r="C535">
        <f t="shared" si="47"/>
        <v>169</v>
      </c>
    </row>
    <row r="536" spans="1:3" x14ac:dyDescent="0.3">
      <c r="A536">
        <v>0.11173694784590338</v>
      </c>
      <c r="B536">
        <f t="shared" si="46"/>
        <v>165.39188890281019</v>
      </c>
      <c r="C536">
        <f t="shared" si="47"/>
        <v>165</v>
      </c>
    </row>
    <row r="537" spans="1:3" x14ac:dyDescent="0.3">
      <c r="A537">
        <v>0.60909059937116716</v>
      </c>
      <c r="B537">
        <f t="shared" si="46"/>
        <v>183.3233952780169</v>
      </c>
      <c r="C537">
        <f t="shared" si="47"/>
        <v>183</v>
      </c>
    </row>
    <row r="538" spans="1:3" x14ac:dyDescent="0.3">
      <c r="A538">
        <v>0.57586735563222557</v>
      </c>
      <c r="B538">
        <f t="shared" si="46"/>
        <v>182.29598711044963</v>
      </c>
      <c r="C538">
        <f t="shared" si="47"/>
        <v>182</v>
      </c>
    </row>
    <row r="539" spans="1:3" x14ac:dyDescent="0.3">
      <c r="A539">
        <v>0.4066784218698698</v>
      </c>
      <c r="B539">
        <f t="shared" si="46"/>
        <v>177.16682736983304</v>
      </c>
      <c r="C539">
        <f t="shared" si="47"/>
        <v>177</v>
      </c>
    </row>
    <row r="540" spans="1:3" x14ac:dyDescent="0.3">
      <c r="A540">
        <v>0.70518745050963227</v>
      </c>
      <c r="B540">
        <f t="shared" si="46"/>
        <v>186.47255268257078</v>
      </c>
      <c r="C540">
        <f t="shared" si="47"/>
        <v>186</v>
      </c>
    </row>
    <row r="541" spans="1:3" x14ac:dyDescent="0.3">
      <c r="A541">
        <v>0.30526500971072823</v>
      </c>
      <c r="B541">
        <f t="shared" si="46"/>
        <v>173.88819558238072</v>
      </c>
      <c r="C541">
        <f t="shared" si="47"/>
        <v>173</v>
      </c>
    </row>
    <row r="542" spans="1:3" x14ac:dyDescent="0.3">
      <c r="A542">
        <v>0.77466011067371665</v>
      </c>
      <c r="B542">
        <f t="shared" si="46"/>
        <v>189.05138659252242</v>
      </c>
      <c r="C542">
        <f t="shared" si="47"/>
        <v>189</v>
      </c>
    </row>
    <row r="543" spans="1:3" x14ac:dyDescent="0.3">
      <c r="A543">
        <v>0.65216969869727714</v>
      </c>
      <c r="B543">
        <f t="shared" si="46"/>
        <v>184.69421825248307</v>
      </c>
      <c r="C543">
        <f t="shared" si="47"/>
        <v>184</v>
      </c>
    </row>
    <row r="544" spans="1:3" x14ac:dyDescent="0.3">
      <c r="A544">
        <v>0.7549754169121633</v>
      </c>
      <c r="B544">
        <f t="shared" si="46"/>
        <v>188.2827675212101</v>
      </c>
      <c r="C544">
        <f t="shared" si="47"/>
        <v>188</v>
      </c>
    </row>
    <row r="545" spans="1:3" x14ac:dyDescent="0.3">
      <c r="A545">
        <v>0.71468430922574022</v>
      </c>
      <c r="B545">
        <f t="shared" si="46"/>
        <v>186.80546250489812</v>
      </c>
      <c r="C545">
        <f t="shared" si="47"/>
        <v>186</v>
      </c>
    </row>
    <row r="546" spans="1:3" x14ac:dyDescent="0.3">
      <c r="A546">
        <v>0.64384508215606184</v>
      </c>
      <c r="B546">
        <f t="shared" si="46"/>
        <v>184.42506826593203</v>
      </c>
      <c r="C546">
        <f t="shared" si="47"/>
        <v>184</v>
      </c>
    </row>
    <row r="547" spans="1:3" x14ac:dyDescent="0.3">
      <c r="A547">
        <v>0.8626348749573105</v>
      </c>
      <c r="B547">
        <f t="shared" si="46"/>
        <v>193.1068083152924</v>
      </c>
      <c r="C547">
        <f t="shared" si="47"/>
        <v>193</v>
      </c>
    </row>
    <row r="548" spans="1:3" x14ac:dyDescent="0.3">
      <c r="A548">
        <v>0.40314923720725115</v>
      </c>
      <c r="B548">
        <f t="shared" si="46"/>
        <v>177.05755192325688</v>
      </c>
      <c r="C548">
        <f t="shared" si="47"/>
        <v>177</v>
      </c>
    </row>
    <row r="549" spans="1:3" x14ac:dyDescent="0.3">
      <c r="A549">
        <v>0.83266357117850676</v>
      </c>
      <c r="B549">
        <f t="shared" si="46"/>
        <v>191.57693263041838</v>
      </c>
      <c r="C549">
        <f t="shared" si="47"/>
        <v>191</v>
      </c>
    </row>
    <row r="550" spans="1:3" x14ac:dyDescent="0.3">
      <c r="A550">
        <v>0.73013177538212914</v>
      </c>
      <c r="B550">
        <f t="shared" si="46"/>
        <v>187.35853895340782</v>
      </c>
      <c r="C550">
        <f t="shared" si="47"/>
        <v>187</v>
      </c>
    </row>
    <row r="551" spans="1:3" x14ac:dyDescent="0.3">
      <c r="A551">
        <v>0.3430505787723831</v>
      </c>
      <c r="B551">
        <f t="shared" si="46"/>
        <v>175.15017941375672</v>
      </c>
      <c r="C551">
        <f t="shared" si="47"/>
        <v>175</v>
      </c>
    </row>
    <row r="552" spans="1:3" x14ac:dyDescent="0.3">
      <c r="A552">
        <v>0.38043954104005473</v>
      </c>
      <c r="B552">
        <f t="shared" si="46"/>
        <v>176.34808080519394</v>
      </c>
      <c r="C552">
        <f t="shared" si="47"/>
        <v>176</v>
      </c>
    </row>
    <row r="553" spans="1:3" x14ac:dyDescent="0.3">
      <c r="A553">
        <v>0.65110695441284094</v>
      </c>
      <c r="B553">
        <f t="shared" si="46"/>
        <v>184.65972886534524</v>
      </c>
      <c r="C553">
        <f t="shared" si="47"/>
        <v>184</v>
      </c>
    </row>
    <row r="554" spans="1:3" x14ac:dyDescent="0.3">
      <c r="A554">
        <v>0.20701514432887202</v>
      </c>
      <c r="B554">
        <f t="shared" si="46"/>
        <v>170.19813874613817</v>
      </c>
      <c r="C554">
        <f t="shared" si="47"/>
        <v>170</v>
      </c>
    </row>
    <row r="555" spans="1:3" x14ac:dyDescent="0.3">
      <c r="A555">
        <v>0.65746354025655462</v>
      </c>
      <c r="B555">
        <f t="shared" si="46"/>
        <v>184.86660577692462</v>
      </c>
      <c r="C555">
        <f t="shared" si="47"/>
        <v>184</v>
      </c>
    </row>
    <row r="556" spans="1:3" x14ac:dyDescent="0.3">
      <c r="A556">
        <v>0.86290577224991794</v>
      </c>
      <c r="B556">
        <f t="shared" si="46"/>
        <v>193.12161370391411</v>
      </c>
      <c r="C556">
        <f t="shared" si="47"/>
        <v>193</v>
      </c>
    </row>
    <row r="557" spans="1:3" x14ac:dyDescent="0.3">
      <c r="A557">
        <v>0.33091143585938665</v>
      </c>
      <c r="B557">
        <f t="shared" si="46"/>
        <v>174.75122627380804</v>
      </c>
      <c r="C557">
        <f t="shared" si="47"/>
        <v>174</v>
      </c>
    </row>
    <row r="558" spans="1:3" x14ac:dyDescent="0.3">
      <c r="A558">
        <v>0.85644973663673418</v>
      </c>
      <c r="B558">
        <f t="shared" si="46"/>
        <v>192.77404578959843</v>
      </c>
      <c r="C558">
        <f t="shared" si="47"/>
        <v>192</v>
      </c>
    </row>
    <row r="559" spans="1:3" x14ac:dyDescent="0.3">
      <c r="A559">
        <v>0.50982718938333804</v>
      </c>
      <c r="B559">
        <f t="shared" si="46"/>
        <v>180.29562722982942</v>
      </c>
      <c r="C559">
        <f t="shared" si="47"/>
        <v>180</v>
      </c>
    </row>
    <row r="560" spans="1:3" x14ac:dyDescent="0.3">
      <c r="A560">
        <v>0.25296317438549121</v>
      </c>
      <c r="B560">
        <f t="shared" si="46"/>
        <v>172.01767070790038</v>
      </c>
      <c r="C560">
        <f t="shared" si="47"/>
        <v>172</v>
      </c>
    </row>
    <row r="561" spans="1:3" x14ac:dyDescent="0.3">
      <c r="A561">
        <v>0.10776017405868066</v>
      </c>
      <c r="B561">
        <f t="shared" si="46"/>
        <v>165.13766405232411</v>
      </c>
      <c r="C561">
        <f t="shared" si="47"/>
        <v>165</v>
      </c>
    </row>
    <row r="562" spans="1:3" x14ac:dyDescent="0.3">
      <c r="A562">
        <v>0.63501938442596528</v>
      </c>
      <c r="B562">
        <f t="shared" si="46"/>
        <v>184.14212523812932</v>
      </c>
      <c r="C562">
        <f t="shared" si="47"/>
        <v>184</v>
      </c>
    </row>
    <row r="563" spans="1:3" x14ac:dyDescent="0.3">
      <c r="A563">
        <v>0.31813966945584871</v>
      </c>
      <c r="B563">
        <f t="shared" si="46"/>
        <v>174.32511277546232</v>
      </c>
      <c r="C563">
        <f t="shared" si="47"/>
        <v>174</v>
      </c>
    </row>
    <row r="564" spans="1:3" x14ac:dyDescent="0.3">
      <c r="A564">
        <v>0.17499700545785712</v>
      </c>
      <c r="B564">
        <f t="shared" si="46"/>
        <v>168.78478910390771</v>
      </c>
      <c r="C564">
        <f t="shared" si="47"/>
        <v>168</v>
      </c>
    </row>
    <row r="565" spans="1:3" x14ac:dyDescent="0.3">
      <c r="A565">
        <v>0.69505003443012836</v>
      </c>
      <c r="B565">
        <f t="shared" si="46"/>
        <v>186.1225956470694</v>
      </c>
      <c r="C565">
        <f t="shared" si="47"/>
        <v>186</v>
      </c>
    </row>
    <row r="566" spans="1:3" x14ac:dyDescent="0.3">
      <c r="A566">
        <v>0.29057613292400908</v>
      </c>
      <c r="B566">
        <f t="shared" si="46"/>
        <v>173.37957120816722</v>
      </c>
      <c r="C566">
        <f t="shared" si="47"/>
        <v>173</v>
      </c>
    </row>
    <row r="567" spans="1:3" x14ac:dyDescent="0.3">
      <c r="A567">
        <v>0.91140377219125213</v>
      </c>
      <c r="B567">
        <f t="shared" si="46"/>
        <v>196.19340053910361</v>
      </c>
      <c r="C567">
        <f t="shared" si="47"/>
        <v>196</v>
      </c>
    </row>
    <row r="568" spans="1:3" x14ac:dyDescent="0.3">
      <c r="A568">
        <v>0.44814764350770686</v>
      </c>
      <c r="B568">
        <f t="shared" si="46"/>
        <v>178.43588742597839</v>
      </c>
      <c r="C568">
        <f t="shared" si="47"/>
        <v>178</v>
      </c>
    </row>
    <row r="569" spans="1:3" x14ac:dyDescent="0.3">
      <c r="A569">
        <v>4.1512845063988113E-2</v>
      </c>
      <c r="B569">
        <f t="shared" si="46"/>
        <v>159.19927381223016</v>
      </c>
      <c r="C569">
        <f t="shared" si="47"/>
        <v>159</v>
      </c>
    </row>
    <row r="570" spans="1:3" x14ac:dyDescent="0.3">
      <c r="A570">
        <v>0.30618928544930513</v>
      </c>
      <c r="B570">
        <f t="shared" si="46"/>
        <v>173.91982640671813</v>
      </c>
      <c r="C570">
        <f t="shared" si="47"/>
        <v>173</v>
      </c>
    </row>
    <row r="571" spans="1:3" x14ac:dyDescent="0.3">
      <c r="A571">
        <v>0.57544741818368128</v>
      </c>
      <c r="B571">
        <f t="shared" si="46"/>
        <v>182.28312356562469</v>
      </c>
      <c r="C571">
        <f t="shared" si="47"/>
        <v>182</v>
      </c>
    </row>
    <row r="572" spans="1:3" x14ac:dyDescent="0.3">
      <c r="A572">
        <v>0.95104287202550819</v>
      </c>
      <c r="B572">
        <f t="shared" si="46"/>
        <v>199.86060591830858</v>
      </c>
      <c r="C572">
        <f t="shared" si="47"/>
        <v>199</v>
      </c>
    </row>
    <row r="573" spans="1:3" x14ac:dyDescent="0.3">
      <c r="A573">
        <v>0.12489082878661284</v>
      </c>
      <c r="B573">
        <f t="shared" si="46"/>
        <v>166.18944148006298</v>
      </c>
      <c r="C573">
        <f t="shared" si="47"/>
        <v>166</v>
      </c>
    </row>
    <row r="574" spans="1:3" x14ac:dyDescent="0.3">
      <c r="A574">
        <v>0.26221258927277113</v>
      </c>
      <c r="B574">
        <f t="shared" si="46"/>
        <v>172.36153216237977</v>
      </c>
      <c r="C574">
        <f t="shared" si="47"/>
        <v>172</v>
      </c>
    </row>
    <row r="575" spans="1:3" x14ac:dyDescent="0.3">
      <c r="A575">
        <v>0.61234093967517467</v>
      </c>
      <c r="B575">
        <f t="shared" si="46"/>
        <v>183.4251068283566</v>
      </c>
      <c r="C575">
        <f t="shared" si="47"/>
        <v>183</v>
      </c>
    </row>
    <row r="576" spans="1:3" x14ac:dyDescent="0.3">
      <c r="A576">
        <v>0.30708152538454525</v>
      </c>
      <c r="B576">
        <f t="shared" si="46"/>
        <v>173.95032086856918</v>
      </c>
      <c r="C576">
        <f t="shared" si="47"/>
        <v>173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7D078-9386-496A-9BFA-7C765D9FBA76}">
  <sheetPr codeName="Arkusz2"/>
  <dimension ref="A1:I576"/>
  <sheetViews>
    <sheetView workbookViewId="0">
      <selection activeCell="E3" sqref="E3"/>
    </sheetView>
  </sheetViews>
  <sheetFormatPr defaultRowHeight="14.4" x14ac:dyDescent="0.3"/>
  <cols>
    <col min="2" max="2" width="9.109375" bestFit="1" customWidth="1"/>
    <col min="3" max="3" width="9.109375" customWidth="1"/>
  </cols>
  <sheetData>
    <row r="1" spans="1:9" x14ac:dyDescent="0.3">
      <c r="A1" t="s">
        <v>0</v>
      </c>
      <c r="B1" t="s">
        <v>1</v>
      </c>
      <c r="C1" t="s">
        <v>10</v>
      </c>
      <c r="D1" t="s">
        <v>8</v>
      </c>
      <c r="E1" t="s">
        <v>9</v>
      </c>
      <c r="F1" t="s">
        <v>1</v>
      </c>
    </row>
    <row r="2" spans="1:9" x14ac:dyDescent="0.3">
      <c r="A2">
        <v>0.24276493519666398</v>
      </c>
      <c r="B2" cm="1">
        <f t="array" ref="B2">_xlfn.NORM.INV(A2,_mu,_sigma)</f>
        <v>171.63076592315741</v>
      </c>
      <c r="C2">
        <f>2*A2-1</f>
        <v>-0.51447012960667204</v>
      </c>
      <c r="E2">
        <f>IF(AND(D3&gt;0,D3&lt;1),C2/SQRT(D3)*SQRT(-2*LN(D3)),"Brak")</f>
        <v>-1.6293257403623975</v>
      </c>
      <c r="F2">
        <f t="shared" ref="F2:F65" si="0">IF(ISNUMBER(E2),_mu+E2*_sigma,"Brak")</f>
        <v>160.44809111565124</v>
      </c>
    </row>
    <row r="3" spans="1:9" x14ac:dyDescent="0.3">
      <c r="A3">
        <v>0.5073201726046721</v>
      </c>
      <c r="B3" cm="1">
        <f t="array" ref="B3">_xlfn.NORM.INV(A3,_mu,_sigma)</f>
        <v>180.2201997765666</v>
      </c>
      <c r="C3">
        <f t="shared" ref="C3:C66" si="1">2*A3-1</f>
        <v>1.4640345209344208E-2</v>
      </c>
      <c r="D3">
        <f>SUMSQ(C2:C3)</f>
        <v>0.2648938539653547</v>
      </c>
      <c r="E3">
        <f>IF(AND(D3&gt;0,D3&lt;1),C3/SQRT(D3)*SQRT(-2*LN(D3)),"Brak")</f>
        <v>4.6365940264817419E-2</v>
      </c>
      <c r="F3">
        <f t="shared" si="0"/>
        <v>180.55639128317782</v>
      </c>
    </row>
    <row r="4" spans="1:9" x14ac:dyDescent="0.3">
      <c r="A4">
        <v>0.92654464018037397</v>
      </c>
      <c r="B4" cm="1">
        <f t="array" ref="B4">_xlfn.NORM.INV(A4,_mu,_sigma)</f>
        <v>197.40636258231183</v>
      </c>
      <c r="C4">
        <f t="shared" si="1"/>
        <v>0.85308928036074794</v>
      </c>
      <c r="E4">
        <f t="shared" ref="E4" si="2">IF(AND(D5&gt;0,D5&lt;1),C4/SQRT(D5)*SQRT(-2*LN(D5)),"Brak")</f>
        <v>0.30224901396698961</v>
      </c>
      <c r="F4">
        <f t="shared" si="0"/>
        <v>183.62698816760388</v>
      </c>
      <c r="H4" t="s">
        <v>4</v>
      </c>
      <c r="I4">
        <f>AVERAGE(B:B)</f>
        <v>180.14116334220842</v>
      </c>
    </row>
    <row r="5" spans="1:9" x14ac:dyDescent="0.3">
      <c r="A5">
        <v>0.73173037411830499</v>
      </c>
      <c r="B5" cm="1">
        <f t="array" ref="B5">_xlfn.NORM.INV(A5,_mu,_sigma)</f>
        <v>187.41665694843471</v>
      </c>
      <c r="C5">
        <f t="shared" si="1"/>
        <v>0.46346074823660999</v>
      </c>
      <c r="D5">
        <f t="shared" ref="D5" si="3">SUMSQ(C4:C5)</f>
        <v>0.94255718542245726</v>
      </c>
      <c r="E5">
        <f t="shared" ref="E5" si="4">IF(AND(D5&gt;0,D5&lt;1),C5/SQRT(D5)*SQRT(-2*LN(D5)),"Brak")</f>
        <v>0.16420386164937201</v>
      </c>
      <c r="F5">
        <f t="shared" si="0"/>
        <v>181.97044633979246</v>
      </c>
      <c r="H5" t="s">
        <v>5</v>
      </c>
      <c r="I5">
        <f>_xlfn.STDEV.S(B:B)</f>
        <v>11.324787050532525</v>
      </c>
    </row>
    <row r="6" spans="1:9" x14ac:dyDescent="0.3">
      <c r="A6">
        <v>0.44468844205936264</v>
      </c>
      <c r="B6" cm="1">
        <f t="array" ref="B6">_xlfn.NORM.INV(A6,_mu,_sigma)</f>
        <v>178.33088740880117</v>
      </c>
      <c r="C6">
        <f t="shared" si="1"/>
        <v>-0.11062311588127471</v>
      </c>
      <c r="E6">
        <f t="shared" ref="E6" si="5">IF(AND(D7&gt;0,D7&lt;1),C6/SQRT(D7)*SQRT(-2*LN(D7)),"Brak")</f>
        <v>-0.17001410390215521</v>
      </c>
      <c r="F6">
        <f t="shared" si="0"/>
        <v>177.95983075317415</v>
      </c>
      <c r="H6" t="s">
        <v>6</v>
      </c>
      <c r="I6">
        <f>COUNT(B:B)</f>
        <v>575</v>
      </c>
    </row>
    <row r="7" spans="1:9" x14ac:dyDescent="0.3">
      <c r="A7">
        <v>0.13920742027230026</v>
      </c>
      <c r="B7" cm="1">
        <f t="array" ref="B7">_xlfn.NORM.INV(A7,_mu,_sigma)</f>
        <v>166.99335427506355</v>
      </c>
      <c r="C7">
        <f t="shared" si="1"/>
        <v>-0.72158515945539947</v>
      </c>
      <c r="D7">
        <f t="shared" ref="D7" si="6">SUMSQ(C6:C7)</f>
        <v>0.53292261611355618</v>
      </c>
      <c r="E7">
        <f t="shared" ref="E7" si="7">IF(AND(D7&gt;0,D7&lt;1),C7/SQRT(D7)*SQRT(-2*LN(D7)),"Brak")</f>
        <v>-1.108987514016224</v>
      </c>
      <c r="F7">
        <f t="shared" si="0"/>
        <v>166.69214983180532</v>
      </c>
    </row>
    <row r="8" spans="1:9" x14ac:dyDescent="0.3">
      <c r="A8">
        <v>0.80998604487404124</v>
      </c>
      <c r="B8" cm="1">
        <f t="array" ref="B8">_xlfn.NORM.INV(A8,_mu,_sigma)</f>
        <v>190.534138447174</v>
      </c>
      <c r="C8">
        <f t="shared" si="1"/>
        <v>0.61997208974808249</v>
      </c>
      <c r="E8">
        <f t="shared" ref="E8" si="8">IF(AND(D9&gt;0,D9&lt;1),C8/SQRT(D9)*SQRT(-2*LN(D9)),"Brak")</f>
        <v>1.2472066701820597</v>
      </c>
      <c r="F8">
        <f t="shared" si="0"/>
        <v>194.96648004218471</v>
      </c>
      <c r="H8" t="s">
        <v>4</v>
      </c>
      <c r="I8">
        <f>AVERAGE(E:E)</f>
        <v>-3.3191755395191001E-2</v>
      </c>
    </row>
    <row r="9" spans="1:9" x14ac:dyDescent="0.3">
      <c r="A9">
        <v>0.59955913913534242</v>
      </c>
      <c r="B9" cm="1">
        <f t="array" ref="B9">_xlfn.NORM.INV(A9,_mu,_sigma)</f>
        <v>183.02647384592296</v>
      </c>
      <c r="C9">
        <f t="shared" si="1"/>
        <v>0.19911827827068485</v>
      </c>
      <c r="D9">
        <f t="shared" ref="D9" si="9">SUMSQ(C8:C9)</f>
        <v>0.42401348080808637</v>
      </c>
      <c r="E9">
        <f t="shared" ref="E9" si="10">IF(AND(D9&gt;0,D9&lt;1),C9/SQRT(D9)*SQRT(-2*LN(D9)),"Brak")</f>
        <v>0.4005690722549719</v>
      </c>
      <c r="F9">
        <f t="shared" si="0"/>
        <v>184.80682886705966</v>
      </c>
      <c r="H9" t="s">
        <v>5</v>
      </c>
      <c r="I9">
        <f>_xlfn.STDEV.S(E:E)</f>
        <v>1.0004391023180736</v>
      </c>
    </row>
    <row r="10" spans="1:9" x14ac:dyDescent="0.3">
      <c r="A10">
        <v>0.20925832098822394</v>
      </c>
      <c r="B10" cm="1">
        <f t="array" ref="B10">_xlfn.NORM.INV(A10,_mu,_sigma)</f>
        <v>170.29203120361876</v>
      </c>
      <c r="C10">
        <f t="shared" si="1"/>
        <v>-0.58148335802355211</v>
      </c>
      <c r="E10" t="str">
        <f t="shared" ref="E10" si="11">IF(AND(D11&gt;0,D11&lt;1),C10/SQRT(D11)*SQRT(-2*LN(D11)),"Brak")</f>
        <v>Brak</v>
      </c>
      <c r="F10" t="str">
        <f t="shared" si="0"/>
        <v>Brak</v>
      </c>
      <c r="H10" t="s">
        <v>6</v>
      </c>
      <c r="I10">
        <f>COUNT(E:E)</f>
        <v>464</v>
      </c>
    </row>
    <row r="11" spans="1:9" x14ac:dyDescent="0.3">
      <c r="A11">
        <v>4.098708174114285E-3</v>
      </c>
      <c r="B11" cm="1">
        <f t="array" ref="B11">_xlfn.NORM.INV(A11,_mu,_sigma)</f>
        <v>148.27405724734206</v>
      </c>
      <c r="C11">
        <f t="shared" si="1"/>
        <v>-0.99180258365177143</v>
      </c>
      <c r="D11">
        <f t="shared" ref="D11" si="12">SUMSQ(C10:C11)</f>
        <v>1.3217952605966756</v>
      </c>
      <c r="E11" t="str">
        <f t="shared" ref="E11" si="13">IF(AND(D11&gt;0,D11&lt;1),C11/SQRT(D11)*SQRT(-2*LN(D11)),"Brak")</f>
        <v>Brak</v>
      </c>
      <c r="F11" t="str">
        <f t="shared" si="0"/>
        <v>Brak</v>
      </c>
    </row>
    <row r="12" spans="1:9" x14ac:dyDescent="0.3">
      <c r="A12">
        <v>0.17451158736417027</v>
      </c>
      <c r="B12" cm="1">
        <f t="array" ref="B12">_xlfn.NORM.INV(A12,_mu,_sigma)</f>
        <v>168.76217166763962</v>
      </c>
      <c r="C12">
        <f t="shared" si="1"/>
        <v>-0.65097682527165945</v>
      </c>
      <c r="E12">
        <f t="shared" ref="E12" si="14">IF(AND(D13&gt;0,D13&lt;1),C12/SQRT(D13)*SQRT(-2*LN(D13)),"Brak")</f>
        <v>-1.2734222413063581</v>
      </c>
      <c r="F12">
        <f t="shared" si="0"/>
        <v>164.7189331043237</v>
      </c>
      <c r="H12" t="s">
        <v>4</v>
      </c>
      <c r="I12">
        <f>AVERAGE(F:F)</f>
        <v>179.6016989352577</v>
      </c>
    </row>
    <row r="13" spans="1:9" x14ac:dyDescent="0.3">
      <c r="A13">
        <v>0.44694762915690001</v>
      </c>
      <c r="B13" cm="1">
        <f t="array" ref="B13">_xlfn.NORM.INV(A13,_mu,_sigma)</f>
        <v>178.39947636561473</v>
      </c>
      <c r="C13">
        <f t="shared" si="1"/>
        <v>-0.10610474168619999</v>
      </c>
      <c r="D13">
        <f t="shared" ref="D13" si="15">SUMSQ(C12:C13)</f>
        <v>0.43502904324906383</v>
      </c>
      <c r="E13">
        <f t="shared" ref="E13" si="16">IF(AND(D13&gt;0,D13&lt;1),C13/SQRT(D13)*SQRT(-2*LN(D13)),"Brak")</f>
        <v>-0.20755906005545982</v>
      </c>
      <c r="F13">
        <f t="shared" si="0"/>
        <v>177.50929127933449</v>
      </c>
      <c r="H13" t="s">
        <v>5</v>
      </c>
      <c r="I13">
        <f>_xlfn.STDEV.S(F:F)</f>
        <v>12.005269227816882</v>
      </c>
    </row>
    <row r="14" spans="1:9" x14ac:dyDescent="0.3">
      <c r="A14">
        <v>0.21971961351074998</v>
      </c>
      <c r="B14" cm="1">
        <f t="array" ref="B14">_xlfn.NORM.INV(A14,_mu,_sigma)</f>
        <v>170.72231384421141</v>
      </c>
      <c r="C14">
        <f t="shared" si="1"/>
        <v>-0.56056077297850004</v>
      </c>
      <c r="E14">
        <f t="shared" ref="E14" si="17">IF(AND(D15&gt;0,D15&lt;1),C14/SQRT(D15)*SQRT(-2*LN(D15)),"Brak")</f>
        <v>-0.97511714534210447</v>
      </c>
      <c r="F14">
        <f t="shared" si="0"/>
        <v>168.29859425589476</v>
      </c>
    </row>
    <row r="15" spans="1:9" x14ac:dyDescent="0.3">
      <c r="A15">
        <v>0.70489261633726408</v>
      </c>
      <c r="B15" cm="1">
        <f t="array" ref="B15">_xlfn.NORM.INV(A15,_mu,_sigma)</f>
        <v>186.46229796669761</v>
      </c>
      <c r="C15">
        <f t="shared" si="1"/>
        <v>0.40978523267452815</v>
      </c>
      <c r="D15">
        <f t="shared" ref="D15" si="18">SUMSQ(C14:C15)</f>
        <v>0.48215231712037065</v>
      </c>
      <c r="E15">
        <f t="shared" ref="E15" si="19">IF(AND(D15&gt;0,D15&lt;1),C15/SQRT(D15)*SQRT(-2*LN(D15)),"Brak")</f>
        <v>0.71283726145472182</v>
      </c>
      <c r="F15">
        <f t="shared" si="0"/>
        <v>188.55404713745665</v>
      </c>
    </row>
    <row r="16" spans="1:9" x14ac:dyDescent="0.3">
      <c r="A16">
        <v>0.35956448561373722</v>
      </c>
      <c r="B16" cm="1">
        <f t="array" ref="B16">_xlfn.NORM.INV(A16,_mu,_sigma)</f>
        <v>175.68452223416728</v>
      </c>
      <c r="C16">
        <f t="shared" si="1"/>
        <v>-0.28087102877252557</v>
      </c>
      <c r="E16" t="str">
        <f t="shared" ref="E16" si="20">IF(AND(D17&gt;0,D17&lt;1),C16/SQRT(D17)*SQRT(-2*LN(D17)),"Brak")</f>
        <v>Brak</v>
      </c>
      <c r="F16" t="str">
        <f t="shared" si="0"/>
        <v>Brak</v>
      </c>
    </row>
    <row r="17" spans="1:6" x14ac:dyDescent="0.3">
      <c r="A17">
        <v>1.6497290671740328E-2</v>
      </c>
      <c r="B17" cm="1">
        <f t="array" ref="B17">_xlfn.NORM.INV(A17,_mu,_sigma)</f>
        <v>154.41420934592833</v>
      </c>
      <c r="C17">
        <f t="shared" si="1"/>
        <v>-0.96700541865651934</v>
      </c>
      <c r="D17">
        <f t="shared" ref="D17" si="21">SUMSQ(C16:C17)</f>
        <v>1.013988014514807</v>
      </c>
      <c r="E17" t="str">
        <f t="shared" ref="E17" si="22">IF(AND(D17&gt;0,D17&lt;1),C17/SQRT(D17)*SQRT(-2*LN(D17)),"Brak")</f>
        <v>Brak</v>
      </c>
      <c r="F17" t="str">
        <f t="shared" si="0"/>
        <v>Brak</v>
      </c>
    </row>
    <row r="18" spans="1:6" x14ac:dyDescent="0.3">
      <c r="A18">
        <v>0.77752890985289991</v>
      </c>
      <c r="B18" cm="1">
        <f t="array" ref="B18">_xlfn.NORM.INV(A18,_mu,_sigma)</f>
        <v>189.16649107159949</v>
      </c>
      <c r="C18">
        <f t="shared" si="1"/>
        <v>0.55505781970579982</v>
      </c>
      <c r="E18">
        <f t="shared" ref="E18" si="23">IF(AND(D19&gt;0,D19&lt;1),C18/SQRT(D19)*SQRT(-2*LN(D19)),"Brak")</f>
        <v>0.52381868387405572</v>
      </c>
      <c r="F18">
        <f t="shared" si="0"/>
        <v>186.28582420648866</v>
      </c>
    </row>
    <row r="19" spans="1:6" x14ac:dyDescent="0.3">
      <c r="A19">
        <v>0.82257556176624524</v>
      </c>
      <c r="B19" cm="1">
        <f t="array" ref="B19">_xlfn.NORM.INV(A19,_mu,_sigma)</f>
        <v>191.10270012474703</v>
      </c>
      <c r="C19">
        <f t="shared" si="1"/>
        <v>0.64515112353249049</v>
      </c>
      <c r="D19">
        <f t="shared" ref="D19" si="24">SUMSQ(C18:C19)</f>
        <v>0.72430915541179097</v>
      </c>
      <c r="E19">
        <f t="shared" ref="E19" si="25">IF(AND(D19&gt;0,D19&lt;1),C19/SQRT(D19)*SQRT(-2*LN(D19)),"Brak")</f>
        <v>0.60884145836874937</v>
      </c>
      <c r="F19">
        <f t="shared" si="0"/>
        <v>187.30609750042498</v>
      </c>
    </row>
    <row r="20" spans="1:6" x14ac:dyDescent="0.3">
      <c r="A20">
        <v>0.51847346299776897</v>
      </c>
      <c r="B20" cm="1">
        <f t="array" ref="B20">_xlfn.NORM.INV(A20,_mu,_sigma)</f>
        <v>180.55587198956383</v>
      </c>
      <c r="C20">
        <f t="shared" si="1"/>
        <v>3.6946925995537949E-2</v>
      </c>
      <c r="E20">
        <f t="shared" ref="E20" si="26">IF(AND(D21&gt;0,D21&lt;1),C20/SQRT(D21)*SQRT(-2*LN(D21)),"Brak")</f>
        <v>0.23990346037795302</v>
      </c>
      <c r="F20">
        <f t="shared" si="0"/>
        <v>182.87884152453543</v>
      </c>
    </row>
    <row r="21" spans="1:6" x14ac:dyDescent="0.3">
      <c r="A21">
        <v>0.33801639629565405</v>
      </c>
      <c r="B21" cm="1">
        <f t="array" ref="B21">_xlfn.NORM.INV(A21,_mu,_sigma)</f>
        <v>174.98540613607881</v>
      </c>
      <c r="C21">
        <f t="shared" si="1"/>
        <v>-0.32396720740869189</v>
      </c>
      <c r="D21">
        <f t="shared" ref="D21" si="27">SUMSQ(C20:C21)</f>
        <v>0.10631982681670615</v>
      </c>
      <c r="E21">
        <f t="shared" ref="E21" si="28">IF(AND(D21&gt;0,D21&lt;1),C21/SQRT(D21)*SQRT(-2*LN(D21)),"Brak")</f>
        <v>-2.103581069659584</v>
      </c>
      <c r="F21">
        <f t="shared" si="0"/>
        <v>154.757027164085</v>
      </c>
    </row>
    <row r="22" spans="1:6" x14ac:dyDescent="0.3">
      <c r="A22">
        <v>0.52477961713984778</v>
      </c>
      <c r="B22" cm="1">
        <f t="array" ref="B22">_xlfn.NORM.INV(A22,_mu,_sigma)</f>
        <v>180.74583938941507</v>
      </c>
      <c r="C22">
        <f t="shared" si="1"/>
        <v>4.9559234279695552E-2</v>
      </c>
      <c r="E22">
        <f t="shared" ref="E22" si="29">IF(AND(D23&gt;0,D23&lt;1),C22/SQRT(D23)*SQRT(-2*LN(D23)),"Brak")</f>
        <v>0.2018330565080122</v>
      </c>
      <c r="F22">
        <f t="shared" si="0"/>
        <v>182.42199667809615</v>
      </c>
    </row>
    <row r="23" spans="1:6" x14ac:dyDescent="0.3">
      <c r="A23">
        <v>0.27985219889352675</v>
      </c>
      <c r="B23" cm="1">
        <f t="array" ref="B23">_xlfn.NORM.INV(A23,_mu,_sigma)</f>
        <v>173.00063240205623</v>
      </c>
      <c r="C23">
        <f t="shared" si="1"/>
        <v>-0.4402956022129465</v>
      </c>
      <c r="D23">
        <f t="shared" ref="D23" si="30">SUMSQ(C22:C23)</f>
        <v>0.19631633503045096</v>
      </c>
      <c r="E23">
        <f t="shared" ref="E23" si="31">IF(AND(D23&gt;0,D23&lt;1),C23/SQRT(D23)*SQRT(-2*LN(D23)),"Brak")</f>
        <v>-1.7931311581640688</v>
      </c>
      <c r="F23">
        <f t="shared" si="0"/>
        <v>158.48242610203118</v>
      </c>
    </row>
    <row r="24" spans="1:6" x14ac:dyDescent="0.3">
      <c r="A24">
        <v>0.23795933473187736</v>
      </c>
      <c r="B24" cm="1">
        <f t="array" ref="B24">_xlfn.NORM.INV(A24,_mu,_sigma)</f>
        <v>171.44541388742061</v>
      </c>
      <c r="C24">
        <f t="shared" si="1"/>
        <v>-0.52408133053624528</v>
      </c>
      <c r="E24" t="str">
        <f t="shared" ref="E24" si="32">IF(AND(D25&gt;0,D25&lt;1),C24/SQRT(D25)*SQRT(-2*LN(D25)),"Brak")</f>
        <v>Brak</v>
      </c>
      <c r="F24" t="str">
        <f t="shared" si="0"/>
        <v>Brak</v>
      </c>
    </row>
    <row r="25" spans="1:6" x14ac:dyDescent="0.3">
      <c r="A25">
        <v>0.96331496341254785</v>
      </c>
      <c r="B25" cm="1">
        <f t="array" ref="B25">_xlfn.NORM.INV(A25,_mu,_sigma)</f>
        <v>201.48626105513395</v>
      </c>
      <c r="C25">
        <f t="shared" si="1"/>
        <v>0.92662992682509571</v>
      </c>
      <c r="D25">
        <f t="shared" ref="D25" si="33">SUMSQ(C24:C25)</f>
        <v>1.1333042623045233</v>
      </c>
      <c r="E25" t="str">
        <f t="shared" ref="E25" si="34">IF(AND(D25&gt;0,D25&lt;1),C25/SQRT(D25)*SQRT(-2*LN(D25)),"Brak")</f>
        <v>Brak</v>
      </c>
      <c r="F25" t="str">
        <f t="shared" si="0"/>
        <v>Brak</v>
      </c>
    </row>
    <row r="26" spans="1:6" x14ac:dyDescent="0.3">
      <c r="A26">
        <v>0.79963977055455016</v>
      </c>
      <c r="B26" cm="1">
        <f t="array" ref="B26">_xlfn.NORM.INV(A26,_mu,_sigma)</f>
        <v>190.08402264832677</v>
      </c>
      <c r="C26">
        <f t="shared" si="1"/>
        <v>0.59927954110910031</v>
      </c>
      <c r="E26">
        <f t="shared" ref="E26" si="35">IF(AND(D27&gt;0,D27&lt;1),C26/SQRT(D27)*SQRT(-2*LN(D27)),"Brak")</f>
        <v>0.76637418258932344</v>
      </c>
      <c r="F26">
        <f t="shared" si="0"/>
        <v>189.19649019107189</v>
      </c>
    </row>
    <row r="27" spans="1:6" x14ac:dyDescent="0.3">
      <c r="A27">
        <v>0.74951686484577862</v>
      </c>
      <c r="B27" cm="1">
        <f t="array" ref="B27">_xlfn.NORM.INV(A27,_mu,_sigma)</f>
        <v>188.07564200968488</v>
      </c>
      <c r="C27">
        <f t="shared" si="1"/>
        <v>0.49903372969155724</v>
      </c>
      <c r="D27">
        <f t="shared" ref="D27" si="36">SUMSQ(C26:C27)</f>
        <v>0.60817063176180008</v>
      </c>
      <c r="E27">
        <f t="shared" ref="E27" si="37">IF(AND(D27&gt;0,D27&lt;1),C27/SQRT(D27)*SQRT(-2*LN(D27)),"Brak")</f>
        <v>0.6381772452452924</v>
      </c>
      <c r="F27">
        <f t="shared" si="0"/>
        <v>187.65812694294351</v>
      </c>
    </row>
    <row r="28" spans="1:6" x14ac:dyDescent="0.3">
      <c r="A28">
        <v>0.66812021476462613</v>
      </c>
      <c r="B28" cm="1">
        <f t="array" ref="B28">_xlfn.NORM.INV(A28,_mu,_sigma)</f>
        <v>185.21674098277526</v>
      </c>
      <c r="C28">
        <f t="shared" si="1"/>
        <v>0.33624042952925226</v>
      </c>
      <c r="E28">
        <f t="shared" ref="E28" si="38">IF(AND(D29&gt;0,D29&lt;1),C28/SQRT(D29)*SQRT(-2*LN(D29)),"Brak")</f>
        <v>0.89311220844679962</v>
      </c>
      <c r="F28">
        <f t="shared" si="0"/>
        <v>190.71734650136159</v>
      </c>
    </row>
    <row r="29" spans="1:6" x14ac:dyDescent="0.3">
      <c r="A29">
        <v>0.27167084288881249</v>
      </c>
      <c r="B29" cm="1">
        <f t="array" ref="B29">_xlfn.NORM.INV(A29,_mu,_sigma)</f>
        <v>172.7067899720235</v>
      </c>
      <c r="C29">
        <f t="shared" si="1"/>
        <v>-0.45665831422237502</v>
      </c>
      <c r="D29">
        <f t="shared" ref="D29" si="39">SUMSQ(C28:C29)</f>
        <v>0.32159444239843743</v>
      </c>
      <c r="E29">
        <f t="shared" ref="E29" si="40">IF(AND(D29&gt;0,D29&lt;1),C29/SQRT(D29)*SQRT(-2*LN(D29)),"Brak")</f>
        <v>-1.2129627483873293</v>
      </c>
      <c r="F29">
        <f t="shared" si="0"/>
        <v>165.44444701935205</v>
      </c>
    </row>
    <row r="30" spans="1:6" x14ac:dyDescent="0.3">
      <c r="A30">
        <v>0.36159318770702575</v>
      </c>
      <c r="B30" cm="1">
        <f t="array" ref="B30">_xlfn.NORM.INV(A30,_mu,_sigma)</f>
        <v>175.74955791389343</v>
      </c>
      <c r="C30">
        <f t="shared" si="1"/>
        <v>-0.27681362458594849</v>
      </c>
      <c r="E30">
        <f t="shared" ref="E30" si="41">IF(AND(D31&gt;0,D31&lt;1),C30/SQRT(D31)*SQRT(-2*LN(D31)),"Brak")</f>
        <v>-1.4230208277698257</v>
      </c>
      <c r="F30">
        <f t="shared" si="0"/>
        <v>162.9237500667621</v>
      </c>
    </row>
    <row r="31" spans="1:6" x14ac:dyDescent="0.3">
      <c r="A31">
        <v>0.63145723687035471</v>
      </c>
      <c r="B31" cm="1">
        <f t="array" ref="B31">_xlfn.NORM.INV(A31,_mu,_sigma)</f>
        <v>184.02858424926671</v>
      </c>
      <c r="C31">
        <f t="shared" si="1"/>
        <v>0.26291447374070942</v>
      </c>
      <c r="D31">
        <f t="shared" ref="D31" si="42">SUMSQ(C30:C31)</f>
        <v>0.1457498032587646</v>
      </c>
      <c r="E31">
        <f t="shared" ref="E31" si="43">IF(AND(D31&gt;0,D31&lt;1),C31/SQRT(D31)*SQRT(-2*LN(D31)),"Brak")</f>
        <v>1.3515692105646595</v>
      </c>
      <c r="F31">
        <f t="shared" si="0"/>
        <v>196.21883052677592</v>
      </c>
    </row>
    <row r="32" spans="1:6" x14ac:dyDescent="0.3">
      <c r="A32">
        <v>0.23861870853883516</v>
      </c>
      <c r="B32" cm="1">
        <f t="array" ref="B32">_xlfn.NORM.INV(A32,_mu,_sigma)</f>
        <v>171.47096606861058</v>
      </c>
      <c r="C32">
        <f t="shared" si="1"/>
        <v>-0.52276258292232969</v>
      </c>
      <c r="E32">
        <f t="shared" ref="E32" si="44">IF(AND(D33&gt;0,D33&lt;1),C32/SQRT(D33)*SQRT(-2*LN(D33)),"Brak")</f>
        <v>-1.3456895522600045</v>
      </c>
      <c r="F32">
        <f t="shared" si="0"/>
        <v>163.85172537287994</v>
      </c>
    </row>
    <row r="33" spans="1:6" x14ac:dyDescent="0.3">
      <c r="A33">
        <v>0.37841135087059963</v>
      </c>
      <c r="B33" cm="1">
        <f t="array" ref="B33">_xlfn.NORM.INV(A33,_mu,_sigma)</f>
        <v>176.28413014127841</v>
      </c>
      <c r="C33">
        <f t="shared" si="1"/>
        <v>-0.24317729825880074</v>
      </c>
      <c r="D33">
        <f t="shared" ref="D33" si="45">SUMSQ(C32:C33)</f>
        <v>0.33241591649207536</v>
      </c>
      <c r="E33">
        <f t="shared" ref="E33" si="46">IF(AND(D33&gt;0,D33&lt;1),C33/SQRT(D33)*SQRT(-2*LN(D33)),"Brak")</f>
        <v>-0.62598426188873491</v>
      </c>
      <c r="F33">
        <f t="shared" si="0"/>
        <v>172.48818885733519</v>
      </c>
    </row>
    <row r="34" spans="1:6" x14ac:dyDescent="0.3">
      <c r="A34">
        <v>0.9066359271958585</v>
      </c>
      <c r="B34" cm="1">
        <f t="array" ref="B34">_xlfn.NORM.INV(A34,_mu,_sigma)</f>
        <v>195.84384198608348</v>
      </c>
      <c r="C34">
        <f t="shared" si="1"/>
        <v>0.81327185439171701</v>
      </c>
      <c r="E34" t="str">
        <f t="shared" ref="E34" si="47">IF(AND(D35&gt;0,D35&lt;1),C34/SQRT(D35)*SQRT(-2*LN(D35)),"Brak")</f>
        <v>Brak</v>
      </c>
      <c r="F34" t="str">
        <f t="shared" si="0"/>
        <v>Brak</v>
      </c>
    </row>
    <row r="35" spans="1:6" x14ac:dyDescent="0.3">
      <c r="A35">
        <v>0.84258705076754181</v>
      </c>
      <c r="B35" cm="1">
        <f t="array" ref="B35">_xlfn.NORM.INV(A35,_mu,_sigma)</f>
        <v>192.06176831010873</v>
      </c>
      <c r="C35">
        <f t="shared" si="1"/>
        <v>0.68517410153508362</v>
      </c>
      <c r="D35">
        <f t="shared" ref="D35" si="48">SUMSQ(C34:C35)</f>
        <v>1.1308746585601512</v>
      </c>
      <c r="E35" t="str">
        <f t="shared" ref="E35" si="49">IF(AND(D35&gt;0,D35&lt;1),C35/SQRT(D35)*SQRT(-2*LN(D35)),"Brak")</f>
        <v>Brak</v>
      </c>
      <c r="F35" t="str">
        <f t="shared" si="0"/>
        <v>Brak</v>
      </c>
    </row>
    <row r="36" spans="1:6" x14ac:dyDescent="0.3">
      <c r="A36">
        <v>0.32538819272472841</v>
      </c>
      <c r="B36" cm="1">
        <f t="array" ref="B36">_xlfn.NORM.INV(A36,_mu,_sigma)</f>
        <v>174.5677933833864</v>
      </c>
      <c r="C36">
        <f t="shared" si="1"/>
        <v>-0.34922361455054318</v>
      </c>
      <c r="E36">
        <f t="shared" ref="E36" si="50">IF(AND(D37&gt;0,D37&lt;1),C36/SQRT(D37)*SQRT(-2*LN(D37)),"Brak")</f>
        <v>-2.0440415029679011</v>
      </c>
      <c r="F36">
        <f t="shared" si="0"/>
        <v>155.4715019643852</v>
      </c>
    </row>
    <row r="37" spans="1:6" x14ac:dyDescent="0.3">
      <c r="A37">
        <v>0.4878142563045984</v>
      </c>
      <c r="B37" cm="1">
        <f t="array" ref="B37">_xlfn.NORM.INV(A37,_mu,_sigma)</f>
        <v>179.63340142753398</v>
      </c>
      <c r="C37">
        <f t="shared" si="1"/>
        <v>-2.4371487390803193E-2</v>
      </c>
      <c r="D37">
        <f t="shared" ref="D37" si="51">SUMSQ(C36:C37)</f>
        <v>0.12255110235738643</v>
      </c>
      <c r="E37">
        <f t="shared" ref="E37" si="52">IF(AND(D37&gt;0,D37&lt;1),C37/SQRT(D37)*SQRT(-2*LN(D37)),"Brak")</f>
        <v>-0.14264880620966908</v>
      </c>
      <c r="F37">
        <f t="shared" si="0"/>
        <v>178.28821432548398</v>
      </c>
    </row>
    <row r="38" spans="1:6" x14ac:dyDescent="0.3">
      <c r="A38">
        <v>0.34920586519446084</v>
      </c>
      <c r="B38" cm="1">
        <f t="array" ref="B38">_xlfn.NORM.INV(A38,_mu,_sigma)</f>
        <v>175.35041577161104</v>
      </c>
      <c r="C38">
        <f t="shared" si="1"/>
        <v>-0.30158826961107832</v>
      </c>
      <c r="E38">
        <f t="shared" ref="E38" si="53">IF(AND(D39&gt;0,D39&lt;1),C38/SQRT(D39)*SQRT(-2*LN(D39)),"Brak")</f>
        <v>-0.71077486555274783</v>
      </c>
      <c r="F38">
        <f t="shared" si="0"/>
        <v>171.47070161336703</v>
      </c>
    </row>
    <row r="39" spans="1:6" x14ac:dyDescent="0.3">
      <c r="A39">
        <v>0.76124276681600589</v>
      </c>
      <c r="B39" cm="1">
        <f t="array" ref="B39">_xlfn.NORM.INV(A39,_mu,_sigma)</f>
        <v>188.52367071350147</v>
      </c>
      <c r="C39">
        <f t="shared" si="1"/>
        <v>0.52248553363201178</v>
      </c>
      <c r="D39">
        <f t="shared" ref="D39" si="54">SUMSQ(C38:C39)</f>
        <v>0.36394661722173255</v>
      </c>
      <c r="E39">
        <f t="shared" ref="E39" si="55">IF(AND(D39&gt;0,D39&lt;1),C39/SQRT(D39)*SQRT(-2*LN(D39)),"Brak")</f>
        <v>1.231379408089907</v>
      </c>
      <c r="F39">
        <f t="shared" si="0"/>
        <v>194.77655289707889</v>
      </c>
    </row>
    <row r="40" spans="1:6" x14ac:dyDescent="0.3">
      <c r="A40">
        <v>0.65719590684890306</v>
      </c>
      <c r="B40" cm="1">
        <f t="array" ref="B40">_xlfn.NORM.INV(A40,_mu,_sigma)</f>
        <v>184.85786677421808</v>
      </c>
      <c r="C40">
        <f t="shared" si="1"/>
        <v>0.31439181369780611</v>
      </c>
      <c r="E40">
        <f t="shared" ref="E40" si="56">IF(AND(D41&gt;0,D41&lt;1),C40/SQRT(D41)*SQRT(-2*LN(D41)),"Brak")</f>
        <v>0.20422291107287599</v>
      </c>
      <c r="F40">
        <f t="shared" si="0"/>
        <v>182.45067493287451</v>
      </c>
    </row>
    <row r="41" spans="1:6" x14ac:dyDescent="0.3">
      <c r="A41">
        <v>7.0141428315509402E-2</v>
      </c>
      <c r="B41" cm="1">
        <f t="array" ref="B41">_xlfn.NORM.INV(A41,_mu,_sigma)</f>
        <v>162.30313780043011</v>
      </c>
      <c r="C41">
        <f t="shared" si="1"/>
        <v>-0.8597171433689812</v>
      </c>
      <c r="D41">
        <f t="shared" ref="D41" si="57">SUMSQ(C40:C41)</f>
        <v>0.83795577912271735</v>
      </c>
      <c r="E41">
        <f t="shared" ref="E41" si="58">IF(AND(D41&gt;0,D41&lt;1),C41/SQRT(D41)*SQRT(-2*LN(D41)),"Brak")</f>
        <v>-0.55845581872189709</v>
      </c>
      <c r="F41">
        <f t="shared" si="0"/>
        <v>173.29853017533725</v>
      </c>
    </row>
    <row r="42" spans="1:6" x14ac:dyDescent="0.3">
      <c r="A42">
        <v>0.31472480904054612</v>
      </c>
      <c r="B42" cm="1">
        <f t="array" ref="B42">_xlfn.NORM.INV(A42,_mu,_sigma)</f>
        <v>174.20998005665393</v>
      </c>
      <c r="C42">
        <f t="shared" si="1"/>
        <v>-0.37055038191890777</v>
      </c>
      <c r="E42">
        <f t="shared" ref="E42" si="59">IF(AND(D43&gt;0,D43&lt;1),C42/SQRT(D43)*SQRT(-2*LN(D43)),"Brak")</f>
        <v>-1.0034642113930461</v>
      </c>
      <c r="F42">
        <f t="shared" si="0"/>
        <v>167.95842946328344</v>
      </c>
    </row>
    <row r="43" spans="1:6" x14ac:dyDescent="0.3">
      <c r="A43">
        <v>0.71078192031077803</v>
      </c>
      <c r="B43" cm="1">
        <f t="array" ref="B43">_xlfn.NORM.INV(A43,_mu,_sigma)</f>
        <v>186.66804542784516</v>
      </c>
      <c r="C43">
        <f t="shared" si="1"/>
        <v>0.42156384062155605</v>
      </c>
      <c r="D43">
        <f t="shared" ref="D43" si="60">SUMSQ(C42:C43)</f>
        <v>0.31502365725984516</v>
      </c>
      <c r="E43">
        <f t="shared" ref="E43" si="61">IF(AND(D43&gt;0,D43&lt;1),C43/SQRT(D43)*SQRT(-2*LN(D43)),"Brak")</f>
        <v>1.1416105542530766</v>
      </c>
      <c r="F43">
        <f t="shared" si="0"/>
        <v>193.69932665103693</v>
      </c>
    </row>
    <row r="44" spans="1:6" x14ac:dyDescent="0.3">
      <c r="A44">
        <v>0.61580058009020533</v>
      </c>
      <c r="B44" cm="1">
        <f t="array" ref="B44">_xlfn.NORM.INV(A44,_mu,_sigma)</f>
        <v>183.53363912683398</v>
      </c>
      <c r="C44">
        <f t="shared" si="1"/>
        <v>0.23160116018041066</v>
      </c>
      <c r="E44">
        <f t="shared" ref="E44" si="62">IF(AND(D45&gt;0,D45&lt;1),C44/SQRT(D45)*SQRT(-2*LN(D45)),"Brak")</f>
        <v>2.0991188652444581</v>
      </c>
      <c r="F44">
        <f t="shared" si="0"/>
        <v>205.1894263829335</v>
      </c>
    </row>
    <row r="45" spans="1:6" x14ac:dyDescent="0.3">
      <c r="A45">
        <v>0.55587883069991351</v>
      </c>
      <c r="B45" cm="1">
        <f t="array" ref="B45">_xlfn.NORM.INV(A45,_mu,_sigma)</f>
        <v>181.68634348191574</v>
      </c>
      <c r="C45">
        <f t="shared" si="1"/>
        <v>0.11175766139982701</v>
      </c>
      <c r="D45">
        <f t="shared" ref="D45" si="63">SUMSQ(C44:C45)</f>
        <v>6.6128872278470613E-2</v>
      </c>
      <c r="E45">
        <f t="shared" ref="E45" si="64">IF(AND(D45&gt;0,D45&lt;1),C45/SQRT(D45)*SQRT(-2*LN(D45)),"Brak")</f>
        <v>1.0129164085241988</v>
      </c>
      <c r="F45">
        <f t="shared" si="0"/>
        <v>192.15499690229038</v>
      </c>
    </row>
    <row r="46" spans="1:6" x14ac:dyDescent="0.3">
      <c r="A46">
        <v>0.65727476055187373</v>
      </c>
      <c r="B46" cm="1">
        <f t="array" ref="B46">_xlfn.NORM.INV(A46,_mu,_sigma)</f>
        <v>184.86044130714868</v>
      </c>
      <c r="C46">
        <f t="shared" si="1"/>
        <v>0.31454952110374745</v>
      </c>
      <c r="E46">
        <f t="shared" ref="E46" si="65">IF(AND(D47&gt;0,D47&lt;1),C46/SQRT(D47)*SQRT(-2*LN(D47)),"Brak")</f>
        <v>0.30555735955417307</v>
      </c>
      <c r="F46">
        <f t="shared" si="0"/>
        <v>183.66668831465009</v>
      </c>
    </row>
    <row r="47" spans="1:6" x14ac:dyDescent="0.3">
      <c r="A47">
        <v>0.89212699408368967</v>
      </c>
      <c r="B47" cm="1">
        <f t="array" ref="B47">_xlfn.NORM.INV(A47,_mu,_sigma)</f>
        <v>194.85503073997572</v>
      </c>
      <c r="C47">
        <f t="shared" si="1"/>
        <v>0.78425398816737935</v>
      </c>
      <c r="D47">
        <f t="shared" ref="D47" si="66">SUMSQ(C46:C47)</f>
        <v>0.71399571918303684</v>
      </c>
      <c r="E47">
        <f t="shared" ref="E47" si="67">IF(AND(D47&gt;0,D47&lt;1),C47/SQRT(D47)*SQRT(-2*LN(D47)),"Brak")</f>
        <v>0.76183418433886529</v>
      </c>
      <c r="F47">
        <f t="shared" si="0"/>
        <v>189.1420102120664</v>
      </c>
    </row>
    <row r="48" spans="1:6" x14ac:dyDescent="0.3">
      <c r="A48">
        <v>0.41629437103122158</v>
      </c>
      <c r="B48" cm="1">
        <f t="array" ref="B48">_xlfn.NORM.INV(A48,_mu,_sigma)</f>
        <v>177.46340893661505</v>
      </c>
      <c r="C48">
        <f t="shared" si="1"/>
        <v>-0.16741125793755685</v>
      </c>
      <c r="E48">
        <f t="shared" ref="E48" si="68">IF(AND(D49&gt;0,D49&lt;1),C48/SQRT(D49)*SQRT(-2*LN(D49)),"Brak")</f>
        <v>-2.6703733528887934</v>
      </c>
      <c r="F48">
        <f t="shared" si="0"/>
        <v>147.95551976533449</v>
      </c>
    </row>
    <row r="49" spans="1:6" x14ac:dyDescent="0.3">
      <c r="A49">
        <v>0.49625084817137433</v>
      </c>
      <c r="B49" cm="1">
        <f t="array" ref="B49">_xlfn.NORM.INV(A49,_mu,_sigma)</f>
        <v>179.88722558022965</v>
      </c>
      <c r="C49">
        <f t="shared" si="1"/>
        <v>-7.4983036572513484E-3</v>
      </c>
      <c r="D49">
        <f t="shared" ref="D49" si="69">SUMSQ(C48:C49)</f>
        <v>2.8082753841971536E-2</v>
      </c>
      <c r="E49">
        <f t="shared" ref="E49" si="70">IF(AND(D49&gt;0,D49&lt;1),C49/SQRT(D49)*SQRT(-2*LN(D49)),"Brak")</f>
        <v>-0.11960527938725074</v>
      </c>
      <c r="F49">
        <f t="shared" si="0"/>
        <v>178.56473664735299</v>
      </c>
    </row>
    <row r="50" spans="1:6" x14ac:dyDescent="0.3">
      <c r="A50">
        <v>0.92754519418945258</v>
      </c>
      <c r="B50" cm="1">
        <f t="array" ref="B50">_xlfn.NORM.INV(A50,_mu,_sigma)</f>
        <v>197.49299360292142</v>
      </c>
      <c r="C50">
        <f t="shared" si="1"/>
        <v>0.85509038837890516</v>
      </c>
      <c r="E50">
        <f t="shared" ref="E50" si="71">IF(AND(D51&gt;0,D51&lt;1),C50/SQRT(D51)*SQRT(-2*LN(D51)),"Brak")</f>
        <v>0.25147435184609607</v>
      </c>
      <c r="F50">
        <f t="shared" si="0"/>
        <v>183.01769222215316</v>
      </c>
    </row>
    <row r="51" spans="1:6" x14ac:dyDescent="0.3">
      <c r="A51">
        <v>0.7388419484120321</v>
      </c>
      <c r="B51" cm="1">
        <f t="array" ref="B51">_xlfn.NORM.INV(A51,_mu,_sigma)</f>
        <v>187.67735139377521</v>
      </c>
      <c r="C51">
        <f t="shared" si="1"/>
        <v>0.4776838968240642</v>
      </c>
      <c r="D51">
        <f t="shared" ref="D51" si="72">SUMSQ(C50:C51)</f>
        <v>0.95936147758301016</v>
      </c>
      <c r="E51">
        <f t="shared" ref="E51" si="73">IF(AND(D51&gt;0,D51&lt;1),C51/SQRT(D51)*SQRT(-2*LN(D51)),"Brak")</f>
        <v>0.14048251503432807</v>
      </c>
      <c r="F51">
        <f t="shared" si="0"/>
        <v>181.68579018041194</v>
      </c>
    </row>
    <row r="52" spans="1:6" x14ac:dyDescent="0.3">
      <c r="A52">
        <v>0.55290035725466402</v>
      </c>
      <c r="B52" cm="1">
        <f t="array" ref="B52">_xlfn.NORM.INV(A52,_mu,_sigma)</f>
        <v>181.59591040138156</v>
      </c>
      <c r="C52">
        <f t="shared" si="1"/>
        <v>0.10580071450932804</v>
      </c>
      <c r="E52">
        <f t="shared" ref="E52" si="74">IF(AND(D53&gt;0,D53&lt;1),C52/SQRT(D53)*SQRT(-2*LN(D53)),"Brak")</f>
        <v>0.54334321958362286</v>
      </c>
      <c r="F52">
        <f t="shared" si="0"/>
        <v>186.52011863500348</v>
      </c>
    </row>
    <row r="53" spans="1:6" x14ac:dyDescent="0.3">
      <c r="A53">
        <v>0.68354133684001472</v>
      </c>
      <c r="B53" cm="1">
        <f t="array" ref="B53">_xlfn.NORM.INV(A53,_mu,_sigma)</f>
        <v>185.73149675679946</v>
      </c>
      <c r="C53">
        <f t="shared" si="1"/>
        <v>0.36708267368002945</v>
      </c>
      <c r="D53">
        <f t="shared" ref="D53" si="75">SUMSQ(C52:C53)</f>
        <v>0.14594348050676331</v>
      </c>
      <c r="E53">
        <f t="shared" ref="E53" si="76">IF(AND(D53&gt;0,D53&lt;1),C53/SQRT(D53)*SQRT(-2*LN(D53)),"Brak")</f>
        <v>1.8851657353702151</v>
      </c>
      <c r="F53">
        <f t="shared" si="0"/>
        <v>202.62198882444258</v>
      </c>
    </row>
    <row r="54" spans="1:6" x14ac:dyDescent="0.3">
      <c r="A54">
        <v>0.26658797425520342</v>
      </c>
      <c r="B54" cm="1">
        <f t="array" ref="B54">_xlfn.NORM.INV(A54,_mu,_sigma)</f>
        <v>172.5220172505544</v>
      </c>
      <c r="C54">
        <f t="shared" si="1"/>
        <v>-0.46682405148959316</v>
      </c>
      <c r="E54">
        <f t="shared" ref="E54" si="77">IF(AND(D55&gt;0,D55&lt;1),C54/SQRT(D55)*SQRT(-2*LN(D55)),"Brak")</f>
        <v>-0.96373290342931628</v>
      </c>
      <c r="F54">
        <f t="shared" si="0"/>
        <v>168.43520515884819</v>
      </c>
    </row>
    <row r="55" spans="1:6" x14ac:dyDescent="0.3">
      <c r="A55">
        <v>0.72136079394921293</v>
      </c>
      <c r="B55" cm="1">
        <f t="array" ref="B55">_xlfn.NORM.INV(A55,_mu,_sigma)</f>
        <v>187.0426652463147</v>
      </c>
      <c r="C55">
        <f t="shared" si="1"/>
        <v>0.44272158789842586</v>
      </c>
      <c r="D55">
        <f t="shared" ref="D55" si="78">SUMSQ(C54:C55)</f>
        <v>0.41392709944046191</v>
      </c>
      <c r="E55">
        <f t="shared" ref="E55" si="79">IF(AND(D55&gt;0,D55&lt;1),C55/SQRT(D55)*SQRT(-2*LN(D55)),"Brak")</f>
        <v>0.91397467622916351</v>
      </c>
      <c r="F55">
        <f t="shared" si="0"/>
        <v>190.96769611474997</v>
      </c>
    </row>
    <row r="56" spans="1:6" x14ac:dyDescent="0.3">
      <c r="A56">
        <v>0.75956995277425354</v>
      </c>
      <c r="B56" cm="1">
        <f t="array" ref="B56">_xlfn.NORM.INV(A56,_mu,_sigma)</f>
        <v>188.45903862263484</v>
      </c>
      <c r="C56">
        <f t="shared" si="1"/>
        <v>0.51913990554850709</v>
      </c>
      <c r="E56">
        <f t="shared" ref="E56" si="80">IF(AND(D57&gt;0,D57&lt;1),C56/SQRT(D57)*SQRT(-2*LN(D57)),"Brak")</f>
        <v>1.0225939794287349</v>
      </c>
      <c r="F56">
        <f t="shared" si="0"/>
        <v>192.27112775314481</v>
      </c>
    </row>
    <row r="57" spans="1:6" x14ac:dyDescent="0.3">
      <c r="A57">
        <v>0.70173301770959395</v>
      </c>
      <c r="B57" cm="1">
        <f t="array" ref="B57">_xlfn.NORM.INV(A57,_mu,_sigma)</f>
        <v>186.35269676876177</v>
      </c>
      <c r="C57">
        <f t="shared" si="1"/>
        <v>0.40346603541918791</v>
      </c>
      <c r="D57">
        <f t="shared" ref="D57" si="81">SUMSQ(C56:C57)</f>
        <v>0.43229108326979027</v>
      </c>
      <c r="E57">
        <f t="shared" ref="E57" si="82">IF(AND(D57&gt;0,D57&lt;1),C57/SQRT(D57)*SQRT(-2*LN(D57)),"Brak")</f>
        <v>0.79474132948366016</v>
      </c>
      <c r="F57">
        <f t="shared" si="0"/>
        <v>189.53689595380393</v>
      </c>
    </row>
    <row r="58" spans="1:6" x14ac:dyDescent="0.3">
      <c r="A58">
        <v>6.9262185457556913E-2</v>
      </c>
      <c r="B58" cm="1">
        <f t="array" ref="B58">_xlfn.NORM.INV(A58,_mu,_sigma)</f>
        <v>162.22429738865574</v>
      </c>
      <c r="C58">
        <f t="shared" si="1"/>
        <v>-0.86147562908488617</v>
      </c>
      <c r="E58" t="str">
        <f t="shared" ref="E58" si="83">IF(AND(D59&gt;0,D59&lt;1),C58/SQRT(D59)*SQRT(-2*LN(D59)),"Brak")</f>
        <v>Brak</v>
      </c>
      <c r="F58" t="str">
        <f t="shared" si="0"/>
        <v>Brak</v>
      </c>
    </row>
    <row r="59" spans="1:6" x14ac:dyDescent="0.3">
      <c r="A59">
        <v>0.75614813593987185</v>
      </c>
      <c r="B59" cm="1">
        <f t="array" ref="B59">_xlfn.NORM.INV(A59,_mu,_sigma)</f>
        <v>188.327588236298</v>
      </c>
      <c r="C59">
        <f t="shared" si="1"/>
        <v>0.51229627187974369</v>
      </c>
      <c r="D59">
        <f t="shared" ref="D59" si="84">SUMSQ(C58:C59)</f>
        <v>1.0045877296890846</v>
      </c>
      <c r="E59" t="str">
        <f t="shared" ref="E59" si="85">IF(AND(D59&gt;0,D59&lt;1),C59/SQRT(D59)*SQRT(-2*LN(D59)),"Brak")</f>
        <v>Brak</v>
      </c>
      <c r="F59" t="str">
        <f t="shared" si="0"/>
        <v>Brak</v>
      </c>
    </row>
    <row r="60" spans="1:6" x14ac:dyDescent="0.3">
      <c r="A60">
        <v>0.44316757290887754</v>
      </c>
      <c r="B60" cm="1">
        <f t="array" ref="B60">_xlfn.NORM.INV(A60,_mu,_sigma)</f>
        <v>178.28468320468201</v>
      </c>
      <c r="C60">
        <f t="shared" si="1"/>
        <v>-0.11366485418224492</v>
      </c>
      <c r="E60">
        <f t="shared" ref="E60" si="86">IF(AND(D61&gt;0,D61&lt;1),C60/SQRT(D61)*SQRT(-2*LN(D61)),"Brak")</f>
        <v>-1.0170581237268577</v>
      </c>
      <c r="F60">
        <f t="shared" si="0"/>
        <v>167.79530251527771</v>
      </c>
    </row>
    <row r="61" spans="1:6" x14ac:dyDescent="0.3">
      <c r="A61">
        <v>0.61668442180247041</v>
      </c>
      <c r="B61" cm="1">
        <f t="array" ref="B61">_xlfn.NORM.INV(A61,_mu,_sigma)</f>
        <v>183.56141216772113</v>
      </c>
      <c r="C61">
        <f t="shared" si="1"/>
        <v>0.23336884360494081</v>
      </c>
      <c r="D61">
        <f t="shared" ref="D61" si="87">SUMSQ(C60:C61)</f>
        <v>6.7380716241778327E-2</v>
      </c>
      <c r="E61">
        <f t="shared" ref="E61" si="88">IF(AND(D61&gt;0,D61&lt;1),C61/SQRT(D61)*SQRT(-2*LN(D61)),"Brak")</f>
        <v>2.0881536330710651</v>
      </c>
      <c r="F61">
        <f t="shared" si="0"/>
        <v>205.05784359685279</v>
      </c>
    </row>
    <row r="62" spans="1:6" x14ac:dyDescent="0.3">
      <c r="A62">
        <v>3.9326149869122085E-2</v>
      </c>
      <c r="B62" cm="1">
        <f t="array" ref="B62">_xlfn.NORM.INV(A62,_mu,_sigma)</f>
        <v>158.89728195346751</v>
      </c>
      <c r="C62">
        <f t="shared" si="1"/>
        <v>-0.92134770026175583</v>
      </c>
      <c r="E62" t="str">
        <f t="shared" ref="E62" si="89">IF(AND(D63&gt;0,D63&lt;1),C62/SQRT(D63)*SQRT(-2*LN(D63)),"Brak")</f>
        <v>Brak</v>
      </c>
      <c r="F62" t="str">
        <f t="shared" si="0"/>
        <v>Brak</v>
      </c>
    </row>
    <row r="63" spans="1:6" x14ac:dyDescent="0.3">
      <c r="A63">
        <v>0.10290325883749751</v>
      </c>
      <c r="B63" cm="1">
        <f t="array" ref="B63">_xlfn.NORM.INV(A63,_mu,_sigma)</f>
        <v>164.81783020541454</v>
      </c>
      <c r="C63">
        <f t="shared" si="1"/>
        <v>-0.79419348232500497</v>
      </c>
      <c r="D63">
        <f t="shared" ref="D63" si="90">SUMSQ(C62:C63)</f>
        <v>1.4796248721451444</v>
      </c>
      <c r="E63" t="str">
        <f t="shared" ref="E63" si="91">IF(AND(D63&gt;0,D63&lt;1),C63/SQRT(D63)*SQRT(-2*LN(D63)),"Brak")</f>
        <v>Brak</v>
      </c>
      <c r="F63" t="str">
        <f t="shared" si="0"/>
        <v>Brak</v>
      </c>
    </row>
    <row r="64" spans="1:6" x14ac:dyDescent="0.3">
      <c r="A64">
        <v>0.14750026486792656</v>
      </c>
      <c r="B64" cm="1">
        <f t="array" ref="B64">_xlfn.NORM.INV(A64,_mu,_sigma)</f>
        <v>167.4334226316885</v>
      </c>
      <c r="C64">
        <f t="shared" si="1"/>
        <v>-0.70499947026414689</v>
      </c>
      <c r="E64">
        <f t="shared" ref="E64" si="92">IF(AND(D65&gt;0,D65&lt;1),C64/SQRT(D65)*SQRT(-2*LN(D65)),"Brak")</f>
        <v>-1.1789254151525141</v>
      </c>
      <c r="F64">
        <f t="shared" si="0"/>
        <v>165.85289501816982</v>
      </c>
    </row>
    <row r="65" spans="1:6" x14ac:dyDescent="0.3">
      <c r="A65">
        <v>0.48248013968170822</v>
      </c>
      <c r="B65" cm="1">
        <f t="array" ref="B65">_xlfn.NORM.INV(A65,_mu,_sigma)</f>
        <v>179.47284116712703</v>
      </c>
      <c r="C65">
        <f t="shared" si="1"/>
        <v>-3.503972063658356E-2</v>
      </c>
      <c r="D65">
        <f t="shared" ref="D65" si="93">SUMSQ(C64:C65)</f>
        <v>0.49825203509501759</v>
      </c>
      <c r="E65">
        <f t="shared" ref="E65" si="94">IF(AND(D65&gt;0,D65&lt;1),C65/SQRT(D65)*SQRT(-2*LN(D65)),"Brak")</f>
        <v>-5.8594678351793363E-2</v>
      </c>
      <c r="F65">
        <f t="shared" si="0"/>
        <v>179.29686385977848</v>
      </c>
    </row>
    <row r="66" spans="1:6" x14ac:dyDescent="0.3">
      <c r="A66">
        <v>0.73491741660341703</v>
      </c>
      <c r="B66" cm="1">
        <f t="array" ref="B66">_xlfn.NORM.INV(A66,_mu,_sigma)</f>
        <v>187.53304685837301</v>
      </c>
      <c r="C66">
        <f t="shared" si="1"/>
        <v>0.46983483320683406</v>
      </c>
      <c r="E66">
        <f t="shared" ref="E66" si="95">IF(AND(D67&gt;0,D67&lt;1),C66/SQRT(D67)*SQRT(-2*LN(D67)),"Brak")</f>
        <v>1.2713303894278867</v>
      </c>
      <c r="F66">
        <f t="shared" ref="F66:F129" si="96">IF(ISNUMBER(E66),_mu+E66*_sigma,"Brak")</f>
        <v>195.25596467313463</v>
      </c>
    </row>
    <row r="67" spans="1:6" x14ac:dyDescent="0.3">
      <c r="A67">
        <v>0.34625961598306298</v>
      </c>
      <c r="B67" cm="1">
        <f t="array" ref="B67">_xlfn.NORM.INV(A67,_mu,_sigma)</f>
        <v>175.25473688466897</v>
      </c>
      <c r="C67">
        <f t="shared" ref="C67:C130" si="97">2*A67-1</f>
        <v>-0.30748076803387403</v>
      </c>
      <c r="D67">
        <f t="shared" ref="D67" si="98">SUMSQ(C66:C67)</f>
        <v>0.31528919320519466</v>
      </c>
      <c r="E67">
        <f t="shared" ref="E67" si="99">IF(AND(D67&gt;0,D67&lt;1),C67/SQRT(D67)*SQRT(-2*LN(D67)),"Brak")</f>
        <v>-0.83201503366184371</v>
      </c>
      <c r="F67">
        <f t="shared" si="96"/>
        <v>170.01581959605787</v>
      </c>
    </row>
    <row r="68" spans="1:6" x14ac:dyDescent="0.3">
      <c r="A68">
        <v>0.27481169037852105</v>
      </c>
      <c r="B68" cm="1">
        <f t="array" ref="B68">_xlfn.NORM.INV(A68,_mu,_sigma)</f>
        <v>172.82010507669335</v>
      </c>
      <c r="C68">
        <f t="shared" si="97"/>
        <v>-0.45037661924295791</v>
      </c>
      <c r="E68">
        <f t="shared" ref="E68" si="100">IF(AND(D69&gt;0,D69&lt;1),C68/SQRT(D69)*SQRT(-2*LN(D69)),"Brak")</f>
        <v>-0.98368862842614291</v>
      </c>
      <c r="F68">
        <f t="shared" si="96"/>
        <v>168.19573645888627</v>
      </c>
    </row>
    <row r="69" spans="1:6" x14ac:dyDescent="0.3">
      <c r="A69">
        <v>0.28236499832128636</v>
      </c>
      <c r="B69" cm="1">
        <f t="array" ref="B69">_xlfn.NORM.INV(A69,_mu,_sigma)</f>
        <v>173.09003827605108</v>
      </c>
      <c r="C69">
        <f t="shared" si="97"/>
        <v>-0.43527000335742727</v>
      </c>
      <c r="D69">
        <f t="shared" ref="D69" si="101">SUMSQ(C68:C69)</f>
        <v>0.39229907498349104</v>
      </c>
      <c r="E69">
        <f t="shared" ref="E69" si="102">IF(AND(D69&gt;0,D69&lt;1),C69/SQRT(D69)*SQRT(-2*LN(D69)),"Brak")</f>
        <v>-0.95069356246206849</v>
      </c>
      <c r="F69">
        <f t="shared" si="96"/>
        <v>168.59167725045518</v>
      </c>
    </row>
    <row r="70" spans="1:6" x14ac:dyDescent="0.3">
      <c r="A70">
        <v>0.24775672161796924</v>
      </c>
      <c r="B70" cm="1">
        <f t="array" ref="B70">_xlfn.NORM.INV(A70,_mu,_sigma)</f>
        <v>171.82120843914771</v>
      </c>
      <c r="C70">
        <f t="shared" si="97"/>
        <v>-0.50448655676406151</v>
      </c>
      <c r="E70">
        <f t="shared" ref="E70" si="103">IF(AND(D71&gt;0,D71&lt;1),C70/SQRT(D71)*SQRT(-2*LN(D71)),"Brak")</f>
        <v>-0.73404601318238649</v>
      </c>
      <c r="F70">
        <f t="shared" si="96"/>
        <v>171.19144784181137</v>
      </c>
    </row>
    <row r="71" spans="1:6" x14ac:dyDescent="0.3">
      <c r="A71">
        <v>0.22570898151717156</v>
      </c>
      <c r="B71" cm="1">
        <f t="array" ref="B71">_xlfn.NORM.INV(A71,_mu,_sigma)</f>
        <v>170.96336194431032</v>
      </c>
      <c r="C71">
        <f t="shared" si="97"/>
        <v>-0.54858203696565688</v>
      </c>
      <c r="D71">
        <f t="shared" ref="D71" si="104">SUMSQ(C70:C71)</f>
        <v>0.55544893723704802</v>
      </c>
      <c r="E71">
        <f t="shared" ref="E71" si="105">IF(AND(D71&gt;0,D71&lt;1),C71/SQRT(D71)*SQRT(-2*LN(D71)),"Brak")</f>
        <v>-0.79820651658402986</v>
      </c>
      <c r="F71">
        <f t="shared" si="96"/>
        <v>170.42152180099163</v>
      </c>
    </row>
    <row r="72" spans="1:6" x14ac:dyDescent="0.3">
      <c r="A72">
        <v>0.34702014565708872</v>
      </c>
      <c r="B72" cm="1">
        <f t="array" ref="B72">_xlfn.NORM.INV(A72,_mu,_sigma)</f>
        <v>175.27946359729833</v>
      </c>
      <c r="C72">
        <f t="shared" si="97"/>
        <v>-0.30595970868582256</v>
      </c>
      <c r="E72">
        <f t="shared" ref="E72" si="106">IF(AND(D73&gt;0,D73&lt;1),C72/SQRT(D73)*SQRT(-2*LN(D73)),"Brak")</f>
        <v>-0.38934518160281639</v>
      </c>
      <c r="F72">
        <f t="shared" si="96"/>
        <v>175.32785782076621</v>
      </c>
    </row>
    <row r="73" spans="1:6" x14ac:dyDescent="0.3">
      <c r="A73">
        <v>0.14064307553280542</v>
      </c>
      <c r="B73" cm="1">
        <f t="array" ref="B73">_xlfn.NORM.INV(A73,_mu,_sigma)</f>
        <v>167.07078473383334</v>
      </c>
      <c r="C73">
        <f t="shared" si="97"/>
        <v>-0.71871384893438917</v>
      </c>
      <c r="D73">
        <f t="shared" ref="D73" si="107">SUMSQ(C72:C73)</f>
        <v>0.61016093998919729</v>
      </c>
      <c r="E73">
        <f t="shared" ref="E73" si="108">IF(AND(D73&gt;0,D73&lt;1),C73/SQRT(D73)*SQRT(-2*LN(D73)),"Brak")</f>
        <v>-0.91459027476445443</v>
      </c>
      <c r="F73">
        <f t="shared" si="96"/>
        <v>169.02491670282654</v>
      </c>
    </row>
    <row r="74" spans="1:6" x14ac:dyDescent="0.3">
      <c r="A74">
        <v>0.88113536598095665</v>
      </c>
      <c r="B74" cm="1">
        <f t="array" ref="B74">_xlfn.NORM.INV(A74,_mu,_sigma)</f>
        <v>194.1681781635906</v>
      </c>
      <c r="C74">
        <f t="shared" si="97"/>
        <v>0.76227073196191331</v>
      </c>
      <c r="E74">
        <f t="shared" ref="E74" si="109">IF(AND(D75&gt;0,D75&lt;1),C74/SQRT(D75)*SQRT(-2*LN(D75)),"Brak")</f>
        <v>0.11501905696370189</v>
      </c>
      <c r="F74">
        <f t="shared" si="96"/>
        <v>181.38022868356441</v>
      </c>
    </row>
    <row r="75" spans="1:6" x14ac:dyDescent="0.3">
      <c r="A75">
        <v>0.18072348538018213</v>
      </c>
      <c r="B75" cm="1">
        <f t="array" ref="B75">_xlfn.NORM.INV(A75,_mu,_sigma)</f>
        <v>169.04866352517735</v>
      </c>
      <c r="C75">
        <f t="shared" si="97"/>
        <v>-0.63855302923963575</v>
      </c>
      <c r="D75">
        <f t="shared" ref="D75" si="110">SUMSQ(C74:C75)</f>
        <v>0.98880663995686624</v>
      </c>
      <c r="E75">
        <f t="shared" ref="E75" si="111">IF(AND(D75&gt;0,D75&lt;1),C75/SQRT(D75)*SQRT(-2*LN(D75)),"Brak")</f>
        <v>-9.6351288544721095E-2</v>
      </c>
      <c r="F75">
        <f t="shared" si="96"/>
        <v>178.84378453746334</v>
      </c>
    </row>
    <row r="76" spans="1:6" x14ac:dyDescent="0.3">
      <c r="A76">
        <v>0.55285050038404782</v>
      </c>
      <c r="B76" cm="1">
        <f t="array" ref="B76">_xlfn.NORM.INV(A76,_mu,_sigma)</f>
        <v>181.59439742119028</v>
      </c>
      <c r="C76">
        <f t="shared" si="97"/>
        <v>0.10570100076809563</v>
      </c>
      <c r="E76">
        <f t="shared" ref="E76" si="112">IF(AND(D77&gt;0,D77&lt;1),C76/SQRT(D77)*SQRT(-2*LN(D77)),"Brak")</f>
        <v>1.4926371451904816</v>
      </c>
      <c r="F76">
        <f t="shared" si="96"/>
        <v>197.91164574228577</v>
      </c>
    </row>
    <row r="77" spans="1:6" x14ac:dyDescent="0.3">
      <c r="A77">
        <v>0.42456675794241672</v>
      </c>
      <c r="B77" cm="1">
        <f t="array" ref="B77">_xlfn.NORM.INV(A77,_mu,_sigma)</f>
        <v>177.71731063231849</v>
      </c>
      <c r="C77">
        <f t="shared" si="97"/>
        <v>-0.15086648411516657</v>
      </c>
      <c r="D77">
        <f t="shared" ref="D77" si="113">SUMSQ(C76:C77)</f>
        <v>3.3933397592648754E-2</v>
      </c>
      <c r="E77">
        <f t="shared" ref="E77" si="114">IF(AND(D77&gt;0,D77&lt;1),C77/SQRT(D77)*SQRT(-2*LN(D77)),"Brak")</f>
        <v>-2.1304331701517576</v>
      </c>
      <c r="F77">
        <f t="shared" si="96"/>
        <v>154.43480195817892</v>
      </c>
    </row>
    <row r="78" spans="1:6" x14ac:dyDescent="0.3">
      <c r="A78">
        <v>0.31898623183284625</v>
      </c>
      <c r="B78" cm="1">
        <f t="array" ref="B78">_xlfn.NORM.INV(A78,_mu,_sigma)</f>
        <v>174.35357376922673</v>
      </c>
      <c r="C78">
        <f t="shared" si="97"/>
        <v>-0.36202753633430751</v>
      </c>
      <c r="E78">
        <f t="shared" ref="E78" si="115">IF(AND(D79&gt;0,D79&lt;1),C78/SQRT(D79)*SQRT(-2*LN(D79)),"Brak")</f>
        <v>-0.3398036697835301</v>
      </c>
      <c r="F78">
        <f t="shared" si="96"/>
        <v>175.92235596259763</v>
      </c>
    </row>
    <row r="79" spans="1:6" x14ac:dyDescent="0.3">
      <c r="A79">
        <v>0.1142673924926324</v>
      </c>
      <c r="B79" cm="1">
        <f t="array" ref="B79">_xlfn.NORM.INV(A79,_mu,_sigma)</f>
        <v>165.55029867264236</v>
      </c>
      <c r="C79">
        <f t="shared" si="97"/>
        <v>-0.77146521501473519</v>
      </c>
      <c r="D79">
        <f t="shared" ref="D79" si="116">SUMSQ(C78:C79)</f>
        <v>0.72622251504201996</v>
      </c>
      <c r="E79">
        <f t="shared" ref="E79" si="117">IF(AND(D79&gt;0,D79&lt;1),C79/SQRT(D79)*SQRT(-2*LN(D79)),"Brak")</f>
        <v>-0.72410710474319473</v>
      </c>
      <c r="F79">
        <f t="shared" si="96"/>
        <v>171.31071474308166</v>
      </c>
    </row>
    <row r="80" spans="1:6" x14ac:dyDescent="0.3">
      <c r="A80">
        <v>0.20283169348990215</v>
      </c>
      <c r="B80" cm="1">
        <f t="array" ref="B80">_xlfn.NORM.INV(A80,_mu,_sigma)</f>
        <v>170.02140833905128</v>
      </c>
      <c r="C80">
        <f t="shared" si="97"/>
        <v>-0.59433661302019569</v>
      </c>
      <c r="E80">
        <f t="shared" ref="E80" si="118">IF(AND(D81&gt;0,D81&lt;1),C80/SQRT(D81)*SQRT(-2*LN(D81)),"Brak")</f>
        <v>-1.3937335803252726</v>
      </c>
      <c r="F80">
        <f t="shared" si="96"/>
        <v>163.27519703609673</v>
      </c>
    </row>
    <row r="81" spans="1:6" x14ac:dyDescent="0.3">
      <c r="A81">
        <v>0.44400571641422337</v>
      </c>
      <c r="B81" cm="1">
        <f t="array" ref="B81">_xlfn.NORM.INV(A81,_mu,_sigma)</f>
        <v>178.31014921589872</v>
      </c>
      <c r="C81">
        <f t="shared" si="97"/>
        <v>-0.11198856717155325</v>
      </c>
      <c r="D81">
        <f t="shared" ref="D81" si="119">SUMSQ(C80:C81)</f>
        <v>0.36577744875345536</v>
      </c>
      <c r="E81">
        <f t="shared" ref="E81" si="120">IF(AND(D81&gt;0,D81&lt;1),C81/SQRT(D81)*SQRT(-2*LN(D81)),"Brak")</f>
        <v>-0.26261586996357988</v>
      </c>
      <c r="F81">
        <f t="shared" si="96"/>
        <v>176.84860956043704</v>
      </c>
    </row>
    <row r="82" spans="1:6" x14ac:dyDescent="0.3">
      <c r="A82">
        <v>0.88786427108272681</v>
      </c>
      <c r="B82" cm="1">
        <f t="array" ref="B82">_xlfn.NORM.INV(A82,_mu,_sigma)</f>
        <v>194.58297789901133</v>
      </c>
      <c r="C82">
        <f t="shared" si="97"/>
        <v>0.77572854216545362</v>
      </c>
      <c r="E82">
        <f t="shared" ref="E82" si="121">IF(AND(D83&gt;0,D83&lt;1),C82/SQRT(D83)*SQRT(-2*LN(D83)),"Brak")</f>
        <v>0.86544128862822267</v>
      </c>
      <c r="F82">
        <f t="shared" si="96"/>
        <v>190.38529546353868</v>
      </c>
    </row>
    <row r="83" spans="1:6" x14ac:dyDescent="0.3">
      <c r="A83">
        <v>0.37703569092853895</v>
      </c>
      <c r="B83" cm="1">
        <f t="array" ref="B83">_xlfn.NORM.INV(A83,_mu,_sigma)</f>
        <v>176.24069431135999</v>
      </c>
      <c r="C83">
        <f t="shared" si="97"/>
        <v>-0.24592861814292211</v>
      </c>
      <c r="D83">
        <f t="shared" ref="D83" si="122">SUMSQ(C82:C83)</f>
        <v>0.66223565635182713</v>
      </c>
      <c r="E83">
        <f t="shared" ref="E83" si="123">IF(AND(D83&gt;0,D83&lt;1),C83/SQRT(D83)*SQRT(-2*LN(D83)),"Brak")</f>
        <v>-0.27437018058151208</v>
      </c>
      <c r="F83">
        <f t="shared" si="96"/>
        <v>176.70755783302187</v>
      </c>
    </row>
    <row r="84" spans="1:6" x14ac:dyDescent="0.3">
      <c r="A84">
        <v>0.16917545780010601</v>
      </c>
      <c r="B84" cm="1">
        <f t="array" ref="B84">_xlfn.NORM.INV(A84,_mu,_sigma)</f>
        <v>168.51085553755908</v>
      </c>
      <c r="C84">
        <f t="shared" si="97"/>
        <v>-0.66164908439978798</v>
      </c>
      <c r="E84">
        <f t="shared" ref="E84" si="124">IF(AND(D85&gt;0,D85&lt;1),C84/SQRT(D85)*SQRT(-2*LN(D85)),"Brak")</f>
        <v>-1.2732603730702508</v>
      </c>
      <c r="F84">
        <f t="shared" si="96"/>
        <v>164.72087552315699</v>
      </c>
    </row>
    <row r="85" spans="1:6" x14ac:dyDescent="0.3">
      <c r="A85">
        <v>0.46941025099231326</v>
      </c>
      <c r="B85" cm="1">
        <f t="array" ref="B85">_xlfn.NORM.INV(A85,_mu,_sigma)</f>
        <v>179.07897095429146</v>
      </c>
      <c r="C85">
        <f t="shared" si="97"/>
        <v>-6.1179498015373479E-2</v>
      </c>
      <c r="D85">
        <f t="shared" ref="D85" si="125">SUMSQ(C84:C85)</f>
        <v>0.44152244186449086</v>
      </c>
      <c r="E85">
        <f t="shared" ref="E85" si="126">IF(AND(D85&gt;0,D85&lt;1),C85/SQRT(D85)*SQRT(-2*LN(D85)),"Brak")</f>
        <v>-0.11773224251941555</v>
      </c>
      <c r="F85">
        <f t="shared" si="96"/>
        <v>178.587213089767</v>
      </c>
    </row>
    <row r="86" spans="1:6" x14ac:dyDescent="0.3">
      <c r="A86">
        <v>0.80140068790650421</v>
      </c>
      <c r="B86" cm="1">
        <f t="array" ref="B86">_xlfn.NORM.INV(A86,_mu,_sigma)</f>
        <v>190.15961945955465</v>
      </c>
      <c r="C86">
        <f t="shared" si="97"/>
        <v>0.60280137581300841</v>
      </c>
      <c r="E86">
        <f t="shared" ref="E86" si="127">IF(AND(D87&gt;0,D87&lt;1),C86/SQRT(D87)*SQRT(-2*LN(D87)),"Brak")</f>
        <v>1.341050955471041</v>
      </c>
      <c r="F86">
        <f t="shared" si="96"/>
        <v>196.09261146565248</v>
      </c>
    </row>
    <row r="87" spans="1:6" x14ac:dyDescent="0.3">
      <c r="A87">
        <v>0.57412931151409241</v>
      </c>
      <c r="B87" cm="1">
        <f t="array" ref="B87">_xlfn.NORM.INV(A87,_mu,_sigma)</f>
        <v>182.24276422094977</v>
      </c>
      <c r="C87">
        <f t="shared" si="97"/>
        <v>0.14825862302818482</v>
      </c>
      <c r="D87">
        <f t="shared" ref="D87" si="128">SUMSQ(C86:C87)</f>
        <v>0.38535011798426921</v>
      </c>
      <c r="E87">
        <f t="shared" ref="E87" si="129">IF(AND(D87&gt;0,D87&lt;1),C87/SQRT(D87)*SQRT(-2*LN(D87)),"Brak")</f>
        <v>0.32983064745101659</v>
      </c>
      <c r="F87">
        <f t="shared" si="96"/>
        <v>183.95796776941219</v>
      </c>
    </row>
    <row r="88" spans="1:6" x14ac:dyDescent="0.3">
      <c r="A88">
        <v>0.85252485999684779</v>
      </c>
      <c r="B88" cm="1">
        <f t="array" ref="B88">_xlfn.NORM.INV(A88,_mu,_sigma)</f>
        <v>192.56788515263864</v>
      </c>
      <c r="C88">
        <f t="shared" si="97"/>
        <v>0.70504971999369559</v>
      </c>
      <c r="E88">
        <f t="shared" ref="E88" si="130">IF(AND(D89&gt;0,D89&lt;1),C88/SQRT(D89)*SQRT(-2*LN(D89)),"Brak")</f>
        <v>0.76194390267987444</v>
      </c>
      <c r="F88">
        <f t="shared" si="96"/>
        <v>189.14332683215849</v>
      </c>
    </row>
    <row r="89" spans="1:6" x14ac:dyDescent="0.3">
      <c r="A89">
        <v>0.71057103588905601</v>
      </c>
      <c r="B89" cm="1">
        <f t="array" ref="B89">_xlfn.NORM.INV(A89,_mu,_sigma)</f>
        <v>186.66064443875038</v>
      </c>
      <c r="C89">
        <f t="shared" si="97"/>
        <v>0.42114207177811203</v>
      </c>
      <c r="D89">
        <f t="shared" ref="D89" si="131">SUMSQ(C88:C89)</f>
        <v>0.67445575228474897</v>
      </c>
      <c r="E89">
        <f t="shared" ref="E89" si="132">IF(AND(D89&gt;0,D89&lt;1),C89/SQRT(D89)*SQRT(-2*LN(D89)),"Brak")</f>
        <v>0.45512624805548718</v>
      </c>
      <c r="F89">
        <f t="shared" si="96"/>
        <v>185.46151497666585</v>
      </c>
    </row>
    <row r="90" spans="1:6" x14ac:dyDescent="0.3">
      <c r="A90">
        <v>0.2614075290818153</v>
      </c>
      <c r="B90" cm="1">
        <f t="array" ref="B90">_xlfn.NORM.INV(A90,_mu,_sigma)</f>
        <v>172.33185475909536</v>
      </c>
      <c r="C90">
        <f t="shared" si="97"/>
        <v>-0.47718494183636939</v>
      </c>
      <c r="E90">
        <f t="shared" ref="E90" si="133">IF(AND(D91&gt;0,D91&lt;1),C90/SQRT(D91)*SQRT(-2*LN(D91)),"Brak")</f>
        <v>-0.86401982376512987</v>
      </c>
      <c r="F90">
        <f t="shared" si="96"/>
        <v>169.63176211481843</v>
      </c>
    </row>
    <row r="91" spans="1:6" x14ac:dyDescent="0.3">
      <c r="A91">
        <v>0.74403398491800987</v>
      </c>
      <c r="B91" cm="1">
        <f t="array" ref="B91">_xlfn.NORM.INV(A91,_mu,_sigma)</f>
        <v>187.86998762486331</v>
      </c>
      <c r="C91">
        <f t="shared" si="97"/>
        <v>0.48806796983601974</v>
      </c>
      <c r="D91">
        <f t="shared" ref="D91" si="134">SUMSQ(C90:C91)</f>
        <v>0.46591581189523312</v>
      </c>
      <c r="E91">
        <f t="shared" ref="E91" si="135">IF(AND(D91&gt;0,D91&lt;1),C91/SQRT(D91)*SQRT(-2*LN(D91)),"Brak")</f>
        <v>0.88372529036703551</v>
      </c>
      <c r="F91">
        <f t="shared" si="96"/>
        <v>190.60470348440444</v>
      </c>
    </row>
    <row r="92" spans="1:6" x14ac:dyDescent="0.3">
      <c r="A92">
        <v>0.93186880462822042</v>
      </c>
      <c r="B92" cm="1">
        <f t="array" ref="B92">_xlfn.NORM.INV(A92,_mu,_sigma)</f>
        <v>197.87825886628133</v>
      </c>
      <c r="C92">
        <f t="shared" si="97"/>
        <v>0.86373760925644083</v>
      </c>
      <c r="E92" t="str">
        <f t="shared" ref="E92" si="136">IF(AND(D93&gt;0,D93&lt;1),C92/SQRT(D93)*SQRT(-2*LN(D93)),"Brak")</f>
        <v>Brak</v>
      </c>
      <c r="F92" t="str">
        <f t="shared" si="96"/>
        <v>Brak</v>
      </c>
    </row>
    <row r="93" spans="1:6" x14ac:dyDescent="0.3">
      <c r="A93">
        <v>0.18025101293971524</v>
      </c>
      <c r="B93" cm="1">
        <f t="array" ref="B93">_xlfn.NORM.INV(A93,_mu,_sigma)</f>
        <v>169.027093174236</v>
      </c>
      <c r="C93">
        <f t="shared" si="97"/>
        <v>-0.63949797412056952</v>
      </c>
      <c r="D93">
        <f t="shared" ref="D93" si="137">SUMSQ(C92:C93)</f>
        <v>1.1550003165483447</v>
      </c>
      <c r="E93" t="str">
        <f t="shared" ref="E93" si="138">IF(AND(D93&gt;0,D93&lt;1),C93/SQRT(D93)*SQRT(-2*LN(D93)),"Brak")</f>
        <v>Brak</v>
      </c>
      <c r="F93" t="str">
        <f t="shared" si="96"/>
        <v>Brak</v>
      </c>
    </row>
    <row r="94" spans="1:6" x14ac:dyDescent="0.3">
      <c r="A94">
        <v>0.24876949217371336</v>
      </c>
      <c r="B94" cm="1">
        <f t="array" ref="B94">_xlfn.NORM.INV(A94,_mu,_sigma)</f>
        <v>171.85959518896397</v>
      </c>
      <c r="C94">
        <f t="shared" si="97"/>
        <v>-0.50246101565257328</v>
      </c>
      <c r="E94">
        <f t="shared" ref="E94" si="139">IF(AND(D95&gt;0,D95&lt;1),C94/SQRT(D95)*SQRT(-2*LN(D95)),"Brak")</f>
        <v>-1.1841177417041555</v>
      </c>
      <c r="F94">
        <f t="shared" si="96"/>
        <v>165.79058709955012</v>
      </c>
    </row>
    <row r="95" spans="1:6" x14ac:dyDescent="0.3">
      <c r="A95">
        <v>0.33304140333199883</v>
      </c>
      <c r="B95" cm="1">
        <f t="array" ref="B95">_xlfn.NORM.INV(A95,_mu,_sigma)</f>
        <v>174.82163608159712</v>
      </c>
      <c r="C95">
        <f t="shared" si="97"/>
        <v>-0.33391719333600234</v>
      </c>
      <c r="D95">
        <f t="shared" ref="D95" si="140">SUMSQ(C94:C95)</f>
        <v>0.36396776425600863</v>
      </c>
      <c r="E95">
        <f t="shared" ref="E95" si="141">IF(AND(D95&gt;0,D95&lt;1),C95/SQRT(D95)*SQRT(-2*LN(D95)),"Brak")</f>
        <v>-0.78692129453206072</v>
      </c>
      <c r="F95">
        <f t="shared" si="96"/>
        <v>170.55694446561526</v>
      </c>
    </row>
    <row r="96" spans="1:6" x14ac:dyDescent="0.3">
      <c r="A96">
        <v>6.6590692484881475E-2</v>
      </c>
      <c r="B96" cm="1">
        <f t="array" ref="B96">_xlfn.NORM.INV(A96,_mu,_sigma)</f>
        <v>161.97991493420039</v>
      </c>
      <c r="C96">
        <f t="shared" si="97"/>
        <v>-0.86681861503023705</v>
      </c>
      <c r="E96">
        <f t="shared" ref="E96" si="142">IF(AND(D97&gt;0,D97&lt;1),C96/SQRT(D97)*SQRT(-2*LN(D97)),"Brak")</f>
        <v>-0.75607389607174136</v>
      </c>
      <c r="F96">
        <f t="shared" si="96"/>
        <v>170.92711324713912</v>
      </c>
    </row>
    <row r="97" spans="1:6" x14ac:dyDescent="0.3">
      <c r="A97">
        <v>0.4980066111525725</v>
      </c>
      <c r="B97" cm="1">
        <f t="array" ref="B97">_xlfn.NORM.INV(A97,_mu,_sigma)</f>
        <v>179.94003953232721</v>
      </c>
      <c r="C97">
        <f t="shared" si="97"/>
        <v>-3.9867776948550038E-3</v>
      </c>
      <c r="D97">
        <f t="shared" ref="D97" si="143">SUMSQ(C96:C97)</f>
        <v>0.75139040575932647</v>
      </c>
      <c r="E97">
        <f t="shared" ref="E97" si="144">IF(AND(D97&gt;0,D97&lt;1),C97/SQRT(D97)*SQRT(-2*LN(D97)),"Brak")</f>
        <v>-3.4774271021115431E-3</v>
      </c>
      <c r="F97">
        <f t="shared" si="96"/>
        <v>179.95827087477466</v>
      </c>
    </row>
    <row r="98" spans="1:6" x14ac:dyDescent="0.3">
      <c r="A98">
        <v>0.88443801764472973</v>
      </c>
      <c r="B98" cm="1">
        <f t="array" ref="B98">_xlfn.NORM.INV(A98,_mu,_sigma)</f>
        <v>194.36962303250334</v>
      </c>
      <c r="C98">
        <f t="shared" si="97"/>
        <v>0.76887603528945947</v>
      </c>
      <c r="E98">
        <f t="shared" ref="E98" si="145">IF(AND(D99&gt;0,D99&lt;1),C98/SQRT(D99)*SQRT(-2*LN(D99)),"Brak")</f>
        <v>0.72293683923850705</v>
      </c>
      <c r="F98">
        <f t="shared" si="96"/>
        <v>188.67524207086208</v>
      </c>
    </row>
    <row r="99" spans="1:6" x14ac:dyDescent="0.3">
      <c r="A99">
        <v>0.68332876370192985</v>
      </c>
      <c r="B99" cm="1">
        <f t="array" ref="B99">_xlfn.NORM.INV(A99,_mu,_sigma)</f>
        <v>185.7243311255715</v>
      </c>
      <c r="C99">
        <f t="shared" si="97"/>
        <v>0.36665752740385971</v>
      </c>
      <c r="D99">
        <f t="shared" ref="D99" si="146">SUMSQ(C98:C99)</f>
        <v>0.72560810004435017</v>
      </c>
      <c r="E99">
        <f t="shared" ref="E99" si="147">IF(AND(D99&gt;0,D99&lt;1),C99/SQRT(D99)*SQRT(-2*LN(D99)),"Brak")</f>
        <v>0.34475028714422262</v>
      </c>
      <c r="F99">
        <f t="shared" si="96"/>
        <v>184.13700344573067</v>
      </c>
    </row>
    <row r="100" spans="1:6" x14ac:dyDescent="0.3">
      <c r="A100">
        <v>0.89947269962227294</v>
      </c>
      <c r="B100" cm="1">
        <f t="array" ref="B100">_xlfn.NORM.INV(A100,_mu,_sigma)</f>
        <v>195.34263290126779</v>
      </c>
      <c r="C100">
        <f t="shared" si="97"/>
        <v>0.79894539924454588</v>
      </c>
      <c r="E100">
        <f t="shared" ref="E100" si="148">IF(AND(D101&gt;0,D101&lt;1),C100/SQRT(D101)*SQRT(-2*LN(D101)),"Brak")</f>
        <v>0.44992999140513434</v>
      </c>
      <c r="F100">
        <f t="shared" si="96"/>
        <v>185.39915989686162</v>
      </c>
    </row>
    <row r="101" spans="1:6" x14ac:dyDescent="0.3">
      <c r="A101">
        <v>0.74118676375021753</v>
      </c>
      <c r="B101" cm="1">
        <f t="array" ref="B101">_xlfn.NORM.INV(A101,_mu,_sigma)</f>
        <v>187.76410143947319</v>
      </c>
      <c r="C101">
        <f t="shared" si="97"/>
        <v>0.48237352750043505</v>
      </c>
      <c r="D101">
        <f t="shared" ref="D101" si="149">SUMSQ(C100:C101)</f>
        <v>0.87099797100723986</v>
      </c>
      <c r="E101">
        <f t="shared" ref="E101" si="150">IF(AND(D101&gt;0,D101&lt;1),C101/SQRT(D101)*SQRT(-2*LN(D101)),"Brak")</f>
        <v>0.27165100054090674</v>
      </c>
      <c r="F101">
        <f t="shared" si="96"/>
        <v>183.25981200649088</v>
      </c>
    </row>
    <row r="102" spans="1:6" x14ac:dyDescent="0.3">
      <c r="A102">
        <v>0.98396494638559662</v>
      </c>
      <c r="B102" cm="1">
        <f t="array" ref="B102">_xlfn.NORM.INV(A102,_mu,_sigma)</f>
        <v>205.72242846179617</v>
      </c>
      <c r="C102">
        <f t="shared" si="97"/>
        <v>0.96792989277119323</v>
      </c>
      <c r="E102">
        <f t="shared" ref="E102" si="151">IF(AND(D103&gt;0,D103&lt;1),C102/SQRT(D103)*SQRT(-2*LN(D103)),"Brak")</f>
        <v>0.26752842375272468</v>
      </c>
      <c r="F102">
        <f t="shared" si="96"/>
        <v>183.2103410850327</v>
      </c>
    </row>
    <row r="103" spans="1:6" x14ac:dyDescent="0.3">
      <c r="A103">
        <v>0.41789417099080928</v>
      </c>
      <c r="B103" cm="1">
        <f t="array" ref="B103">_xlfn.NORM.INV(A103,_mu,_sigma)</f>
        <v>177.51259619558812</v>
      </c>
      <c r="C103">
        <f t="shared" si="97"/>
        <v>-0.16421165801838145</v>
      </c>
      <c r="D103">
        <f t="shared" ref="D103" si="152">SUMSQ(C102:C103)</f>
        <v>0.96385374594919948</v>
      </c>
      <c r="E103">
        <f t="shared" ref="E103" si="153">IF(AND(D103&gt;0,D103&lt;1),C103/SQRT(D103)*SQRT(-2*LN(D103)),"Brak")</f>
        <v>-4.5386847084248366E-2</v>
      </c>
      <c r="F103">
        <f t="shared" si="96"/>
        <v>179.45535783498903</v>
      </c>
    </row>
    <row r="104" spans="1:6" x14ac:dyDescent="0.3">
      <c r="A104">
        <v>0.91801269890931481</v>
      </c>
      <c r="B104" cm="1">
        <f t="array" ref="B104">_xlfn.NORM.INV(A104,_mu,_sigma)</f>
        <v>196.70193151137659</v>
      </c>
      <c r="C104">
        <f t="shared" si="97"/>
        <v>0.83602539781862961</v>
      </c>
      <c r="E104" t="str">
        <f t="shared" ref="E104" si="154">IF(AND(D105&gt;0,D105&lt;1),C104/SQRT(D105)*SQRT(-2*LN(D105)),"Brak")</f>
        <v>Brak</v>
      </c>
      <c r="F104" t="str">
        <f t="shared" si="96"/>
        <v>Brak</v>
      </c>
    </row>
    <row r="105" spans="1:6" x14ac:dyDescent="0.3">
      <c r="A105">
        <v>3.6191286039833015E-2</v>
      </c>
      <c r="B105" cm="1">
        <f t="array" ref="B105">_xlfn.NORM.INV(A105,_mu,_sigma)</f>
        <v>158.43954810682158</v>
      </c>
      <c r="C105">
        <f t="shared" si="97"/>
        <v>-0.92761742792033397</v>
      </c>
      <c r="D105">
        <f t="shared" ref="D105" si="155">SUMSQ(C104:C105)</f>
        <v>1.5594125583793339</v>
      </c>
      <c r="E105" t="str">
        <f t="shared" ref="E105" si="156">IF(AND(D105&gt;0,D105&lt;1),C105/SQRT(D105)*SQRT(-2*LN(D105)),"Brak")</f>
        <v>Brak</v>
      </c>
      <c r="F105" t="str">
        <f t="shared" si="96"/>
        <v>Brak</v>
      </c>
    </row>
    <row r="106" spans="1:6" x14ac:dyDescent="0.3">
      <c r="A106">
        <v>0.28331529467078476</v>
      </c>
      <c r="B106" cm="1">
        <f t="array" ref="B106">_xlfn.NORM.INV(A106,_mu,_sigma)</f>
        <v>173.1237500222162</v>
      </c>
      <c r="C106">
        <f t="shared" si="97"/>
        <v>-0.43336941065843049</v>
      </c>
      <c r="E106">
        <f t="shared" ref="E106" si="157">IF(AND(D107&gt;0,D107&lt;1),C106/SQRT(D107)*SQRT(-2*LN(D107)),"Brak")</f>
        <v>-0.46950314031442797</v>
      </c>
      <c r="F106">
        <f t="shared" si="96"/>
        <v>174.36596231622687</v>
      </c>
    </row>
    <row r="107" spans="1:6" x14ac:dyDescent="0.3">
      <c r="A107">
        <v>0.84846124480132556</v>
      </c>
      <c r="B107" cm="1">
        <f t="array" ref="B107">_xlfn.NORM.INV(A107,_mu,_sigma)</f>
        <v>192.35827449858132</v>
      </c>
      <c r="C107">
        <f t="shared" si="97"/>
        <v>0.69692248960265113</v>
      </c>
      <c r="D107">
        <f t="shared" ref="D107" si="158">SUMSQ(C106:C107)</f>
        <v>0.67351000260839278</v>
      </c>
      <c r="E107">
        <f t="shared" ref="E107" si="159">IF(AND(D107&gt;0,D107&lt;1),C107/SQRT(D107)*SQRT(-2*LN(D107)),"Brak")</f>
        <v>0.75503090291273345</v>
      </c>
      <c r="F107">
        <f t="shared" si="96"/>
        <v>189.06037083495281</v>
      </c>
    </row>
    <row r="108" spans="1:6" x14ac:dyDescent="0.3">
      <c r="A108">
        <v>0.58105074278918334</v>
      </c>
      <c r="B108" cm="1">
        <f t="array" ref="B108">_xlfn.NORM.INV(A108,_mu,_sigma)</f>
        <v>182.45498715523848</v>
      </c>
      <c r="C108">
        <f t="shared" si="97"/>
        <v>0.16210148557836668</v>
      </c>
      <c r="E108">
        <f t="shared" ref="E108" si="160">IF(AND(D109&gt;0,D109&lt;1),C108/SQRT(D109)*SQRT(-2*LN(D109)),"Brak")</f>
        <v>0.21304815496901353</v>
      </c>
      <c r="F108">
        <f t="shared" si="96"/>
        <v>182.55657785962816</v>
      </c>
    </row>
    <row r="109" spans="1:6" x14ac:dyDescent="0.3">
      <c r="A109">
        <v>0.87776012569959005</v>
      </c>
      <c r="B109" cm="1">
        <f t="array" ref="B109">_xlfn.NORM.INV(A109,_mu,_sigma)</f>
        <v>193.9663497087088</v>
      </c>
      <c r="C109">
        <f t="shared" si="97"/>
        <v>0.75552025139918011</v>
      </c>
      <c r="D109">
        <f t="shared" ref="D109" si="161">SUMSQ(C108:C109)</f>
        <v>0.59708774190099378</v>
      </c>
      <c r="E109">
        <f t="shared" ref="E109" si="162">IF(AND(D109&gt;0,D109&lt;1),C109/SQRT(D109)*SQRT(-2*LN(D109)),"Brak")</f>
        <v>0.99297174870433058</v>
      </c>
      <c r="F109">
        <f t="shared" si="96"/>
        <v>191.91566098445196</v>
      </c>
    </row>
    <row r="110" spans="1:6" x14ac:dyDescent="0.3">
      <c r="A110">
        <v>0.57237684042582782</v>
      </c>
      <c r="B110" cm="1">
        <f t="array" ref="B110">_xlfn.NORM.INV(A110,_mu,_sigma)</f>
        <v>182.18914417375638</v>
      </c>
      <c r="C110">
        <f t="shared" si="97"/>
        <v>0.14475368085165563</v>
      </c>
      <c r="E110">
        <f t="shared" ref="E110" si="163">IF(AND(D111&gt;0,D111&lt;1),C110/SQRT(D111)*SQRT(-2*LN(D111)),"Brak")</f>
        <v>0.37863670900842017</v>
      </c>
      <c r="F110">
        <f t="shared" si="96"/>
        <v>184.54364050810105</v>
      </c>
    </row>
    <row r="111" spans="1:6" x14ac:dyDescent="0.3">
      <c r="A111">
        <v>0.77654591428777808</v>
      </c>
      <c r="B111" cm="1">
        <f t="array" ref="B111">_xlfn.NORM.INV(A111,_mu,_sigma)</f>
        <v>189.12695594054298</v>
      </c>
      <c r="C111">
        <f t="shared" si="97"/>
        <v>0.55309182857555617</v>
      </c>
      <c r="D111">
        <f t="shared" ref="D111" si="164">SUMSQ(C110:C111)</f>
        <v>0.32686419895715541</v>
      </c>
      <c r="E111">
        <f t="shared" ref="E111" si="165">IF(AND(D111&gt;0,D111&lt;1),C111/SQRT(D111)*SQRT(-2*LN(D111)),"Brak")</f>
        <v>1.4467395130761032</v>
      </c>
      <c r="F111">
        <f t="shared" si="96"/>
        <v>197.36087415691324</v>
      </c>
    </row>
    <row r="112" spans="1:6" x14ac:dyDescent="0.3">
      <c r="A112">
        <v>0.93044695811961209</v>
      </c>
      <c r="B112" cm="1">
        <f t="array" ref="B112">_xlfn.NORM.INV(A112,_mu,_sigma)</f>
        <v>197.74953709013027</v>
      </c>
      <c r="C112">
        <f t="shared" si="97"/>
        <v>0.86089391623922418</v>
      </c>
      <c r="E112" t="str">
        <f t="shared" ref="E112" si="166">IF(AND(D113&gt;0,D113&lt;1),C112/SQRT(D113)*SQRT(-2*LN(D113)),"Brak")</f>
        <v>Brak</v>
      </c>
      <c r="F112" t="str">
        <f t="shared" si="96"/>
        <v>Brak</v>
      </c>
    </row>
    <row r="113" spans="1:6" x14ac:dyDescent="0.3">
      <c r="A113">
        <v>0.755360755374474</v>
      </c>
      <c r="B113" cm="1">
        <f t="array" ref="B113">_xlfn.NORM.INV(A113,_mu,_sigma)</f>
        <v>188.29748218513879</v>
      </c>
      <c r="C113">
        <f t="shared" si="97"/>
        <v>0.510721510748948</v>
      </c>
      <c r="D113">
        <f t="shared" ref="D113" si="167">SUMSQ(C112:C113)</f>
        <v>1.0019747965593961</v>
      </c>
      <c r="E113" t="str">
        <f t="shared" ref="E113" si="168">IF(AND(D113&gt;0,D113&lt;1),C113/SQRT(D113)*SQRT(-2*LN(D113)),"Brak")</f>
        <v>Brak</v>
      </c>
      <c r="F113" t="str">
        <f t="shared" si="96"/>
        <v>Brak</v>
      </c>
    </row>
    <row r="114" spans="1:6" x14ac:dyDescent="0.3">
      <c r="A114">
        <v>0.66720003932939675</v>
      </c>
      <c r="B114" cm="1">
        <f t="array" ref="B114">_xlfn.NORM.INV(A114,_mu,_sigma)</f>
        <v>185.18633623048666</v>
      </c>
      <c r="C114">
        <f t="shared" si="97"/>
        <v>0.33440007865879351</v>
      </c>
      <c r="E114">
        <f t="shared" ref="E114" si="169">IF(AND(D115&gt;0,D115&lt;1),C114/SQRT(D115)*SQRT(-2*LN(D115)),"Brak")</f>
        <v>0.53088629070282101</v>
      </c>
      <c r="F114">
        <f t="shared" si="96"/>
        <v>186.37063548843386</v>
      </c>
    </row>
    <row r="115" spans="1:6" x14ac:dyDescent="0.3">
      <c r="A115">
        <v>0.18072599027112235</v>
      </c>
      <c r="B115" cm="1">
        <f t="array" ref="B115">_xlfn.NORM.INV(A115,_mu,_sigma)</f>
        <v>169.04877778966105</v>
      </c>
      <c r="C115">
        <f t="shared" si="97"/>
        <v>-0.6385480194577553</v>
      </c>
      <c r="D115">
        <f t="shared" ref="D115" si="170">SUMSQ(C114:C115)</f>
        <v>0.51956698576042915</v>
      </c>
      <c r="E115">
        <f t="shared" ref="E115" si="171">IF(AND(D115&gt;0,D115&lt;1),C115/SQRT(D115)*SQRT(-2*LN(D115)),"Brak")</f>
        <v>-1.0137449454115017</v>
      </c>
      <c r="F115">
        <f t="shared" si="96"/>
        <v>167.83506065506197</v>
      </c>
    </row>
    <row r="116" spans="1:6" x14ac:dyDescent="0.3">
      <c r="A116">
        <v>0.49032975922688726</v>
      </c>
      <c r="B116" cm="1">
        <f t="array" ref="B116">_xlfn.NORM.INV(A116,_mu,_sigma)</f>
        <v>179.70909512210753</v>
      </c>
      <c r="C116">
        <f t="shared" si="97"/>
        <v>-1.9340481546225474E-2</v>
      </c>
      <c r="E116">
        <f t="shared" ref="E116" si="172">IF(AND(D117&gt;0,D117&lt;1),C116/SQRT(D117)*SQRT(-2*LN(D117)),"Brak")</f>
        <v>-3.2078917608805248E-2</v>
      </c>
      <c r="F116">
        <f t="shared" si="96"/>
        <v>179.61505298869434</v>
      </c>
    </row>
    <row r="117" spans="1:6" x14ac:dyDescent="0.3">
      <c r="A117">
        <v>0.14601565506146941</v>
      </c>
      <c r="B117" cm="1">
        <f t="array" ref="B117">_xlfn.NORM.INV(A117,_mu,_sigma)</f>
        <v>167.3558887743871</v>
      </c>
      <c r="C117">
        <f t="shared" si="97"/>
        <v>-0.70796868987706119</v>
      </c>
      <c r="D117">
        <f t="shared" ref="D117" si="173">SUMSQ(C116:C117)</f>
        <v>0.50159372007268233</v>
      </c>
      <c r="E117">
        <f t="shared" ref="E117" si="174">IF(AND(D117&gt;0,D117&lt;1),C117/SQRT(D117)*SQRT(-2*LN(D117)),"Brak")</f>
        <v>-1.174265967364827</v>
      </c>
      <c r="F117">
        <f t="shared" si="96"/>
        <v>165.90880839162207</v>
      </c>
    </row>
    <row r="118" spans="1:6" x14ac:dyDescent="0.3">
      <c r="A118">
        <v>0.79457664297959096</v>
      </c>
      <c r="B118" cm="1">
        <f t="array" ref="B118">_xlfn.NORM.INV(A118,_mu,_sigma)</f>
        <v>189.86885410653457</v>
      </c>
      <c r="C118">
        <f t="shared" si="97"/>
        <v>0.58915328595918193</v>
      </c>
      <c r="E118" t="str">
        <f t="shared" ref="E118" si="175">IF(AND(D119&gt;0,D119&lt;1),C118/SQRT(D119)*SQRT(-2*LN(D119)),"Brak")</f>
        <v>Brak</v>
      </c>
      <c r="F118" t="str">
        <f t="shared" si="96"/>
        <v>Brak</v>
      </c>
    </row>
    <row r="119" spans="1:6" x14ac:dyDescent="0.3">
      <c r="A119">
        <v>0.93172202693403239</v>
      </c>
      <c r="B119" cm="1">
        <f t="array" ref="B119">_xlfn.NORM.INV(A119,_mu,_sigma)</f>
        <v>197.86487550592204</v>
      </c>
      <c r="C119">
        <f t="shared" si="97"/>
        <v>0.86344405386806478</v>
      </c>
      <c r="D119">
        <f t="shared" ref="D119" si="176">SUMSQ(C118:C119)</f>
        <v>1.0926372285166193</v>
      </c>
      <c r="E119" t="str">
        <f t="shared" ref="E119" si="177">IF(AND(D119&gt;0,D119&lt;1),C119/SQRT(D119)*SQRT(-2*LN(D119)),"Brak")</f>
        <v>Brak</v>
      </c>
      <c r="F119" t="str">
        <f t="shared" si="96"/>
        <v>Brak</v>
      </c>
    </row>
    <row r="120" spans="1:6" x14ac:dyDescent="0.3">
      <c r="A120">
        <v>0.17098675155926013</v>
      </c>
      <c r="B120" cm="1">
        <f t="array" ref="B120">_xlfn.NORM.INV(A120,_mu,_sigma)</f>
        <v>168.59672278953096</v>
      </c>
      <c r="C120">
        <f t="shared" si="97"/>
        <v>-0.65802649688147974</v>
      </c>
      <c r="E120">
        <f t="shared" ref="E120" si="178">IF(AND(D121&gt;0,D121&lt;1),C120/SQRT(D121)*SQRT(-2*LN(D121)),"Brak")</f>
        <v>-0.68143661192108185</v>
      </c>
      <c r="F120">
        <f t="shared" si="96"/>
        <v>171.82276065694703</v>
      </c>
    </row>
    <row r="121" spans="1:6" x14ac:dyDescent="0.3">
      <c r="A121">
        <v>0.24625557249531749</v>
      </c>
      <c r="B121" cm="1">
        <f t="array" ref="B121">_xlfn.NORM.INV(A121,_mu,_sigma)</f>
        <v>171.76415629338445</v>
      </c>
      <c r="C121">
        <f t="shared" si="97"/>
        <v>-0.50748885500936503</v>
      </c>
      <c r="D121">
        <f t="shared" ref="D121" si="179">SUMSQ(C120:C121)</f>
        <v>0.69054380855682829</v>
      </c>
      <c r="E121">
        <f t="shared" ref="E121" si="180">IF(AND(D121&gt;0,D121&lt;1),C121/SQRT(D121)*SQRT(-2*LN(D121)),"Brak")</f>
        <v>-0.52554340529478472</v>
      </c>
      <c r="F121">
        <f t="shared" si="96"/>
        <v>173.69347913646257</v>
      </c>
    </row>
    <row r="122" spans="1:6" x14ac:dyDescent="0.3">
      <c r="A122">
        <v>0.64425384731434254</v>
      </c>
      <c r="B122" cm="1">
        <f t="array" ref="B122">_xlfn.NORM.INV(A122,_mu,_sigma)</f>
        <v>184.43823144586082</v>
      </c>
      <c r="C122">
        <f t="shared" si="97"/>
        <v>0.28850769462868509</v>
      </c>
      <c r="E122">
        <f t="shared" ref="E122" si="181">IF(AND(D123&gt;0,D123&lt;1),C122/SQRT(D123)*SQRT(-2*LN(D123)),"Brak")</f>
        <v>0.3367246253143083</v>
      </c>
      <c r="F122">
        <f t="shared" si="96"/>
        <v>184.0406955037717</v>
      </c>
    </row>
    <row r="123" spans="1:6" x14ac:dyDescent="0.3">
      <c r="A123">
        <v>0.12536500346958313</v>
      </c>
      <c r="B123" cm="1">
        <f t="array" ref="B123">_xlfn.NORM.INV(A123,_mu,_sigma)</f>
        <v>166.21706324283699</v>
      </c>
      <c r="C123">
        <f t="shared" si="97"/>
        <v>-0.74926999306083375</v>
      </c>
      <c r="D123">
        <f t="shared" ref="D123" si="182">SUMSQ(C122:C123)</f>
        <v>0.64464221236134045</v>
      </c>
      <c r="E123">
        <f t="shared" ref="E123" si="183">IF(AND(D123&gt;0,D123&lt;1),C123/SQRT(D123)*SQRT(-2*LN(D123)),"Brak")</f>
        <v>-0.87449195418297432</v>
      </c>
      <c r="F123">
        <f t="shared" si="96"/>
        <v>169.50609654980431</v>
      </c>
    </row>
    <row r="124" spans="1:6" x14ac:dyDescent="0.3">
      <c r="A124">
        <v>0.72635707216828249</v>
      </c>
      <c r="B124" cm="1">
        <f t="array" ref="B124">_xlfn.NORM.INV(A124,_mu,_sigma)</f>
        <v>187.22198609736603</v>
      </c>
      <c r="C124">
        <f t="shared" si="97"/>
        <v>0.45271414433656498</v>
      </c>
      <c r="E124">
        <f t="shared" ref="E124" si="184">IF(AND(D125&gt;0,D125&lt;1),C124/SQRT(D125)*SQRT(-2*LN(D125)),"Brak")</f>
        <v>1.7309438203190077</v>
      </c>
      <c r="F124">
        <f t="shared" si="96"/>
        <v>200.77132584382809</v>
      </c>
    </row>
    <row r="125" spans="1:6" x14ac:dyDescent="0.3">
      <c r="A125">
        <v>0.457635002043565</v>
      </c>
      <c r="B125" cm="1">
        <f t="array" ref="B125">_xlfn.NORM.INV(A125,_mu,_sigma)</f>
        <v>178.72327579219925</v>
      </c>
      <c r="C125">
        <f t="shared" si="97"/>
        <v>-8.4729995912870004E-2</v>
      </c>
      <c r="D125">
        <f t="shared" ref="D125" si="185">SUMSQ(C124:C125)</f>
        <v>0.21212926868978316</v>
      </c>
      <c r="E125">
        <f t="shared" ref="E125" si="186">IF(AND(D125&gt;0,D125&lt;1),C125/SQRT(D125)*SQRT(-2*LN(D125)),"Brak")</f>
        <v>-0.32396350910565397</v>
      </c>
      <c r="F125">
        <f t="shared" si="96"/>
        <v>176.11243789073214</v>
      </c>
    </row>
    <row r="126" spans="1:6" x14ac:dyDescent="0.3">
      <c r="A126">
        <v>0.67073263137674743</v>
      </c>
      <c r="B126" cm="1">
        <f t="array" ref="B126">_xlfn.NORM.INV(A126,_mu,_sigma)</f>
        <v>185.30324496317246</v>
      </c>
      <c r="C126">
        <f t="shared" si="97"/>
        <v>0.34146526275349487</v>
      </c>
      <c r="E126">
        <f t="shared" ref="E126" si="187">IF(AND(D127&gt;0,D127&lt;1),C126/SQRT(D127)*SQRT(-2*LN(D127)),"Brak")</f>
        <v>0.83903015258912372</v>
      </c>
      <c r="F126">
        <f t="shared" si="96"/>
        <v>190.0683618310695</v>
      </c>
    </row>
    <row r="127" spans="1:6" x14ac:dyDescent="0.3">
      <c r="A127">
        <v>0.74096329196048039</v>
      </c>
      <c r="B127" cm="1">
        <f t="array" ref="B127">_xlfn.NORM.INV(A127,_mu,_sigma)</f>
        <v>187.75581631417677</v>
      </c>
      <c r="C127">
        <f t="shared" si="97"/>
        <v>0.48192658392096077</v>
      </c>
      <c r="D127">
        <f t="shared" ref="D127" si="188">SUMSQ(C126:C127)</f>
        <v>0.34885175795704015</v>
      </c>
      <c r="E127">
        <f t="shared" ref="E127" si="189">IF(AND(D127&gt;0,D127&lt;1),C127/SQRT(D127)*SQRT(-2*LN(D127)),"Brak")</f>
        <v>1.1841641869611241</v>
      </c>
      <c r="F127">
        <f t="shared" si="96"/>
        <v>194.20997024353349</v>
      </c>
    </row>
    <row r="128" spans="1:6" x14ac:dyDescent="0.3">
      <c r="A128">
        <v>0.29637411395291835</v>
      </c>
      <c r="B128" cm="1">
        <f t="array" ref="B128">_xlfn.NORM.INV(A128,_mu,_sigma)</f>
        <v>173.58170703742462</v>
      </c>
      <c r="C128">
        <f t="shared" si="97"/>
        <v>-0.4072517720941633</v>
      </c>
      <c r="E128">
        <f t="shared" ref="E128" si="190">IF(AND(D129&gt;0,D129&lt;1),C128/SQRT(D129)*SQRT(-2*LN(D129)),"Brak")</f>
        <v>-1.7626712050093247</v>
      </c>
      <c r="F128">
        <f t="shared" si="96"/>
        <v>158.84794553988809</v>
      </c>
    </row>
    <row r="129" spans="1:6" x14ac:dyDescent="0.3">
      <c r="A129">
        <v>0.43659788016833023</v>
      </c>
      <c r="B129" cm="1">
        <f t="array" ref="B129">_xlfn.NORM.INV(A129,_mu,_sigma)</f>
        <v>178.08479362297857</v>
      </c>
      <c r="C129">
        <f t="shared" si="97"/>
        <v>-0.12680423966333954</v>
      </c>
      <c r="D129">
        <f t="shared" ref="D129" si="191">SUMSQ(C128:C129)</f>
        <v>0.18193332107043397</v>
      </c>
      <c r="E129">
        <f t="shared" ref="E129" si="192">IF(AND(D129&gt;0,D129&lt;1),C129/SQRT(D129)*SQRT(-2*LN(D129)),"Brak")</f>
        <v>-0.54883538204958315</v>
      </c>
      <c r="F129">
        <f t="shared" si="96"/>
        <v>173.41397541540499</v>
      </c>
    </row>
    <row r="130" spans="1:6" x14ac:dyDescent="0.3">
      <c r="A130">
        <v>0.11042887466428974</v>
      </c>
      <c r="B130" cm="1">
        <f t="array" ref="B130">_xlfn.NORM.INV(A130,_mu,_sigma)</f>
        <v>165.3089941716915</v>
      </c>
      <c r="C130">
        <f t="shared" si="97"/>
        <v>-0.77914225067142051</v>
      </c>
      <c r="E130" t="str">
        <f t="shared" ref="E130" si="193">IF(AND(D131&gt;0,D131&lt;1),C130/SQRT(D131)*SQRT(-2*LN(D131)),"Brak")</f>
        <v>Brak</v>
      </c>
      <c r="F130" t="str">
        <f t="shared" ref="F130:F193" si="194">IF(ISNUMBER(E130),_mu+E130*_sigma,"Brak")</f>
        <v>Brak</v>
      </c>
    </row>
    <row r="131" spans="1:6" x14ac:dyDescent="0.3">
      <c r="A131">
        <v>0.16873838954971365</v>
      </c>
      <c r="B131" cm="1">
        <f t="array" ref="B131">_xlfn.NORM.INV(A131,_mu,_sigma)</f>
        <v>168.49004739016351</v>
      </c>
      <c r="C131">
        <f t="shared" ref="C131:C194" si="195">2*A131-1</f>
        <v>-0.6625232209005727</v>
      </c>
      <c r="D131">
        <f t="shared" ref="D131" si="196">SUMSQ(C130:C131)</f>
        <v>1.0459996650137957</v>
      </c>
      <c r="E131" t="str">
        <f t="shared" ref="E131" si="197">IF(AND(D131&gt;0,D131&lt;1),C131/SQRT(D131)*SQRT(-2*LN(D131)),"Brak")</f>
        <v>Brak</v>
      </c>
      <c r="F131" t="str">
        <f t="shared" si="194"/>
        <v>Brak</v>
      </c>
    </row>
    <row r="132" spans="1:6" x14ac:dyDescent="0.3">
      <c r="A132">
        <v>0.57546256145923336</v>
      </c>
      <c r="B132" cm="1">
        <f t="array" ref="B132">_xlfn.NORM.INV(A132,_mu,_sigma)</f>
        <v>182.28358738951158</v>
      </c>
      <c r="C132">
        <f t="shared" si="195"/>
        <v>0.15092512291846671</v>
      </c>
      <c r="E132">
        <f t="shared" ref="E132" si="198">IF(AND(D133&gt;0,D133&lt;1),C132/SQRT(D133)*SQRT(-2*LN(D133)),"Brak")</f>
        <v>2.7498280502264798</v>
      </c>
      <c r="F132">
        <f t="shared" si="194"/>
        <v>212.99793660271774</v>
      </c>
    </row>
    <row r="133" spans="1:6" x14ac:dyDescent="0.3">
      <c r="A133">
        <v>0.50117838233820478</v>
      </c>
      <c r="B133" cm="1">
        <f t="array" ref="B133">_xlfn.NORM.INV(A133,_mu,_sigma)</f>
        <v>180.03544524938906</v>
      </c>
      <c r="C133">
        <f t="shared" si="195"/>
        <v>2.3567646764095507E-3</v>
      </c>
      <c r="D133">
        <f t="shared" ref="D133" si="199">SUMSQ(C132:C133)</f>
        <v>2.2783947067694255E-2</v>
      </c>
      <c r="E133">
        <f t="shared" ref="E133" si="200">IF(AND(D133&gt;0,D133&lt;1),C133/SQRT(D133)*SQRT(-2*LN(D133)),"Brak")</f>
        <v>4.2939820022375869E-2</v>
      </c>
      <c r="F133">
        <f t="shared" si="194"/>
        <v>180.51527784026851</v>
      </c>
    </row>
    <row r="134" spans="1:6" x14ac:dyDescent="0.3">
      <c r="A134">
        <v>0.33674609304233905</v>
      </c>
      <c r="B134" cm="1">
        <f t="array" ref="B134">_xlfn.NORM.INV(A134,_mu,_sigma)</f>
        <v>174.9436793895342</v>
      </c>
      <c r="C134">
        <f t="shared" si="195"/>
        <v>-0.32650781391532191</v>
      </c>
      <c r="E134">
        <f t="shared" ref="E134" si="201">IF(AND(D135&gt;0,D135&lt;1),C134/SQRT(D135)*SQRT(-2*LN(D135)),"Brak")</f>
        <v>-0.97357714961482955</v>
      </c>
      <c r="F134">
        <f t="shared" si="194"/>
        <v>168.31707420462203</v>
      </c>
    </row>
    <row r="135" spans="1:6" x14ac:dyDescent="0.3">
      <c r="A135">
        <v>0.2896894219400058</v>
      </c>
      <c r="B135" cm="1">
        <f t="array" ref="B135">_xlfn.NORM.INV(A135,_mu,_sigma)</f>
        <v>173.34849283389758</v>
      </c>
      <c r="C135">
        <f t="shared" si="195"/>
        <v>-0.4206211561199884</v>
      </c>
      <c r="D135">
        <f t="shared" ref="D135" si="202">SUMSQ(C134:C135)</f>
        <v>0.28352950952347816</v>
      </c>
      <c r="E135">
        <f t="shared" ref="E135" si="203">IF(AND(D135&gt;0,D135&lt;1),C135/SQRT(D135)*SQRT(-2*LN(D135)),"Brak")</f>
        <v>-1.2542032036917685</v>
      </c>
      <c r="F135">
        <f t="shared" si="194"/>
        <v>164.94956155569878</v>
      </c>
    </row>
    <row r="136" spans="1:6" x14ac:dyDescent="0.3">
      <c r="A136">
        <v>0.13676031349188311</v>
      </c>
      <c r="B136" cm="1">
        <f t="array" ref="B136">_xlfn.NORM.INV(A136,_mu,_sigma)</f>
        <v>166.86010930285835</v>
      </c>
      <c r="C136">
        <f t="shared" si="195"/>
        <v>-0.72647937301623378</v>
      </c>
      <c r="E136">
        <f t="shared" ref="E136" si="204">IF(AND(D137&gt;0,D137&lt;1),C136/SQRT(D137)*SQRT(-2*LN(D137)),"Brak")</f>
        <v>-0.42928743499047844</v>
      </c>
      <c r="F136">
        <f t="shared" si="194"/>
        <v>174.84855078011427</v>
      </c>
    </row>
    <row r="137" spans="1:6" x14ac:dyDescent="0.3">
      <c r="A137">
        <v>0.78841498986750458</v>
      </c>
      <c r="B137" cm="1">
        <f t="array" ref="B137">_xlfn.NORM.INV(A137,_mu,_sigma)</f>
        <v>189.61120458583807</v>
      </c>
      <c r="C137">
        <f t="shared" si="195"/>
        <v>0.57682997973500916</v>
      </c>
      <c r="D137">
        <f t="shared" ref="D137" si="205">SUMSQ(C136:C137)</f>
        <v>0.86050510493915122</v>
      </c>
      <c r="E137">
        <f t="shared" ref="E137" si="206">IF(AND(D137&gt;0,D137&lt;1),C137/SQRT(D137)*SQRT(-2*LN(D137)),"Brak")</f>
        <v>0.34085738924416553</v>
      </c>
      <c r="F137">
        <f t="shared" si="194"/>
        <v>184.09028867092999</v>
      </c>
    </row>
    <row r="138" spans="1:6" x14ac:dyDescent="0.3">
      <c r="A138">
        <v>0.86223536973674608</v>
      </c>
      <c r="B138" cm="1">
        <f t="array" ref="B138">_xlfn.NORM.INV(A138,_mu,_sigma)</f>
        <v>193.0850104358652</v>
      </c>
      <c r="C138">
        <f t="shared" si="195"/>
        <v>0.72447073947349216</v>
      </c>
      <c r="E138">
        <f t="shared" ref="E138" si="207">IF(AND(D139&gt;0,D139&lt;1),C138/SQRT(D139)*SQRT(-2*LN(D139)),"Brak")</f>
        <v>1.1312817349759277</v>
      </c>
      <c r="F138">
        <f t="shared" si="194"/>
        <v>193.57538081971114</v>
      </c>
    </row>
    <row r="139" spans="1:6" x14ac:dyDescent="0.3">
      <c r="A139">
        <v>0.48054009698218392</v>
      </c>
      <c r="B139" cm="1">
        <f t="array" ref="B139">_xlfn.NORM.INV(A139,_mu,_sigma)</f>
        <v>179.41442276403566</v>
      </c>
      <c r="C139">
        <f t="shared" si="195"/>
        <v>-3.8919806035632165E-2</v>
      </c>
      <c r="D139">
        <f t="shared" ref="D139" si="208">SUMSQ(C138:C139)</f>
        <v>0.52637260365511973</v>
      </c>
      <c r="E139">
        <f t="shared" ref="E139" si="209">IF(AND(D139&gt;0,D139&lt;1),C139/SQRT(D139)*SQRT(-2*LN(D139)),"Brak")</f>
        <v>-6.077438783644281E-2</v>
      </c>
      <c r="F139">
        <f t="shared" si="194"/>
        <v>179.27070734596268</v>
      </c>
    </row>
    <row r="140" spans="1:6" x14ac:dyDescent="0.3">
      <c r="A140">
        <v>0.44267656941702016</v>
      </c>
      <c r="B140" cm="1">
        <f t="array" ref="B140">_xlfn.NORM.INV(A140,_mu,_sigma)</f>
        <v>178.26976105543608</v>
      </c>
      <c r="C140">
        <f t="shared" si="195"/>
        <v>-0.11464686116595968</v>
      </c>
      <c r="E140">
        <f t="shared" ref="E140" si="210">IF(AND(D141&gt;0,D141&lt;1),C140/SQRT(D141)*SQRT(-2*LN(D141)),"Brak")</f>
        <v>-1.8272620186620794</v>
      </c>
      <c r="F140">
        <f t="shared" si="194"/>
        <v>158.07285577605504</v>
      </c>
    </row>
    <row r="141" spans="1:6" x14ac:dyDescent="0.3">
      <c r="A141">
        <v>0.56118435724312854</v>
      </c>
      <c r="B141" cm="1">
        <f t="array" ref="B141">_xlfn.NORM.INV(A141,_mu,_sigma)</f>
        <v>181.84767202860164</v>
      </c>
      <c r="C141">
        <f t="shared" si="195"/>
        <v>0.12236871448625708</v>
      </c>
      <c r="D141">
        <f t="shared" ref="D141" si="211">SUMSQ(C140:C141)</f>
        <v>2.8118005060225937E-2</v>
      </c>
      <c r="E141">
        <f t="shared" ref="E141" si="212">IF(AND(D141&gt;0,D141&lt;1),C141/SQRT(D141)*SQRT(-2*LN(D141)),"Brak")</f>
        <v>1.9503342872123197</v>
      </c>
      <c r="F141">
        <f t="shared" si="194"/>
        <v>203.40401144654783</v>
      </c>
    </row>
    <row r="142" spans="1:6" x14ac:dyDescent="0.3">
      <c r="A142">
        <v>0.43234800435610066</v>
      </c>
      <c r="B142" cm="1">
        <f t="array" ref="B142">_xlfn.NORM.INV(A142,_mu,_sigma)</f>
        <v>177.95520666193596</v>
      </c>
      <c r="C142">
        <f t="shared" si="195"/>
        <v>-0.13530399128779869</v>
      </c>
      <c r="E142">
        <f t="shared" ref="E142" si="213">IF(AND(D143&gt;0,D143&lt;1),C142/SQRT(D143)*SQRT(-2*LN(D143)),"Brak")</f>
        <v>-1.5196410883044249</v>
      </c>
      <c r="F142">
        <f t="shared" si="194"/>
        <v>161.7643069403469</v>
      </c>
    </row>
    <row r="143" spans="1:6" x14ac:dyDescent="0.3">
      <c r="A143">
        <v>0.58631595312475704</v>
      </c>
      <c r="B143" cm="1">
        <f t="array" ref="B143">_xlfn.NORM.INV(A143,_mu,_sigma)</f>
        <v>182.6169397671388</v>
      </c>
      <c r="C143">
        <f t="shared" si="195"/>
        <v>0.17263190624951408</v>
      </c>
      <c r="D143">
        <f t="shared" ref="D143" si="214">SUMSQ(C142:C143)</f>
        <v>4.8108945113749718E-2</v>
      </c>
      <c r="E143">
        <f t="shared" ref="E143" si="215">IF(AND(D143&gt;0,D143&lt;1),C143/SQRT(D143)*SQRT(-2*LN(D143)),"Brak")</f>
        <v>1.9388824778351972</v>
      </c>
      <c r="F143">
        <f t="shared" si="194"/>
        <v>203.26658973402238</v>
      </c>
    </row>
    <row r="144" spans="1:6" x14ac:dyDescent="0.3">
      <c r="A144">
        <v>0.38564211555347405</v>
      </c>
      <c r="B144" cm="1">
        <f t="array" ref="B144">_xlfn.NORM.INV(A144,_mu,_sigma)</f>
        <v>176.5116542757236</v>
      </c>
      <c r="C144">
        <f t="shared" si="195"/>
        <v>-0.2287157688930519</v>
      </c>
      <c r="E144">
        <f t="shared" ref="E144" si="216">IF(AND(D145&gt;0,D145&lt;1),C144/SQRT(D145)*SQRT(-2*LN(D145)),"Brak")</f>
        <v>-0.6077217253747953</v>
      </c>
      <c r="F144">
        <f t="shared" si="194"/>
        <v>172.70733929550246</v>
      </c>
    </row>
    <row r="145" spans="1:6" x14ac:dyDescent="0.3">
      <c r="A145">
        <v>0.24059516887896604</v>
      </c>
      <c r="B145" cm="1">
        <f t="array" ref="B145">_xlfn.NORM.INV(A145,_mu,_sigma)</f>
        <v>171.54732782389135</v>
      </c>
      <c r="C145">
        <f t="shared" si="195"/>
        <v>-0.51880966224206793</v>
      </c>
      <c r="D145">
        <f t="shared" ref="D145" si="217">SUMSQ(C144:C145)</f>
        <v>0.32147436857606854</v>
      </c>
      <c r="E145">
        <f t="shared" ref="E145" si="218">IF(AND(D145&gt;0,D145&lt;1),C145/SQRT(D145)*SQRT(-2*LN(D145)),"Brak")</f>
        <v>-1.3785315485890071</v>
      </c>
      <c r="F145">
        <f t="shared" si="194"/>
        <v>163.45762141693191</v>
      </c>
    </row>
    <row r="146" spans="1:6" x14ac:dyDescent="0.3">
      <c r="A146">
        <v>0.82461916724019624</v>
      </c>
      <c r="B146" cm="1">
        <f t="array" ref="B146">_xlfn.NORM.INV(A146,_mu,_sigma)</f>
        <v>191.1973551207625</v>
      </c>
      <c r="C146">
        <f t="shared" si="195"/>
        <v>0.64923833448039248</v>
      </c>
      <c r="E146">
        <f t="shared" ref="E146" si="219">IF(AND(D147&gt;0,D147&lt;1),C146/SQRT(D147)*SQRT(-2*LN(D147)),"Brak")</f>
        <v>1.1592714943767404</v>
      </c>
      <c r="F146">
        <f t="shared" si="194"/>
        <v>193.9112579325209</v>
      </c>
    </row>
    <row r="147" spans="1:6" x14ac:dyDescent="0.3">
      <c r="A147">
        <v>0.61184879549791493</v>
      </c>
      <c r="B147" cm="1">
        <f t="array" ref="B147">_xlfn.NORM.INV(A147,_mu,_sigma)</f>
        <v>183.40969072819328</v>
      </c>
      <c r="C147">
        <f t="shared" si="195"/>
        <v>0.22369759099582986</v>
      </c>
      <c r="D147">
        <f t="shared" ref="D147" si="220">SUMSQ(C146:C147)</f>
        <v>0.47155102717621156</v>
      </c>
      <c r="E147">
        <f t="shared" ref="E147" si="221">IF(AND(D147&gt;0,D147&lt;1),C147/SQRT(D147)*SQRT(-2*LN(D147)),"Brak")</f>
        <v>0.39943149815662099</v>
      </c>
      <c r="F147">
        <f t="shared" si="194"/>
        <v>184.79317797787945</v>
      </c>
    </row>
    <row r="148" spans="1:6" x14ac:dyDescent="0.3">
      <c r="A148">
        <v>6.4652510540541885E-2</v>
      </c>
      <c r="B148" cm="1">
        <f t="array" ref="B148">_xlfn.NORM.INV(A148,_mu,_sigma)</f>
        <v>161.79782191625185</v>
      </c>
      <c r="C148">
        <f t="shared" si="195"/>
        <v>-0.87069497891891623</v>
      </c>
      <c r="E148" t="str">
        <f t="shared" ref="E148" si="222">IF(AND(D149&gt;0,D149&lt;1),C148/SQRT(D149)*SQRT(-2*LN(D149)),"Brak")</f>
        <v>Brak</v>
      </c>
      <c r="F148" t="str">
        <f t="shared" si="194"/>
        <v>Brak</v>
      </c>
    </row>
    <row r="149" spans="1:6" x14ac:dyDescent="0.3">
      <c r="A149">
        <v>0.77496076283458193</v>
      </c>
      <c r="B149" cm="1">
        <f t="array" ref="B149">_xlfn.NORM.INV(A149,_mu,_sigma)</f>
        <v>189.06341044945501</v>
      </c>
      <c r="C149">
        <f t="shared" si="195"/>
        <v>0.54992152566916386</v>
      </c>
      <c r="D149">
        <f t="shared" ref="D149" si="223">SUMSQ(C148:C149)</f>
        <v>1.0605234307089129</v>
      </c>
      <c r="E149" t="str">
        <f t="shared" ref="E149" si="224">IF(AND(D149&gt;0,D149&lt;1),C149/SQRT(D149)*SQRT(-2*LN(D149)),"Brak")</f>
        <v>Brak</v>
      </c>
      <c r="F149" t="str">
        <f t="shared" si="194"/>
        <v>Brak</v>
      </c>
    </row>
    <row r="150" spans="1:6" x14ac:dyDescent="0.3">
      <c r="A150">
        <v>0.67594066941526953</v>
      </c>
      <c r="B150" cm="1">
        <f t="array" ref="B150">_xlfn.NORM.INV(A150,_mu,_sigma)</f>
        <v>185.47652802031217</v>
      </c>
      <c r="C150">
        <f t="shared" si="195"/>
        <v>0.35188133883053907</v>
      </c>
      <c r="E150">
        <f t="shared" ref="E150" si="225">IF(AND(D151&gt;0,D151&lt;1),C150/SQRT(D151)*SQRT(-2*LN(D151)),"Brak")</f>
        <v>0.44700945636736356</v>
      </c>
      <c r="F150">
        <f t="shared" si="194"/>
        <v>185.36411347640836</v>
      </c>
    </row>
    <row r="151" spans="1:6" x14ac:dyDescent="0.3">
      <c r="A151">
        <v>0.84894027714768561</v>
      </c>
      <c r="B151" cm="1">
        <f t="array" ref="B151">_xlfn.NORM.INV(A151,_mu,_sigma)</f>
        <v>192.38278771265638</v>
      </c>
      <c r="C151">
        <f t="shared" si="195"/>
        <v>0.69788055429537121</v>
      </c>
      <c r="D151">
        <f t="shared" ref="D151" si="226">SUMSQ(C150:C151)</f>
        <v>0.61085774468078724</v>
      </c>
      <c r="E151">
        <f t="shared" ref="E151" si="227">IF(AND(D151&gt;0,D151&lt;1),C151/SQRT(D151)*SQRT(-2*LN(D151)),"Brak")</f>
        <v>0.88654660750612657</v>
      </c>
      <c r="F151">
        <f t="shared" si="194"/>
        <v>190.63855929007352</v>
      </c>
    </row>
    <row r="152" spans="1:6" x14ac:dyDescent="0.3">
      <c r="A152">
        <v>0.56132071029831576</v>
      </c>
      <c r="B152" cm="1">
        <f t="array" ref="B152">_xlfn.NORM.INV(A152,_mu,_sigma)</f>
        <v>181.85182248315255</v>
      </c>
      <c r="C152">
        <f t="shared" si="195"/>
        <v>0.12264142059663152</v>
      </c>
      <c r="E152">
        <f t="shared" ref="E152" si="228">IF(AND(D153&gt;0,D153&lt;1),C152/SQRT(D153)*SQRT(-2*LN(D153)),"Brak")</f>
        <v>0.2287030221855165</v>
      </c>
      <c r="F152">
        <f t="shared" si="194"/>
        <v>182.74443626622619</v>
      </c>
    </row>
    <row r="153" spans="1:6" x14ac:dyDescent="0.3">
      <c r="A153">
        <v>0.16870504251721374</v>
      </c>
      <c r="B153" cm="1">
        <f t="array" ref="B153">_xlfn.NORM.INV(A153,_mu,_sigma)</f>
        <v>168.4884583681218</v>
      </c>
      <c r="C153">
        <f t="shared" si="195"/>
        <v>-0.66258991496557251</v>
      </c>
      <c r="D153">
        <f t="shared" ref="D153" si="229">SUMSQ(C152:C153)</f>
        <v>0.4540663134600445</v>
      </c>
      <c r="E153">
        <f t="shared" ref="E153" si="230">IF(AND(D153&gt;0,D153&lt;1),C153/SQRT(D153)*SQRT(-2*LN(D153)),"Brak")</f>
        <v>-1.2356047025961547</v>
      </c>
      <c r="F153">
        <f t="shared" si="194"/>
        <v>165.17274356884616</v>
      </c>
    </row>
    <row r="154" spans="1:6" x14ac:dyDescent="0.3">
      <c r="A154">
        <v>0.55799957395322763</v>
      </c>
      <c r="B154" cm="1">
        <f t="array" ref="B154">_xlfn.NORM.INV(A154,_mu,_sigma)</f>
        <v>181.75079208797874</v>
      </c>
      <c r="C154">
        <f t="shared" si="195"/>
        <v>0.11599914790645527</v>
      </c>
      <c r="E154">
        <f t="shared" ref="E154" si="231">IF(AND(D155&gt;0,D155&lt;1),C154/SQRT(D155)*SQRT(-2*LN(D155)),"Brak")</f>
        <v>8.2571088021719016E-2</v>
      </c>
      <c r="F154">
        <f t="shared" si="194"/>
        <v>180.99085305626062</v>
      </c>
    </row>
    <row r="155" spans="1:6" x14ac:dyDescent="0.3">
      <c r="A155">
        <v>5.2715370354790569E-2</v>
      </c>
      <c r="B155" cm="1">
        <f t="array" ref="B155">_xlfn.NORM.INV(A155,_mu,_sigma)</f>
        <v>160.57107844909567</v>
      </c>
      <c r="C155">
        <f t="shared" si="195"/>
        <v>-0.89456925929041886</v>
      </c>
      <c r="D155">
        <f t="shared" ref="D155" si="232">SUMSQ(C154:C155)</f>
        <v>0.81370996198243228</v>
      </c>
      <c r="E155">
        <f t="shared" ref="E155" si="233">IF(AND(D155&gt;0,D155&lt;1),C155/SQRT(D155)*SQRT(-2*LN(D155)),"Brak")</f>
        <v>-0.63677672106660876</v>
      </c>
      <c r="F155">
        <f t="shared" si="194"/>
        <v>172.35867934720071</v>
      </c>
    </row>
    <row r="156" spans="1:6" x14ac:dyDescent="0.3">
      <c r="A156">
        <v>0.20026404855712621</v>
      </c>
      <c r="B156" cm="1">
        <f t="array" ref="B156">_xlfn.NORM.INV(A156,_mu,_sigma)</f>
        <v>169.91185861515123</v>
      </c>
      <c r="C156">
        <f t="shared" si="195"/>
        <v>-0.59947190288574759</v>
      </c>
      <c r="E156" t="str">
        <f t="shared" ref="E156" si="234">IF(AND(D157&gt;0,D157&lt;1),C156/SQRT(D157)*SQRT(-2*LN(D157)),"Brak")</f>
        <v>Brak</v>
      </c>
      <c r="F156" t="str">
        <f t="shared" si="194"/>
        <v>Brak</v>
      </c>
    </row>
    <row r="157" spans="1:6" x14ac:dyDescent="0.3">
      <c r="A157">
        <v>0.96306601226499466</v>
      </c>
      <c r="B157" cm="1">
        <f t="array" ref="B157">_xlfn.NORM.INV(A157,_mu,_sigma)</f>
        <v>201.44916304688024</v>
      </c>
      <c r="C157">
        <f t="shared" si="195"/>
        <v>0.92613202452998933</v>
      </c>
      <c r="D157">
        <f t="shared" ref="D157" si="235">SUMSQ(C156:C157)</f>
        <v>1.2170870892094761</v>
      </c>
      <c r="E157" t="str">
        <f t="shared" ref="E157" si="236">IF(AND(D157&gt;0,D157&lt;1),C157/SQRT(D157)*SQRT(-2*LN(D157)),"Brak")</f>
        <v>Brak</v>
      </c>
      <c r="F157" t="str">
        <f t="shared" si="194"/>
        <v>Brak</v>
      </c>
    </row>
    <row r="158" spans="1:6" x14ac:dyDescent="0.3">
      <c r="A158">
        <v>0.78341027244102535</v>
      </c>
      <c r="B158" cm="1">
        <f t="array" ref="B158">_xlfn.NORM.INV(A158,_mu,_sigma)</f>
        <v>189.40515054096039</v>
      </c>
      <c r="C158">
        <f t="shared" si="195"/>
        <v>0.56682054488205069</v>
      </c>
      <c r="E158">
        <f t="shared" ref="E158" si="237">IF(AND(D159&gt;0,D159&lt;1),C158/SQRT(D159)*SQRT(-2*LN(D159)),"Brak")</f>
        <v>0.99033265259210168</v>
      </c>
      <c r="F158">
        <f t="shared" si="194"/>
        <v>191.88399183110522</v>
      </c>
    </row>
    <row r="159" spans="1:6" x14ac:dyDescent="0.3">
      <c r="A159">
        <v>0.30057163766773998</v>
      </c>
      <c r="B159" cm="1">
        <f t="array" ref="B159">_xlfn.NORM.INV(A159,_mu,_sigma)</f>
        <v>173.7269144266993</v>
      </c>
      <c r="C159">
        <f t="shared" si="195"/>
        <v>-0.39885672466452005</v>
      </c>
      <c r="D159">
        <f t="shared" ref="D159" si="238">SUMSQ(C158:C159)</f>
        <v>0.48037221691049359</v>
      </c>
      <c r="E159">
        <f t="shared" ref="E159" si="239">IF(AND(D159&gt;0,D159&lt;1),C159/SQRT(D159)*SQRT(-2*LN(D159)),"Brak")</f>
        <v>-0.6968710674088342</v>
      </c>
      <c r="F159">
        <f t="shared" si="194"/>
        <v>171.637547191094</v>
      </c>
    </row>
    <row r="160" spans="1:6" x14ac:dyDescent="0.3">
      <c r="A160">
        <v>0.2852055460706272</v>
      </c>
      <c r="B160" cm="1">
        <f t="array" ref="B160">_xlfn.NORM.INV(A160,_mu,_sigma)</f>
        <v>173.1906460114912</v>
      </c>
      <c r="C160">
        <f t="shared" si="195"/>
        <v>-0.42958890785874559</v>
      </c>
      <c r="E160">
        <f t="shared" ref="E160" si="240">IF(AND(D161&gt;0,D161&lt;1),C160/SQRT(D161)*SQRT(-2*LN(D161)),"Brak")</f>
        <v>-0.21767382064108465</v>
      </c>
      <c r="F160">
        <f t="shared" si="194"/>
        <v>177.38791415230699</v>
      </c>
    </row>
    <row r="161" spans="1:6" x14ac:dyDescent="0.3">
      <c r="A161">
        <v>0.92049884218531008</v>
      </c>
      <c r="B161" cm="1">
        <f t="array" ref="B161">_xlfn.NORM.INV(A161,_mu,_sigma)</f>
        <v>196.90121942569803</v>
      </c>
      <c r="C161">
        <f t="shared" si="195"/>
        <v>0.84099768437062017</v>
      </c>
      <c r="D161">
        <f t="shared" ref="D161" si="241">SUMSQ(C160:C161)</f>
        <v>0.89182373487201505</v>
      </c>
      <c r="E161">
        <f t="shared" ref="E161" si="242">IF(AND(D161&gt;0,D161&lt;1),C161/SQRT(D161)*SQRT(-2*LN(D161)),"Brak")</f>
        <v>0.42613572128694593</v>
      </c>
      <c r="F161">
        <f t="shared" si="194"/>
        <v>185.11362865544336</v>
      </c>
    </row>
    <row r="162" spans="1:6" x14ac:dyDescent="0.3">
      <c r="A162">
        <v>0.81542648662270234</v>
      </c>
      <c r="B162" cm="1">
        <f t="array" ref="B162">_xlfn.NORM.INV(A162,_mu,_sigma)</f>
        <v>190.7768671226078</v>
      </c>
      <c r="C162">
        <f t="shared" si="195"/>
        <v>0.63085297324540468</v>
      </c>
      <c r="E162">
        <f t="shared" ref="E162" si="243">IF(AND(D163&gt;0,D163&lt;1),C162/SQRT(D163)*SQRT(-2*LN(D163)),"Brak")</f>
        <v>0.70596970818375615</v>
      </c>
      <c r="F162">
        <f t="shared" si="194"/>
        <v>188.47163649820507</v>
      </c>
    </row>
    <row r="163" spans="1:6" x14ac:dyDescent="0.3">
      <c r="A163">
        <v>0.75645446790335713</v>
      </c>
      <c r="B163" cm="1">
        <f t="array" ref="B163">_xlfn.NORM.INV(A163,_mu,_sigma)</f>
        <v>188.33931522229514</v>
      </c>
      <c r="C163">
        <f t="shared" si="195"/>
        <v>0.51290893580671426</v>
      </c>
      <c r="D163">
        <f t="shared" ref="D163" si="244">SUMSQ(C162:C163)</f>
        <v>0.66105105028294342</v>
      </c>
      <c r="E163">
        <f t="shared" ref="E163" si="245">IF(AND(D163&gt;0,D163&lt;1),C163/SQRT(D163)*SQRT(-2*LN(D163)),"Brak")</f>
        <v>0.57398187389607358</v>
      </c>
      <c r="F163">
        <f t="shared" si="194"/>
        <v>186.88778248675288</v>
      </c>
    </row>
    <row r="164" spans="1:6" x14ac:dyDescent="0.3">
      <c r="A164">
        <v>0.87041043264848206</v>
      </c>
      <c r="B164" cm="1">
        <f t="array" ref="B164">_xlfn.NORM.INV(A164,_mu,_sigma)</f>
        <v>193.54000103346618</v>
      </c>
      <c r="C164">
        <f t="shared" si="195"/>
        <v>0.74082086529696412</v>
      </c>
      <c r="E164" t="str">
        <f t="shared" ref="E164" si="246">IF(AND(D165&gt;0,D165&lt;1),C164/SQRT(D165)*SQRT(-2*LN(D165)),"Brak")</f>
        <v>Brak</v>
      </c>
      <c r="F164" t="str">
        <f t="shared" si="194"/>
        <v>Brak</v>
      </c>
    </row>
    <row r="165" spans="1:6" x14ac:dyDescent="0.3">
      <c r="A165">
        <v>0.91566685285063287</v>
      </c>
      <c r="B165" cm="1">
        <f t="array" ref="B165">_xlfn.NORM.INV(A165,_mu,_sigma)</f>
        <v>196.51802300129592</v>
      </c>
      <c r="C165">
        <f t="shared" si="195"/>
        <v>0.83133370570126575</v>
      </c>
      <c r="D165">
        <f t="shared" ref="D165" si="247">SUMSQ(C164:C165)</f>
        <v>1.2399312846943413</v>
      </c>
      <c r="E165" t="str">
        <f t="shared" ref="E165" si="248">IF(AND(D165&gt;0,D165&lt;1),C165/SQRT(D165)*SQRT(-2*LN(D165)),"Brak")</f>
        <v>Brak</v>
      </c>
      <c r="F165" t="str">
        <f t="shared" si="194"/>
        <v>Brak</v>
      </c>
    </row>
    <row r="166" spans="1:6" x14ac:dyDescent="0.3">
      <c r="A166">
        <v>0.69506769011946223</v>
      </c>
      <c r="B166" cm="1">
        <f t="array" ref="B166">_xlfn.NORM.INV(A166,_mu,_sigma)</f>
        <v>186.12320055511447</v>
      </c>
      <c r="C166">
        <f t="shared" si="195"/>
        <v>0.39013538023892447</v>
      </c>
      <c r="E166" t="str">
        <f t="shared" ref="E166" si="249">IF(AND(D167&gt;0,D167&lt;1),C166/SQRT(D167)*SQRT(-2*LN(D167)),"Brak")</f>
        <v>Brak</v>
      </c>
      <c r="F166" t="str">
        <f t="shared" si="194"/>
        <v>Brak</v>
      </c>
    </row>
    <row r="167" spans="1:6" x14ac:dyDescent="0.3">
      <c r="A167">
        <v>0.97469579290070718</v>
      </c>
      <c r="B167" cm="1">
        <f t="array" ref="B167">_xlfn.NORM.INV(A167,_mu,_sigma)</f>
        <v>203.45742387957242</v>
      </c>
      <c r="C167">
        <f t="shared" si="195"/>
        <v>0.94939158580141436</v>
      </c>
      <c r="D167">
        <f t="shared" ref="D167" si="250">SUMSQ(C166:C167)</f>
        <v>1.0535499981046945</v>
      </c>
      <c r="E167" t="str">
        <f t="shared" ref="E167" si="251">IF(AND(D167&gt;0,D167&lt;1),C167/SQRT(D167)*SQRT(-2*LN(D167)),"Brak")</f>
        <v>Brak</v>
      </c>
      <c r="F167" t="str">
        <f t="shared" si="194"/>
        <v>Brak</v>
      </c>
    </row>
    <row r="168" spans="1:6" x14ac:dyDescent="0.3">
      <c r="A168">
        <v>0.17079492707642796</v>
      </c>
      <c r="B168" cm="1">
        <f t="array" ref="B168">_xlfn.NORM.INV(A168,_mu,_sigma)</f>
        <v>168.58765671628794</v>
      </c>
      <c r="C168">
        <f t="shared" si="195"/>
        <v>-0.65841014584714408</v>
      </c>
      <c r="E168">
        <f t="shared" ref="E168" si="252">IF(AND(D169&gt;0,D169&lt;1),C168/SQRT(D169)*SQRT(-2*LN(D169)),"Brak")</f>
        <v>-1.2506777098015163</v>
      </c>
      <c r="F168">
        <f t="shared" si="194"/>
        <v>164.99186748238179</v>
      </c>
    </row>
    <row r="169" spans="1:6" x14ac:dyDescent="0.3">
      <c r="A169">
        <v>0.55741730493252739</v>
      </c>
      <c r="B169" cm="1">
        <f t="array" ref="B169">_xlfn.NORM.INV(A169,_mu,_sigma)</f>
        <v>181.73309219577797</v>
      </c>
      <c r="C169">
        <f t="shared" si="195"/>
        <v>0.11483460986505478</v>
      </c>
      <c r="D169">
        <f t="shared" ref="D169" si="253">SUMSQ(C168:C169)</f>
        <v>0.4466909077773169</v>
      </c>
      <c r="E169">
        <f t="shared" ref="E169" si="254">IF(AND(D169&gt;0,D169&lt;1),C169/SQRT(D169)*SQRT(-2*LN(D169)),"Brak")</f>
        <v>0.21813316179565717</v>
      </c>
      <c r="F169">
        <f t="shared" si="194"/>
        <v>182.6175979415479</v>
      </c>
    </row>
    <row r="170" spans="1:6" x14ac:dyDescent="0.3">
      <c r="A170">
        <v>0.17496711687591304</v>
      </c>
      <c r="B170" cm="1">
        <f t="array" ref="B170">_xlfn.NORM.INV(A170,_mu,_sigma)</f>
        <v>168.78339763486647</v>
      </c>
      <c r="C170">
        <f t="shared" si="195"/>
        <v>-0.65006576624817392</v>
      </c>
      <c r="E170">
        <f t="shared" ref="E170" si="255">IF(AND(D171&gt;0,D171&lt;1),C170/SQRT(D171)*SQRT(-2*LN(D171)),"Brak")</f>
        <v>-0.52413504352841023</v>
      </c>
      <c r="F170">
        <f t="shared" si="194"/>
        <v>173.71037947765907</v>
      </c>
    </row>
    <row r="171" spans="1:6" x14ac:dyDescent="0.3">
      <c r="A171">
        <v>0.20239996859939535</v>
      </c>
      <c r="B171" cm="1">
        <f t="array" ref="B171">_xlfn.NORM.INV(A171,_mu,_sigma)</f>
        <v>170.00304691228902</v>
      </c>
      <c r="C171">
        <f t="shared" si="195"/>
        <v>-0.5952000628012093</v>
      </c>
      <c r="D171">
        <f t="shared" ref="D171" si="256">SUMSQ(C170:C171)</f>
        <v>0.77684861520638893</v>
      </c>
      <c r="E171">
        <f t="shared" ref="E171" si="257">IF(AND(D171&gt;0,D171&lt;1),C171/SQRT(D171)*SQRT(-2*LN(D171)),"Brak")</f>
        <v>-0.47989792267468234</v>
      </c>
      <c r="F171">
        <f t="shared" si="194"/>
        <v>174.2412249279038</v>
      </c>
    </row>
    <row r="172" spans="1:6" x14ac:dyDescent="0.3">
      <c r="A172">
        <v>0.32397125986775521</v>
      </c>
      <c r="B172" cm="1">
        <f t="array" ref="B172">_xlfn.NORM.INV(A172,_mu,_sigma)</f>
        <v>174.52053193126855</v>
      </c>
      <c r="C172">
        <f t="shared" si="195"/>
        <v>-0.35205748026448958</v>
      </c>
      <c r="E172">
        <f t="shared" ref="E172" si="258">IF(AND(D173&gt;0,D173&lt;1),C172/SQRT(D173)*SQRT(-2*LN(D173)),"Brak")</f>
        <v>-0.84908785254852615</v>
      </c>
      <c r="F172">
        <f t="shared" si="194"/>
        <v>169.81094576941769</v>
      </c>
    </row>
    <row r="173" spans="1:6" x14ac:dyDescent="0.3">
      <c r="A173">
        <v>0.74062907059861205</v>
      </c>
      <c r="B173" cm="1">
        <f t="array" ref="B173">_xlfn.NORM.INV(A173,_mu,_sigma)</f>
        <v>187.74343208793155</v>
      </c>
      <c r="C173">
        <f t="shared" si="195"/>
        <v>0.4812581411972241</v>
      </c>
      <c r="D173">
        <f t="shared" ref="D173" si="259">SUMSQ(C172:C173)</f>
        <v>0.35555386787878873</v>
      </c>
      <c r="E173">
        <f t="shared" ref="E173" si="260">IF(AND(D173&gt;0,D173&lt;1),C173/SQRT(D173)*SQRT(-2*LN(D173)),"Brak")</f>
        <v>1.1606923997855561</v>
      </c>
      <c r="F173">
        <f t="shared" si="194"/>
        <v>193.92830879742667</v>
      </c>
    </row>
    <row r="174" spans="1:6" x14ac:dyDescent="0.3">
      <c r="A174">
        <v>9.3781303728744048E-2</v>
      </c>
      <c r="B174" cm="1">
        <f t="array" ref="B174">_xlfn.NORM.INV(A174,_mu,_sigma)</f>
        <v>164.18611327783378</v>
      </c>
      <c r="C174">
        <f t="shared" si="195"/>
        <v>-0.8124373925425119</v>
      </c>
      <c r="E174" t="str">
        <f t="shared" ref="E174" si="261">IF(AND(D175&gt;0,D175&lt;1),C174/SQRT(D175)*SQRT(-2*LN(D175)),"Brak")</f>
        <v>Brak</v>
      </c>
      <c r="F174" t="str">
        <f t="shared" si="194"/>
        <v>Brak</v>
      </c>
    </row>
    <row r="175" spans="1:6" x14ac:dyDescent="0.3">
      <c r="A175">
        <v>0.99917579044774574</v>
      </c>
      <c r="B175" cm="1">
        <f t="array" ref="B175">_xlfn.NORM.INV(A175,_mu,_sigma)</f>
        <v>217.76640544453602</v>
      </c>
      <c r="C175">
        <f t="shared" si="195"/>
        <v>0.99835158089549147</v>
      </c>
      <c r="D175">
        <f t="shared" ref="D175" si="262">SUMSQ(C174:C175)</f>
        <v>1.6567603958778028</v>
      </c>
      <c r="E175" t="str">
        <f t="shared" ref="E175" si="263">IF(AND(D175&gt;0,D175&lt;1),C175/SQRT(D175)*SQRT(-2*LN(D175)),"Brak")</f>
        <v>Brak</v>
      </c>
      <c r="F175" t="str">
        <f t="shared" si="194"/>
        <v>Brak</v>
      </c>
    </row>
    <row r="176" spans="1:6" x14ac:dyDescent="0.3">
      <c r="A176">
        <v>0.32365401047412934</v>
      </c>
      <c r="B176" cm="1">
        <f t="array" ref="B176">_xlfn.NORM.INV(A176,_mu,_sigma)</f>
        <v>174.50993852505712</v>
      </c>
      <c r="C176">
        <f t="shared" si="195"/>
        <v>-0.35269197905174132</v>
      </c>
      <c r="E176">
        <f t="shared" ref="E176" si="264">IF(AND(D177&gt;0,D177&lt;1),C176/SQRT(D177)*SQRT(-2*LN(D177)),"Brak")</f>
        <v>-0.57243930913539609</v>
      </c>
      <c r="F176">
        <f t="shared" si="194"/>
        <v>173.13072829037526</v>
      </c>
    </row>
    <row r="177" spans="1:6" x14ac:dyDescent="0.3">
      <c r="A177">
        <v>0.18931734669765865</v>
      </c>
      <c r="B177" cm="1">
        <f t="array" ref="B177">_xlfn.NORM.INV(A177,_mu,_sigma)</f>
        <v>169.43502354297004</v>
      </c>
      <c r="C177">
        <f t="shared" si="195"/>
        <v>-0.6213653066046827</v>
      </c>
      <c r="D177">
        <f t="shared" ref="D177" si="265">SUMSQ(C176:C177)</f>
        <v>0.51048647633936528</v>
      </c>
      <c r="E177">
        <f t="shared" ref="E177" si="266">IF(AND(D177&gt;0,D177&lt;1),C177/SQRT(D177)*SQRT(-2*LN(D177)),"Brak")</f>
        <v>-1.008511528359159</v>
      </c>
      <c r="F177">
        <f t="shared" si="194"/>
        <v>167.89786165969008</v>
      </c>
    </row>
    <row r="178" spans="1:6" x14ac:dyDescent="0.3">
      <c r="A178">
        <v>0.27675395630198518</v>
      </c>
      <c r="B178" cm="1">
        <f t="array" ref="B178">_xlfn.NORM.INV(A178,_mu,_sigma)</f>
        <v>172.88985824186693</v>
      </c>
      <c r="C178">
        <f t="shared" si="195"/>
        <v>-0.44649208739602964</v>
      </c>
      <c r="E178">
        <f t="shared" ref="E178" si="267">IF(AND(D179&gt;0,D179&lt;1),C178/SQRT(D179)*SQRT(-2*LN(D179)),"Brak")</f>
        <v>-0.7637893210994201</v>
      </c>
      <c r="F178">
        <f t="shared" si="194"/>
        <v>170.83452814680695</v>
      </c>
    </row>
    <row r="179" spans="1:6" x14ac:dyDescent="0.3">
      <c r="A179">
        <v>0.23091846525879445</v>
      </c>
      <c r="B179" cm="1">
        <f t="array" ref="B179">_xlfn.NORM.INV(A179,_mu,_sigma)</f>
        <v>171.17009459189407</v>
      </c>
      <c r="C179">
        <f t="shared" si="195"/>
        <v>-0.5381630694824111</v>
      </c>
      <c r="D179">
        <f t="shared" ref="D179" si="268">SUMSQ(C178:C179)</f>
        <v>0.48897467346199419</v>
      </c>
      <c r="E179">
        <f t="shared" ref="E179" si="269">IF(AND(D179&gt;0,D179&lt;1),C179/SQRT(D179)*SQRT(-2*LN(D179)),"Brak")</f>
        <v>-0.92060580038043016</v>
      </c>
      <c r="F179">
        <f t="shared" si="194"/>
        <v>168.95273039543483</v>
      </c>
    </row>
    <row r="180" spans="1:6" x14ac:dyDescent="0.3">
      <c r="A180">
        <v>0.28537716076198671</v>
      </c>
      <c r="B180" cm="1">
        <f t="array" ref="B180">_xlfn.NORM.INV(A180,_mu,_sigma)</f>
        <v>173.19670895837393</v>
      </c>
      <c r="C180">
        <f t="shared" si="195"/>
        <v>-0.42924567847602657</v>
      </c>
      <c r="E180">
        <f t="shared" ref="E180" si="270">IF(AND(D181&gt;0,D181&lt;1),C180/SQRT(D181)*SQRT(-2*LN(D181)),"Brak")</f>
        <v>-1.7748356958907985</v>
      </c>
      <c r="F180">
        <f t="shared" si="194"/>
        <v>158.70197164931042</v>
      </c>
    </row>
    <row r="181" spans="1:6" x14ac:dyDescent="0.3">
      <c r="A181">
        <v>0.54583466568319605</v>
      </c>
      <c r="B181" cm="1">
        <f t="array" ref="B181">_xlfn.NORM.INV(A181,_mu,_sigma)</f>
        <v>181.38173278748914</v>
      </c>
      <c r="C181">
        <f t="shared" si="195"/>
        <v>9.1669331366392104E-2</v>
      </c>
      <c r="D181">
        <f t="shared" ref="D181" si="271">SUMSQ(C180:C181)</f>
        <v>0.19265511880350578</v>
      </c>
      <c r="E181">
        <f t="shared" ref="E181" si="272">IF(AND(D181&gt;0,D181&lt;1),C181/SQRT(D181)*SQRT(-2*LN(D181)),"Brak")</f>
        <v>0.37903235765855575</v>
      </c>
      <c r="F181">
        <f t="shared" si="194"/>
        <v>184.54838829190268</v>
      </c>
    </row>
    <row r="182" spans="1:6" x14ac:dyDescent="0.3">
      <c r="A182">
        <v>0.22416342056274785</v>
      </c>
      <c r="B182" cm="1">
        <f t="array" ref="B182">_xlfn.NORM.INV(A182,_mu,_sigma)</f>
        <v>170.90151138522944</v>
      </c>
      <c r="C182">
        <f t="shared" si="195"/>
        <v>-0.5516731588745043</v>
      </c>
      <c r="E182">
        <f t="shared" ref="E182" si="273">IF(AND(D183&gt;0,D183&lt;1),C182/SQRT(D183)*SQRT(-2*LN(D183)),"Brak")</f>
        <v>-0.34229124903582053</v>
      </c>
      <c r="F182">
        <f t="shared" si="194"/>
        <v>175.89250501157017</v>
      </c>
    </row>
    <row r="183" spans="1:6" x14ac:dyDescent="0.3">
      <c r="A183">
        <v>0.86907252720344275</v>
      </c>
      <c r="B183" cm="1">
        <f t="array" ref="B183">_xlfn.NORM.INV(A183,_mu,_sigma)</f>
        <v>193.46421151458293</v>
      </c>
      <c r="C183">
        <f t="shared" si="195"/>
        <v>0.73814505440688549</v>
      </c>
      <c r="D183">
        <f t="shared" ref="D183" si="274">SUMSQ(C182:C183)</f>
        <v>0.84920139556791807</v>
      </c>
      <c r="E183">
        <f t="shared" ref="E183" si="275">IF(AND(D183&gt;0,D183&lt;1),C183/SQRT(D183)*SQRT(-2*LN(D183)),"Brak")</f>
        <v>0.4579896421968615</v>
      </c>
      <c r="F183">
        <f t="shared" si="194"/>
        <v>185.49587570636234</v>
      </c>
    </row>
    <row r="184" spans="1:6" x14ac:dyDescent="0.3">
      <c r="A184">
        <v>0.17871338471363751</v>
      </c>
      <c r="B184" cm="1">
        <f t="array" ref="B184">_xlfn.NORM.INV(A184,_mu,_sigma)</f>
        <v>168.95664715906889</v>
      </c>
      <c r="C184">
        <f t="shared" si="195"/>
        <v>-0.64257323057272497</v>
      </c>
      <c r="E184">
        <f t="shared" ref="E184" si="276">IF(AND(D185&gt;0,D185&lt;1),C184/SQRT(D185)*SQRT(-2*LN(D185)),"Brak")</f>
        <v>-1.2321576548951416</v>
      </c>
      <c r="F184">
        <f t="shared" si="194"/>
        <v>165.21410814125829</v>
      </c>
    </row>
    <row r="185" spans="1:6" x14ac:dyDescent="0.3">
      <c r="A185">
        <v>0.58665538756818403</v>
      </c>
      <c r="B185" cm="1">
        <f t="array" ref="B185">_xlfn.NORM.INV(A185,_mu,_sigma)</f>
        <v>182.62739648836813</v>
      </c>
      <c r="C185">
        <f t="shared" si="195"/>
        <v>0.17331077513636806</v>
      </c>
      <c r="D185">
        <f t="shared" ref="D185" si="277">SUMSQ(C184:C185)</f>
        <v>0.44293698142703708</v>
      </c>
      <c r="E185">
        <f t="shared" ref="E185" si="278">IF(AND(D185&gt;0,D185&lt;1),C185/SQRT(D185)*SQRT(-2*LN(D185)),"Brak")</f>
        <v>0.33232974562253853</v>
      </c>
      <c r="F185">
        <f t="shared" si="194"/>
        <v>183.98795694747045</v>
      </c>
    </row>
    <row r="186" spans="1:6" x14ac:dyDescent="0.3">
      <c r="A186">
        <v>0.99228484782985005</v>
      </c>
      <c r="B186" cm="1">
        <f t="array" ref="B186">_xlfn.NORM.INV(A186,_mu,_sigma)</f>
        <v>209.06542584514719</v>
      </c>
      <c r="C186">
        <f t="shared" si="195"/>
        <v>0.98456969565970009</v>
      </c>
      <c r="E186" t="str">
        <f t="shared" ref="E186" si="279">IF(AND(D187&gt;0,D187&lt;1),C186/SQRT(D187)*SQRT(-2*LN(D187)),"Brak")</f>
        <v>Brak</v>
      </c>
      <c r="F186" t="str">
        <f t="shared" si="194"/>
        <v>Brak</v>
      </c>
    </row>
    <row r="187" spans="1:6" x14ac:dyDescent="0.3">
      <c r="A187">
        <v>0.85563677800879989</v>
      </c>
      <c r="B187" cm="1">
        <f t="array" ref="B187">_xlfn.NORM.INV(A187,_mu,_sigma)</f>
        <v>192.73103512329379</v>
      </c>
      <c r="C187">
        <f t="shared" si="195"/>
        <v>0.71127355601759978</v>
      </c>
      <c r="D187">
        <f t="shared" ref="D187" si="280">SUMSQ(C186:C187)</f>
        <v>1.475287557101356</v>
      </c>
      <c r="E187" t="str">
        <f t="shared" ref="E187" si="281">IF(AND(D187&gt;0,D187&lt;1),C187/SQRT(D187)*SQRT(-2*LN(D187)),"Brak")</f>
        <v>Brak</v>
      </c>
      <c r="F187" t="str">
        <f t="shared" si="194"/>
        <v>Brak</v>
      </c>
    </row>
    <row r="188" spans="1:6" x14ac:dyDescent="0.3">
      <c r="A188">
        <v>0.61473495150673274</v>
      </c>
      <c r="B188" cm="1">
        <f t="array" ref="B188">_xlfn.NORM.INV(A188,_mu,_sigma)</f>
        <v>183.50017891516643</v>
      </c>
      <c r="C188">
        <f t="shared" si="195"/>
        <v>0.22946990301346548</v>
      </c>
      <c r="E188">
        <f t="shared" ref="E188" si="282">IF(AND(D189&gt;0,D189&lt;1),C188/SQRT(D189)*SQRT(-2*LN(D189)),"Brak")</f>
        <v>0.28740487779341112</v>
      </c>
      <c r="F188">
        <f t="shared" si="194"/>
        <v>183.44885853352093</v>
      </c>
    </row>
    <row r="189" spans="1:6" x14ac:dyDescent="0.3">
      <c r="A189">
        <v>0.8754681502180468</v>
      </c>
      <c r="B189" cm="1">
        <f t="array" ref="B189">_xlfn.NORM.INV(A189,_mu,_sigma)</f>
        <v>193.83151863817324</v>
      </c>
      <c r="C189">
        <f t="shared" si="195"/>
        <v>0.75093630043609361</v>
      </c>
      <c r="D189">
        <f t="shared" ref="D189" si="283">SUMSQ(C188:C189)</f>
        <v>0.61656176370165638</v>
      </c>
      <c r="E189">
        <f t="shared" ref="E189" si="284">IF(AND(D189&gt;0,D189&lt;1),C189/SQRT(D189)*SQRT(-2*LN(D189)),"Brak")</f>
        <v>0.94052750632315862</v>
      </c>
      <c r="F189">
        <f t="shared" si="194"/>
        <v>191.28633007587791</v>
      </c>
    </row>
    <row r="190" spans="1:6" x14ac:dyDescent="0.3">
      <c r="A190">
        <v>0.49827791101848751</v>
      </c>
      <c r="B190" cm="1">
        <f t="array" ref="B190">_xlfn.NORM.INV(A190,_mu,_sigma)</f>
        <v>179.94820019594223</v>
      </c>
      <c r="C190">
        <f t="shared" si="195"/>
        <v>-3.4441779630249858E-3</v>
      </c>
      <c r="E190">
        <f t="shared" ref="E190" si="285">IF(AND(D191&gt;0,D191&lt;1),C190/SQRT(D191)*SQRT(-2*LN(D191)),"Brak")</f>
        <v>-1.326916032415301E-2</v>
      </c>
      <c r="F190">
        <f t="shared" si="194"/>
        <v>179.84077007611018</v>
      </c>
    </row>
    <row r="191" spans="1:6" x14ac:dyDescent="0.3">
      <c r="A191">
        <v>0.72921877145018132</v>
      </c>
      <c r="B191" cm="1">
        <f t="array" ref="B191">_xlfn.NORM.INV(A191,_mu,_sigma)</f>
        <v>187.32542352307178</v>
      </c>
      <c r="C191">
        <f t="shared" si="195"/>
        <v>0.45843754290036265</v>
      </c>
      <c r="D191">
        <f t="shared" ref="D191" si="286">SUMSQ(C190:C191)</f>
        <v>0.21017684310236281</v>
      </c>
      <c r="E191">
        <f t="shared" ref="E191" si="287">IF(AND(D191&gt;0,D191&lt;1),C191/SQRT(D191)*SQRT(-2*LN(D191)),"Brak")</f>
        <v>1.766192490823842</v>
      </c>
      <c r="F191">
        <f t="shared" si="194"/>
        <v>201.19430988988611</v>
      </c>
    </row>
    <row r="192" spans="1:6" x14ac:dyDescent="0.3">
      <c r="A192">
        <v>0.97017010798420666</v>
      </c>
      <c r="B192" cm="1">
        <f t="array" ref="B192">_xlfn.NORM.INV(A192,_mu,_sigma)</f>
        <v>202.59959463126327</v>
      </c>
      <c r="C192">
        <f t="shared" si="195"/>
        <v>0.94034021596841333</v>
      </c>
      <c r="E192" t="str">
        <f t="shared" ref="E192" si="288">IF(AND(D193&gt;0,D193&lt;1),C192/SQRT(D193)*SQRT(-2*LN(D193)),"Brak")</f>
        <v>Brak</v>
      </c>
      <c r="F192" t="str">
        <f t="shared" si="194"/>
        <v>Brak</v>
      </c>
    </row>
    <row r="193" spans="1:6" x14ac:dyDescent="0.3">
      <c r="A193">
        <v>0.28859446114947818</v>
      </c>
      <c r="B193" cm="1">
        <f t="array" ref="B193">_xlfn.NORM.INV(A193,_mu,_sigma)</f>
        <v>173.31005381574082</v>
      </c>
      <c r="C193">
        <f t="shared" si="195"/>
        <v>-0.42281107770104365</v>
      </c>
      <c r="D193">
        <f t="shared" ref="D193" si="289">SUMSQ(C192:C193)</f>
        <v>1.0630089291942402</v>
      </c>
      <c r="E193" t="str">
        <f t="shared" ref="E193" si="290">IF(AND(D193&gt;0,D193&lt;1),C193/SQRT(D193)*SQRT(-2*LN(D193)),"Brak")</f>
        <v>Brak</v>
      </c>
      <c r="F193" t="str">
        <f t="shared" si="194"/>
        <v>Brak</v>
      </c>
    </row>
    <row r="194" spans="1:6" x14ac:dyDescent="0.3">
      <c r="A194">
        <v>0.17351295522811327</v>
      </c>
      <c r="B194" cm="1">
        <f t="array" ref="B194">_xlfn.NORM.INV(A194,_mu,_sigma)</f>
        <v>168.71551566450384</v>
      </c>
      <c r="C194">
        <f t="shared" si="195"/>
        <v>-0.65297408954377345</v>
      </c>
      <c r="E194">
        <f t="shared" ref="E194" si="291">IF(AND(D195&gt;0,D195&lt;1),C194/SQRT(D195)*SQRT(-2*LN(D195)),"Brak")</f>
        <v>-1.0612402532604219</v>
      </c>
      <c r="F194">
        <f t="shared" ref="F194:F257" si="292">IF(ISNUMBER(E194),_mu+E194*_sigma,"Brak")</f>
        <v>167.26511696087493</v>
      </c>
    </row>
    <row r="195" spans="1:6" x14ac:dyDescent="0.3">
      <c r="A195">
        <v>0.64453326415982137</v>
      </c>
      <c r="B195" cm="1">
        <f t="array" ref="B195">_xlfn.NORM.INV(A195,_mu,_sigma)</f>
        <v>184.44723238500134</v>
      </c>
      <c r="C195">
        <f t="shared" ref="C195:C258" si="293">2*A195-1</f>
        <v>0.28906652831964275</v>
      </c>
      <c r="D195">
        <f t="shared" ref="D195" si="294">SUMSQ(C194:C195)</f>
        <v>0.50993461941029072</v>
      </c>
      <c r="E195">
        <f t="shared" ref="E195" si="295">IF(AND(D195&gt;0,D195&lt;1),C195/SQRT(D195)*SQRT(-2*LN(D195)),"Brak")</f>
        <v>0.46980276956683698</v>
      </c>
      <c r="F195">
        <f t="shared" si="292"/>
        <v>185.63763323480205</v>
      </c>
    </row>
    <row r="196" spans="1:6" x14ac:dyDescent="0.3">
      <c r="A196">
        <v>0.70250940359451375</v>
      </c>
      <c r="B196" cm="1">
        <f t="array" ref="B196">_xlfn.NORM.INV(A196,_mu,_sigma)</f>
        <v>186.37957887697712</v>
      </c>
      <c r="C196">
        <f t="shared" si="293"/>
        <v>0.4050188071890275</v>
      </c>
      <c r="E196">
        <f t="shared" ref="E196" si="296">IF(AND(D197&gt;0,D197&lt;1),C196/SQRT(D197)*SQRT(-2*LN(D197)),"Brak")</f>
        <v>0.1742772881018553</v>
      </c>
      <c r="F196">
        <f t="shared" si="292"/>
        <v>182.09132745722226</v>
      </c>
    </row>
    <row r="197" spans="1:6" x14ac:dyDescent="0.3">
      <c r="A197">
        <v>0.93429377564319416</v>
      </c>
      <c r="B197" cm="1">
        <f t="array" ref="B197">_xlfn.NORM.INV(A197,_mu,_sigma)</f>
        <v>198.10266434599095</v>
      </c>
      <c r="C197">
        <f t="shared" si="293"/>
        <v>0.86858755128638832</v>
      </c>
      <c r="D197">
        <f t="shared" ref="D197" si="297">SUMSQ(C196:C197)</f>
        <v>0.91848456842650683</v>
      </c>
      <c r="E197">
        <f t="shared" ref="E197" si="298">IF(AND(D197&gt;0,D197&lt;1),C197/SQRT(D197)*SQRT(-2*LN(D197)),"Brak")</f>
        <v>0.37374828089544543</v>
      </c>
      <c r="F197">
        <f t="shared" si="292"/>
        <v>184.48497937074535</v>
      </c>
    </row>
    <row r="198" spans="1:6" x14ac:dyDescent="0.3">
      <c r="A198">
        <v>0.65323028369618552</v>
      </c>
      <c r="B198" cm="1">
        <f t="array" ref="B198">_xlfn.NORM.INV(A198,_mu,_sigma)</f>
        <v>184.72867626605438</v>
      </c>
      <c r="C198">
        <f t="shared" si="293"/>
        <v>0.30646056739237104</v>
      </c>
      <c r="E198">
        <f t="shared" ref="E198" si="299">IF(AND(D199&gt;0,D199&lt;1),C198/SQRT(D199)*SQRT(-2*LN(D199)),"Brak")</f>
        <v>0.24812452054121154</v>
      </c>
      <c r="F198">
        <f t="shared" si="292"/>
        <v>182.97749424649453</v>
      </c>
    </row>
    <row r="199" spans="1:6" x14ac:dyDescent="0.3">
      <c r="A199">
        <v>8.7197590699560901E-2</v>
      </c>
      <c r="B199" cm="1">
        <f t="array" ref="B199">_xlfn.NORM.INV(A199,_mu,_sigma)</f>
        <v>163.70140899628424</v>
      </c>
      <c r="C199">
        <f t="shared" si="293"/>
        <v>-0.8256048186008782</v>
      </c>
      <c r="D199">
        <f t="shared" ref="D199" si="300">SUMSQ(C198:C199)</f>
        <v>0.77554139586344306</v>
      </c>
      <c r="E199">
        <f t="shared" ref="E199" si="301">IF(AND(D199&gt;0,D199&lt;1),C199/SQRT(D199)*SQRT(-2*LN(D199)),"Brak")</f>
        <v>-0.66844749885742194</v>
      </c>
      <c r="F199">
        <f t="shared" si="292"/>
        <v>171.97863001371093</v>
      </c>
    </row>
    <row r="200" spans="1:6" x14ac:dyDescent="0.3">
      <c r="A200">
        <v>0.71001162567352027</v>
      </c>
      <c r="B200" cm="1">
        <f t="array" ref="B200">_xlfn.NORM.INV(A200,_mu,_sigma)</f>
        <v>186.64102419451743</v>
      </c>
      <c r="C200">
        <f t="shared" si="293"/>
        <v>0.42002325134704055</v>
      </c>
      <c r="E200">
        <f t="shared" ref="E200" si="302">IF(AND(D201&gt;0,D201&lt;1),C200/SQRT(D201)*SQRT(-2*LN(D201)),"Brak")</f>
        <v>1.4719730453978521</v>
      </c>
      <c r="F200">
        <f t="shared" si="292"/>
        <v>197.66367654477423</v>
      </c>
    </row>
    <row r="201" spans="1:6" x14ac:dyDescent="0.3">
      <c r="A201">
        <v>0.37847829549235334</v>
      </c>
      <c r="B201" cm="1">
        <f t="array" ref="B201">_xlfn.NORM.INV(A201,_mu,_sigma)</f>
        <v>176.28624264058803</v>
      </c>
      <c r="C201">
        <f t="shared" si="293"/>
        <v>-0.24304340901529331</v>
      </c>
      <c r="D201">
        <f t="shared" ref="D201" si="303">SUMSQ(C200:C201)</f>
        <v>0.23548963033791437</v>
      </c>
      <c r="E201">
        <f t="shared" ref="E201" si="304">IF(AND(D201&gt;0,D201&lt;1),C201/SQRT(D201)*SQRT(-2*LN(D201)),"Brak")</f>
        <v>-0.85174653018560265</v>
      </c>
      <c r="F201">
        <f t="shared" si="292"/>
        <v>169.77904163777276</v>
      </c>
    </row>
    <row r="202" spans="1:6" x14ac:dyDescent="0.3">
      <c r="A202">
        <v>0.12864109715647687</v>
      </c>
      <c r="B202" cm="1">
        <f t="array" ref="B202">_xlfn.NORM.INV(A202,_mu,_sigma)</f>
        <v>166.40594125612571</v>
      </c>
      <c r="C202">
        <f t="shared" si="293"/>
        <v>-0.74271780568704626</v>
      </c>
      <c r="E202">
        <f t="shared" ref="E202" si="305">IF(AND(D203&gt;0,D203&lt;1),C202/SQRT(D203)*SQRT(-2*LN(D203)),"Brak")</f>
        <v>-0.62414035958500846</v>
      </c>
      <c r="F202">
        <f t="shared" si="292"/>
        <v>172.5103156849799</v>
      </c>
    </row>
    <row r="203" spans="1:6" x14ac:dyDescent="0.3">
      <c r="A203">
        <v>0.26976921819761313</v>
      </c>
      <c r="B203" cm="1">
        <f t="array" ref="B203">_xlfn.NORM.INV(A203,_mu,_sigma)</f>
        <v>172.63786663366142</v>
      </c>
      <c r="C203">
        <f t="shared" si="293"/>
        <v>-0.46046156360477375</v>
      </c>
      <c r="D203">
        <f t="shared" ref="D203" si="306">SUMSQ(C202:C203)</f>
        <v>0.76365459044193407</v>
      </c>
      <c r="E203">
        <f t="shared" ref="E203" si="307">IF(AND(D203&gt;0,D203&lt;1),C203/SQRT(D203)*SQRT(-2*LN(D203)),"Brak")</f>
        <v>-0.38694729503288006</v>
      </c>
      <c r="F203">
        <f t="shared" si="292"/>
        <v>175.35663245960544</v>
      </c>
    </row>
    <row r="204" spans="1:6" x14ac:dyDescent="0.3">
      <c r="A204">
        <v>0.23665479313823579</v>
      </c>
      <c r="B204" cm="1">
        <f t="array" ref="B204">_xlfn.NORM.INV(A204,_mu,_sigma)</f>
        <v>171.3947453572203</v>
      </c>
      <c r="C204">
        <f t="shared" si="293"/>
        <v>-0.52669041372352843</v>
      </c>
      <c r="E204">
        <f t="shared" ref="E204" si="308">IF(AND(D205&gt;0,D205&lt;1),C204/SQRT(D205)*SQRT(-2*LN(D205)),"Brak")</f>
        <v>-1.3128845683480281</v>
      </c>
      <c r="F204">
        <f t="shared" si="292"/>
        <v>164.24538517982367</v>
      </c>
    </row>
    <row r="205" spans="1:6" x14ac:dyDescent="0.3">
      <c r="A205">
        <v>0.37122949445825826</v>
      </c>
      <c r="B205" cm="1">
        <f t="array" ref="B205">_xlfn.NORM.INV(A205,_mu,_sigma)</f>
        <v>176.0568149351177</v>
      </c>
      <c r="C205">
        <f t="shared" si="293"/>
        <v>-0.25754101108348348</v>
      </c>
      <c r="D205">
        <f t="shared" ref="D205" si="309">SUMSQ(C204:C205)</f>
        <v>0.3437301642981645</v>
      </c>
      <c r="E205">
        <f t="shared" ref="E205" si="310">IF(AND(D205&gt;0,D205&lt;1),C205/SQRT(D205)*SQRT(-2*LN(D205)),"Brak")</f>
        <v>-0.64197412817492727</v>
      </c>
      <c r="F205">
        <f t="shared" si="292"/>
        <v>172.29631046190087</v>
      </c>
    </row>
    <row r="206" spans="1:6" x14ac:dyDescent="0.3">
      <c r="A206">
        <v>0.45971548341757551</v>
      </c>
      <c r="B206" cm="1">
        <f t="array" ref="B206">_xlfn.NORM.INV(A206,_mu,_sigma)</f>
        <v>178.78619364413066</v>
      </c>
      <c r="C206">
        <f t="shared" si="293"/>
        <v>-8.056903316484898E-2</v>
      </c>
      <c r="E206">
        <f t="shared" ref="E206" si="311">IF(AND(D207&gt;0,D207&lt;1),C206/SQRT(D207)*SQRT(-2*LN(D207)),"Brak")</f>
        <v>-7.5268360467764486E-2</v>
      </c>
      <c r="F206">
        <f t="shared" si="292"/>
        <v>179.09677967438682</v>
      </c>
    </row>
    <row r="207" spans="1:6" x14ac:dyDescent="0.3">
      <c r="A207">
        <v>7.5328404202618993E-2</v>
      </c>
      <c r="B207" cm="1">
        <f t="array" ref="B207">_xlfn.NORM.INV(A207,_mu,_sigma)</f>
        <v>162.75341561817311</v>
      </c>
      <c r="C207">
        <f t="shared" si="293"/>
        <v>-0.84934319159476201</v>
      </c>
      <c r="D207">
        <f t="shared" ref="D207" si="312">SUMSQ(C206:C207)</f>
        <v>0.7278752262134951</v>
      </c>
      <c r="E207">
        <f t="shared" ref="E207" si="313">IF(AND(D207&gt;0,D207&lt;1),C207/SQRT(D207)*SQRT(-2*LN(D207)),"Brak")</f>
        <v>-0.79346452346020202</v>
      </c>
      <c r="F207">
        <f t="shared" si="292"/>
        <v>170.47842571847758</v>
      </c>
    </row>
    <row r="208" spans="1:6" x14ac:dyDescent="0.3">
      <c r="A208">
        <v>0.47030039893172282</v>
      </c>
      <c r="B208" cm="1">
        <f t="array" ref="B208">_xlfn.NORM.INV(A208,_mu,_sigma)</f>
        <v>179.10582289248592</v>
      </c>
      <c r="C208">
        <f t="shared" si="293"/>
        <v>-5.9399202136554363E-2</v>
      </c>
      <c r="E208">
        <f t="shared" ref="E208" si="314">IF(AND(D209&gt;0,D209&lt;1),C208/SQRT(D209)*SQRT(-2*LN(D209)),"Brak")</f>
        <v>-5.6659428922027924E-2</v>
      </c>
      <c r="F208">
        <f t="shared" si="292"/>
        <v>179.32008685293567</v>
      </c>
    </row>
    <row r="209" spans="1:6" x14ac:dyDescent="0.3">
      <c r="A209">
        <v>0.92337513341822774</v>
      </c>
      <c r="B209" cm="1">
        <f t="array" ref="B209">_xlfn.NORM.INV(A209,_mu,_sigma)</f>
        <v>197.13775644014163</v>
      </c>
      <c r="C209">
        <f t="shared" si="293"/>
        <v>0.84675026683645549</v>
      </c>
      <c r="D209">
        <f t="shared" ref="D209" si="315">SUMSQ(C208:C209)</f>
        <v>0.72051427960206782</v>
      </c>
      <c r="E209">
        <f t="shared" ref="E209" si="316">IF(AND(D209&gt;0,D209&lt;1),C209/SQRT(D209)*SQRT(-2*LN(D209)),"Brak")</f>
        <v>0.80769412437955257</v>
      </c>
      <c r="F209">
        <f t="shared" si="292"/>
        <v>189.69232949255462</v>
      </c>
    </row>
    <row r="210" spans="1:6" x14ac:dyDescent="0.3">
      <c r="A210">
        <v>0.87123510177808416</v>
      </c>
      <c r="B210" cm="1">
        <f t="array" ref="B210">_xlfn.NORM.INV(A210,_mu,_sigma)</f>
        <v>193.58698709734162</v>
      </c>
      <c r="C210">
        <f t="shared" si="293"/>
        <v>0.74247020355616833</v>
      </c>
      <c r="E210">
        <f t="shared" ref="E210" si="317">IF(AND(D211&gt;0,D211&lt;1),C210/SQRT(D211)*SQRT(-2*LN(D211)),"Brak")</f>
        <v>0.39332294295644987</v>
      </c>
      <c r="F210">
        <f t="shared" si="292"/>
        <v>184.7198753154774</v>
      </c>
    </row>
    <row r="211" spans="1:6" x14ac:dyDescent="0.3">
      <c r="A211">
        <v>0.78816426126922123</v>
      </c>
      <c r="B211" cm="1">
        <f t="array" ref="B211">_xlfn.NORM.INV(A211,_mu,_sigma)</f>
        <v>189.60081439943207</v>
      </c>
      <c r="C211">
        <f t="shared" si="293"/>
        <v>0.57632852253844247</v>
      </c>
      <c r="D211">
        <f t="shared" ref="D211" si="318">SUMSQ(C210:C211)</f>
        <v>0.88341656906008215</v>
      </c>
      <c r="E211">
        <f t="shared" ref="E211" si="319">IF(AND(D211&gt;0,D211&lt;1),C211/SQRT(D211)*SQRT(-2*LN(D211)),"Brak")</f>
        <v>0.30530953230019292</v>
      </c>
      <c r="F211">
        <f t="shared" si="292"/>
        <v>183.66371438760231</v>
      </c>
    </row>
    <row r="212" spans="1:6" x14ac:dyDescent="0.3">
      <c r="A212">
        <v>0.50848151834642474</v>
      </c>
      <c r="B212" cm="1">
        <f t="array" ref="B212">_xlfn.NORM.INV(A212,_mu,_sigma)</f>
        <v>180.2551393859782</v>
      </c>
      <c r="C212">
        <f t="shared" si="293"/>
        <v>1.6963036692849487E-2</v>
      </c>
      <c r="E212">
        <f t="shared" ref="E212" si="320">IF(AND(D213&gt;0,D213&lt;1),C212/SQRT(D213)*SQRT(-2*LN(D213)),"Brak")</f>
        <v>5.2444536274300867E-3</v>
      </c>
      <c r="F212">
        <f t="shared" si="292"/>
        <v>180.06293344352915</v>
      </c>
    </row>
    <row r="213" spans="1:6" x14ac:dyDescent="0.3">
      <c r="A213">
        <v>0.98864077461982747</v>
      </c>
      <c r="B213" cm="1">
        <f t="array" ref="B213">_xlfn.NORM.INV(A213,_mu,_sigma)</f>
        <v>207.33763707652912</v>
      </c>
      <c r="C213">
        <f t="shared" si="293"/>
        <v>0.97728154923965493</v>
      </c>
      <c r="D213">
        <f t="shared" ref="D213" si="321">SUMSQ(C212:C213)</f>
        <v>0.95536697109810309</v>
      </c>
      <c r="E213">
        <f t="shared" ref="E213" si="322">IF(AND(D213&gt;0,D213&lt;1),C213/SQRT(D213)*SQRT(-2*LN(D213)),"Brak")</f>
        <v>0.3021456510844488</v>
      </c>
      <c r="F213">
        <f t="shared" si="292"/>
        <v>183.62574781301339</v>
      </c>
    </row>
    <row r="214" spans="1:6" x14ac:dyDescent="0.3">
      <c r="A214">
        <v>0.45167926109097278</v>
      </c>
      <c r="B214" cm="1">
        <f t="array" ref="B214">_xlfn.NORM.INV(A214,_mu,_sigma)</f>
        <v>178.54296220922413</v>
      </c>
      <c r="C214">
        <f t="shared" si="293"/>
        <v>-9.6641477818054433E-2</v>
      </c>
      <c r="E214">
        <f t="shared" ref="E214" si="323">IF(AND(D215&gt;0,D215&lt;1),C214/SQRT(D215)*SQRT(-2*LN(D215)),"Brak")</f>
        <v>-2.9009294245798909</v>
      </c>
      <c r="F214">
        <f t="shared" si="292"/>
        <v>145.18884690504132</v>
      </c>
    </row>
    <row r="215" spans="1:6" x14ac:dyDescent="0.3">
      <c r="A215">
        <v>0.48548919643555211</v>
      </c>
      <c r="B215" cm="1">
        <f t="array" ref="B215">_xlfn.NORM.INV(A215,_mu,_sigma)</f>
        <v>179.56342542526536</v>
      </c>
      <c r="C215">
        <f t="shared" si="293"/>
        <v>-2.9021607128895788E-2</v>
      </c>
      <c r="D215">
        <f t="shared" ref="D215" si="324">SUMSQ(C214:C215)</f>
        <v>1.0181828915201483E-2</v>
      </c>
      <c r="E215">
        <f t="shared" ref="E215" si="325">IF(AND(D215&gt;0,D215&lt;1),C215/SQRT(D215)*SQRT(-2*LN(D215)),"Brak")</f>
        <v>-0.87115424939293629</v>
      </c>
      <c r="F215">
        <f t="shared" si="292"/>
        <v>169.54614900728475</v>
      </c>
    </row>
    <row r="216" spans="1:6" x14ac:dyDescent="0.3">
      <c r="A216">
        <v>0.75605491542808423</v>
      </c>
      <c r="B216" cm="1">
        <f t="array" ref="B216">_xlfn.NORM.INV(A216,_mu,_sigma)</f>
        <v>188.32402115127599</v>
      </c>
      <c r="C216">
        <f t="shared" si="293"/>
        <v>0.51210983085616846</v>
      </c>
      <c r="E216">
        <f t="shared" ref="E216" si="326">IF(AND(D217&gt;0,D217&lt;1),C216/SQRT(D217)*SQRT(-2*LN(D217)),"Brak")</f>
        <v>0.49167556811356999</v>
      </c>
      <c r="F216">
        <f t="shared" si="292"/>
        <v>185.90010681736283</v>
      </c>
    </row>
    <row r="217" spans="1:6" x14ac:dyDescent="0.3">
      <c r="A217">
        <v>0.16238342004337369</v>
      </c>
      <c r="B217" cm="1">
        <f t="array" ref="B217">_xlfn.NORM.INV(A217,_mu,_sigma)</f>
        <v>168.18348734572044</v>
      </c>
      <c r="C217">
        <f t="shared" si="293"/>
        <v>-0.67523315991325261</v>
      </c>
      <c r="D217">
        <f t="shared" ref="D217" si="327">SUMSQ(C216:C217)</f>
        <v>0.7181962991059696</v>
      </c>
      <c r="E217">
        <f t="shared" ref="E217" si="328">IF(AND(D217&gt;0,D217&lt;1),C217/SQRT(D217)*SQRT(-2*LN(D217)),"Brak")</f>
        <v>-0.64828993217026143</v>
      </c>
      <c r="F217">
        <f t="shared" si="292"/>
        <v>172.22052081395685</v>
      </c>
    </row>
    <row r="218" spans="1:6" x14ac:dyDescent="0.3">
      <c r="A218">
        <v>4.9822922707164152E-2</v>
      </c>
      <c r="B218" cm="1">
        <f t="array" ref="B218">_xlfn.NORM.INV(A218,_mu,_sigma)</f>
        <v>160.24112408675614</v>
      </c>
      <c r="C218">
        <f t="shared" si="293"/>
        <v>-0.9003541545856717</v>
      </c>
      <c r="E218" t="str">
        <f t="shared" ref="E218" si="329">IF(AND(D219&gt;0,D219&lt;1),C218/SQRT(D219)*SQRT(-2*LN(D219)),"Brak")</f>
        <v>Brak</v>
      </c>
      <c r="F218" t="str">
        <f t="shared" si="292"/>
        <v>Brak</v>
      </c>
    </row>
    <row r="219" spans="1:6" x14ac:dyDescent="0.3">
      <c r="A219">
        <v>7.0135959388948232E-2</v>
      </c>
      <c r="B219" cm="1">
        <f t="array" ref="B219">_xlfn.NORM.INV(A219,_mu,_sigma)</f>
        <v>162.30264976677256</v>
      </c>
      <c r="C219">
        <f t="shared" si="293"/>
        <v>-0.85972808122210354</v>
      </c>
      <c r="D219">
        <f t="shared" ref="D219" si="330">SUMSQ(C218:C219)</f>
        <v>1.5497699773215194</v>
      </c>
      <c r="E219" t="str">
        <f t="shared" ref="E219" si="331">IF(AND(D219&gt;0,D219&lt;1),C219/SQRT(D219)*SQRT(-2*LN(D219)),"Brak")</f>
        <v>Brak</v>
      </c>
      <c r="F219" t="str">
        <f t="shared" si="292"/>
        <v>Brak</v>
      </c>
    </row>
    <row r="220" spans="1:6" x14ac:dyDescent="0.3">
      <c r="A220">
        <v>8.0755689217671178E-2</v>
      </c>
      <c r="B220" cm="1">
        <f t="array" ref="B220">_xlfn.NORM.INV(A220,_mu,_sigma)</f>
        <v>163.19992225710934</v>
      </c>
      <c r="C220">
        <f t="shared" si="293"/>
        <v>-0.83848862156465764</v>
      </c>
      <c r="E220" t="str">
        <f t="shared" ref="E220" si="332">IF(AND(D221&gt;0,D221&lt;1),C220/SQRT(D221)*SQRT(-2*LN(D221)),"Brak")</f>
        <v>Brak</v>
      </c>
      <c r="F220" t="str">
        <f t="shared" si="292"/>
        <v>Brak</v>
      </c>
    </row>
    <row r="221" spans="1:6" x14ac:dyDescent="0.3">
      <c r="A221">
        <v>0.21133959631831023</v>
      </c>
      <c r="B221" cm="1">
        <f t="array" ref="B221">_xlfn.NORM.INV(A221,_mu,_sigma)</f>
        <v>170.37861848956615</v>
      </c>
      <c r="C221">
        <f t="shared" si="293"/>
        <v>-0.57732080736337954</v>
      </c>
      <c r="D221">
        <f t="shared" ref="D221" si="333">SUMSQ(C220:C221)</f>
        <v>1.0363624831081042</v>
      </c>
      <c r="E221" t="str">
        <f t="shared" ref="E221" si="334">IF(AND(D221&gt;0,D221&lt;1),C221/SQRT(D221)*SQRT(-2*LN(D221)),"Brak")</f>
        <v>Brak</v>
      </c>
      <c r="F221" t="str">
        <f t="shared" si="292"/>
        <v>Brak</v>
      </c>
    </row>
    <row r="222" spans="1:6" x14ac:dyDescent="0.3">
      <c r="A222">
        <v>0.88934551939183737</v>
      </c>
      <c r="B222" cm="1">
        <f t="array" ref="B222">_xlfn.NORM.INV(A222,_mu,_sigma)</f>
        <v>194.67665880196793</v>
      </c>
      <c r="C222">
        <f t="shared" si="293"/>
        <v>0.77869103878367474</v>
      </c>
      <c r="E222">
        <f t="shared" ref="E222" si="335">IF(AND(D223&gt;0,D223&lt;1),C222/SQRT(D223)*SQRT(-2*LN(D223)),"Brak")</f>
        <v>0.42148908346906577</v>
      </c>
      <c r="F222">
        <f t="shared" si="292"/>
        <v>185.0578690016288</v>
      </c>
    </row>
    <row r="223" spans="1:6" x14ac:dyDescent="0.3">
      <c r="A223">
        <v>0.23884897088568213</v>
      </c>
      <c r="B223" cm="1">
        <f t="array" ref="B223">_xlfn.NORM.INV(A223,_mu,_sigma)</f>
        <v>171.47988013110589</v>
      </c>
      <c r="C223">
        <f t="shared" si="293"/>
        <v>-0.52230205822863573</v>
      </c>
      <c r="D223">
        <f t="shared" ref="D223" si="336">SUMSQ(C222:C223)</f>
        <v>0.8791591739118676</v>
      </c>
      <c r="E223">
        <f t="shared" ref="E223" si="337">IF(AND(D223&gt;0,D223&lt;1),C223/SQRT(D223)*SQRT(-2*LN(D223)),"Brak")</f>
        <v>-0.28271112013907723</v>
      </c>
      <c r="F223">
        <f t="shared" si="292"/>
        <v>176.60746655833108</v>
      </c>
    </row>
    <row r="224" spans="1:6" x14ac:dyDescent="0.3">
      <c r="A224">
        <v>0.28182051055278912</v>
      </c>
      <c r="B224" cm="1">
        <f t="array" ref="B224">_xlfn.NORM.INV(A224,_mu,_sigma)</f>
        <v>173.07069799568993</v>
      </c>
      <c r="C224">
        <f t="shared" si="293"/>
        <v>-0.43635897889442177</v>
      </c>
      <c r="E224">
        <f t="shared" ref="E224" si="338">IF(AND(D225&gt;0,D225&lt;1),C224/SQRT(D225)*SQRT(-2*LN(D225)),"Brak")</f>
        <v>-1.5550286500764468</v>
      </c>
      <c r="F224">
        <f t="shared" si="292"/>
        <v>161.33965619908264</v>
      </c>
    </row>
    <row r="225" spans="1:6" x14ac:dyDescent="0.3">
      <c r="A225">
        <v>0.60056577234863329</v>
      </c>
      <c r="B225" cm="1">
        <f t="array" ref="B225">_xlfn.NORM.INV(A225,_mu,_sigma)</f>
        <v>183.05774168799809</v>
      </c>
      <c r="C225">
        <f t="shared" si="293"/>
        <v>0.20113154469726657</v>
      </c>
      <c r="D225">
        <f t="shared" ref="D225" si="339">SUMSQ(C224:C225)</f>
        <v>0.23086305673409097</v>
      </c>
      <c r="E225">
        <f t="shared" ref="E225" si="340">IF(AND(D225&gt;0,D225&lt;1),C225/SQRT(D225)*SQRT(-2*LN(D225)),"Brak")</f>
        <v>0.71676149584641724</v>
      </c>
      <c r="F225">
        <f t="shared" si="292"/>
        <v>188.60113795015701</v>
      </c>
    </row>
    <row r="226" spans="1:6" x14ac:dyDescent="0.3">
      <c r="A226">
        <v>5.0135804200479583E-3</v>
      </c>
      <c r="B226" cm="1">
        <f t="array" ref="B226">_xlfn.NORM.INV(A226,_mu,_sigma)</f>
        <v>149.10130500698813</v>
      </c>
      <c r="C226">
        <f t="shared" si="293"/>
        <v>-0.98997283915990408</v>
      </c>
      <c r="E226" t="str">
        <f t="shared" ref="E226" si="341">IF(AND(D227&gt;0,D227&lt;1),C226/SQRT(D227)*SQRT(-2*LN(D227)),"Brak")</f>
        <v>Brak</v>
      </c>
      <c r="F226" t="str">
        <f t="shared" si="292"/>
        <v>Brak</v>
      </c>
    </row>
    <row r="227" spans="1:6" x14ac:dyDescent="0.3">
      <c r="A227">
        <v>0.16050523606687228</v>
      </c>
      <c r="B227" cm="1">
        <f t="array" ref="B227">_xlfn.NORM.INV(A227,_mu,_sigma)</f>
        <v>168.09139768940963</v>
      </c>
      <c r="C227">
        <f t="shared" si="293"/>
        <v>-0.67898952786625544</v>
      </c>
      <c r="D227">
        <f t="shared" ref="D227" si="342">SUMSQ(C226:C227)</f>
        <v>1.4410730012263619</v>
      </c>
      <c r="E227" t="str">
        <f t="shared" ref="E227" si="343">IF(AND(D227&gt;0,D227&lt;1),C227/SQRT(D227)*SQRT(-2*LN(D227)),"Brak")</f>
        <v>Brak</v>
      </c>
      <c r="F227" t="str">
        <f t="shared" si="292"/>
        <v>Brak</v>
      </c>
    </row>
    <row r="228" spans="1:6" x14ac:dyDescent="0.3">
      <c r="A228">
        <v>0.41980363909311358</v>
      </c>
      <c r="B228" cm="1">
        <f t="array" ref="B228">_xlfn.NORM.INV(A228,_mu,_sigma)</f>
        <v>177.57124988744366</v>
      </c>
      <c r="C228">
        <f t="shared" si="293"/>
        <v>-0.16039272181377284</v>
      </c>
      <c r="E228">
        <f t="shared" ref="E228" si="344">IF(AND(D229&gt;0,D229&lt;1),C228/SQRT(D229)*SQRT(-2*LN(D229)),"Brak")</f>
        <v>-0.32324959010952076</v>
      </c>
      <c r="F228">
        <f t="shared" si="292"/>
        <v>176.12100491868574</v>
      </c>
    </row>
    <row r="229" spans="1:6" x14ac:dyDescent="0.3">
      <c r="A229">
        <v>0.81526901229184812</v>
      </c>
      <c r="B229" cm="1">
        <f t="array" ref="B229">_xlfn.NORM.INV(A229,_mu,_sigma)</f>
        <v>190.7697794707756</v>
      </c>
      <c r="C229">
        <f t="shared" si="293"/>
        <v>0.63053802458369623</v>
      </c>
      <c r="D229">
        <f t="shared" ref="D229" si="345">SUMSQ(C228:C229)</f>
        <v>0.42330402565674025</v>
      </c>
      <c r="E229">
        <f t="shared" ref="E229" si="346">IF(AND(D229&gt;0,D229&lt;1),C229/SQRT(D229)*SQRT(-2*LN(D229)),"Brak")</f>
        <v>1.2707631349494608</v>
      </c>
      <c r="F229">
        <f t="shared" si="292"/>
        <v>195.24915761939354</v>
      </c>
    </row>
    <row r="230" spans="1:6" x14ac:dyDescent="0.3">
      <c r="A230">
        <v>3.1073514841219119E-2</v>
      </c>
      <c r="B230" cm="1">
        <f t="array" ref="B230">_xlfn.NORM.INV(A230,_mu,_sigma)</f>
        <v>157.61705649886972</v>
      </c>
      <c r="C230">
        <f t="shared" si="293"/>
        <v>-0.93785297031756176</v>
      </c>
      <c r="E230">
        <f t="shared" ref="E230" si="347">IF(AND(D231&gt;0,D231&lt;1),C230/SQRT(D231)*SQRT(-2*LN(D231)),"Brak")</f>
        <v>-0.47847185680622717</v>
      </c>
      <c r="F230">
        <f t="shared" si="292"/>
        <v>174.25833771832527</v>
      </c>
    </row>
    <row r="231" spans="1:6" x14ac:dyDescent="0.3">
      <c r="A231">
        <v>0.55243357979133045</v>
      </c>
      <c r="B231" cm="1">
        <f t="array" ref="B231">_xlfn.NORM.INV(A231,_mu,_sigma)</f>
        <v>181.58174634132592</v>
      </c>
      <c r="C231">
        <f t="shared" si="293"/>
        <v>0.10486715958266091</v>
      </c>
      <c r="D231">
        <f t="shared" ref="D231" si="348">SUMSQ(C230:C231)</f>
        <v>0.89056531509240866</v>
      </c>
      <c r="E231">
        <f t="shared" ref="E231" si="349">IF(AND(D231&gt;0,D231&lt;1),C231/SQRT(D231)*SQRT(-2*LN(D231)),"Brak")</f>
        <v>5.3500907020127962E-2</v>
      </c>
      <c r="F231">
        <f t="shared" si="292"/>
        <v>180.64201088424153</v>
      </c>
    </row>
    <row r="232" spans="1:6" x14ac:dyDescent="0.3">
      <c r="A232">
        <v>7.3317736475577155E-2</v>
      </c>
      <c r="B232" cm="1">
        <f t="array" ref="B232">_xlfn.NORM.INV(A232,_mu,_sigma)</f>
        <v>162.58177534162755</v>
      </c>
      <c r="C232">
        <f t="shared" si="293"/>
        <v>-0.85336452704884569</v>
      </c>
      <c r="E232">
        <f t="shared" ref="E232" si="350">IF(AND(D233&gt;0,D233&lt;1),C232/SQRT(D233)*SQRT(-2*LN(D233)),"Brak")</f>
        <v>-0.57798704451318983</v>
      </c>
      <c r="F232">
        <f t="shared" si="292"/>
        <v>173.06415546584174</v>
      </c>
    </row>
    <row r="233" spans="1:6" x14ac:dyDescent="0.3">
      <c r="A233">
        <v>0.6572821635319378</v>
      </c>
      <c r="B233" cm="1">
        <f t="array" ref="B233">_xlfn.NORM.INV(A233,_mu,_sigma)</f>
        <v>184.86068302213454</v>
      </c>
      <c r="C233">
        <f t="shared" si="293"/>
        <v>0.3145643270638756</v>
      </c>
      <c r="D233">
        <f t="shared" ref="D233" si="351">SUMSQ(C232:C233)</f>
        <v>0.82718173188644895</v>
      </c>
      <c r="E233">
        <f t="shared" ref="E233" si="352">IF(AND(D233&gt;0,D233&lt;1),C233/SQRT(D233)*SQRT(-2*LN(D233)),"Brak")</f>
        <v>0.21305561685073771</v>
      </c>
      <c r="F233">
        <f t="shared" si="292"/>
        <v>182.55666740220886</v>
      </c>
    </row>
    <row r="234" spans="1:6" x14ac:dyDescent="0.3">
      <c r="A234">
        <v>0.82846100120547483</v>
      </c>
      <c r="B234" cm="1">
        <f t="array" ref="B234">_xlfn.NORM.INV(A234,_mu,_sigma)</f>
        <v>191.37721298176209</v>
      </c>
      <c r="C234">
        <f t="shared" si="293"/>
        <v>0.65692200241094967</v>
      </c>
      <c r="E234">
        <f t="shared" ref="E234" si="353">IF(AND(D235&gt;0,D235&lt;1),C234/SQRT(D235)*SQRT(-2*LN(D235)),"Brak")</f>
        <v>0.29101529947190913</v>
      </c>
      <c r="F234">
        <f t="shared" si="292"/>
        <v>183.4921835936629</v>
      </c>
    </row>
    <row r="235" spans="1:6" x14ac:dyDescent="0.3">
      <c r="A235">
        <v>0.15263330192619273</v>
      </c>
      <c r="B235" cm="1">
        <f t="array" ref="B235">_xlfn.NORM.INV(A235,_mu,_sigma)</f>
        <v>167.69754341711365</v>
      </c>
      <c r="C235">
        <f t="shared" si="293"/>
        <v>-0.69473339614761453</v>
      </c>
      <c r="D235">
        <f t="shared" ref="D235" si="354">SUMSQ(C234:C235)</f>
        <v>0.91420100897441003</v>
      </c>
      <c r="E235">
        <f t="shared" ref="E235" si="355">IF(AND(D235&gt;0,D235&lt;1),C235/SQRT(D235)*SQRT(-2*LN(D235)),"Brak")</f>
        <v>-0.30776568084342887</v>
      </c>
      <c r="F235">
        <f t="shared" si="292"/>
        <v>176.30681182987885</v>
      </c>
    </row>
    <row r="236" spans="1:6" x14ac:dyDescent="0.3">
      <c r="A236">
        <v>6.6996866254830811E-2</v>
      </c>
      <c r="B236" cm="1">
        <f t="array" ref="B236">_xlfn.NORM.INV(A236,_mu,_sigma)</f>
        <v>162.01755348054343</v>
      </c>
      <c r="C236">
        <f t="shared" si="293"/>
        <v>-0.86600626749033838</v>
      </c>
      <c r="E236">
        <f t="shared" ref="E236" si="356">IF(AND(D237&gt;0,D237&lt;1),C236/SQRT(D237)*SQRT(-2*LN(D237)),"Brak")</f>
        <v>-0.75124398960276129</v>
      </c>
      <c r="F236">
        <f t="shared" si="292"/>
        <v>170.98507212476687</v>
      </c>
    </row>
    <row r="237" spans="1:6" x14ac:dyDescent="0.3">
      <c r="A237">
        <v>0.52849277042288179</v>
      </c>
      <c r="B237" cm="1">
        <f t="array" ref="B237">_xlfn.NORM.INV(A237,_mu,_sigma)</f>
        <v>180.85777933588778</v>
      </c>
      <c r="C237">
        <f t="shared" si="293"/>
        <v>5.6985540845763571E-2</v>
      </c>
      <c r="D237">
        <f t="shared" ref="D237" si="357">SUMSQ(C236:C237)</f>
        <v>0.75321420719803167</v>
      </c>
      <c r="E237">
        <f t="shared" ref="E237" si="358">IF(AND(D237&gt;0,D237&lt;1),C237/SQRT(D237)*SQRT(-2*LN(D237)),"Brak")</f>
        <v>4.9433874397589332E-2</v>
      </c>
      <c r="F237">
        <f t="shared" si="292"/>
        <v>180.59320649277106</v>
      </c>
    </row>
    <row r="238" spans="1:6" x14ac:dyDescent="0.3">
      <c r="A238">
        <v>0.26658706620991202</v>
      </c>
      <c r="B238" cm="1">
        <f t="array" ref="B238">_xlfn.NORM.INV(A238,_mu,_sigma)</f>
        <v>172.52198408365163</v>
      </c>
      <c r="C238">
        <f t="shared" si="293"/>
        <v>-0.46682586758017597</v>
      </c>
      <c r="E238">
        <f t="shared" ref="E238" si="359">IF(AND(D239&gt;0,D239&lt;1),C238/SQRT(D239)*SQRT(-2*LN(D239)),"Brak")</f>
        <v>-1.4206995303449028</v>
      </c>
      <c r="F238">
        <f t="shared" si="292"/>
        <v>162.95160563586117</v>
      </c>
    </row>
    <row r="239" spans="1:6" x14ac:dyDescent="0.3">
      <c r="A239">
        <v>0.37835233054834683</v>
      </c>
      <c r="B239" cm="1">
        <f t="array" ref="B239">_xlfn.NORM.INV(A239,_mu,_sigma)</f>
        <v>176.28226760503162</v>
      </c>
      <c r="C239">
        <f t="shared" si="293"/>
        <v>-0.24329533890330635</v>
      </c>
      <c r="D239">
        <f t="shared" ref="D239" si="360">SUMSQ(C238:C239)</f>
        <v>0.27711901257405869</v>
      </c>
      <c r="E239">
        <f t="shared" ref="E239" si="361">IF(AND(D239&gt;0,D239&lt;1),C239/SQRT(D239)*SQRT(-2*LN(D239)),"Brak")</f>
        <v>-0.74042506578894096</v>
      </c>
      <c r="F239">
        <f t="shared" si="292"/>
        <v>171.11489921053271</v>
      </c>
    </row>
    <row r="240" spans="1:6" x14ac:dyDescent="0.3">
      <c r="A240">
        <v>0.96838242022613574</v>
      </c>
      <c r="B240" cm="1">
        <f t="array" ref="B240">_xlfn.NORM.INV(A240,_mu,_sigma)</f>
        <v>202.29041298515403</v>
      </c>
      <c r="C240">
        <f t="shared" si="293"/>
        <v>0.93676484045227149</v>
      </c>
      <c r="E240">
        <f t="shared" ref="E240" si="362">IF(AND(D241&gt;0,D241&lt;1),C240/SQRT(D241)*SQRT(-2*LN(D241)),"Brak")</f>
        <v>0.40512256111510925</v>
      </c>
      <c r="F240">
        <f t="shared" si="292"/>
        <v>184.86147073338131</v>
      </c>
    </row>
    <row r="241" spans="1:6" x14ac:dyDescent="0.3">
      <c r="A241">
        <v>0.60028380481410204</v>
      </c>
      <c r="B241" cm="1">
        <f t="array" ref="B241">_xlfn.NORM.INV(A241,_mu,_sigma)</f>
        <v>183.04898118391654</v>
      </c>
      <c r="C241">
        <f t="shared" si="293"/>
        <v>0.20056760962820408</v>
      </c>
      <c r="D241">
        <f t="shared" ref="D241" si="363">SUMSQ(C240:C241)</f>
        <v>0.91775573233954133</v>
      </c>
      <c r="E241">
        <f t="shared" ref="E241" si="364">IF(AND(D241&gt;0,D241&lt;1),C241/SQRT(D241)*SQRT(-2*LN(D241)),"Brak")</f>
        <v>8.6739446422950395E-2</v>
      </c>
      <c r="F241">
        <f t="shared" si="292"/>
        <v>181.04087335707541</v>
      </c>
    </row>
    <row r="242" spans="1:6" x14ac:dyDescent="0.3">
      <c r="A242">
        <v>0.35163302609805192</v>
      </c>
      <c r="B242" cm="1">
        <f t="array" ref="B242">_xlfn.NORM.INV(A242,_mu,_sigma)</f>
        <v>175.42901564150256</v>
      </c>
      <c r="C242">
        <f t="shared" si="293"/>
        <v>-0.29673394780389617</v>
      </c>
      <c r="E242">
        <f t="shared" ref="E242" si="365">IF(AND(D243&gt;0,D243&lt;1),C242/SQRT(D243)*SQRT(-2*LN(D243)),"Brak")</f>
        <v>-2.1836449727168188</v>
      </c>
      <c r="F242">
        <f t="shared" si="292"/>
        <v>153.79626032739816</v>
      </c>
    </row>
    <row r="243" spans="1:6" x14ac:dyDescent="0.3">
      <c r="A243">
        <v>0.51725577024507186</v>
      </c>
      <c r="B243" cm="1">
        <f t="array" ref="B243">_xlfn.NORM.INV(A243,_mu,_sigma)</f>
        <v>180.51920757155338</v>
      </c>
      <c r="C243">
        <f t="shared" si="293"/>
        <v>3.4511540490143711E-2</v>
      </c>
      <c r="D243">
        <f t="shared" ref="D243" si="366">SUMSQ(C242:C243)</f>
        <v>8.9242082206288195E-2</v>
      </c>
      <c r="E243">
        <f t="shared" ref="E243" si="367">IF(AND(D243&gt;0,D243&lt;1),C243/SQRT(D243)*SQRT(-2*LN(D243)),"Brak")</f>
        <v>0.25396808302439117</v>
      </c>
      <c r="F243">
        <f t="shared" si="292"/>
        <v>183.0476169962927</v>
      </c>
    </row>
    <row r="244" spans="1:6" x14ac:dyDescent="0.3">
      <c r="A244">
        <v>0.62733094107936604</v>
      </c>
      <c r="B244" cm="1">
        <f t="array" ref="B244">_xlfn.NORM.INV(A244,_mu,_sigma)</f>
        <v>183.89751005353602</v>
      </c>
      <c r="C244">
        <f t="shared" si="293"/>
        <v>0.25466188215873209</v>
      </c>
      <c r="E244">
        <f t="shared" ref="E244" si="368">IF(AND(D245&gt;0,D245&lt;1),C244/SQRT(D245)*SQRT(-2*LN(D245)),"Brak")</f>
        <v>2.059872439797509</v>
      </c>
      <c r="F244">
        <f t="shared" si="292"/>
        <v>204.71846927757011</v>
      </c>
    </row>
    <row r="245" spans="1:6" x14ac:dyDescent="0.3">
      <c r="A245">
        <v>0.4426969620744583</v>
      </c>
      <c r="B245" cm="1">
        <f t="array" ref="B245">_xlfn.NORM.INV(A245,_mu,_sigma)</f>
        <v>178.2703808643648</v>
      </c>
      <c r="C245">
        <f t="shared" si="293"/>
        <v>-0.1146060758510834</v>
      </c>
      <c r="D245">
        <f t="shared" ref="D245" si="369">SUMSQ(C244:C245)</f>
        <v>7.7987226846612231E-2</v>
      </c>
      <c r="E245">
        <f t="shared" ref="E245" si="370">IF(AND(D245&gt;0,D245&lt;1),C245/SQRT(D245)*SQRT(-2*LN(D245)),"Brak")</f>
        <v>-0.92700915848820842</v>
      </c>
      <c r="F245">
        <f t="shared" si="292"/>
        <v>168.8758900981415</v>
      </c>
    </row>
    <row r="246" spans="1:6" x14ac:dyDescent="0.3">
      <c r="A246">
        <v>0.48712515081632746</v>
      </c>
      <c r="B246" cm="1">
        <f t="array" ref="B246">_xlfn.NORM.INV(A246,_mu,_sigma)</f>
        <v>179.61266321924498</v>
      </c>
      <c r="C246">
        <f t="shared" si="293"/>
        <v>-2.5749698367345086E-2</v>
      </c>
      <c r="E246">
        <f t="shared" ref="E246" si="371">IF(AND(D247&gt;0,D247&lt;1),C246/SQRT(D247)*SQRT(-2*LN(D247)),"Brak")</f>
        <v>-1.1293544354841933</v>
      </c>
      <c r="F246">
        <f t="shared" si="292"/>
        <v>166.44774677418968</v>
      </c>
    </row>
    <row r="247" spans="1:6" x14ac:dyDescent="0.3">
      <c r="A247">
        <v>0.46549985104372149</v>
      </c>
      <c r="B247" cm="1">
        <f t="array" ref="B247">_xlfn.NORM.INV(A247,_mu,_sigma)</f>
        <v>178.96095452815013</v>
      </c>
      <c r="C247">
        <f t="shared" si="293"/>
        <v>-6.9000297912557018E-2</v>
      </c>
      <c r="D247">
        <f t="shared" ref="D247" si="372">SUMSQ(C246:C247)</f>
        <v>5.4240880780308739E-3</v>
      </c>
      <c r="E247">
        <f t="shared" ref="E247" si="373">IF(AND(D247&gt;0,D247&lt;1),C247/SQRT(D247)*SQRT(-2*LN(D247)),"Brak")</f>
        <v>-3.0262798183337125</v>
      </c>
      <c r="F247">
        <f t="shared" si="292"/>
        <v>143.68464217999545</v>
      </c>
    </row>
    <row r="248" spans="1:6" x14ac:dyDescent="0.3">
      <c r="A248">
        <v>0.52860888930789784</v>
      </c>
      <c r="B248" cm="1">
        <f t="array" ref="B248">_xlfn.NORM.INV(A248,_mu,_sigma)</f>
        <v>180.86128110988125</v>
      </c>
      <c r="C248">
        <f t="shared" si="293"/>
        <v>5.7217778615795689E-2</v>
      </c>
      <c r="E248">
        <f t="shared" ref="E248" si="374">IF(AND(D249&gt;0,D249&lt;1),C248/SQRT(D249)*SQRT(-2*LN(D249)),"Brak")</f>
        <v>0.24975363591874591</v>
      </c>
      <c r="F248">
        <f t="shared" si="292"/>
        <v>182.99704363102495</v>
      </c>
    </row>
    <row r="249" spans="1:6" x14ac:dyDescent="0.3">
      <c r="A249">
        <v>0.71019542075190323</v>
      </c>
      <c r="B249" cm="1">
        <f t="array" ref="B249">_xlfn.NORM.INV(A249,_mu,_sigma)</f>
        <v>186.64746849503871</v>
      </c>
      <c r="C249">
        <f t="shared" si="293"/>
        <v>0.42039084150380646</v>
      </c>
      <c r="D249">
        <f t="shared" ref="D249" si="375">SUMSQ(C248:C249)</f>
        <v>0.18000233381000474</v>
      </c>
      <c r="E249">
        <f t="shared" ref="E249" si="376">IF(AND(D249&gt;0,D249&lt;1),C249/SQRT(D249)*SQRT(-2*LN(D249)),"Brak")</f>
        <v>1.834991565777633</v>
      </c>
      <c r="F249">
        <f t="shared" si="292"/>
        <v>202.01989878933159</v>
      </c>
    </row>
    <row r="250" spans="1:6" x14ac:dyDescent="0.3">
      <c r="A250">
        <v>0.35127981507953188</v>
      </c>
      <c r="B250" cm="1">
        <f t="array" ref="B250">_xlfn.NORM.INV(A250,_mu,_sigma)</f>
        <v>175.41758971169082</v>
      </c>
      <c r="C250">
        <f t="shared" si="293"/>
        <v>-0.29744036984093625</v>
      </c>
      <c r="E250">
        <f t="shared" ref="E250" si="377">IF(AND(D251&gt;0,D251&lt;1),C250/SQRT(D251)*SQRT(-2*LN(D251)),"Brak")</f>
        <v>-8.2389216902594486E-2</v>
      </c>
      <c r="F250">
        <f t="shared" si="292"/>
        <v>179.01132939716888</v>
      </c>
    </row>
    <row r="251" spans="1:6" x14ac:dyDescent="0.3">
      <c r="A251">
        <v>0.96776966246444862</v>
      </c>
      <c r="B251" cm="1">
        <f t="array" ref="B251">_xlfn.NORM.INV(A251,_mu,_sigma)</f>
        <v>202.18776213002846</v>
      </c>
      <c r="C251">
        <f t="shared" si="293"/>
        <v>0.93553932492889724</v>
      </c>
      <c r="D251">
        <f t="shared" ref="D251" si="378">SUMSQ(C250:C251)</f>
        <v>0.96370460209952968</v>
      </c>
      <c r="E251">
        <f t="shared" ref="E251" si="379">IF(AND(D251&gt;0,D251&lt;1),C251/SQRT(D251)*SQRT(-2*LN(D251)),"Brak")</f>
        <v>0.25913883984105224</v>
      </c>
      <c r="F251">
        <f t="shared" si="292"/>
        <v>183.10966607809263</v>
      </c>
    </row>
    <row r="252" spans="1:6" x14ac:dyDescent="0.3">
      <c r="A252">
        <v>0.11820413750938075</v>
      </c>
      <c r="B252" cm="1">
        <f t="array" ref="B252">_xlfn.NORM.INV(A252,_mu,_sigma)</f>
        <v>165.79185485923435</v>
      </c>
      <c r="C252">
        <f t="shared" si="293"/>
        <v>-0.76359172498123851</v>
      </c>
      <c r="E252" t="str">
        <f t="shared" ref="E252" si="380">IF(AND(D253&gt;0,D253&lt;1),C252/SQRT(D253)*SQRT(-2*LN(D253)),"Brak")</f>
        <v>Brak</v>
      </c>
      <c r="F252" t="str">
        <f t="shared" si="292"/>
        <v>Brak</v>
      </c>
    </row>
    <row r="253" spans="1:6" x14ac:dyDescent="0.3">
      <c r="A253">
        <v>0.94051212150395347</v>
      </c>
      <c r="B253" cm="1">
        <f t="array" ref="B253">_xlfn.NORM.INV(A253,_mu,_sigma)</f>
        <v>198.70904567888343</v>
      </c>
      <c r="C253">
        <f t="shared" si="293"/>
        <v>0.88102424300790694</v>
      </c>
      <c r="D253">
        <f t="shared" ref="D253" si="381">SUMSQ(C252:C253)</f>
        <v>1.359276039227479</v>
      </c>
      <c r="E253" t="str">
        <f t="shared" ref="E253" si="382">IF(AND(D253&gt;0,D253&lt;1),C253/SQRT(D253)*SQRT(-2*LN(D253)),"Brak")</f>
        <v>Brak</v>
      </c>
      <c r="F253" t="str">
        <f t="shared" si="292"/>
        <v>Brak</v>
      </c>
    </row>
    <row r="254" spans="1:6" x14ac:dyDescent="0.3">
      <c r="A254">
        <v>0.68804995696480253</v>
      </c>
      <c r="B254" cm="1">
        <f t="array" ref="B254">_xlfn.NORM.INV(A254,_mu,_sigma)</f>
        <v>185.88396535086881</v>
      </c>
      <c r="C254">
        <f t="shared" si="293"/>
        <v>0.37609991392960507</v>
      </c>
      <c r="E254">
        <f t="shared" ref="E254" si="383">IF(AND(D255&gt;0,D255&lt;1),C254/SQRT(D255)*SQRT(-2*LN(D255)),"Brak")</f>
        <v>0.5549298301155976</v>
      </c>
      <c r="F254">
        <f t="shared" si="292"/>
        <v>186.65915796138717</v>
      </c>
    </row>
    <row r="255" spans="1:6" x14ac:dyDescent="0.3">
      <c r="A255">
        <v>0.18052571590037669</v>
      </c>
      <c r="B255" cm="1">
        <f t="array" ref="B255">_xlfn.NORM.INV(A255,_mu,_sigma)</f>
        <v>169.03963882741209</v>
      </c>
      <c r="C255">
        <f t="shared" si="293"/>
        <v>-0.63894856819924661</v>
      </c>
      <c r="D255">
        <f t="shared" ref="D255" si="384">SUMSQ(C254:C255)</f>
        <v>0.54970641806172371</v>
      </c>
      <c r="E255">
        <f t="shared" ref="E255" si="385">IF(AND(D255&gt;0,D255&lt;1),C255/SQRT(D255)*SQRT(-2*LN(D255)),"Brak")</f>
        <v>-0.94275911073401009</v>
      </c>
      <c r="F255">
        <f t="shared" si="292"/>
        <v>168.68689067119189</v>
      </c>
    </row>
    <row r="256" spans="1:6" x14ac:dyDescent="0.3">
      <c r="A256">
        <v>0.24959166487529671</v>
      </c>
      <c r="B256" cm="1">
        <f t="array" ref="B256">_xlfn.NORM.INV(A256,_mu,_sigma)</f>
        <v>171.89069660084087</v>
      </c>
      <c r="C256">
        <f t="shared" si="293"/>
        <v>-0.50081667024940657</v>
      </c>
      <c r="E256">
        <f t="shared" ref="E256" si="386">IF(AND(D257&gt;0,D257&lt;1),C256/SQRT(D257)*SQRT(-2*LN(D257)),"Brak")</f>
        <v>-0.30671041245400515</v>
      </c>
      <c r="F256">
        <f t="shared" si="292"/>
        <v>176.31947505055194</v>
      </c>
    </row>
    <row r="257" spans="1:6" x14ac:dyDescent="0.3">
      <c r="A257">
        <v>0.88777309572936736</v>
      </c>
      <c r="B257" cm="1">
        <f t="array" ref="B257">_xlfn.NORM.INV(A257,_mu,_sigma)</f>
        <v>194.57724054534339</v>
      </c>
      <c r="C257">
        <f t="shared" si="293"/>
        <v>0.77554619145873471</v>
      </c>
      <c r="D257">
        <f t="shared" ref="D257" si="387">SUMSQ(C256:C257)</f>
        <v>0.85228923228585129</v>
      </c>
      <c r="E257">
        <f t="shared" ref="E257" si="388">IF(AND(D257&gt;0,D257&lt;1),C257/SQRT(D257)*SQRT(-2*LN(D257)),"Brak")</f>
        <v>0.47496041244190834</v>
      </c>
      <c r="F257">
        <f t="shared" si="292"/>
        <v>185.69952494930291</v>
      </c>
    </row>
    <row r="258" spans="1:6" x14ac:dyDescent="0.3">
      <c r="A258">
        <v>0.85984199609103751</v>
      </c>
      <c r="B258" cm="1">
        <f t="array" ref="B258">_xlfn.NORM.INV(A258,_mu,_sigma)</f>
        <v>192.95531673165667</v>
      </c>
      <c r="C258">
        <f t="shared" si="293"/>
        <v>0.71968399218207502</v>
      </c>
      <c r="E258">
        <f t="shared" ref="E258" si="389">IF(AND(D259&gt;0,D259&lt;1),C258/SQRT(D259)*SQRT(-2*LN(D259)),"Brak")</f>
        <v>0.58307442734638837</v>
      </c>
      <c r="F258">
        <f t="shared" ref="F258:F321" si="390">IF(ISNUMBER(E258),_mu+E258*_sigma,"Brak")</f>
        <v>186.99689312815667</v>
      </c>
    </row>
    <row r="259" spans="1:6" x14ac:dyDescent="0.3">
      <c r="A259">
        <v>0.24633265266783733</v>
      </c>
      <c r="B259" cm="1">
        <f t="array" ref="B259">_xlfn.NORM.INV(A259,_mu,_sigma)</f>
        <v>171.76709030275885</v>
      </c>
      <c r="C259">
        <f t="shared" ref="C259:C322" si="391">2*A259-1</f>
        <v>-0.50733469466432535</v>
      </c>
      <c r="D259">
        <f t="shared" ref="D259" si="392">SUMSQ(C258:C259)</f>
        <v>0.77533354101327334</v>
      </c>
      <c r="E259">
        <f t="shared" ref="E259" si="393">IF(AND(D259&gt;0,D259&lt;1),C259/SQRT(D259)*SQRT(-2*LN(D259)),"Brak")</f>
        <v>-0.4110330225179129</v>
      </c>
      <c r="F259">
        <f t="shared" si="390"/>
        <v>175.06760372978505</v>
      </c>
    </row>
    <row r="260" spans="1:6" x14ac:dyDescent="0.3">
      <c r="A260">
        <v>0.6648153706908414</v>
      </c>
      <c r="B260" cm="1">
        <f t="array" ref="B260">_xlfn.NORM.INV(A260,_mu,_sigma)</f>
        <v>185.1076953132488</v>
      </c>
      <c r="C260">
        <f t="shared" si="391"/>
        <v>0.3296307413816828</v>
      </c>
      <c r="E260">
        <f t="shared" ref="E260" si="394">IF(AND(D261&gt;0,D261&lt;1),C260/SQRT(D261)*SQRT(-2*LN(D261)),"Brak")</f>
        <v>1.0299090166644262</v>
      </c>
      <c r="F260">
        <f t="shared" si="390"/>
        <v>192.35890819997311</v>
      </c>
    </row>
    <row r="261" spans="1:6" x14ac:dyDescent="0.3">
      <c r="A261">
        <v>0.29978216395079293</v>
      </c>
      <c r="B261" cm="1">
        <f t="array" ref="B261">_xlfn.NORM.INV(A261,_mu,_sigma)</f>
        <v>173.69967438299645</v>
      </c>
      <c r="C261">
        <f t="shared" si="391"/>
        <v>-0.40043567209841413</v>
      </c>
      <c r="D261">
        <f t="shared" ref="D261" si="395">SUMSQ(C260:C261)</f>
        <v>0.26900515315274648</v>
      </c>
      <c r="E261">
        <f t="shared" ref="E261" si="396">IF(AND(D261&gt;0,D261&lt;1),C261/SQRT(D261)*SQRT(-2*LN(D261)),"Brak")</f>
        <v>-1.2511342466408493</v>
      </c>
      <c r="F261">
        <f t="shared" si="390"/>
        <v>164.9863890403098</v>
      </c>
    </row>
    <row r="262" spans="1:6" x14ac:dyDescent="0.3">
      <c r="A262">
        <v>0.52904362924473569</v>
      </c>
      <c r="B262" cm="1">
        <f t="array" ref="B262">_xlfn.NORM.INV(A262,_mu,_sigma)</f>
        <v>180.87439212899392</v>
      </c>
      <c r="C262">
        <f t="shared" si="391"/>
        <v>5.8087258489471383E-2</v>
      </c>
      <c r="E262">
        <f t="shared" ref="E262" si="397">IF(AND(D263&gt;0,D263&lt;1),C262/SQRT(D263)*SQRT(-2*LN(D263)),"Brak")</f>
        <v>2.2550829485679</v>
      </c>
      <c r="F262">
        <f t="shared" si="390"/>
        <v>207.06099538281481</v>
      </c>
    </row>
    <row r="263" spans="1:6" x14ac:dyDescent="0.3">
      <c r="A263">
        <v>0.47137376043731716</v>
      </c>
      <c r="B263" cm="1">
        <f t="array" ref="B263">_xlfn.NORM.INV(A263,_mu,_sigma)</f>
        <v>179.13819565566408</v>
      </c>
      <c r="C263">
        <f t="shared" si="391"/>
        <v>-5.7252479125365685E-2</v>
      </c>
      <c r="D263">
        <f t="shared" ref="D263" si="398">SUMSQ(C262:C263)</f>
        <v>6.6519759648230991E-3</v>
      </c>
      <c r="E263">
        <f t="shared" ref="E263" si="399">IF(AND(D263&gt;0,D263&lt;1),C263/SQRT(D263)*SQRT(-2*LN(D263)),"Brak")</f>
        <v>-2.2226748653020612</v>
      </c>
      <c r="F263">
        <f t="shared" si="390"/>
        <v>153.32790161637527</v>
      </c>
    </row>
    <row r="264" spans="1:6" x14ac:dyDescent="0.3">
      <c r="A264">
        <v>0.74485862963667182</v>
      </c>
      <c r="B264" cm="1">
        <f t="array" ref="B264">_xlfn.NORM.INV(A264,_mu,_sigma)</f>
        <v>187.90077001280227</v>
      </c>
      <c r="C264">
        <f t="shared" si="391"/>
        <v>0.48971725927334364</v>
      </c>
      <c r="E264" t="str">
        <f t="shared" ref="E264" si="400">IF(AND(D265&gt;0,D265&lt;1),C264/SQRT(D265)*SQRT(-2*LN(D265)),"Brak")</f>
        <v>Brak</v>
      </c>
      <c r="F264" t="str">
        <f t="shared" si="390"/>
        <v>Brak</v>
      </c>
    </row>
    <row r="265" spans="1:6" x14ac:dyDescent="0.3">
      <c r="A265">
        <v>3.36914907812772E-2</v>
      </c>
      <c r="B265" cm="1">
        <f t="array" ref="B265">_xlfn.NORM.INV(A265,_mu,_sigma)</f>
        <v>158.05066801074531</v>
      </c>
      <c r="C265">
        <f t="shared" si="391"/>
        <v>-0.9326170184374456</v>
      </c>
      <c r="D265">
        <f t="shared" ref="D265" si="401">SUMSQ(C264:C265)</f>
        <v>1.1095974971093461</v>
      </c>
      <c r="E265" t="str">
        <f t="shared" ref="E265" si="402">IF(AND(D265&gt;0,D265&lt;1),C265/SQRT(D265)*SQRT(-2*LN(D265)),"Brak")</f>
        <v>Brak</v>
      </c>
      <c r="F265" t="str">
        <f t="shared" si="390"/>
        <v>Brak</v>
      </c>
    </row>
    <row r="266" spans="1:6" x14ac:dyDescent="0.3">
      <c r="A266">
        <v>0.87318202193816119</v>
      </c>
      <c r="B266" cm="1">
        <f t="array" ref="B266">_xlfn.NORM.INV(A266,_mu,_sigma)</f>
        <v>193.6987489277904</v>
      </c>
      <c r="C266">
        <f t="shared" si="391"/>
        <v>0.74636404387632238</v>
      </c>
      <c r="E266" t="str">
        <f t="shared" ref="E266" si="403">IF(AND(D267&gt;0,D267&lt;1),C266/SQRT(D267)*SQRT(-2*LN(D267)),"Brak")</f>
        <v>Brak</v>
      </c>
      <c r="F266" t="str">
        <f t="shared" si="390"/>
        <v>Brak</v>
      </c>
    </row>
    <row r="267" spans="1:6" x14ac:dyDescent="0.3">
      <c r="A267">
        <v>0.97251917327575532</v>
      </c>
      <c r="B267" cm="1">
        <f t="array" ref="B267">_xlfn.NORM.INV(A267,_mu,_sigma)</f>
        <v>203.03015092135746</v>
      </c>
      <c r="C267">
        <f t="shared" si="391"/>
        <v>0.94503834655151064</v>
      </c>
      <c r="D267">
        <f t="shared" ref="D267" si="404">SUMSQ(C266:C267)</f>
        <v>1.45015676244423</v>
      </c>
      <c r="E267" t="str">
        <f t="shared" ref="E267" si="405">IF(AND(D267&gt;0,D267&lt;1),C267/SQRT(D267)*SQRT(-2*LN(D267)),"Brak")</f>
        <v>Brak</v>
      </c>
      <c r="F267" t="str">
        <f t="shared" si="390"/>
        <v>Brak</v>
      </c>
    </row>
    <row r="268" spans="1:6" x14ac:dyDescent="0.3">
      <c r="A268">
        <v>0.23935963310208541</v>
      </c>
      <c r="B268" cm="1">
        <f t="array" ref="B268">_xlfn.NORM.INV(A268,_mu,_sigma)</f>
        <v>171.49963245974408</v>
      </c>
      <c r="C268">
        <f t="shared" si="391"/>
        <v>-0.52128073379582918</v>
      </c>
      <c r="E268" t="str">
        <f t="shared" ref="E268" si="406">IF(AND(D269&gt;0,D269&lt;1),C268/SQRT(D269)*SQRT(-2*LN(D269)),"Brak")</f>
        <v>Brak</v>
      </c>
      <c r="F268" t="str">
        <f t="shared" si="390"/>
        <v>Brak</v>
      </c>
    </row>
    <row r="269" spans="1:6" x14ac:dyDescent="0.3">
      <c r="A269">
        <v>0.98911704357827201</v>
      </c>
      <c r="B269" cm="1">
        <f t="array" ref="B269">_xlfn.NORM.INV(A269,_mu,_sigma)</f>
        <v>207.53313882727861</v>
      </c>
      <c r="C269">
        <f t="shared" si="391"/>
        <v>0.97823408715654403</v>
      </c>
      <c r="D269">
        <f t="shared" ref="D269" si="407">SUMSQ(C268:C269)</f>
        <v>1.2286755327017151</v>
      </c>
      <c r="E269" t="str">
        <f t="shared" ref="E269" si="408">IF(AND(D269&gt;0,D269&lt;1),C269/SQRT(D269)*SQRT(-2*LN(D269)),"Brak")</f>
        <v>Brak</v>
      </c>
      <c r="F269" t="str">
        <f t="shared" si="390"/>
        <v>Brak</v>
      </c>
    </row>
    <row r="270" spans="1:6" x14ac:dyDescent="0.3">
      <c r="A270">
        <v>0.92004219016704381</v>
      </c>
      <c r="B270" cm="1">
        <f t="array" ref="B270">_xlfn.NORM.INV(A270,_mu,_sigma)</f>
        <v>196.86426489733083</v>
      </c>
      <c r="C270">
        <f t="shared" si="391"/>
        <v>0.84008438033408761</v>
      </c>
      <c r="E270">
        <f t="shared" ref="E270" si="409">IF(AND(D271&gt;0,D271&lt;1),C270/SQRT(D271)*SQRT(-2*LN(D271)),"Brak")</f>
        <v>0.6719216500340105</v>
      </c>
      <c r="F270">
        <f t="shared" si="390"/>
        <v>188.06305980040813</v>
      </c>
    </row>
    <row r="271" spans="1:6" x14ac:dyDescent="0.3">
      <c r="A271">
        <v>0.36433933111217598</v>
      </c>
      <c r="B271" cm="1">
        <f t="array" ref="B271">_xlfn.NORM.INV(A271,_mu,_sigma)</f>
        <v>175.83739511261149</v>
      </c>
      <c r="C271">
        <f t="shared" si="391"/>
        <v>-0.27132133777564804</v>
      </c>
      <c r="D271">
        <f t="shared" ref="D271" si="410">SUMSQ(C270:C271)</f>
        <v>0.77935703441367532</v>
      </c>
      <c r="E271">
        <f t="shared" ref="E271" si="411">IF(AND(D271&gt;0,D271&lt;1),C271/SQRT(D271)*SQRT(-2*LN(D271)),"Brak")</f>
        <v>-0.21700996380286011</v>
      </c>
      <c r="F271">
        <f t="shared" si="390"/>
        <v>177.39588043436567</v>
      </c>
    </row>
    <row r="272" spans="1:6" x14ac:dyDescent="0.3">
      <c r="A272">
        <v>4.3989698534208976E-2</v>
      </c>
      <c r="B272" cm="1">
        <f t="array" ref="B272">_xlfn.NORM.INV(A272,_mu,_sigma)</f>
        <v>159.52615111980737</v>
      </c>
      <c r="C272">
        <f t="shared" si="391"/>
        <v>-0.91202060293158205</v>
      </c>
      <c r="E272" t="str">
        <f t="shared" ref="E272" si="412">IF(AND(D273&gt;0,D273&lt;1),C272/SQRT(D273)*SQRT(-2*LN(D273)),"Brak")</f>
        <v>Brak</v>
      </c>
      <c r="F272" t="str">
        <f t="shared" si="390"/>
        <v>Brak</v>
      </c>
    </row>
    <row r="273" spans="1:6" x14ac:dyDescent="0.3">
      <c r="A273">
        <v>0.22115410786537837</v>
      </c>
      <c r="B273" cm="1">
        <f t="array" ref="B273">_xlfn.NORM.INV(A273,_mu,_sigma)</f>
        <v>170.78038466707113</v>
      </c>
      <c r="C273">
        <f t="shared" si="391"/>
        <v>-0.55769178426924326</v>
      </c>
      <c r="D273">
        <f t="shared" ref="D273" si="413">SUMSQ(C272:C273)</f>
        <v>1.1428017064130986</v>
      </c>
      <c r="E273" t="str">
        <f t="shared" ref="E273" si="414">IF(AND(D273&gt;0,D273&lt;1),C273/SQRT(D273)*SQRT(-2*LN(D273)),"Brak")</f>
        <v>Brak</v>
      </c>
      <c r="F273" t="str">
        <f t="shared" si="390"/>
        <v>Brak</v>
      </c>
    </row>
    <row r="274" spans="1:6" x14ac:dyDescent="0.3">
      <c r="A274">
        <v>0.65025631214198754</v>
      </c>
      <c r="B274" cm="1">
        <f t="array" ref="B274">_xlfn.NORM.INV(A274,_mu,_sigma)</f>
        <v>184.63215057622548</v>
      </c>
      <c r="C274">
        <f t="shared" si="391"/>
        <v>0.30051262428397507</v>
      </c>
      <c r="E274">
        <f t="shared" ref="E274" si="415">IF(AND(D275&gt;0,D275&lt;1),C274/SQRT(D275)*SQRT(-2*LN(D275)),"Brak")</f>
        <v>0.96778952788360695</v>
      </c>
      <c r="F274">
        <f t="shared" si="390"/>
        <v>191.6134743346033</v>
      </c>
    </row>
    <row r="275" spans="1:6" x14ac:dyDescent="0.3">
      <c r="A275">
        <v>0.70588754780720064</v>
      </c>
      <c r="B275" cm="1">
        <f t="array" ref="B275">_xlfn.NORM.INV(A275,_mu,_sigma)</f>
        <v>186.49692194507227</v>
      </c>
      <c r="C275">
        <f t="shared" si="391"/>
        <v>0.41177509561440129</v>
      </c>
      <c r="D275">
        <f t="shared" ref="D275" si="416">SUMSQ(C274:C275)</f>
        <v>0.25986656672229086</v>
      </c>
      <c r="E275">
        <f t="shared" ref="E275" si="417">IF(AND(D275&gt;0,D275&lt;1),C275/SQRT(D275)*SQRT(-2*LN(D275)),"Brak")</f>
        <v>1.3261061039562434</v>
      </c>
      <c r="F275">
        <f t="shared" si="390"/>
        <v>195.91327324747493</v>
      </c>
    </row>
    <row r="276" spans="1:6" x14ac:dyDescent="0.3">
      <c r="A276">
        <v>0.833838577165397</v>
      </c>
      <c r="B276" cm="1">
        <f t="array" ref="B276">_xlfn.NORM.INV(A276,_mu,_sigma)</f>
        <v>191.63334874913463</v>
      </c>
      <c r="C276">
        <f t="shared" si="391"/>
        <v>0.667677154330794</v>
      </c>
      <c r="E276" t="str">
        <f t="shared" ref="E276" si="418">IF(AND(D277&gt;0,D277&lt;1),C276/SQRT(D277)*SQRT(-2*LN(D277)),"Brak")</f>
        <v>Brak</v>
      </c>
      <c r="F276" t="str">
        <f t="shared" si="390"/>
        <v>Brak</v>
      </c>
    </row>
    <row r="277" spans="1:6" x14ac:dyDescent="0.3">
      <c r="A277">
        <v>0.9705050955666773</v>
      </c>
      <c r="B277" cm="1">
        <f t="array" ref="B277">_xlfn.NORM.INV(A277,_mu,_sigma)</f>
        <v>202.65923139184628</v>
      </c>
      <c r="C277">
        <f t="shared" si="391"/>
        <v>0.9410101911333546</v>
      </c>
      <c r="D277">
        <f t="shared" ref="D277" si="419">SUMSQ(C276:C277)</f>
        <v>1.3312929622320995</v>
      </c>
      <c r="E277" t="str">
        <f t="shared" ref="E277" si="420">IF(AND(D277&gt;0,D277&lt;1),C277/SQRT(D277)*SQRT(-2*LN(D277)),"Brak")</f>
        <v>Brak</v>
      </c>
      <c r="F277" t="str">
        <f t="shared" si="390"/>
        <v>Brak</v>
      </c>
    </row>
    <row r="278" spans="1:6" x14ac:dyDescent="0.3">
      <c r="A278">
        <v>0.80155330091199661</v>
      </c>
      <c r="B278" cm="1">
        <f t="array" ref="B278">_xlfn.NORM.INV(A278,_mu,_sigma)</f>
        <v>190.16619017321861</v>
      </c>
      <c r="C278">
        <f t="shared" si="391"/>
        <v>0.60310660182399323</v>
      </c>
      <c r="E278">
        <f t="shared" ref="E278" si="421">IF(AND(D279&gt;0,D279&lt;1),C278/SQRT(D279)*SQRT(-2*LN(D279)),"Brak")</f>
        <v>1.4031820587333768</v>
      </c>
      <c r="F278">
        <f t="shared" si="390"/>
        <v>196.83818470480051</v>
      </c>
    </row>
    <row r="279" spans="1:6" x14ac:dyDescent="0.3">
      <c r="A279">
        <v>0.46485566735277206</v>
      </c>
      <c r="B279" cm="1">
        <f t="array" ref="B279">_xlfn.NORM.INV(A279,_mu,_sigma)</f>
        <v>178.94150363283418</v>
      </c>
      <c r="C279">
        <f t="shared" si="391"/>
        <v>-7.0288665294455877E-2</v>
      </c>
      <c r="D279">
        <f t="shared" ref="D279" si="422">SUMSQ(C278:C279)</f>
        <v>0.36867806963256078</v>
      </c>
      <c r="E279">
        <f t="shared" ref="E279" si="423">IF(AND(D279&gt;0,D279&lt;1),C279/SQRT(D279)*SQRT(-2*LN(D279)),"Brak")</f>
        <v>-0.16353293725389983</v>
      </c>
      <c r="F279">
        <f t="shared" si="390"/>
        <v>178.0376047529532</v>
      </c>
    </row>
    <row r="280" spans="1:6" x14ac:dyDescent="0.3">
      <c r="A280">
        <v>0.34517839329560907</v>
      </c>
      <c r="B280" cm="1">
        <f t="array" ref="B280">_xlfn.NORM.INV(A280,_mu,_sigma)</f>
        <v>175.21954889937473</v>
      </c>
      <c r="C280">
        <f t="shared" si="391"/>
        <v>-0.30964321340878187</v>
      </c>
      <c r="E280">
        <f t="shared" ref="E280" si="424">IF(AND(D281&gt;0,D281&lt;1),C280/SQRT(D281)*SQRT(-2*LN(D281)),"Brak")</f>
        <v>-0.17103885553447229</v>
      </c>
      <c r="F280">
        <f t="shared" si="390"/>
        <v>177.94753373358634</v>
      </c>
    </row>
    <row r="281" spans="1:6" x14ac:dyDescent="0.3">
      <c r="A281">
        <v>5.8651486637567696E-2</v>
      </c>
      <c r="B281" cm="1">
        <f t="array" ref="B281">_xlfn.NORM.INV(A281,_mu,_sigma)</f>
        <v>161.2056600186782</v>
      </c>
      <c r="C281">
        <f t="shared" si="391"/>
        <v>-0.88269702672486461</v>
      </c>
      <c r="D281">
        <f t="shared" ref="D281" si="425">SUMSQ(C280:C281)</f>
        <v>0.87503296059903279</v>
      </c>
      <c r="E281">
        <f t="shared" ref="E281" si="426">IF(AND(D281&gt;0,D281&lt;1),C281/SQRT(D281)*SQRT(-2*LN(D281)),"Brak")</f>
        <v>-0.48757887367416292</v>
      </c>
      <c r="F281">
        <f t="shared" si="390"/>
        <v>174.14905351591005</v>
      </c>
    </row>
    <row r="282" spans="1:6" x14ac:dyDescent="0.3">
      <c r="A282">
        <v>0.16079294481032957</v>
      </c>
      <c r="B282" cm="1">
        <f t="array" ref="B282">_xlfn.NORM.INV(A282,_mu,_sigma)</f>
        <v>168.10554983280895</v>
      </c>
      <c r="C282">
        <f t="shared" si="391"/>
        <v>-0.67841411037934085</v>
      </c>
      <c r="E282">
        <f t="shared" ref="E282" si="427">IF(AND(D283&gt;0,D283&lt;1),C282/SQRT(D283)*SQRT(-2*LN(D283)),"Brak")</f>
        <v>-1.1737231918246473</v>
      </c>
      <c r="F282">
        <f t="shared" si="390"/>
        <v>165.91532169810424</v>
      </c>
    </row>
    <row r="283" spans="1:6" x14ac:dyDescent="0.3">
      <c r="A283">
        <v>0.42234533370885285</v>
      </c>
      <c r="B283" cm="1">
        <f t="array" ref="B283">_xlfn.NORM.INV(A283,_mu,_sigma)</f>
        <v>177.64923419073742</v>
      </c>
      <c r="C283">
        <f t="shared" si="391"/>
        <v>-0.15530933258229429</v>
      </c>
      <c r="D283">
        <f t="shared" ref="D283" si="428">SUMSQ(C282:C283)</f>
        <v>0.48436669394895016</v>
      </c>
      <c r="E283">
        <f t="shared" ref="E283" si="429">IF(AND(D283&gt;0,D283&lt;1),C283/SQRT(D283)*SQRT(-2*LN(D283)),"Brak")</f>
        <v>-0.26870043351061357</v>
      </c>
      <c r="F283">
        <f t="shared" si="390"/>
        <v>176.77559479787263</v>
      </c>
    </row>
    <row r="284" spans="1:6" x14ac:dyDescent="0.3">
      <c r="A284">
        <v>0.69911273525364026</v>
      </c>
      <c r="B284" cm="1">
        <f t="array" ref="B284">_xlfn.NORM.INV(A284,_mu,_sigma)</f>
        <v>186.26220420590278</v>
      </c>
      <c r="C284">
        <f t="shared" si="391"/>
        <v>0.39822547050728052</v>
      </c>
      <c r="E284">
        <f t="shared" ref="E284" si="430">IF(AND(D285&gt;0,D285&lt;1),C284/SQRT(D285)*SQRT(-2*LN(D285)),"Brak")</f>
        <v>1.1102583117029392</v>
      </c>
      <c r="F284">
        <f t="shared" si="390"/>
        <v>193.32309974043528</v>
      </c>
    </row>
    <row r="285" spans="1:6" x14ac:dyDescent="0.3">
      <c r="A285">
        <v>0.69150957565016469</v>
      </c>
      <c r="B285" cm="1">
        <f t="array" ref="B285">_xlfn.NORM.INV(A285,_mu,_sigma)</f>
        <v>186.00160592761713</v>
      </c>
      <c r="C285">
        <f t="shared" si="391"/>
        <v>0.38301915130032937</v>
      </c>
      <c r="D285">
        <f t="shared" ref="D285" si="431">SUMSQ(C284:C285)</f>
        <v>0.30528719562356954</v>
      </c>
      <c r="E285">
        <f t="shared" ref="E285" si="432">IF(AND(D285&gt;0,D285&lt;1),C285/SQRT(D285)*SQRT(-2*LN(D285)),"Brak")</f>
        <v>1.0678628761010447</v>
      </c>
      <c r="F285">
        <f t="shared" si="390"/>
        <v>192.81435451321255</v>
      </c>
    </row>
    <row r="286" spans="1:6" x14ac:dyDescent="0.3">
      <c r="A286">
        <v>0.1499013305824799</v>
      </c>
      <c r="B286" cm="1">
        <f t="array" ref="B286">_xlfn.NORM.INV(A286,_mu,_sigma)</f>
        <v>167.5577199856944</v>
      </c>
      <c r="C286">
        <f t="shared" si="391"/>
        <v>-0.70019733883504021</v>
      </c>
      <c r="E286">
        <f t="shared" ref="E286" si="433">IF(AND(D287&gt;0,D287&lt;1),C286/SQRT(D287)*SQRT(-2*LN(D287)),"Brak")</f>
        <v>-0.55469967074497017</v>
      </c>
      <c r="F286">
        <f t="shared" si="390"/>
        <v>173.34360395106035</v>
      </c>
    </row>
    <row r="287" spans="1:6" x14ac:dyDescent="0.3">
      <c r="A287">
        <v>0.77020647679751963</v>
      </c>
      <c r="B287" cm="1">
        <f t="array" ref="B287">_xlfn.NORM.INV(A287,_mu,_sigma)</f>
        <v>188.87432408720741</v>
      </c>
      <c r="C287">
        <f t="shared" si="391"/>
        <v>0.54041295359503927</v>
      </c>
      <c r="D287">
        <f t="shared" ref="D287" si="434">SUMSQ(C286:C287)</f>
        <v>0.78232247372498609</v>
      </c>
      <c r="E287">
        <f t="shared" ref="E287" si="435">IF(AND(D287&gt;0,D287&lt;1),C287/SQRT(D287)*SQRT(-2*LN(D287)),"Brak")</f>
        <v>0.42811771881941896</v>
      </c>
      <c r="F287">
        <f t="shared" si="390"/>
        <v>185.13741262583304</v>
      </c>
    </row>
    <row r="288" spans="1:6" x14ac:dyDescent="0.3">
      <c r="A288">
        <v>0.79808550665039912</v>
      </c>
      <c r="B288" cm="1">
        <f t="array" ref="B288">_xlfn.NORM.INV(A288,_mu,_sigma)</f>
        <v>190.01762853681001</v>
      </c>
      <c r="C288">
        <f t="shared" si="391"/>
        <v>0.59617101330079825</v>
      </c>
      <c r="E288">
        <f t="shared" ref="E288" si="436">IF(AND(D289&gt;0,D289&lt;1),C288/SQRT(D289)*SQRT(-2*LN(D289)),"Brak")</f>
        <v>1.2792268439691616</v>
      </c>
      <c r="F288">
        <f t="shared" si="390"/>
        <v>195.35072212762995</v>
      </c>
    </row>
    <row r="289" spans="1:6" x14ac:dyDescent="0.3">
      <c r="A289">
        <v>0.6044433981349111</v>
      </c>
      <c r="B289" cm="1">
        <f t="array" ref="B289">_xlfn.NORM.INV(A289,_mu,_sigma)</f>
        <v>183.17838401671858</v>
      </c>
      <c r="C289">
        <f t="shared" si="391"/>
        <v>0.20888679626982221</v>
      </c>
      <c r="D289">
        <f t="shared" ref="D289" si="437">SUMSQ(C288:C289)</f>
        <v>0.39905357075597075</v>
      </c>
      <c r="E289">
        <f t="shared" ref="E289" si="438">IF(AND(D289&gt;0,D289&lt;1),C289/SQRT(D289)*SQRT(-2*LN(D289)),"Brak")</f>
        <v>0.44821635265291104</v>
      </c>
      <c r="F289">
        <f t="shared" si="390"/>
        <v>185.37859623183493</v>
      </c>
    </row>
    <row r="290" spans="1:6" x14ac:dyDescent="0.3">
      <c r="A290">
        <v>0.23887247388482857</v>
      </c>
      <c r="B290" cm="1">
        <f t="array" ref="B290">_xlfn.NORM.INV(A290,_mu,_sigma)</f>
        <v>171.48078972970563</v>
      </c>
      <c r="C290">
        <f t="shared" si="391"/>
        <v>-0.52225505223034285</v>
      </c>
      <c r="E290">
        <f t="shared" ref="E290" si="439">IF(AND(D291&gt;0,D291&lt;1),C290/SQRT(D291)*SQRT(-2*LN(D291)),"Brak")</f>
        <v>-0.75215792948475824</v>
      </c>
      <c r="F290">
        <f t="shared" si="390"/>
        <v>170.97410484618291</v>
      </c>
    </row>
    <row r="291" spans="1:6" x14ac:dyDescent="0.3">
      <c r="A291">
        <v>0.76781967217697056</v>
      </c>
      <c r="B291" cm="1">
        <f t="array" ref="B291">_xlfn.NORM.INV(A291,_mu,_sigma)</f>
        <v>188.78022389708613</v>
      </c>
      <c r="C291">
        <f t="shared" si="391"/>
        <v>0.53563934435394112</v>
      </c>
      <c r="D291">
        <f t="shared" ref="D291" si="440">SUMSQ(C290:C291)</f>
        <v>0.559659846800038</v>
      </c>
      <c r="E291">
        <f t="shared" ref="E291" si="441">IF(AND(D291&gt;0,D291&lt;1),C291/SQRT(D291)*SQRT(-2*LN(D291)),"Brak")</f>
        <v>0.77143414597766202</v>
      </c>
      <c r="F291">
        <f t="shared" si="390"/>
        <v>189.25720975173195</v>
      </c>
    </row>
    <row r="292" spans="1:6" x14ac:dyDescent="0.3">
      <c r="A292">
        <v>0.32344484487995595</v>
      </c>
      <c r="B292" cm="1">
        <f t="array" ref="B292">_xlfn.NORM.INV(A292,_mu,_sigma)</f>
        <v>174.50295184934009</v>
      </c>
      <c r="C292">
        <f t="shared" si="391"/>
        <v>-0.3531103102400881</v>
      </c>
      <c r="E292">
        <f t="shared" ref="E292" si="442">IF(AND(D293&gt;0,D293&lt;1),C292/SQRT(D293)*SQRT(-2*LN(D293)),"Brak")</f>
        <v>-0.96241244347137145</v>
      </c>
      <c r="F292">
        <f t="shared" si="390"/>
        <v>168.45105067834353</v>
      </c>
    </row>
    <row r="293" spans="1:6" x14ac:dyDescent="0.3">
      <c r="A293">
        <v>0.28310889803975992</v>
      </c>
      <c r="B293" cm="1">
        <f t="array" ref="B293">_xlfn.NORM.INV(A293,_mu,_sigma)</f>
        <v>173.11643272654968</v>
      </c>
      <c r="C293">
        <f t="shared" si="391"/>
        <v>-0.43378220392048017</v>
      </c>
      <c r="D293">
        <f t="shared" ref="D293" si="443">SUMSQ(C292:C293)</f>
        <v>0.31285389163596034</v>
      </c>
      <c r="E293">
        <f t="shared" ref="E293" si="444">IF(AND(D293&gt;0,D293&lt;1),C293/SQRT(D293)*SQRT(-2*LN(D293)),"Brak")</f>
        <v>-1.1822860412250586</v>
      </c>
      <c r="F293">
        <f t="shared" si="390"/>
        <v>165.81256750529928</v>
      </c>
    </row>
    <row r="294" spans="1:6" x14ac:dyDescent="0.3">
      <c r="A294">
        <v>0.60733613861032232</v>
      </c>
      <c r="B294" cm="1">
        <f t="array" ref="B294">_xlfn.NORM.INV(A294,_mu,_sigma)</f>
        <v>183.26859319007957</v>
      </c>
      <c r="C294">
        <f t="shared" si="391"/>
        <v>0.21467227722064464</v>
      </c>
      <c r="E294">
        <f t="shared" ref="E294" si="445">IF(AND(D295&gt;0,D295&lt;1),C294/SQRT(D295)*SQRT(-2*LN(D295)),"Brak")</f>
        <v>0.21581888181318767</v>
      </c>
      <c r="F294">
        <f t="shared" si="390"/>
        <v>182.58982658175825</v>
      </c>
    </row>
    <row r="295" spans="1:6" x14ac:dyDescent="0.3">
      <c r="A295">
        <v>9.520682075317366E-2</v>
      </c>
      <c r="B295" cm="1">
        <f t="array" ref="B295">_xlfn.NORM.INV(A295,_mu,_sigma)</f>
        <v>164.28772278924046</v>
      </c>
      <c r="C295">
        <f t="shared" si="391"/>
        <v>-0.80958635849365268</v>
      </c>
      <c r="D295">
        <f t="shared" ref="D295" si="446">SUMSQ(C294:C295)</f>
        <v>0.70151425846611049</v>
      </c>
      <c r="E295">
        <f t="shared" ref="E295" si="447">IF(AND(D295&gt;0,D295&lt;1),C295/SQRT(D295)*SQRT(-2*LN(D295)),"Brak")</f>
        <v>-0.8139105099338263</v>
      </c>
      <c r="F295">
        <f t="shared" si="390"/>
        <v>170.23307388079408</v>
      </c>
    </row>
    <row r="296" spans="1:6" x14ac:dyDescent="0.3">
      <c r="A296">
        <v>0.23750605770629962</v>
      </c>
      <c r="B296" cm="1">
        <f t="array" ref="B296">_xlfn.NORM.INV(A296,_mu,_sigma)</f>
        <v>171.42782589161777</v>
      </c>
      <c r="C296">
        <f t="shared" si="391"/>
        <v>-0.52498788458740075</v>
      </c>
      <c r="E296">
        <f t="shared" ref="E296" si="448">IF(AND(D297&gt;0,D297&lt;1),C296/SQRT(D297)*SQRT(-2*LN(D297)),"Brak")</f>
        <v>-1.4500298562007075</v>
      </c>
      <c r="F296">
        <f t="shared" si="390"/>
        <v>162.59964172559151</v>
      </c>
    </row>
    <row r="297" spans="1:6" x14ac:dyDescent="0.3">
      <c r="A297">
        <v>0.59053672824171</v>
      </c>
      <c r="B297" cm="1">
        <f t="array" ref="B297">_xlfn.NORM.INV(A297,_mu,_sigma)</f>
        <v>182.74711027893105</v>
      </c>
      <c r="C297">
        <f t="shared" si="391"/>
        <v>0.18107345648341999</v>
      </c>
      <c r="D297">
        <f t="shared" ref="D297" si="449">SUMSQ(C296:C297)</f>
        <v>0.30839987560640703</v>
      </c>
      <c r="E297">
        <f t="shared" ref="E297" si="450">IF(AND(D297&gt;0,D297&lt;1),C297/SQRT(D297)*SQRT(-2*LN(D297)),"Brak")</f>
        <v>0.50012948065034224</v>
      </c>
      <c r="F297">
        <f t="shared" si="390"/>
        <v>186.0015537678041</v>
      </c>
    </row>
    <row r="298" spans="1:6" x14ac:dyDescent="0.3">
      <c r="A298">
        <v>0.69691168774418655</v>
      </c>
      <c r="B298" cm="1">
        <f t="array" ref="B298">_xlfn.NORM.INV(A298,_mu,_sigma)</f>
        <v>186.18646455656628</v>
      </c>
      <c r="C298">
        <f t="shared" si="391"/>
        <v>0.3938233754883731</v>
      </c>
      <c r="E298">
        <f t="shared" ref="E298" si="451">IF(AND(D299&gt;0,D299&lt;1),C298/SQRT(D299)*SQRT(-2*LN(D299)),"Brak")</f>
        <v>0.13392276455507879</v>
      </c>
      <c r="F298">
        <f t="shared" si="390"/>
        <v>181.60707317466094</v>
      </c>
    </row>
    <row r="299" spans="1:6" x14ac:dyDescent="0.3">
      <c r="A299">
        <v>5.5130730399065797E-2</v>
      </c>
      <c r="B299" cm="1">
        <f t="array" ref="B299">_xlfn.NORM.INV(A299,_mu,_sigma)</f>
        <v>160.83577139505707</v>
      </c>
      <c r="C299">
        <f t="shared" si="391"/>
        <v>-0.88973853920186841</v>
      </c>
      <c r="D299">
        <f t="shared" ref="D299" si="452">SUMSQ(C298:C299)</f>
        <v>0.94673151922213084</v>
      </c>
      <c r="E299">
        <f t="shared" ref="E299" si="453">IF(AND(D299&gt;0,D299&lt;1),C299/SQRT(D299)*SQRT(-2*LN(D299)),"Brak")</f>
        <v>-0.30256265198414928</v>
      </c>
      <c r="F299">
        <f t="shared" si="390"/>
        <v>176.36924817619021</v>
      </c>
    </row>
    <row r="300" spans="1:6" x14ac:dyDescent="0.3">
      <c r="A300">
        <v>0.60879583308031615</v>
      </c>
      <c r="B300" cm="1">
        <f t="array" ref="B300">_xlfn.NORM.INV(A300,_mu,_sigma)</f>
        <v>183.31418318529711</v>
      </c>
      <c r="C300">
        <f t="shared" si="391"/>
        <v>0.2175916661606323</v>
      </c>
      <c r="E300">
        <f t="shared" ref="E300" si="454">IF(AND(D301&gt;0,D301&lt;1),C300/SQRT(D301)*SQRT(-2*LN(D301)),"Brak")</f>
        <v>0.22178721511739186</v>
      </c>
      <c r="F300">
        <f t="shared" si="390"/>
        <v>182.66144658140871</v>
      </c>
    </row>
    <row r="301" spans="1:6" x14ac:dyDescent="0.3">
      <c r="A301">
        <v>0.90283110904360431</v>
      </c>
      <c r="B301" cm="1">
        <f t="array" ref="B301">_xlfn.NORM.INV(A301,_mu,_sigma)</f>
        <v>195.57423848966991</v>
      </c>
      <c r="C301">
        <f t="shared" si="391"/>
        <v>0.80566221808720861</v>
      </c>
      <c r="D301">
        <f t="shared" ref="D301" si="455">SUMSQ(C300:C301)</f>
        <v>0.69643774283576099</v>
      </c>
      <c r="E301">
        <f t="shared" ref="E301" si="456">IF(AND(D301&gt;0,D301&lt;1),C301/SQRT(D301)*SQRT(-2*LN(D301)),"Brak")</f>
        <v>0.82119679869978135</v>
      </c>
      <c r="F301">
        <f t="shared" si="390"/>
        <v>189.85436158439737</v>
      </c>
    </row>
    <row r="302" spans="1:6" x14ac:dyDescent="0.3">
      <c r="A302">
        <v>0.82515697514198483</v>
      </c>
      <c r="B302" cm="1">
        <f t="array" ref="B302">_xlfn.NORM.INV(A302,_mu,_sigma)</f>
        <v>191.22238110807095</v>
      </c>
      <c r="C302">
        <f t="shared" si="391"/>
        <v>0.65031395028396966</v>
      </c>
      <c r="E302">
        <f t="shared" ref="E302" si="457">IF(AND(D303&gt;0,D303&lt;1),C302/SQRT(D303)*SQRT(-2*LN(D303)),"Brak")</f>
        <v>1.2391112833215865</v>
      </c>
      <c r="F302">
        <f t="shared" si="390"/>
        <v>194.86933539985904</v>
      </c>
    </row>
    <row r="303" spans="1:6" x14ac:dyDescent="0.3">
      <c r="A303">
        <v>0.42490902271179565</v>
      </c>
      <c r="B303" cm="1">
        <f t="array" ref="B303">_xlfn.NORM.INV(A303,_mu,_sigma)</f>
        <v>177.72779289092315</v>
      </c>
      <c r="C303">
        <f t="shared" si="391"/>
        <v>-0.1501819545764087</v>
      </c>
      <c r="D303">
        <f t="shared" ref="D303" si="458">SUMSQ(C302:C303)</f>
        <v>0.44546285341433184</v>
      </c>
      <c r="E303">
        <f t="shared" ref="E303" si="459">IF(AND(D303&gt;0,D303&lt;1),C303/SQRT(D303)*SQRT(-2*LN(D303)),"Brak")</f>
        <v>-0.28615740810366741</v>
      </c>
      <c r="F303">
        <f t="shared" si="390"/>
        <v>176.566111102756</v>
      </c>
    </row>
    <row r="304" spans="1:6" x14ac:dyDescent="0.3">
      <c r="A304">
        <v>0.89865708132353272</v>
      </c>
      <c r="B304" cm="1">
        <f t="array" ref="B304">_xlfn.NORM.INV(A304,_mu,_sigma)</f>
        <v>195.28724084816008</v>
      </c>
      <c r="C304">
        <f t="shared" si="391"/>
        <v>0.79731416264706545</v>
      </c>
      <c r="E304">
        <f t="shared" ref="E304" si="460">IF(AND(D305&gt;0,D305&lt;1),C304/SQRT(D305)*SQRT(-2*LN(D305)),"Brak")</f>
        <v>0.32275662264332261</v>
      </c>
      <c r="F304">
        <f t="shared" si="390"/>
        <v>183.87307947171988</v>
      </c>
    </row>
    <row r="305" spans="1:6" x14ac:dyDescent="0.3">
      <c r="A305">
        <v>0.76979638998133515</v>
      </c>
      <c r="B305" cm="1">
        <f t="array" ref="B305">_xlfn.NORM.INV(A305,_mu,_sigma)</f>
        <v>188.85811762980146</v>
      </c>
      <c r="C305">
        <f t="shared" si="391"/>
        <v>0.5395927799626703</v>
      </c>
      <c r="D305">
        <f t="shared" ref="D305" si="461">SUMSQ(C304:C305)</f>
        <v>0.9268702421454339</v>
      </c>
      <c r="E305">
        <f t="shared" ref="E305" si="462">IF(AND(D305&gt;0,D305&lt;1),C305/SQRT(D305)*SQRT(-2*LN(D305)),"Brak")</f>
        <v>0.21842976259856606</v>
      </c>
      <c r="F305">
        <f t="shared" si="390"/>
        <v>182.62115715118279</v>
      </c>
    </row>
    <row r="306" spans="1:6" x14ac:dyDescent="0.3">
      <c r="A306">
        <v>3.6649707777626217E-2</v>
      </c>
      <c r="B306" cm="1">
        <f t="array" ref="B306">_xlfn.NORM.INV(A306,_mu,_sigma)</f>
        <v>158.50845767396186</v>
      </c>
      <c r="C306">
        <f t="shared" si="391"/>
        <v>-0.92670058444474757</v>
      </c>
      <c r="E306" t="str">
        <f t="shared" ref="E306" si="463">IF(AND(D307&gt;0,D307&lt;1),C306/SQRT(D307)*SQRT(-2*LN(D307)),"Brak")</f>
        <v>Brak</v>
      </c>
      <c r="F306" t="str">
        <f t="shared" si="390"/>
        <v>Brak</v>
      </c>
    </row>
    <row r="307" spans="1:6" x14ac:dyDescent="0.3">
      <c r="A307">
        <v>0.99363381776350168</v>
      </c>
      <c r="B307" cm="1">
        <f t="array" ref="B307">_xlfn.NORM.INV(A307,_mu,_sigma)</f>
        <v>209.89402453416278</v>
      </c>
      <c r="C307">
        <f t="shared" si="391"/>
        <v>0.98726763552700336</v>
      </c>
      <c r="D307">
        <f t="shared" ref="D307" si="464">SUMSQ(C306:C307)</f>
        <v>1.8334713573693167</v>
      </c>
      <c r="E307" t="str">
        <f t="shared" ref="E307" si="465">IF(AND(D307&gt;0,D307&lt;1),C307/SQRT(D307)*SQRT(-2*LN(D307)),"Brak")</f>
        <v>Brak</v>
      </c>
      <c r="F307" t="str">
        <f t="shared" si="390"/>
        <v>Brak</v>
      </c>
    </row>
    <row r="308" spans="1:6" x14ac:dyDescent="0.3">
      <c r="A308">
        <v>1.2630746621251854E-2</v>
      </c>
      <c r="B308" cm="1">
        <f t="array" ref="B308">_xlfn.NORM.INV(A308,_mu,_sigma)</f>
        <v>153.15143608202456</v>
      </c>
      <c r="C308">
        <f t="shared" si="391"/>
        <v>-0.97473850675749629</v>
      </c>
      <c r="E308" t="str">
        <f t="shared" ref="E308" si="466">IF(AND(D309&gt;0,D309&lt;1),C308/SQRT(D309)*SQRT(-2*LN(D309)),"Brak")</f>
        <v>Brak</v>
      </c>
      <c r="F308" t="str">
        <f t="shared" si="390"/>
        <v>Brak</v>
      </c>
    </row>
    <row r="309" spans="1:6" x14ac:dyDescent="0.3">
      <c r="A309">
        <v>0.8399382583082573</v>
      </c>
      <c r="B309" cm="1">
        <f t="array" ref="B309">_xlfn.NORM.INV(A309,_mu,_sigma)</f>
        <v>191.93044991666397</v>
      </c>
      <c r="C309">
        <f t="shared" si="391"/>
        <v>0.6798765166165146</v>
      </c>
      <c r="D309">
        <f t="shared" ref="D309" si="467">SUMSQ(C308:C309)</f>
        <v>1.4123472344024395</v>
      </c>
      <c r="E309" t="str">
        <f t="shared" ref="E309" si="468">IF(AND(D309&gt;0,D309&lt;1),C309/SQRT(D309)*SQRT(-2*LN(D309)),"Brak")</f>
        <v>Brak</v>
      </c>
      <c r="F309" t="str">
        <f t="shared" si="390"/>
        <v>Brak</v>
      </c>
    </row>
    <row r="310" spans="1:6" x14ac:dyDescent="0.3">
      <c r="A310">
        <v>0.89054205257599672</v>
      </c>
      <c r="B310" cm="1">
        <f t="array" ref="B310">_xlfn.NORM.INV(A310,_mu,_sigma)</f>
        <v>194.75299134428823</v>
      </c>
      <c r="C310">
        <f t="shared" si="391"/>
        <v>0.78108410515199345</v>
      </c>
      <c r="E310">
        <f t="shared" ref="E310" si="469">IF(AND(D311&gt;0,D311&lt;1),C310/SQRT(D311)*SQRT(-2*LN(D311)),"Brak")</f>
        <v>0.23609098500725537</v>
      </c>
      <c r="F310">
        <f t="shared" si="390"/>
        <v>182.83309182008708</v>
      </c>
    </row>
    <row r="311" spans="1:6" x14ac:dyDescent="0.3">
      <c r="A311">
        <v>0.20541406340775448</v>
      </c>
      <c r="B311" cm="1">
        <f t="array" ref="B311">_xlfn.NORM.INV(A311,_mu,_sigma)</f>
        <v>170.13075385476594</v>
      </c>
      <c r="C311">
        <f t="shared" si="391"/>
        <v>-0.58917187318449105</v>
      </c>
      <c r="D311">
        <f t="shared" ref="D311" si="470">SUMSQ(C310:C311)</f>
        <v>0.95721587547281239</v>
      </c>
      <c r="E311">
        <f t="shared" ref="E311" si="471">IF(AND(D311&gt;0,D311&lt;1),C311/SQRT(D311)*SQRT(-2*LN(D311)),"Brak")</f>
        <v>-0.17808347009139139</v>
      </c>
      <c r="F311">
        <f t="shared" si="390"/>
        <v>177.8629983589033</v>
      </c>
    </row>
    <row r="312" spans="1:6" x14ac:dyDescent="0.3">
      <c r="A312">
        <v>0.68284474921830041</v>
      </c>
      <c r="B312" cm="1">
        <f t="array" ref="B312">_xlfn.NORM.INV(A312,_mu,_sigma)</f>
        <v>185.70802308052862</v>
      </c>
      <c r="C312">
        <f t="shared" si="391"/>
        <v>0.36568949843660081</v>
      </c>
      <c r="E312">
        <f t="shared" ref="E312" si="472">IF(AND(D313&gt;0,D313&lt;1),C312/SQRT(D313)*SQRT(-2*LN(D313)),"Brak")</f>
        <v>0.90800751116127443</v>
      </c>
      <c r="F312">
        <f t="shared" si="390"/>
        <v>190.8960901339353</v>
      </c>
    </row>
    <row r="313" spans="1:6" x14ac:dyDescent="0.3">
      <c r="A313">
        <v>0.27011535832016476</v>
      </c>
      <c r="B313" cm="1">
        <f t="array" ref="B313">_xlfn.NORM.INV(A313,_mu,_sigma)</f>
        <v>172.650430318784</v>
      </c>
      <c r="C313">
        <f t="shared" si="391"/>
        <v>-0.45976928335967049</v>
      </c>
      <c r="D313">
        <f t="shared" ref="D313" si="473">SUMSQ(C312:C313)</f>
        <v>0.34511660318787762</v>
      </c>
      <c r="E313">
        <f t="shared" ref="E313" si="474">IF(AND(D313&gt;0,D313&lt;1),C313/SQRT(D313)*SQRT(-2*LN(D313)),"Brak")</f>
        <v>-1.141607742296691</v>
      </c>
      <c r="F313">
        <f t="shared" si="390"/>
        <v>166.30070709243972</v>
      </c>
    </row>
    <row r="314" spans="1:6" x14ac:dyDescent="0.3">
      <c r="A314">
        <v>0.24690251958616671</v>
      </c>
      <c r="B314" cm="1">
        <f t="array" ref="B314">_xlfn.NORM.INV(A314,_mu,_sigma)</f>
        <v>171.78876669159891</v>
      </c>
      <c r="C314">
        <f t="shared" si="391"/>
        <v>-0.50619496082766657</v>
      </c>
      <c r="E314">
        <f t="shared" ref="E314" si="475">IF(AND(D315&gt;0,D315&lt;1),C314/SQRT(D315)*SQRT(-2*LN(D315)),"Brak")</f>
        <v>-1.2878044083179423</v>
      </c>
      <c r="F314">
        <f t="shared" si="390"/>
        <v>164.5463471001847</v>
      </c>
    </row>
    <row r="315" spans="1:6" x14ac:dyDescent="0.3">
      <c r="A315">
        <v>0.64168226583761645</v>
      </c>
      <c r="B315" cm="1">
        <f t="array" ref="B315">_xlfn.NORM.INV(A315,_mu,_sigma)</f>
        <v>184.35550870147199</v>
      </c>
      <c r="C315">
        <f t="shared" si="391"/>
        <v>0.2833645316752329</v>
      </c>
      <c r="D315">
        <f t="shared" ref="D315" si="476">SUMSQ(C314:C315)</f>
        <v>0.33652879617884696</v>
      </c>
      <c r="E315">
        <f t="shared" ref="E315" si="477">IF(AND(D315&gt;0,D315&lt;1),C315/SQRT(D315)*SQRT(-2*LN(D315)),"Brak")</f>
        <v>0.72090423906165668</v>
      </c>
      <c r="F315">
        <f t="shared" si="390"/>
        <v>188.65085086873989</v>
      </c>
    </row>
    <row r="316" spans="1:6" x14ac:dyDescent="0.3">
      <c r="A316">
        <v>0.62200560441470865</v>
      </c>
      <c r="B316" cm="1">
        <f t="array" ref="B316">_xlfn.NORM.INV(A316,_mu,_sigma)</f>
        <v>183.72902986291814</v>
      </c>
      <c r="C316">
        <f t="shared" si="391"/>
        <v>0.24401120882941729</v>
      </c>
      <c r="E316">
        <f t="shared" ref="E316" si="478">IF(AND(D317&gt;0,D317&lt;1),C316/SQRT(D317)*SQRT(-2*LN(D317)),"Brak")</f>
        <v>1.3474394697994936</v>
      </c>
      <c r="F316">
        <f t="shared" si="390"/>
        <v>196.16927363759393</v>
      </c>
    </row>
    <row r="317" spans="1:6" x14ac:dyDescent="0.3">
      <c r="A317">
        <v>0.36490453005631818</v>
      </c>
      <c r="B317" cm="1">
        <f t="array" ref="B317">_xlfn.NORM.INV(A317,_mu,_sigma)</f>
        <v>175.85544557542519</v>
      </c>
      <c r="C317">
        <f t="shared" si="391"/>
        <v>-0.27019093988736365</v>
      </c>
      <c r="D317">
        <f t="shared" ref="D317" si="479">SUMSQ(C316:C317)</f>
        <v>0.13254461403161044</v>
      </c>
      <c r="E317">
        <f t="shared" ref="E317" si="480">IF(AND(D317&gt;0,D317&lt;1),C317/SQRT(D317)*SQRT(-2*LN(D317)),"Brak")</f>
        <v>-1.4920049719558841</v>
      </c>
      <c r="F317">
        <f t="shared" si="390"/>
        <v>162.0959403365294</v>
      </c>
    </row>
    <row r="318" spans="1:6" x14ac:dyDescent="0.3">
      <c r="A318">
        <v>0.28041567767117204</v>
      </c>
      <c r="B318" cm="1">
        <f t="array" ref="B318">_xlfn.NORM.INV(A318,_mu,_sigma)</f>
        <v>173.02071472721417</v>
      </c>
      <c r="C318">
        <f t="shared" si="391"/>
        <v>-0.43916864465765593</v>
      </c>
      <c r="E318" t="str">
        <f t="shared" ref="E318" si="481">IF(AND(D319&gt;0,D319&lt;1),C318/SQRT(D319)*SQRT(-2*LN(D319)),"Brak")</f>
        <v>Brak</v>
      </c>
      <c r="F318" t="str">
        <f t="shared" si="390"/>
        <v>Brak</v>
      </c>
    </row>
    <row r="319" spans="1:6" x14ac:dyDescent="0.3">
      <c r="A319">
        <v>0.95204370092757118</v>
      </c>
      <c r="B319" cm="1">
        <f t="array" ref="B319">_xlfn.NORM.INV(A319,_mu,_sigma)</f>
        <v>199.98000948408139</v>
      </c>
      <c r="C319">
        <f t="shared" si="391"/>
        <v>0.90408740185514236</v>
      </c>
      <c r="D319">
        <f t="shared" ref="D319" si="482">SUMSQ(C318:C319)</f>
        <v>1.0102431286436242</v>
      </c>
      <c r="E319" t="str">
        <f t="shared" ref="E319" si="483">IF(AND(D319&gt;0,D319&lt;1),C319/SQRT(D319)*SQRT(-2*LN(D319)),"Brak")</f>
        <v>Brak</v>
      </c>
      <c r="F319" t="str">
        <f t="shared" si="390"/>
        <v>Brak</v>
      </c>
    </row>
    <row r="320" spans="1:6" x14ac:dyDescent="0.3">
      <c r="A320">
        <v>0.31131012142321091</v>
      </c>
      <c r="B320" cm="1">
        <f t="array" ref="B320">_xlfn.NORM.INV(A320,_mu,_sigma)</f>
        <v>174.09431772731659</v>
      </c>
      <c r="C320">
        <f t="shared" si="391"/>
        <v>-0.37737975715357819</v>
      </c>
      <c r="E320">
        <f t="shared" ref="E320" si="484">IF(AND(D321&gt;0,D321&lt;1),C320/SQRT(D321)*SQRT(-2*LN(D321)),"Brak")</f>
        <v>-0.58276888656367298</v>
      </c>
      <c r="F320">
        <f t="shared" si="390"/>
        <v>173.00677336123593</v>
      </c>
    </row>
    <row r="321" spans="1:6" x14ac:dyDescent="0.3">
      <c r="A321">
        <v>0.81166354957902109</v>
      </c>
      <c r="B321" cm="1">
        <f t="array" ref="B321">_xlfn.NORM.INV(A321,_mu,_sigma)</f>
        <v>190.60851822685336</v>
      </c>
      <c r="C321">
        <f t="shared" si="391"/>
        <v>0.62332709915804219</v>
      </c>
      <c r="D321">
        <f t="shared" ref="D321" si="485">SUMSQ(C320:C321)</f>
        <v>0.53095215365407333</v>
      </c>
      <c r="E321">
        <f t="shared" ref="E321" si="486">IF(AND(D321&gt;0,D321&lt;1),C321/SQRT(D321)*SQRT(-2*LN(D321)),"Brak")</f>
        <v>0.96257319756943449</v>
      </c>
      <c r="F321">
        <f t="shared" si="390"/>
        <v>191.5508783708332</v>
      </c>
    </row>
    <row r="322" spans="1:6" x14ac:dyDescent="0.3">
      <c r="A322">
        <v>0.82498040275507079</v>
      </c>
      <c r="B322" cm="1">
        <f t="array" ref="B322">_xlfn.NORM.INV(A322,_mu,_sigma)</f>
        <v>191.2141592308885</v>
      </c>
      <c r="C322">
        <f t="shared" si="391"/>
        <v>0.64996080551014157</v>
      </c>
      <c r="E322" t="str">
        <f t="shared" ref="E322" si="487">IF(AND(D323&gt;0,D323&lt;1),C322/SQRT(D323)*SQRT(-2*LN(D323)),"Brak")</f>
        <v>Brak</v>
      </c>
      <c r="F322" t="str">
        <f t="shared" ref="F322:F385" si="488">IF(ISNUMBER(E322),_mu+E322*_sigma,"Brak")</f>
        <v>Brak</v>
      </c>
    </row>
    <row r="323" spans="1:6" x14ac:dyDescent="0.3">
      <c r="A323">
        <v>0.92867851973973981</v>
      </c>
      <c r="B323" cm="1">
        <f t="array" ref="B323">_xlfn.NORM.INV(A323,_mu,_sigma)</f>
        <v>197.59223461699133</v>
      </c>
      <c r="C323">
        <f t="shared" ref="C323:C386" si="489">2*A323-1</f>
        <v>0.85735703947947961</v>
      </c>
      <c r="D323">
        <f t="shared" ref="D323" si="490">SUMSQ(C322:C323)</f>
        <v>1.15751014184441</v>
      </c>
      <c r="E323" t="str">
        <f t="shared" ref="E323" si="491">IF(AND(D323&gt;0,D323&lt;1),C323/SQRT(D323)*SQRT(-2*LN(D323)),"Brak")</f>
        <v>Brak</v>
      </c>
      <c r="F323" t="str">
        <f t="shared" si="488"/>
        <v>Brak</v>
      </c>
    </row>
    <row r="324" spans="1:6" x14ac:dyDescent="0.3">
      <c r="A324">
        <v>0.12707314320024987</v>
      </c>
      <c r="B324" cm="1">
        <f t="array" ref="B324">_xlfn.NORM.INV(A324,_mu,_sigma)</f>
        <v>166.31596630861617</v>
      </c>
      <c r="C324">
        <f t="shared" si="489"/>
        <v>-0.74585371359950026</v>
      </c>
      <c r="E324">
        <f t="shared" ref="E324" si="492">IF(AND(D325&gt;0,D325&lt;1),C324/SQRT(D325)*SQRT(-2*LN(D325)),"Brak")</f>
        <v>-0.98493660171078967</v>
      </c>
      <c r="F324">
        <f t="shared" si="488"/>
        <v>168.18076077947052</v>
      </c>
    </row>
    <row r="325" spans="1:6" x14ac:dyDescent="0.3">
      <c r="A325">
        <v>0.59856255934993374</v>
      </c>
      <c r="B325" cm="1">
        <f t="array" ref="B325">_xlfn.NORM.INV(A325,_mu,_sigma)</f>
        <v>182.99553851019675</v>
      </c>
      <c r="C325">
        <f t="shared" si="489"/>
        <v>0.19712511869986749</v>
      </c>
      <c r="D325">
        <f t="shared" ref="D325" si="493">SUMSQ(C324:C325)</f>
        <v>0.59515607451260222</v>
      </c>
      <c r="E325">
        <f t="shared" ref="E325" si="494">IF(AND(D325&gt;0,D325&lt;1),C325/SQRT(D325)*SQRT(-2*LN(D325)),"Brak")</f>
        <v>0.26031343812325508</v>
      </c>
      <c r="F325">
        <f t="shared" si="488"/>
        <v>183.12376125747906</v>
      </c>
    </row>
    <row r="326" spans="1:6" x14ac:dyDescent="0.3">
      <c r="A326">
        <v>0.73509955027584895</v>
      </c>
      <c r="B326" cm="1">
        <f t="array" ref="B326">_xlfn.NORM.INV(A326,_mu,_sigma)</f>
        <v>187.53971968032349</v>
      </c>
      <c r="C326">
        <f t="shared" si="489"/>
        <v>0.47019910055169789</v>
      </c>
      <c r="E326">
        <f t="shared" ref="E326" si="495">IF(AND(D327&gt;0,D327&lt;1),C326/SQRT(D327)*SQRT(-2*LN(D327)),"Brak")</f>
        <v>0.13823101027558685</v>
      </c>
      <c r="F326">
        <f t="shared" si="488"/>
        <v>181.65877212330705</v>
      </c>
    </row>
    <row r="327" spans="1:6" x14ac:dyDescent="0.3">
      <c r="A327">
        <v>0.92962253150664476</v>
      </c>
      <c r="B327" cm="1">
        <f t="array" ref="B327">_xlfn.NORM.INV(A327,_mu,_sigma)</f>
        <v>197.67582638537428</v>
      </c>
      <c r="C327">
        <f t="shared" si="489"/>
        <v>0.85924506301328951</v>
      </c>
      <c r="D327">
        <f t="shared" ref="D327" si="496">SUMSQ(C326:C327)</f>
        <v>0.95938927247233763</v>
      </c>
      <c r="E327">
        <f t="shared" ref="E327" si="497">IF(AND(D327&gt;0,D327&lt;1),C327/SQRT(D327)*SQRT(-2*LN(D327)),"Brak")</f>
        <v>0.25260429676551072</v>
      </c>
      <c r="F327">
        <f t="shared" si="488"/>
        <v>183.03125156118614</v>
      </c>
    </row>
    <row r="328" spans="1:6" x14ac:dyDescent="0.3">
      <c r="A328">
        <v>0.2955379238165774</v>
      </c>
      <c r="B328" cm="1">
        <f t="array" ref="B328">_xlfn.NORM.INV(A328,_mu,_sigma)</f>
        <v>173.55266830943054</v>
      </c>
      <c r="C328">
        <f t="shared" si="489"/>
        <v>-0.40892415236684521</v>
      </c>
      <c r="E328">
        <f t="shared" ref="E328" si="498">IF(AND(D329&gt;0,D329&lt;1),C328/SQRT(D329)*SQRT(-2*LN(D329)),"Brak")</f>
        <v>-0.61478927150358109</v>
      </c>
      <c r="F328">
        <f t="shared" si="488"/>
        <v>172.62252874195701</v>
      </c>
    </row>
    <row r="329" spans="1:6" x14ac:dyDescent="0.3">
      <c r="A329">
        <v>0.80608948912593292</v>
      </c>
      <c r="B329" cm="1">
        <f t="array" ref="B329">_xlfn.NORM.INV(A329,_mu,_sigma)</f>
        <v>190.3629083150314</v>
      </c>
      <c r="C329">
        <f t="shared" si="489"/>
        <v>0.61217897825186585</v>
      </c>
      <c r="D329">
        <f t="shared" ref="D329" si="499">SUMSQ(C328:C329)</f>
        <v>0.54198206380244129</v>
      </c>
      <c r="E329">
        <f t="shared" ref="E329" si="500">IF(AND(D329&gt;0,D329&lt;1),C329/SQRT(D329)*SQRT(-2*LN(D329)),"Brak")</f>
        <v>0.92036888966058994</v>
      </c>
      <c r="F329">
        <f t="shared" si="488"/>
        <v>191.04442667592707</v>
      </c>
    </row>
    <row r="330" spans="1:6" x14ac:dyDescent="0.3">
      <c r="A330">
        <v>0.46598849743452053</v>
      </c>
      <c r="B330" cm="1">
        <f t="array" ref="B330">_xlfn.NORM.INV(A330,_mu,_sigma)</f>
        <v>178.97570720719384</v>
      </c>
      <c r="C330">
        <f t="shared" si="489"/>
        <v>-6.8023005130958936E-2</v>
      </c>
      <c r="E330">
        <f t="shared" ref="E330" si="501">IF(AND(D331&gt;0,D331&lt;1),C330/SQRT(D331)*SQRT(-2*LN(D331)),"Brak")</f>
        <v>-0.33477315896194015</v>
      </c>
      <c r="F330">
        <f t="shared" si="488"/>
        <v>175.98272209245673</v>
      </c>
    </row>
    <row r="331" spans="1:6" x14ac:dyDescent="0.3">
      <c r="A331">
        <v>0.69344542861275882</v>
      </c>
      <c r="B331" cm="1">
        <f t="array" ref="B331">_xlfn.NORM.INV(A331,_mu,_sigma)</f>
        <v>186.06768432514144</v>
      </c>
      <c r="C331">
        <f t="shared" si="489"/>
        <v>0.38689085722551764</v>
      </c>
      <c r="D331">
        <f t="shared" ref="D331" si="502">SUMSQ(C330:C331)</f>
        <v>0.15431166463174234</v>
      </c>
      <c r="E331">
        <f t="shared" ref="E331" si="503">IF(AND(D331&gt;0,D331&lt;1),C331/SQRT(D331)*SQRT(-2*LN(D331)),"Brak")</f>
        <v>1.904071632788412</v>
      </c>
      <c r="F331">
        <f t="shared" si="488"/>
        <v>202.84885959346093</v>
      </c>
    </row>
    <row r="332" spans="1:6" x14ac:dyDescent="0.3">
      <c r="A332">
        <v>0.92838288232949928</v>
      </c>
      <c r="B332" cm="1">
        <f t="array" ref="B332">_xlfn.NORM.INV(A332,_mu,_sigma)</f>
        <v>197.56623082825379</v>
      </c>
      <c r="C332">
        <f t="shared" si="489"/>
        <v>0.85676576465899856</v>
      </c>
      <c r="E332">
        <f t="shared" ref="E332" si="504">IF(AND(D333&gt;0,D333&lt;1),C332/SQRT(D333)*SQRT(-2*LN(D333)),"Brak")</f>
        <v>0.29993907969581968</v>
      </c>
      <c r="F332">
        <f t="shared" si="488"/>
        <v>183.59926895634985</v>
      </c>
    </row>
    <row r="333" spans="1:6" x14ac:dyDescent="0.3">
      <c r="A333">
        <v>0.72899652957294492</v>
      </c>
      <c r="B333" cm="1">
        <f t="array" ref="B333">_xlfn.NORM.INV(A333,_mu,_sigma)</f>
        <v>187.31737106594849</v>
      </c>
      <c r="C333">
        <f t="shared" si="489"/>
        <v>0.45799305914588984</v>
      </c>
      <c r="D333">
        <f t="shared" ref="D333" si="505">SUMSQ(C332:C333)</f>
        <v>0.94380521771752912</v>
      </c>
      <c r="E333">
        <f t="shared" ref="E333" si="506">IF(AND(D333&gt;0,D333&lt;1),C333/SQRT(D333)*SQRT(-2*LN(D333)),"Brak")</f>
        <v>0.16033555766781363</v>
      </c>
      <c r="F333">
        <f t="shared" si="488"/>
        <v>181.92402669201377</v>
      </c>
    </row>
    <row r="334" spans="1:6" x14ac:dyDescent="0.3">
      <c r="A334">
        <v>0.18778086688180817</v>
      </c>
      <c r="B334" cm="1">
        <f t="array" ref="B334">_xlfn.NORM.INV(A334,_mu,_sigma)</f>
        <v>169.36675747833232</v>
      </c>
      <c r="C334">
        <f t="shared" si="489"/>
        <v>-0.62443826623638365</v>
      </c>
      <c r="E334">
        <f t="shared" ref="E334" si="507">IF(AND(D335&gt;0,D335&lt;1),C334/SQRT(D335)*SQRT(-2*LN(D335)),"Brak")</f>
        <v>-1.0044722824755872</v>
      </c>
      <c r="F334">
        <f t="shared" si="488"/>
        <v>167.94633261029296</v>
      </c>
    </row>
    <row r="335" spans="1:6" x14ac:dyDescent="0.3">
      <c r="A335">
        <v>0.32376355076843089</v>
      </c>
      <c r="B335" cm="1">
        <f t="array" ref="B335">_xlfn.NORM.INV(A335,_mu,_sigma)</f>
        <v>174.51359671369963</v>
      </c>
      <c r="C335">
        <f t="shared" si="489"/>
        <v>-0.35247289846313823</v>
      </c>
      <c r="D335">
        <f t="shared" ref="D335" si="508">SUMSQ(C334:C335)</f>
        <v>0.51416029249130646</v>
      </c>
      <c r="E335">
        <f t="shared" ref="E335" si="509">IF(AND(D335&gt;0,D335&lt;1),C335/SQRT(D335)*SQRT(-2*LN(D335)),"Brak")</f>
        <v>-0.56698840537749406</v>
      </c>
      <c r="F335">
        <f t="shared" si="488"/>
        <v>173.19613913547008</v>
      </c>
    </row>
    <row r="336" spans="1:6" x14ac:dyDescent="0.3">
      <c r="A336">
        <v>0.7615327443266352</v>
      </c>
      <c r="B336" cm="1">
        <f t="array" ref="B336">_xlfn.NORM.INV(A336,_mu,_sigma)</f>
        <v>188.53489963767385</v>
      </c>
      <c r="C336">
        <f t="shared" si="489"/>
        <v>0.52306548865327041</v>
      </c>
      <c r="E336">
        <f t="shared" ref="E336" si="510">IF(AND(D337&gt;0,D337&lt;1),C336/SQRT(D337)*SQRT(-2*LN(D337)),"Brak")</f>
        <v>0.45035013498786935</v>
      </c>
      <c r="F336">
        <f t="shared" si="488"/>
        <v>185.40420161985443</v>
      </c>
    </row>
    <row r="337" spans="1:6" x14ac:dyDescent="0.3">
      <c r="A337">
        <v>0.84717101777997228</v>
      </c>
      <c r="B337" cm="1">
        <f t="array" ref="B337">_xlfn.NORM.INV(A337,_mu,_sigma)</f>
        <v>192.29250561877407</v>
      </c>
      <c r="C337">
        <f t="shared" si="489"/>
        <v>0.69434203555994456</v>
      </c>
      <c r="D337">
        <f t="shared" ref="D337" si="511">SUMSQ(C336:C337)</f>
        <v>0.75570836776561179</v>
      </c>
      <c r="E337">
        <f t="shared" ref="E337" si="512">IF(AND(D337&gt;0,D337&lt;1),C337/SQRT(D337)*SQRT(-2*LN(D337)),"Brak")</f>
        <v>0.59781621274091279</v>
      </c>
      <c r="F337">
        <f t="shared" si="488"/>
        <v>187.17379455289097</v>
      </c>
    </row>
    <row r="338" spans="1:6" x14ac:dyDescent="0.3">
      <c r="A338">
        <v>0.82428750885029567</v>
      </c>
      <c r="B338" cm="1">
        <f t="array" ref="B338">_xlfn.NORM.INV(A338,_mu,_sigma)</f>
        <v>191.18194620349718</v>
      </c>
      <c r="C338">
        <f t="shared" si="489"/>
        <v>0.64857501770059134</v>
      </c>
      <c r="E338" t="str">
        <f t="shared" ref="E338" si="513">IF(AND(D339&gt;0,D339&lt;1),C338/SQRT(D339)*SQRT(-2*LN(D339)),"Brak")</f>
        <v>Brak</v>
      </c>
      <c r="F338" t="str">
        <f t="shared" si="488"/>
        <v>Brak</v>
      </c>
    </row>
    <row r="339" spans="1:6" x14ac:dyDescent="0.3">
      <c r="A339">
        <v>0.89782411425161457</v>
      </c>
      <c r="B339" cm="1">
        <f t="array" ref="B339">_xlfn.NORM.INV(A339,_mu,_sigma)</f>
        <v>195.23100476772288</v>
      </c>
      <c r="C339">
        <f t="shared" si="489"/>
        <v>0.79564822850322914</v>
      </c>
      <c r="D339">
        <f t="shared" ref="D339" si="514">SUMSQ(C338:C339)</f>
        <v>1.0537056571056491</v>
      </c>
      <c r="E339" t="str">
        <f t="shared" ref="E339" si="515">IF(AND(D339&gt;0,D339&lt;1),C339/SQRT(D339)*SQRT(-2*LN(D339)),"Brak")</f>
        <v>Brak</v>
      </c>
      <c r="F339" t="str">
        <f t="shared" si="488"/>
        <v>Brak</v>
      </c>
    </row>
    <row r="340" spans="1:6" x14ac:dyDescent="0.3">
      <c r="A340">
        <v>0.37479742126778692</v>
      </c>
      <c r="B340" cm="1">
        <f t="array" ref="B340">_xlfn.NORM.INV(A340,_mu,_sigma)</f>
        <v>176.16991628660452</v>
      </c>
      <c r="C340">
        <f t="shared" si="489"/>
        <v>-0.25040515746442615</v>
      </c>
      <c r="E340" t="str">
        <f t="shared" ref="E340" si="516">IF(AND(D341&gt;0,D341&lt;1),C340/SQRT(D341)*SQRT(-2*LN(D341)),"Brak")</f>
        <v>Brak</v>
      </c>
      <c r="F340" t="str">
        <f t="shared" si="488"/>
        <v>Brak</v>
      </c>
    </row>
    <row r="341" spans="1:6" x14ac:dyDescent="0.3">
      <c r="A341">
        <v>3.886762534124677E-3</v>
      </c>
      <c r="B341" cm="1">
        <f t="array" ref="B341">_xlfn.NORM.INV(A341,_mu,_sigma)</f>
        <v>148.05898234209295</v>
      </c>
      <c r="C341">
        <f t="shared" si="489"/>
        <v>-0.99222647493175065</v>
      </c>
      <c r="D341">
        <f t="shared" ref="D341" si="517">SUMSQ(C340:C341)</f>
        <v>1.0472161204402721</v>
      </c>
      <c r="E341" t="str">
        <f t="shared" ref="E341" si="518">IF(AND(D341&gt;0,D341&lt;1),C341/SQRT(D341)*SQRT(-2*LN(D341)),"Brak")</f>
        <v>Brak</v>
      </c>
      <c r="F341" t="str">
        <f t="shared" si="488"/>
        <v>Brak</v>
      </c>
    </row>
    <row r="342" spans="1:6" x14ac:dyDescent="0.3">
      <c r="A342">
        <v>0.72116626843662002</v>
      </c>
      <c r="B342" cm="1">
        <f t="array" ref="B342">_xlfn.NORM.INV(A342,_mu,_sigma)</f>
        <v>187.03571551813744</v>
      </c>
      <c r="C342">
        <f t="shared" si="489"/>
        <v>0.44233253687324003</v>
      </c>
      <c r="E342">
        <f t="shared" ref="E342" si="519">IF(AND(D343&gt;0,D343&lt;1),C342/SQRT(D343)*SQRT(-2*LN(D343)),"Brak")</f>
        <v>0.50119198450205016</v>
      </c>
      <c r="F342">
        <f t="shared" si="488"/>
        <v>186.0143038140246</v>
      </c>
    </row>
    <row r="343" spans="1:6" x14ac:dyDescent="0.3">
      <c r="A343">
        <v>0.16067322614104196</v>
      </c>
      <c r="B343" cm="1">
        <f t="array" ref="B343">_xlfn.NORM.INV(A343,_mu,_sigma)</f>
        <v>168.09966298608353</v>
      </c>
      <c r="C343">
        <f t="shared" si="489"/>
        <v>-0.67865354771791608</v>
      </c>
      <c r="D343">
        <f t="shared" ref="D343" si="520">SUMSQ(C342:C343)</f>
        <v>0.65622871100683011</v>
      </c>
      <c r="E343">
        <f t="shared" ref="E343" si="521">IF(AND(D343&gt;0,D343&lt;1),C343/SQRT(D343)*SQRT(-2*LN(D343)),"Brak")</f>
        <v>-0.76895930101468524</v>
      </c>
      <c r="F343">
        <f t="shared" si="488"/>
        <v>170.77248838782378</v>
      </c>
    </row>
    <row r="344" spans="1:6" x14ac:dyDescent="0.3">
      <c r="A344">
        <v>0.96484875182141561</v>
      </c>
      <c r="B344" cm="1">
        <f t="array" ref="B344">_xlfn.NORM.INV(A344,_mu,_sigma)</f>
        <v>201.71948085307113</v>
      </c>
      <c r="C344">
        <f t="shared" si="489"/>
        <v>0.92969750364283121</v>
      </c>
      <c r="E344" t="str">
        <f t="shared" ref="E344" si="522">IF(AND(D345&gt;0,D345&lt;1),C344/SQRT(D345)*SQRT(-2*LN(D345)),"Brak")</f>
        <v>Brak</v>
      </c>
      <c r="F344" t="str">
        <f t="shared" si="488"/>
        <v>Brak</v>
      </c>
    </row>
    <row r="345" spans="1:6" x14ac:dyDescent="0.3">
      <c r="A345">
        <v>0.31328550907709707</v>
      </c>
      <c r="B345" cm="1">
        <f t="array" ref="B345">_xlfn.NORM.INV(A345,_mu,_sigma)</f>
        <v>174.16129425979653</v>
      </c>
      <c r="C345">
        <f t="shared" si="489"/>
        <v>-0.37342898184580586</v>
      </c>
      <c r="D345">
        <f t="shared" ref="D345" si="523">SUMSQ(C344:C345)</f>
        <v>1.0037866527621073</v>
      </c>
      <c r="E345" t="str">
        <f t="shared" ref="E345" si="524">IF(AND(D345&gt;0,D345&lt;1),C345/SQRT(D345)*SQRT(-2*LN(D345)),"Brak")</f>
        <v>Brak</v>
      </c>
      <c r="F345" t="str">
        <f t="shared" si="488"/>
        <v>Brak</v>
      </c>
    </row>
    <row r="346" spans="1:6" x14ac:dyDescent="0.3">
      <c r="A346">
        <v>0.16906762299542677</v>
      </c>
      <c r="B346" cm="1">
        <f t="array" ref="B346">_xlfn.NORM.INV(A346,_mu,_sigma)</f>
        <v>168.5057248999799</v>
      </c>
      <c r="C346">
        <f t="shared" si="489"/>
        <v>-0.66186475400914646</v>
      </c>
      <c r="E346">
        <f t="shared" ref="E346" si="525">IF(AND(D347&gt;0,D347&lt;1),C346/SQRT(D347)*SQRT(-2*LN(D347)),"Brak")</f>
        <v>-0.76358217967563069</v>
      </c>
      <c r="F346">
        <f t="shared" si="488"/>
        <v>170.83701384389244</v>
      </c>
    </row>
    <row r="347" spans="1:6" x14ac:dyDescent="0.3">
      <c r="A347">
        <v>0.27025854974804187</v>
      </c>
      <c r="B347" cm="1">
        <f t="array" ref="B347">_xlfn.NORM.INV(A347,_mu,_sigma)</f>
        <v>172.65562531508462</v>
      </c>
      <c r="C347">
        <f t="shared" si="489"/>
        <v>-0.45948290050391627</v>
      </c>
      <c r="D347">
        <f t="shared" ref="D347" si="526">SUMSQ(C346:C347)</f>
        <v>0.64918948845507973</v>
      </c>
      <c r="E347">
        <f t="shared" ref="E347" si="527">IF(AND(D347&gt;0,D347&lt;1),C347/SQRT(D347)*SQRT(-2*LN(D347)),"Brak")</f>
        <v>-0.53009765600180736</v>
      </c>
      <c r="F347">
        <f t="shared" si="488"/>
        <v>173.63882812797831</v>
      </c>
    </row>
    <row r="348" spans="1:6" x14ac:dyDescent="0.3">
      <c r="A348">
        <v>5.8943102680401371E-2</v>
      </c>
      <c r="B348" cm="1">
        <f t="array" ref="B348">_xlfn.NORM.INV(A348,_mu,_sigma)</f>
        <v>161.2355064114067</v>
      </c>
      <c r="C348">
        <f t="shared" si="489"/>
        <v>-0.88211379463919726</v>
      </c>
      <c r="E348">
        <f t="shared" ref="E348" si="528">IF(AND(D349&gt;0,D349&lt;1),C348/SQRT(D349)*SQRT(-2*LN(D349)),"Brak")</f>
        <v>-0.18710019170206349</v>
      </c>
      <c r="F348">
        <f t="shared" si="488"/>
        <v>177.75479769957525</v>
      </c>
    </row>
    <row r="349" spans="1:6" x14ac:dyDescent="0.3">
      <c r="A349">
        <v>0.72366885290193261</v>
      </c>
      <c r="B349" cm="1">
        <f t="array" ref="B349">_xlfn.NORM.INV(A349,_mu,_sigma)</f>
        <v>187.12530570450687</v>
      </c>
      <c r="C349">
        <f t="shared" si="489"/>
        <v>0.44733770580386523</v>
      </c>
      <c r="D349">
        <f t="shared" ref="D349" si="529">SUMSQ(C348:C349)</f>
        <v>0.97823576972662929</v>
      </c>
      <c r="E349">
        <f t="shared" ref="E349" si="530">IF(AND(D349&gt;0,D349&lt;1),C349/SQRT(D349)*SQRT(-2*LN(D349)),"Brak")</f>
        <v>9.4882282784953212E-2</v>
      </c>
      <c r="F349">
        <f t="shared" si="488"/>
        <v>181.13858739341944</v>
      </c>
    </row>
    <row r="350" spans="1:6" x14ac:dyDescent="0.3">
      <c r="A350">
        <v>0.28890687223801736</v>
      </c>
      <c r="B350" cm="1">
        <f t="array" ref="B350">_xlfn.NORM.INV(A350,_mu,_sigma)</f>
        <v>173.3210281099482</v>
      </c>
      <c r="C350">
        <f t="shared" si="489"/>
        <v>-0.42218625552396527</v>
      </c>
      <c r="E350">
        <f t="shared" ref="E350" si="531">IF(AND(D351&gt;0,D351&lt;1),C350/SQRT(D351)*SQRT(-2*LN(D351)),"Brak")</f>
        <v>-0.13143781036649643</v>
      </c>
      <c r="F350">
        <f t="shared" si="488"/>
        <v>178.42274627560204</v>
      </c>
    </row>
    <row r="351" spans="1:6" x14ac:dyDescent="0.3">
      <c r="A351">
        <v>5.9391866561311235E-2</v>
      </c>
      <c r="B351" cm="1">
        <f t="array" ref="B351">_xlfn.NORM.INV(A351,_mu,_sigma)</f>
        <v>161.28121110027715</v>
      </c>
      <c r="C351">
        <f t="shared" si="489"/>
        <v>-0.88121626687737753</v>
      </c>
      <c r="D351">
        <f t="shared" ref="D351" si="532">SUMSQ(C350:C351)</f>
        <v>0.95478334336264836</v>
      </c>
      <c r="E351">
        <f t="shared" ref="E351" si="533">IF(AND(D351&gt;0,D351&lt;1),C351/SQRT(D351)*SQRT(-2*LN(D351)),"Brak")</f>
        <v>-0.27434606186777177</v>
      </c>
      <c r="F351">
        <f t="shared" si="488"/>
        <v>176.70784725758674</v>
      </c>
    </row>
    <row r="352" spans="1:6" x14ac:dyDescent="0.3">
      <c r="A352">
        <v>0.48774582174199677</v>
      </c>
      <c r="B352" cm="1">
        <f t="array" ref="B352">_xlfn.NORM.INV(A352,_mu,_sigma)</f>
        <v>179.6313419812011</v>
      </c>
      <c r="C352">
        <f t="shared" si="489"/>
        <v>-2.4508356516006469E-2</v>
      </c>
      <c r="E352">
        <f t="shared" ref="E352" si="534">IF(AND(D353&gt;0,D353&lt;1),C352/SQRT(D353)*SQRT(-2*LN(D353)),"Brak")</f>
        <v>-0.11979493345198411</v>
      </c>
      <c r="F352">
        <f t="shared" si="488"/>
        <v>178.56246079857618</v>
      </c>
    </row>
    <row r="353" spans="1:6" x14ac:dyDescent="0.3">
      <c r="A353">
        <v>0.30309194835381448</v>
      </c>
      <c r="B353" cm="1">
        <f t="array" ref="B353">_xlfn.NORM.INV(A353,_mu,_sigma)</f>
        <v>173.81366035970848</v>
      </c>
      <c r="C353">
        <f t="shared" si="489"/>
        <v>-0.39381610329237104</v>
      </c>
      <c r="D353">
        <f t="shared" ref="D353" si="535">SUMSQ(C352:C353)</f>
        <v>0.15569178275150314</v>
      </c>
      <c r="E353">
        <f t="shared" ref="E353" si="536">IF(AND(D353&gt;0,D353&lt;1),C353/SQRT(D353)*SQRT(-2*LN(D353)),"Brak")</f>
        <v>-1.9249423703877393</v>
      </c>
      <c r="F353">
        <f t="shared" si="488"/>
        <v>156.90069155534712</v>
      </c>
    </row>
    <row r="354" spans="1:6" x14ac:dyDescent="0.3">
      <c r="A354">
        <v>0.23728971168322877</v>
      </c>
      <c r="B354" cm="1">
        <f t="array" ref="B354">_xlfn.NORM.INV(A354,_mu,_sigma)</f>
        <v>171.41942476737768</v>
      </c>
      <c r="C354">
        <f t="shared" si="489"/>
        <v>-0.52542057663354247</v>
      </c>
      <c r="E354">
        <f t="shared" ref="E354" si="537">IF(AND(D355&gt;0,D355&lt;1),C354/SQRT(D355)*SQRT(-2*LN(D355)),"Brak")</f>
        <v>-1.3123652170726643</v>
      </c>
      <c r="F354">
        <f t="shared" si="488"/>
        <v>164.25161739512802</v>
      </c>
    </row>
    <row r="355" spans="1:6" x14ac:dyDescent="0.3">
      <c r="A355">
        <v>0.62937086930495367</v>
      </c>
      <c r="B355" cm="1">
        <f t="array" ref="B355">_xlfn.NORM.INV(A355,_mu,_sigma)</f>
        <v>183.96225047422732</v>
      </c>
      <c r="C355">
        <f t="shared" si="489"/>
        <v>0.25874173860990735</v>
      </c>
      <c r="D355">
        <f t="shared" ref="D355" si="538">SUMSQ(C354:C355)</f>
        <v>0.34301406964880188</v>
      </c>
      <c r="E355">
        <f t="shared" ref="E355" si="539">IF(AND(D355&gt;0,D355&lt;1),C355/SQRT(D355)*SQRT(-2*LN(D355)),"Brak")</f>
        <v>0.64627019393148022</v>
      </c>
      <c r="F355">
        <f t="shared" si="488"/>
        <v>187.75524232717777</v>
      </c>
    </row>
    <row r="356" spans="1:6" x14ac:dyDescent="0.3">
      <c r="A356">
        <v>0.76584470464587007</v>
      </c>
      <c r="B356" cm="1">
        <f t="array" ref="B356">_xlfn.NORM.INV(A356,_mu,_sigma)</f>
        <v>188.70276685808827</v>
      </c>
      <c r="C356">
        <f t="shared" si="489"/>
        <v>0.53168940929174013</v>
      </c>
      <c r="E356">
        <f t="shared" ref="E356" si="540">IF(AND(D357&gt;0,D357&lt;1),C356/SQRT(D357)*SQRT(-2*LN(D357)),"Brak")</f>
        <v>1.4754484985505223</v>
      </c>
      <c r="F356">
        <f t="shared" si="488"/>
        <v>197.70538198260627</v>
      </c>
    </row>
    <row r="357" spans="1:6" x14ac:dyDescent="0.3">
      <c r="A357">
        <v>0.5776915129505128</v>
      </c>
      <c r="B357" cm="1">
        <f t="array" ref="B357">_xlfn.NORM.INV(A357,_mu,_sigma)</f>
        <v>182.3518956220384</v>
      </c>
      <c r="C357">
        <f t="shared" si="489"/>
        <v>0.1553830259010256</v>
      </c>
      <c r="D357">
        <f t="shared" ref="D357" si="541">SUMSQ(C356:C357)</f>
        <v>0.30683751269115839</v>
      </c>
      <c r="E357">
        <f t="shared" ref="E357" si="542">IF(AND(D357&gt;0,D357&lt;1),C357/SQRT(D357)*SQRT(-2*LN(D357)),"Brak")</f>
        <v>0.43119093263734626</v>
      </c>
      <c r="F357">
        <f t="shared" si="488"/>
        <v>185.17429119164817</v>
      </c>
    </row>
    <row r="358" spans="1:6" x14ac:dyDescent="0.3">
      <c r="A358">
        <v>0.5788929364148091</v>
      </c>
      <c r="B358" cm="1">
        <f t="array" ref="B358">_xlfn.NORM.INV(A358,_mu,_sigma)</f>
        <v>182.38874582176192</v>
      </c>
      <c r="C358">
        <f t="shared" si="489"/>
        <v>0.1577858728296182</v>
      </c>
      <c r="E358">
        <f t="shared" ref="E358" si="543">IF(AND(D359&gt;0,D359&lt;1),C358/SQRT(D359)*SQRT(-2*LN(D359)),"Brak")</f>
        <v>0.62874092566231377</v>
      </c>
      <c r="F358">
        <f t="shared" si="488"/>
        <v>187.54489110794776</v>
      </c>
    </row>
    <row r="359" spans="1:6" x14ac:dyDescent="0.3">
      <c r="A359">
        <v>0.28977669703080178</v>
      </c>
      <c r="B359" cm="1">
        <f t="array" ref="B359">_xlfn.NORM.INV(A359,_mu,_sigma)</f>
        <v>173.35155371945368</v>
      </c>
      <c r="C359">
        <f t="shared" si="489"/>
        <v>-0.42044660593839644</v>
      </c>
      <c r="D359">
        <f t="shared" ref="D359" si="544">SUMSQ(C358:C359)</f>
        <v>0.20167173010972167</v>
      </c>
      <c r="E359">
        <f t="shared" ref="E359" si="545">IF(AND(D359&gt;0,D359&lt;1),C359/SQRT(D359)*SQRT(-2*LN(D359)),"Brak")</f>
        <v>-1.6753843894170453</v>
      </c>
      <c r="F359">
        <f t="shared" si="488"/>
        <v>159.89538732699546</v>
      </c>
    </row>
    <row r="360" spans="1:6" x14ac:dyDescent="0.3">
      <c r="A360">
        <v>0.23156996873909785</v>
      </c>
      <c r="B360" cm="1">
        <f t="array" ref="B360">_xlfn.NORM.INV(A360,_mu,_sigma)</f>
        <v>171.19576415143081</v>
      </c>
      <c r="C360">
        <f t="shared" si="489"/>
        <v>-0.53686006252180429</v>
      </c>
      <c r="E360">
        <f t="shared" ref="E360" si="546">IF(AND(D361&gt;0,D361&lt;1),C360/SQRT(D361)*SQRT(-2*LN(D361)),"Brak")</f>
        <v>-0.52112257615624547</v>
      </c>
      <c r="F360">
        <f t="shared" si="488"/>
        <v>173.74652908612507</v>
      </c>
    </row>
    <row r="361" spans="1:6" x14ac:dyDescent="0.3">
      <c r="A361">
        <v>0.82636105513606617</v>
      </c>
      <c r="B361" cm="1">
        <f t="array" ref="B361">_xlfn.NORM.INV(A361,_mu,_sigma)</f>
        <v>191.27858871419718</v>
      </c>
      <c r="C361">
        <f t="shared" si="489"/>
        <v>0.65272211027213234</v>
      </c>
      <c r="D361">
        <f t="shared" ref="D361" si="547">SUMSQ(C360:C361)</f>
        <v>0.71426487996902133</v>
      </c>
      <c r="E361">
        <f t="shared" ref="E361" si="548">IF(AND(D361&gt;0,D361&lt;1),C361/SQRT(D361)*SQRT(-2*LN(D361)),"Brak")</f>
        <v>0.63358825020689546</v>
      </c>
      <c r="F361">
        <f t="shared" si="488"/>
        <v>187.60305900248275</v>
      </c>
    </row>
    <row r="362" spans="1:6" x14ac:dyDescent="0.3">
      <c r="A362">
        <v>0.71760346113101536</v>
      </c>
      <c r="B362" cm="1">
        <f t="array" ref="B362">_xlfn.NORM.INV(A362,_mu,_sigma)</f>
        <v>186.90884194963181</v>
      </c>
      <c r="C362">
        <f t="shared" si="489"/>
        <v>0.43520692226203073</v>
      </c>
      <c r="E362">
        <f t="shared" ref="E362" si="549">IF(AND(D363&gt;0,D363&lt;1),C362/SQRT(D363)*SQRT(-2*LN(D363)),"Brak")</f>
        <v>1.5533424785355074</v>
      </c>
      <c r="F362">
        <f t="shared" si="488"/>
        <v>198.64010974242609</v>
      </c>
    </row>
    <row r="363" spans="1:6" x14ac:dyDescent="0.3">
      <c r="A363">
        <v>0.60127985107132387</v>
      </c>
      <c r="B363" cm="1">
        <f t="array" ref="B363">_xlfn.NORM.INV(A363,_mu,_sigma)</f>
        <v>183.079934841349</v>
      </c>
      <c r="C363">
        <f t="shared" si="489"/>
        <v>0.20255970214264774</v>
      </c>
      <c r="D363">
        <f t="shared" ref="D363" si="550">SUMSQ(C362:C363)</f>
        <v>0.23043549811690742</v>
      </c>
      <c r="E363">
        <f t="shared" ref="E363" si="551">IF(AND(D363&gt;0,D363&lt;1),C363/SQRT(D363)*SQRT(-2*LN(D363)),"Brak")</f>
        <v>0.7229769879171003</v>
      </c>
      <c r="F363">
        <f t="shared" si="488"/>
        <v>188.6757238550052</v>
      </c>
    </row>
    <row r="364" spans="1:6" x14ac:dyDescent="0.3">
      <c r="A364">
        <v>0.33789874792288566</v>
      </c>
      <c r="B364" cm="1">
        <f t="array" ref="B364">_xlfn.NORM.INV(A364,_mu,_sigma)</f>
        <v>174.98154419288747</v>
      </c>
      <c r="C364">
        <f t="shared" si="489"/>
        <v>-0.32420250415422869</v>
      </c>
      <c r="E364">
        <f t="shared" ref="E364" si="552">IF(AND(D365&gt;0,D365&lt;1),C364/SQRT(D365)*SQRT(-2*LN(D365)),"Brak")</f>
        <v>-1.5385381029020584</v>
      </c>
      <c r="F364">
        <f t="shared" si="488"/>
        <v>161.53754276517529</v>
      </c>
    </row>
    <row r="365" spans="1:6" x14ac:dyDescent="0.3">
      <c r="A365">
        <v>0.61901877185788734</v>
      </c>
      <c r="B365" cm="1">
        <f t="array" ref="B365">_xlfn.NORM.INV(A365,_mu,_sigma)</f>
        <v>183.63485692211461</v>
      </c>
      <c r="C365">
        <f t="shared" si="489"/>
        <v>0.23803754371577468</v>
      </c>
      <c r="D365">
        <f t="shared" ref="D365" si="553">SUMSQ(C364:C365)</f>
        <v>0.16176913591811201</v>
      </c>
      <c r="E365">
        <f t="shared" ref="E365" si="554">IF(AND(D365&gt;0,D365&lt;1),C365/SQRT(D365)*SQRT(-2*LN(D365)),"Brak")</f>
        <v>1.1296329492683745</v>
      </c>
      <c r="F365">
        <f t="shared" si="488"/>
        <v>193.55559539122049</v>
      </c>
    </row>
    <row r="366" spans="1:6" x14ac:dyDescent="0.3">
      <c r="A366">
        <v>9.777519820929137E-2</v>
      </c>
      <c r="B366" cm="1">
        <f t="array" ref="B366">_xlfn.NORM.INV(A366,_mu,_sigma)</f>
        <v>164.46800309456387</v>
      </c>
      <c r="C366">
        <f t="shared" si="489"/>
        <v>-0.80444960358141726</v>
      </c>
      <c r="E366">
        <f t="shared" ref="E366" si="555">IF(AND(D367&gt;0,D367&lt;1),C366/SQRT(D367)*SQRT(-2*LN(D367)),"Brak")</f>
        <v>-0.93173685699091213</v>
      </c>
      <c r="F366">
        <f t="shared" si="488"/>
        <v>168.81915771610906</v>
      </c>
    </row>
    <row r="367" spans="1:6" x14ac:dyDescent="0.3">
      <c r="A367">
        <v>0.5112779628826174</v>
      </c>
      <c r="B367" cm="1">
        <f t="array" ref="B367">_xlfn.NORM.INV(A367,_mu,_sigma)</f>
        <v>180.33928112508403</v>
      </c>
      <c r="C367">
        <f t="shared" si="489"/>
        <v>2.2555925765234797E-2</v>
      </c>
      <c r="D367">
        <f t="shared" ref="D367" si="556">SUMSQ(C366:C367)</f>
        <v>0.64764793448942615</v>
      </c>
      <c r="E367">
        <f t="shared" ref="E367" si="557">IF(AND(D367&gt;0,D367&lt;1),C367/SQRT(D367)*SQRT(-2*LN(D367)),"Brak")</f>
        <v>2.6124927261392056E-2</v>
      </c>
      <c r="F367">
        <f t="shared" si="488"/>
        <v>180.31349912713671</v>
      </c>
    </row>
    <row r="368" spans="1:6" x14ac:dyDescent="0.3">
      <c r="A368">
        <v>0.89290337049565638</v>
      </c>
      <c r="B368" cm="1">
        <f t="array" ref="B368">_xlfn.NORM.INV(A368,_mu,_sigma)</f>
        <v>194.90540849316295</v>
      </c>
      <c r="C368">
        <f t="shared" si="489"/>
        <v>0.78580674099131276</v>
      </c>
      <c r="E368" t="str">
        <f t="shared" ref="E368" si="558">IF(AND(D369&gt;0,D369&lt;1),C368/SQRT(D369)*SQRT(-2*LN(D369)),"Brak")</f>
        <v>Brak</v>
      </c>
      <c r="F368" t="str">
        <f t="shared" si="488"/>
        <v>Brak</v>
      </c>
    </row>
    <row r="369" spans="1:6" x14ac:dyDescent="0.3">
      <c r="A369">
        <v>5.9813235141441434E-2</v>
      </c>
      <c r="B369" cm="1">
        <f t="array" ref="B369">_xlfn.NORM.INV(A369,_mu,_sigma)</f>
        <v>161.32387989881673</v>
      </c>
      <c r="C369">
        <f t="shared" si="489"/>
        <v>-0.88037352971711713</v>
      </c>
      <c r="D369">
        <f t="shared" ref="D369" si="559">SUMSQ(C368:C369)</f>
        <v>1.392549786013964</v>
      </c>
      <c r="E369" t="str">
        <f t="shared" ref="E369" si="560">IF(AND(D369&gt;0,D369&lt;1),C369/SQRT(D369)*SQRT(-2*LN(D369)),"Brak")</f>
        <v>Brak</v>
      </c>
      <c r="F369" t="str">
        <f t="shared" si="488"/>
        <v>Brak</v>
      </c>
    </row>
    <row r="370" spans="1:6" x14ac:dyDescent="0.3">
      <c r="A370">
        <v>8.0643663818441569E-2</v>
      </c>
      <c r="B370" cm="1">
        <f t="array" ref="B370">_xlfn.NORM.INV(A370,_mu,_sigma)</f>
        <v>163.1909391244985</v>
      </c>
      <c r="C370">
        <f t="shared" si="489"/>
        <v>-0.83871267236311686</v>
      </c>
      <c r="E370">
        <f t="shared" ref="E370" si="561">IF(AND(D371&gt;0,D371&lt;1),C370/SQRT(D371)*SQRT(-2*LN(D371)),"Brak")</f>
        <v>-0.63574013682971886</v>
      </c>
      <c r="F370">
        <f t="shared" si="488"/>
        <v>172.37111835804336</v>
      </c>
    </row>
    <row r="371" spans="1:6" x14ac:dyDescent="0.3">
      <c r="A371">
        <v>0.6518435691086284</v>
      </c>
      <c r="B371" cm="1">
        <f t="array" ref="B371">_xlfn.NORM.INV(A371,_mu,_sigma)</f>
        <v>184.68363021251548</v>
      </c>
      <c r="C371">
        <f t="shared" si="489"/>
        <v>0.30368713821725679</v>
      </c>
      <c r="D371">
        <f t="shared" ref="D371" si="562">SUMSQ(C370:C371)</f>
        <v>0.79566482470106825</v>
      </c>
      <c r="E371">
        <f t="shared" ref="E371" si="563">IF(AND(D371&gt;0,D371&lt;1),C371/SQRT(D371)*SQRT(-2*LN(D371)),"Brak")</f>
        <v>0.23019337750041469</v>
      </c>
      <c r="F371">
        <f t="shared" si="488"/>
        <v>182.76232053000498</v>
      </c>
    </row>
    <row r="372" spans="1:6" x14ac:dyDescent="0.3">
      <c r="A372">
        <v>0.25000207772066008</v>
      </c>
      <c r="B372" cm="1">
        <f t="array" ref="B372">_xlfn.NORM.INV(A372,_mu,_sigma)</f>
        <v>171.90620145715312</v>
      </c>
      <c r="C372">
        <f t="shared" si="489"/>
        <v>-0.49999584455867985</v>
      </c>
      <c r="E372">
        <f t="shared" ref="E372" si="564">IF(AND(D373&gt;0,D373&lt;1),C372/SQRT(D373)*SQRT(-2*LN(D373)),"Brak")</f>
        <v>-0.63452399092717948</v>
      </c>
      <c r="F372">
        <f t="shared" si="488"/>
        <v>172.38571210887386</v>
      </c>
    </row>
    <row r="373" spans="1:6" x14ac:dyDescent="0.3">
      <c r="A373">
        <v>0.80052845832398078</v>
      </c>
      <c r="B373" cm="1">
        <f t="array" ref="B373">_xlfn.NORM.INV(A373,_mu,_sigma)</f>
        <v>190.12212412236957</v>
      </c>
      <c r="C373">
        <f t="shared" si="489"/>
        <v>0.60105691664796157</v>
      </c>
      <c r="D373">
        <f t="shared" ref="D373" si="565">SUMSQ(C372:C373)</f>
        <v>0.61126526162630213</v>
      </c>
      <c r="E373">
        <f t="shared" ref="E373" si="566">IF(AND(D373&gt;0,D373&lt;1),C373/SQRT(D373)*SQRT(-2*LN(D373)),"Brak")</f>
        <v>0.7627764063968937</v>
      </c>
      <c r="F373">
        <f t="shared" si="488"/>
        <v>189.15331687676272</v>
      </c>
    </row>
    <row r="374" spans="1:6" x14ac:dyDescent="0.3">
      <c r="A374">
        <v>0.83679718224172628</v>
      </c>
      <c r="B374" cm="1">
        <f t="array" ref="B374">_xlfn.NORM.INV(A374,_mu,_sigma)</f>
        <v>191.77655390390674</v>
      </c>
      <c r="C374">
        <f t="shared" si="489"/>
        <v>0.67359436448345256</v>
      </c>
      <c r="E374">
        <f t="shared" ref="E374" si="567">IF(AND(D375&gt;0,D375&lt;1),C374/SQRT(D375)*SQRT(-2*LN(D375)),"Brak")</f>
        <v>1.0005888535197689</v>
      </c>
      <c r="F374">
        <f t="shared" si="488"/>
        <v>192.00706624223722</v>
      </c>
    </row>
    <row r="375" spans="1:6" x14ac:dyDescent="0.3">
      <c r="A375">
        <v>0.65264929653256765</v>
      </c>
      <c r="B375" cm="1">
        <f t="array" ref="B375">_xlfn.NORM.INV(A375,_mu,_sigma)</f>
        <v>184.70979539749126</v>
      </c>
      <c r="C375">
        <f t="shared" si="489"/>
        <v>0.30529859306513529</v>
      </c>
      <c r="D375">
        <f t="shared" ref="D375" si="568">SUMSQ(C374:C375)</f>
        <v>0.54693659879141743</v>
      </c>
      <c r="E375">
        <f t="shared" ref="E375" si="569">IF(AND(D375&gt;0,D375&lt;1),C375/SQRT(D375)*SQRT(-2*LN(D375)),"Brak")</f>
        <v>0.45350493609087567</v>
      </c>
      <c r="F375">
        <f t="shared" si="488"/>
        <v>185.4420592330905</v>
      </c>
    </row>
    <row r="376" spans="1:6" x14ac:dyDescent="0.3">
      <c r="A376">
        <v>0.41096750949210803</v>
      </c>
      <c r="B376" cm="1">
        <f t="array" ref="B376">_xlfn.NORM.INV(A376,_mu,_sigma)</f>
        <v>177.29931734367301</v>
      </c>
      <c r="C376">
        <f t="shared" si="489"/>
        <v>-0.17806498101578394</v>
      </c>
      <c r="E376">
        <f t="shared" ref="E376" si="570">IF(AND(D377&gt;0,D377&lt;1),C376/SQRT(D377)*SQRT(-2*LN(D377)),"Brak")</f>
        <v>-2.4279190199158616</v>
      </c>
      <c r="F376">
        <f t="shared" si="488"/>
        <v>150.86497176100966</v>
      </c>
    </row>
    <row r="377" spans="1:6" x14ac:dyDescent="0.3">
      <c r="A377">
        <v>0.46794920508127513</v>
      </c>
      <c r="B377" cm="1">
        <f t="array" ref="B377">_xlfn.NORM.INV(A377,_mu,_sigma)</f>
        <v>179.03488741595575</v>
      </c>
      <c r="C377">
        <f t="shared" si="489"/>
        <v>-6.4101589837449735E-2</v>
      </c>
      <c r="D377">
        <f t="shared" ref="D377" si="571">SUMSQ(C376:C377)</f>
        <v>3.5816151283840136E-2</v>
      </c>
      <c r="E377">
        <f t="shared" ref="E377" si="572">IF(AND(D377&gt;0,D377&lt;1),C377/SQRT(D377)*SQRT(-2*LN(D377)),"Brak")</f>
        <v>-0.8740262587588401</v>
      </c>
      <c r="F377">
        <f t="shared" si="488"/>
        <v>169.5116848948939</v>
      </c>
    </row>
    <row r="378" spans="1:6" x14ac:dyDescent="0.3">
      <c r="A378">
        <v>0.41792494713782946</v>
      </c>
      <c r="B378" cm="1">
        <f t="array" ref="B378">_xlfn.NORM.INV(A378,_mu,_sigma)</f>
        <v>177.51354202309548</v>
      </c>
      <c r="C378">
        <f t="shared" si="489"/>
        <v>-0.16415010572434108</v>
      </c>
      <c r="E378">
        <f t="shared" ref="E378" si="573">IF(AND(D379&gt;0,D379&lt;1),C378/SQRT(D379)*SQRT(-2*LN(D379)),"Brak")</f>
        <v>-0.80931575296374314</v>
      </c>
      <c r="F378">
        <f t="shared" si="488"/>
        <v>170.28821096443508</v>
      </c>
    </row>
    <row r="379" spans="1:6" x14ac:dyDescent="0.3">
      <c r="A379">
        <v>0.32181137479698574</v>
      </c>
      <c r="B379" cm="1">
        <f t="array" ref="B379">_xlfn.NORM.INV(A379,_mu,_sigma)</f>
        <v>174.44832531430234</v>
      </c>
      <c r="C379">
        <f t="shared" si="489"/>
        <v>-0.35637725040602852</v>
      </c>
      <c r="D379">
        <f t="shared" ref="D379" si="574">SUMSQ(C378:C379)</f>
        <v>0.1539500018162735</v>
      </c>
      <c r="E379">
        <f t="shared" ref="E379" si="575">IF(AND(D379&gt;0,D379&lt;1),C379/SQRT(D379)*SQRT(-2*LN(D379)),"Brak")</f>
        <v>-1.7570608406177506</v>
      </c>
      <c r="F379">
        <f t="shared" si="488"/>
        <v>158.91526991258701</v>
      </c>
    </row>
    <row r="380" spans="1:6" x14ac:dyDescent="0.3">
      <c r="A380">
        <v>0.62206592980817643</v>
      </c>
      <c r="B380" cm="1">
        <f t="array" ref="B380">_xlfn.NORM.INV(A380,_mu,_sigma)</f>
        <v>183.73093423293574</v>
      </c>
      <c r="C380">
        <f t="shared" si="489"/>
        <v>0.24413185961635286</v>
      </c>
      <c r="E380">
        <f t="shared" ref="E380" si="576">IF(AND(D381&gt;0,D381&lt;1),C380/SQRT(D381)*SQRT(-2*LN(D381)),"Brak")</f>
        <v>2.3377288147447794</v>
      </c>
      <c r="F380">
        <f t="shared" si="488"/>
        <v>208.05274577693734</v>
      </c>
    </row>
    <row r="381" spans="1:6" x14ac:dyDescent="0.3">
      <c r="A381">
        <v>0.48127005555542168</v>
      </c>
      <c r="B381" cm="1">
        <f t="array" ref="B381">_xlfn.NORM.INV(A381,_mu,_sigma)</f>
        <v>179.43640476936139</v>
      </c>
      <c r="C381">
        <f t="shared" si="489"/>
        <v>-3.7459888889156634E-2</v>
      </c>
      <c r="D381">
        <f t="shared" ref="D381" si="577">SUMSQ(C380:C381)</f>
        <v>6.1003608155326586E-2</v>
      </c>
      <c r="E381">
        <f t="shared" ref="E381" si="578">IF(AND(D381&gt;0,D381&lt;1),C381/SQRT(D381)*SQRT(-2*LN(D381)),"Brak")</f>
        <v>-0.3587039470839038</v>
      </c>
      <c r="F381">
        <f t="shared" si="488"/>
        <v>175.69555263499316</v>
      </c>
    </row>
    <row r="382" spans="1:6" x14ac:dyDescent="0.3">
      <c r="A382">
        <v>6.2666070413152641E-2</v>
      </c>
      <c r="B382" cm="1">
        <f t="array" ref="B382">_xlfn.NORM.INV(A382,_mu,_sigma)</f>
        <v>161.60674081824772</v>
      </c>
      <c r="C382">
        <f t="shared" si="489"/>
        <v>-0.87466785917369472</v>
      </c>
      <c r="E382" t="str">
        <f t="shared" ref="E382" si="579">IF(AND(D383&gt;0,D383&lt;1),C382/SQRT(D383)*SQRT(-2*LN(D383)),"Brak")</f>
        <v>Brak</v>
      </c>
      <c r="F382" t="str">
        <f t="shared" si="488"/>
        <v>Brak</v>
      </c>
    </row>
    <row r="383" spans="1:6" x14ac:dyDescent="0.3">
      <c r="A383">
        <v>0.88509746081488316</v>
      </c>
      <c r="B383" cm="1">
        <f t="array" ref="B383">_xlfn.NORM.INV(A383,_mu,_sigma)</f>
        <v>194.41033343557208</v>
      </c>
      <c r="C383">
        <f t="shared" si="489"/>
        <v>0.77019492162976633</v>
      </c>
      <c r="D383">
        <f t="shared" ref="D383" si="580">SUMSQ(C382:C383)</f>
        <v>1.3582440811757761</v>
      </c>
      <c r="E383" t="str">
        <f t="shared" ref="E383" si="581">IF(AND(D383&gt;0,D383&lt;1),C383/SQRT(D383)*SQRT(-2*LN(D383)),"Brak")</f>
        <v>Brak</v>
      </c>
      <c r="F383" t="str">
        <f t="shared" si="488"/>
        <v>Brak</v>
      </c>
    </row>
    <row r="384" spans="1:6" x14ac:dyDescent="0.3">
      <c r="A384">
        <v>0.60931384878249284</v>
      </c>
      <c r="B384" cm="1">
        <f t="array" ref="B384">_xlfn.NORM.INV(A384,_mu,_sigma)</f>
        <v>183.33037361484398</v>
      </c>
      <c r="C384">
        <f t="shared" si="489"/>
        <v>0.21862769756498568</v>
      </c>
      <c r="E384">
        <f t="shared" ref="E384" si="582">IF(AND(D385&gt;0,D385&lt;1),C384/SQRT(D385)*SQRT(-2*LN(D385)),"Brak")</f>
        <v>0.37076718293791661</v>
      </c>
      <c r="F384">
        <f t="shared" si="488"/>
        <v>184.44920619525499</v>
      </c>
    </row>
    <row r="385" spans="1:6" x14ac:dyDescent="0.3">
      <c r="A385">
        <v>0.83343424165707458</v>
      </c>
      <c r="B385" cm="1">
        <f t="array" ref="B385">_xlfn.NORM.INV(A385,_mu,_sigma)</f>
        <v>191.61390622959902</v>
      </c>
      <c r="C385">
        <f t="shared" si="489"/>
        <v>0.66686848331414916</v>
      </c>
      <c r="D385">
        <f t="shared" ref="D385" si="583">SUMSQ(C384:C385)</f>
        <v>0.49251164418028048</v>
      </c>
      <c r="E385">
        <f t="shared" ref="E385" si="584">IF(AND(D385&gt;0,D385&lt;1),C385/SQRT(D385)*SQRT(-2*LN(D385)),"Brak")</f>
        <v>1.1309314954248821</v>
      </c>
      <c r="F385">
        <f t="shared" si="488"/>
        <v>193.57117794509858</v>
      </c>
    </row>
    <row r="386" spans="1:6" x14ac:dyDescent="0.3">
      <c r="A386">
        <v>0.40646310167750332</v>
      </c>
      <c r="B386" cm="1">
        <f t="array" ref="B386">_xlfn.NORM.INV(A386,_mu,_sigma)</f>
        <v>177.16016714843119</v>
      </c>
      <c r="C386">
        <f t="shared" si="489"/>
        <v>-0.18707379664499335</v>
      </c>
      <c r="E386">
        <f t="shared" ref="E386" si="585">IF(AND(D387&gt;0,D387&lt;1),C386/SQRT(D387)*SQRT(-2*LN(D387)),"Brak")</f>
        <v>-1.2271678936434054</v>
      </c>
      <c r="F386">
        <f t="shared" ref="F386:F449" si="586">IF(ISNUMBER(E386),_mu+E386*_sigma,"Brak")</f>
        <v>165.27398527627912</v>
      </c>
    </row>
    <row r="387" spans="1:6" x14ac:dyDescent="0.3">
      <c r="A387">
        <v>0.36787171451484557</v>
      </c>
      <c r="B387" cm="1">
        <f t="array" ref="B387">_xlfn.NORM.INV(A387,_mu,_sigma)</f>
        <v>175.95005440087226</v>
      </c>
      <c r="C387">
        <f t="shared" ref="C387:C450" si="587">2*A387-1</f>
        <v>-0.26425657097030886</v>
      </c>
      <c r="D387">
        <f t="shared" ref="D387" si="588">SUMSQ(C386:C387)</f>
        <v>0.10482814069215821</v>
      </c>
      <c r="E387">
        <f t="shared" ref="E387" si="589">IF(AND(D387&gt;0,D387&lt;1),C387/SQRT(D387)*SQRT(-2*LN(D387)),"Brak")</f>
        <v>-1.733471952752726</v>
      </c>
      <c r="F387">
        <f t="shared" si="586"/>
        <v>159.1983365669673</v>
      </c>
    </row>
    <row r="388" spans="1:6" x14ac:dyDescent="0.3">
      <c r="A388">
        <v>0.9205338361819525</v>
      </c>
      <c r="B388" cm="1">
        <f t="array" ref="B388">_xlfn.NORM.INV(A388,_mu,_sigma)</f>
        <v>196.90405793072682</v>
      </c>
      <c r="C388">
        <f t="shared" si="587"/>
        <v>0.84106767236390501</v>
      </c>
      <c r="E388" t="str">
        <f t="shared" ref="E388" si="590">IF(AND(D389&gt;0,D389&lt;1),C388/SQRT(D389)*SQRT(-2*LN(D389)),"Brak")</f>
        <v>Brak</v>
      </c>
      <c r="F388" t="str">
        <f t="shared" si="586"/>
        <v>Brak</v>
      </c>
    </row>
    <row r="389" spans="1:6" x14ac:dyDescent="0.3">
      <c r="A389">
        <v>0.2201999129493124</v>
      </c>
      <c r="B389" cm="1">
        <f t="array" ref="B389">_xlfn.NORM.INV(A389,_mu,_sigma)</f>
        <v>170.74178133653064</v>
      </c>
      <c r="C389">
        <f t="shared" si="587"/>
        <v>-0.55960017410137519</v>
      </c>
      <c r="D389">
        <f t="shared" ref="D389" si="591">SUMSQ(C388:C389)</f>
        <v>1.0205471843499265</v>
      </c>
      <c r="E389" t="str">
        <f t="shared" ref="E389" si="592">IF(AND(D389&gt;0,D389&lt;1),C389/SQRT(D389)*SQRT(-2*LN(D389)),"Brak")</f>
        <v>Brak</v>
      </c>
      <c r="F389" t="str">
        <f t="shared" si="586"/>
        <v>Brak</v>
      </c>
    </row>
    <row r="390" spans="1:6" x14ac:dyDescent="0.3">
      <c r="A390">
        <v>0.66583759886775207</v>
      </c>
      <c r="B390" cm="1">
        <f t="array" ref="B390">_xlfn.NORM.INV(A390,_mu,_sigma)</f>
        <v>185.14137900507887</v>
      </c>
      <c r="C390">
        <f t="shared" si="587"/>
        <v>0.33167519773550413</v>
      </c>
      <c r="E390">
        <f t="shared" ref="E390" si="593">IF(AND(D391&gt;0,D391&lt;1),C390/SQRT(D391)*SQRT(-2*LN(D391)),"Brak")</f>
        <v>0.22364175616504908</v>
      </c>
      <c r="F390">
        <f t="shared" si="586"/>
        <v>182.68370107398059</v>
      </c>
    </row>
    <row r="391" spans="1:6" x14ac:dyDescent="0.3">
      <c r="A391">
        <v>0.92377798604683914</v>
      </c>
      <c r="B391" cm="1">
        <f t="array" ref="B391">_xlfn.NORM.INV(A391,_mu,_sigma)</f>
        <v>197.17142167400124</v>
      </c>
      <c r="C391">
        <f t="shared" si="587"/>
        <v>0.84755597209367828</v>
      </c>
      <c r="D391">
        <f t="shared" ref="D391" si="594">SUMSQ(C390:C391)</f>
        <v>0.82835956262454569</v>
      </c>
      <c r="E391">
        <f t="shared" ref="E391" si="595">IF(AND(D391&gt;0,D391&lt;1),C391/SQRT(D391)*SQRT(-2*LN(D391)),"Brak")</f>
        <v>0.57148953958975901</v>
      </c>
      <c r="F391">
        <f t="shared" si="586"/>
        <v>186.8578744750771</v>
      </c>
    </row>
    <row r="392" spans="1:6" x14ac:dyDescent="0.3">
      <c r="A392">
        <v>0.2730615081319635</v>
      </c>
      <c r="B392" cm="1">
        <f t="array" ref="B392">_xlfn.NORM.INV(A392,_mu,_sigma)</f>
        <v>172.75704186261297</v>
      </c>
      <c r="C392">
        <f t="shared" si="587"/>
        <v>-0.45387698373607299</v>
      </c>
      <c r="E392" t="str">
        <f t="shared" ref="E392" si="596">IF(AND(D393&gt;0,D393&lt;1),C392/SQRT(D393)*SQRT(-2*LN(D393)),"Brak")</f>
        <v>Brak</v>
      </c>
      <c r="F392" t="str">
        <f t="shared" si="586"/>
        <v>Brak</v>
      </c>
    </row>
    <row r="393" spans="1:6" x14ac:dyDescent="0.3">
      <c r="A393">
        <v>0.95655350794738481</v>
      </c>
      <c r="B393" cm="1">
        <f t="array" ref="B393">_xlfn.NORM.INV(A393,_mu,_sigma)</f>
        <v>200.54423991451557</v>
      </c>
      <c r="C393">
        <f t="shared" si="587"/>
        <v>0.91310701589476961</v>
      </c>
      <c r="D393">
        <f t="shared" ref="D393" si="597">SUMSQ(C392:C393)</f>
        <v>1.0397687388416066</v>
      </c>
      <c r="E393" t="str">
        <f t="shared" ref="E393" si="598">IF(AND(D393&gt;0,D393&lt;1),C393/SQRT(D393)*SQRT(-2*LN(D393)),"Brak")</f>
        <v>Brak</v>
      </c>
      <c r="F393" t="str">
        <f t="shared" si="586"/>
        <v>Brak</v>
      </c>
    </row>
    <row r="394" spans="1:6" x14ac:dyDescent="0.3">
      <c r="A394">
        <v>0.63999377126864432</v>
      </c>
      <c r="B394" cm="1">
        <f t="array" ref="B394">_xlfn.NORM.INV(A394,_mu,_sigma)</f>
        <v>184.30130573013022</v>
      </c>
      <c r="C394">
        <f t="shared" si="587"/>
        <v>0.27998754253728864</v>
      </c>
      <c r="E394">
        <f t="shared" ref="E394" si="599">IF(AND(D395&gt;0,D395&lt;1),C394/SQRT(D395)*SQRT(-2*LN(D395)),"Brak")</f>
        <v>1.4368660321729798</v>
      </c>
      <c r="F394">
        <f t="shared" si="586"/>
        <v>197.24239238607575</v>
      </c>
    </row>
    <row r="395" spans="1:6" x14ac:dyDescent="0.3">
      <c r="A395">
        <v>0.36991659602819127</v>
      </c>
      <c r="B395" cm="1">
        <f t="array" ref="B395">_xlfn.NORM.INV(A395,_mu,_sigma)</f>
        <v>176.01510897824122</v>
      </c>
      <c r="C395">
        <f t="shared" si="587"/>
        <v>-0.26016680794361746</v>
      </c>
      <c r="D395">
        <f t="shared" ref="D395" si="600">SUMSQ(C394:C395)</f>
        <v>0.14607979193164114</v>
      </c>
      <c r="E395">
        <f t="shared" ref="E395" si="601">IF(AND(D395&gt;0,D395&lt;1),C395/SQRT(D395)*SQRT(-2*LN(D395)),"Brak")</f>
        <v>-1.3351481485404639</v>
      </c>
      <c r="F395">
        <f t="shared" si="586"/>
        <v>163.97822221751443</v>
      </c>
    </row>
    <row r="396" spans="1:6" x14ac:dyDescent="0.3">
      <c r="A396">
        <v>0.48072860037326082</v>
      </c>
      <c r="B396" cm="1">
        <f t="array" ref="B396">_xlfn.NORM.INV(A396,_mu,_sigma)</f>
        <v>179.42009954887408</v>
      </c>
      <c r="C396">
        <f t="shared" si="587"/>
        <v>-3.8542799253478366E-2</v>
      </c>
      <c r="E396">
        <f t="shared" ref="E396" si="602">IF(AND(D397&gt;0,D397&lt;1),C396/SQRT(D397)*SQRT(-2*LN(D397)),"Brak")</f>
        <v>-0.11640380367497793</v>
      </c>
      <c r="F396">
        <f t="shared" si="586"/>
        <v>178.60315435590027</v>
      </c>
    </row>
    <row r="397" spans="1:6" x14ac:dyDescent="0.3">
      <c r="A397">
        <v>0.76363989085157458</v>
      </c>
      <c r="B397" cm="1">
        <f t="array" ref="B397">_xlfn.NORM.INV(A397,_mu,_sigma)</f>
        <v>188.61672144031601</v>
      </c>
      <c r="C397">
        <f t="shared" si="587"/>
        <v>0.52727978170314915</v>
      </c>
      <c r="D397">
        <f t="shared" ref="D397" si="603">SUMSQ(C396:C397)</f>
        <v>0.27950951556721454</v>
      </c>
      <c r="E397">
        <f t="shared" ref="E397" si="604">IF(AND(D397&gt;0,D397&lt;1),C397/SQRT(D397)*SQRT(-2*LN(D397)),"Brak")</f>
        <v>1.5924471854653754</v>
      </c>
      <c r="F397">
        <f t="shared" si="586"/>
        <v>199.10936622558449</v>
      </c>
    </row>
    <row r="398" spans="1:6" x14ac:dyDescent="0.3">
      <c r="A398">
        <v>0.87472599014046315</v>
      </c>
      <c r="B398" cm="1">
        <f t="array" ref="B398">_xlfn.NORM.INV(A398,_mu,_sigma)</f>
        <v>193.78823167994307</v>
      </c>
      <c r="C398">
        <f t="shared" si="587"/>
        <v>0.7494519802809263</v>
      </c>
      <c r="E398" t="str">
        <f t="shared" ref="E398" si="605">IF(AND(D399&gt;0,D399&lt;1),C398/SQRT(D399)*SQRT(-2*LN(D399)),"Brak")</f>
        <v>Brak</v>
      </c>
      <c r="F398" t="str">
        <f t="shared" si="586"/>
        <v>Brak</v>
      </c>
    </row>
    <row r="399" spans="1:6" x14ac:dyDescent="0.3">
      <c r="A399">
        <v>0.12643271640907439</v>
      </c>
      <c r="B399" cm="1">
        <f t="array" ref="B399">_xlfn.NORM.INV(A399,_mu,_sigma)</f>
        <v>166.27899412856706</v>
      </c>
      <c r="C399">
        <f t="shared" si="587"/>
        <v>-0.74713456718185123</v>
      </c>
      <c r="D399">
        <f t="shared" ref="D399" si="606">SUMSQ(C398:C399)</f>
        <v>1.1198883322250142</v>
      </c>
      <c r="E399" t="str">
        <f t="shared" ref="E399" si="607">IF(AND(D399&gt;0,D399&lt;1),C399/SQRT(D399)*SQRT(-2*LN(D399)),"Brak")</f>
        <v>Brak</v>
      </c>
      <c r="F399" t="str">
        <f t="shared" si="586"/>
        <v>Brak</v>
      </c>
    </row>
    <row r="400" spans="1:6" x14ac:dyDescent="0.3">
      <c r="A400">
        <v>0.99090358216459273</v>
      </c>
      <c r="B400" cm="1">
        <f t="array" ref="B400">_xlfn.NORM.INV(A400,_mu,_sigma)</f>
        <v>208.34003826228741</v>
      </c>
      <c r="C400">
        <f t="shared" si="587"/>
        <v>0.98180716432918547</v>
      </c>
      <c r="E400">
        <f t="shared" ref="E400" si="608">IF(AND(D401&gt;0,D401&lt;1),C400/SQRT(D401)*SQRT(-2*LN(D401)),"Brak")</f>
        <v>0.25578374330451337</v>
      </c>
      <c r="F400">
        <f t="shared" si="586"/>
        <v>183.06940491965415</v>
      </c>
    </row>
    <row r="401" spans="1:6" x14ac:dyDescent="0.3">
      <c r="A401">
        <v>0.53061128952440839</v>
      </c>
      <c r="B401" cm="1">
        <f t="array" ref="B401">_xlfn.NORM.INV(A401,_mu,_sigma)</f>
        <v>180.92167888714491</v>
      </c>
      <c r="C401">
        <f t="shared" si="587"/>
        <v>6.1222579048816783E-2</v>
      </c>
      <c r="D401">
        <f t="shared" ref="D401" si="609">SUMSQ(C400:C401)</f>
        <v>0.96769351211350474</v>
      </c>
      <c r="E401">
        <f t="shared" ref="E401" si="610">IF(AND(D401&gt;0,D401&lt;1),C401/SQRT(D401)*SQRT(-2*LN(D401)),"Brak")</f>
        <v>1.5949914619498896E-2</v>
      </c>
      <c r="F401">
        <f t="shared" si="586"/>
        <v>180.191398975434</v>
      </c>
    </row>
    <row r="402" spans="1:6" x14ac:dyDescent="0.3">
      <c r="A402">
        <v>0.32630440828818352</v>
      </c>
      <c r="B402" cm="1">
        <f t="array" ref="B402">_xlfn.NORM.INV(A402,_mu,_sigma)</f>
        <v>174.59830868867294</v>
      </c>
      <c r="C402">
        <f t="shared" si="587"/>
        <v>-0.34739118342363295</v>
      </c>
      <c r="E402">
        <f t="shared" ref="E402" si="611">IF(AND(D403&gt;0,D403&lt;1),C402/SQRT(D403)*SQRT(-2*LN(D403)),"Brak")</f>
        <v>-0.56857443820724418</v>
      </c>
      <c r="F402">
        <f t="shared" si="586"/>
        <v>173.17710674151306</v>
      </c>
    </row>
    <row r="403" spans="1:6" x14ac:dyDescent="0.3">
      <c r="A403">
        <v>0.18920595415581976</v>
      </c>
      <c r="B403" cm="1">
        <f t="array" ref="B403">_xlfn.NORM.INV(A403,_mu,_sigma)</f>
        <v>169.43008585863828</v>
      </c>
      <c r="C403">
        <f t="shared" si="587"/>
        <v>-0.62158809168836049</v>
      </c>
      <c r="D403">
        <f t="shared" ref="D403" si="612">SUMSQ(C402:C403)</f>
        <v>0.50705239004924985</v>
      </c>
      <c r="E403">
        <f t="shared" ref="E403" si="613">IF(AND(D403&gt;0,D403&lt;1),C403/SQRT(D403)*SQRT(-2*LN(D403)),"Brak")</f>
        <v>-1.0173519562154194</v>
      </c>
      <c r="F403">
        <f t="shared" si="586"/>
        <v>167.79177652541497</v>
      </c>
    </row>
    <row r="404" spans="1:6" x14ac:dyDescent="0.3">
      <c r="A404">
        <v>0.43245398934182433</v>
      </c>
      <c r="B404" cm="1">
        <f t="array" ref="B404">_xlfn.NORM.INV(A404,_mu,_sigma)</f>
        <v>177.95844118787622</v>
      </c>
      <c r="C404">
        <f t="shared" si="587"/>
        <v>-0.13509202131635134</v>
      </c>
      <c r="E404">
        <f t="shared" ref="E404" si="614">IF(AND(D405&gt;0,D405&lt;1),C404/SQRT(D405)*SQRT(-2*LN(D405)),"Brak")</f>
        <v>-0.30425179114852952</v>
      </c>
      <c r="F404">
        <f t="shared" si="586"/>
        <v>176.34897850621763</v>
      </c>
    </row>
    <row r="405" spans="1:6" x14ac:dyDescent="0.3">
      <c r="A405">
        <v>0.1989625823099237</v>
      </c>
      <c r="B405" cm="1">
        <f t="array" ref="B405">_xlfn.NORM.INV(A405,_mu,_sigma)</f>
        <v>169.85600880577664</v>
      </c>
      <c r="C405">
        <f t="shared" si="587"/>
        <v>-0.60207483538015261</v>
      </c>
      <c r="D405">
        <f t="shared" ref="D405" si="615">SUMSQ(C404:C405)</f>
        <v>0.38074396162137536</v>
      </c>
      <c r="E405">
        <f t="shared" ref="E405" si="616">IF(AND(D405&gt;0,D405&lt;1),C405/SQRT(D405)*SQRT(-2*LN(D405)),"Brak")</f>
        <v>-1.3559819838723175</v>
      </c>
      <c r="F405">
        <f t="shared" si="586"/>
        <v>163.72821619353221</v>
      </c>
    </row>
    <row r="406" spans="1:6" x14ac:dyDescent="0.3">
      <c r="A406">
        <v>0.41538573299083048</v>
      </c>
      <c r="B406" cm="1">
        <f t="array" ref="B406">_xlfn.NORM.INV(A406,_mu,_sigma)</f>
        <v>177.43545312404731</v>
      </c>
      <c r="C406">
        <f t="shared" si="587"/>
        <v>-0.16922853401833904</v>
      </c>
      <c r="E406">
        <f t="shared" ref="E406" si="617">IF(AND(D407&gt;0,D407&lt;1),C406/SQRT(D407)*SQRT(-2*LN(D407)),"Brak")</f>
        <v>-0.10092222513939503</v>
      </c>
      <c r="F406">
        <f t="shared" si="586"/>
        <v>178.78893329832727</v>
      </c>
    </row>
    <row r="407" spans="1:6" x14ac:dyDescent="0.3">
      <c r="A407">
        <v>0.95546421942919224</v>
      </c>
      <c r="B407" cm="1">
        <f t="array" ref="B407">_xlfn.NORM.INV(A407,_mu,_sigma)</f>
        <v>200.40378825454067</v>
      </c>
      <c r="C407">
        <f t="shared" si="587"/>
        <v>0.91092843885838448</v>
      </c>
      <c r="D407">
        <f t="shared" ref="D407" si="618">SUMSQ(C406:C407)</f>
        <v>0.8584289174469697</v>
      </c>
      <c r="E407">
        <f t="shared" ref="E407" si="619">IF(AND(D407&gt;0,D407&lt;1),C407/SQRT(D407)*SQRT(-2*LN(D407)),"Brak")</f>
        <v>0.54324718656713589</v>
      </c>
      <c r="F407">
        <f t="shared" si="586"/>
        <v>186.51896623880563</v>
      </c>
    </row>
    <row r="408" spans="1:6" x14ac:dyDescent="0.3">
      <c r="A408">
        <v>0.19094351782183849</v>
      </c>
      <c r="B408" cm="1">
        <f t="array" ref="B408">_xlfn.NORM.INV(A408,_mu,_sigma)</f>
        <v>169.50690414391244</v>
      </c>
      <c r="C408">
        <f t="shared" si="587"/>
        <v>-0.61811296435632301</v>
      </c>
      <c r="E408">
        <f t="shared" ref="E408" si="620">IF(AND(D409&gt;0,D409&lt;1),C408/SQRT(D409)*SQRT(-2*LN(D409)),"Brak")</f>
        <v>-1.3166986014171973</v>
      </c>
      <c r="F408">
        <f t="shared" si="586"/>
        <v>164.19961678299364</v>
      </c>
    </row>
    <row r="409" spans="1:6" x14ac:dyDescent="0.3">
      <c r="A409">
        <v>0.5703082290510012</v>
      </c>
      <c r="B409" cm="1">
        <f t="array" ref="B409">_xlfn.NORM.INV(A409,_mu,_sigma)</f>
        <v>182.12590735168996</v>
      </c>
      <c r="C409">
        <f t="shared" si="587"/>
        <v>0.14061645810200241</v>
      </c>
      <c r="D409">
        <f t="shared" ref="D409" si="621">SUMSQ(C408:C409)</f>
        <v>0.40183662499451323</v>
      </c>
      <c r="E409">
        <f t="shared" ref="E409" si="622">IF(AND(D409&gt;0,D409&lt;1),C409/SQRT(D409)*SQRT(-2*LN(D409)),"Brak")</f>
        <v>0.29953989706712175</v>
      </c>
      <c r="F409">
        <f t="shared" si="586"/>
        <v>183.59447876480547</v>
      </c>
    </row>
    <row r="410" spans="1:6" x14ac:dyDescent="0.3">
      <c r="A410">
        <v>0.77492145837748461</v>
      </c>
      <c r="B410" cm="1">
        <f t="array" ref="B410">_xlfn.NORM.INV(A410,_mu,_sigma)</f>
        <v>189.06183804576435</v>
      </c>
      <c r="C410">
        <f t="shared" si="587"/>
        <v>0.54984291675496921</v>
      </c>
      <c r="E410">
        <f t="shared" ref="E410" si="623">IF(AND(D411&gt;0,D411&lt;1),C410/SQRT(D411)*SQRT(-2*LN(D411)),"Brak")</f>
        <v>1.3489621668652361</v>
      </c>
      <c r="F410">
        <f t="shared" si="586"/>
        <v>196.18754600238282</v>
      </c>
    </row>
    <row r="411" spans="1:6" x14ac:dyDescent="0.3">
      <c r="A411">
        <v>0.60848592837399795</v>
      </c>
      <c r="B411" cm="1">
        <f t="array" ref="B411">_xlfn.NORM.INV(A411,_mu,_sigma)</f>
        <v>183.30450008951343</v>
      </c>
      <c r="C411">
        <f t="shared" si="587"/>
        <v>0.21697185674799591</v>
      </c>
      <c r="D411">
        <f t="shared" ref="D411" si="624">SUMSQ(C410:C411)</f>
        <v>0.34940401972628488</v>
      </c>
      <c r="E411">
        <f t="shared" ref="E411" si="625">IF(AND(D411&gt;0,D411&lt;1),C411/SQRT(D411)*SQRT(-2*LN(D411)),"Brak")</f>
        <v>0.5323098963516929</v>
      </c>
      <c r="F411">
        <f t="shared" si="586"/>
        <v>186.38771875622032</v>
      </c>
    </row>
    <row r="412" spans="1:6" x14ac:dyDescent="0.3">
      <c r="A412">
        <v>0.54484133311571403</v>
      </c>
      <c r="B412" cm="1">
        <f t="array" ref="B412">_xlfn.NORM.INV(A412,_mu,_sigma)</f>
        <v>181.3516593802494</v>
      </c>
      <c r="C412">
        <f t="shared" si="587"/>
        <v>8.9682666231428065E-2</v>
      </c>
      <c r="E412">
        <f t="shared" ref="E412" si="626">IF(AND(D413&gt;0,D413&lt;1),C412/SQRT(D413)*SQRT(-2*LN(D413)),"Brak")</f>
        <v>1.4514708637529286</v>
      </c>
      <c r="F412">
        <f t="shared" si="586"/>
        <v>197.41765036503514</v>
      </c>
    </row>
    <row r="413" spans="1:6" x14ac:dyDescent="0.3">
      <c r="A413">
        <v>0.56965754982279415</v>
      </c>
      <c r="B413" cm="1">
        <f t="array" ref="B413">_xlfn.NORM.INV(A413,_mu,_sigma)</f>
        <v>182.10602856733982</v>
      </c>
      <c r="C413">
        <f t="shared" si="587"/>
        <v>0.1393150996455883</v>
      </c>
      <c r="D413">
        <f t="shared" ref="D413" si="627">SUMSQ(C412:C413)</f>
        <v>2.7451677611637925E-2</v>
      </c>
      <c r="E413">
        <f t="shared" ref="E413" si="628">IF(AND(D413&gt;0,D413&lt;1),C413/SQRT(D413)*SQRT(-2*LN(D413)),"Brak")</f>
        <v>2.2547479520133291</v>
      </c>
      <c r="F413">
        <f t="shared" si="586"/>
        <v>207.05697542415996</v>
      </c>
    </row>
    <row r="414" spans="1:6" x14ac:dyDescent="0.3">
      <c r="A414">
        <v>0.18062663750494135</v>
      </c>
      <c r="B414" cm="1">
        <f t="array" ref="B414">_xlfn.NORM.INV(A414,_mu,_sigma)</f>
        <v>169.04424489756806</v>
      </c>
      <c r="C414">
        <f t="shared" si="587"/>
        <v>-0.63874672499011731</v>
      </c>
      <c r="E414" t="str">
        <f t="shared" ref="E414" si="629">IF(AND(D415&gt;0,D415&lt;1),C414/SQRT(D415)*SQRT(-2*LN(D415)),"Brak")</f>
        <v>Brak</v>
      </c>
      <c r="F414" t="str">
        <f t="shared" si="586"/>
        <v>Brak</v>
      </c>
    </row>
    <row r="415" spans="1:6" x14ac:dyDescent="0.3">
      <c r="A415">
        <v>4.9594904518178495E-2</v>
      </c>
      <c r="B415" cm="1">
        <f t="array" ref="B415">_xlfn.NORM.INV(A415,_mu,_sigma)</f>
        <v>160.2144699184251</v>
      </c>
      <c r="C415">
        <f t="shared" si="587"/>
        <v>-0.90081019096364301</v>
      </c>
      <c r="D415">
        <f t="shared" ref="D415" si="630">SUMSQ(C414:C415)</f>
        <v>1.2194563788295556</v>
      </c>
      <c r="E415" t="str">
        <f t="shared" ref="E415" si="631">IF(AND(D415&gt;0,D415&lt;1),C415/SQRT(D415)*SQRT(-2*LN(D415)),"Brak")</f>
        <v>Brak</v>
      </c>
      <c r="F415" t="str">
        <f t="shared" si="586"/>
        <v>Brak</v>
      </c>
    </row>
    <row r="416" spans="1:6" x14ac:dyDescent="0.3">
      <c r="A416">
        <v>0.43717049506485883</v>
      </c>
      <c r="B416" cm="1">
        <f t="array" ref="B416">_xlfn.NORM.INV(A416,_mu,_sigma)</f>
        <v>178.10223636848676</v>
      </c>
      <c r="C416">
        <f t="shared" si="587"/>
        <v>-0.12565900987028233</v>
      </c>
      <c r="E416">
        <f t="shared" ref="E416" si="632">IF(AND(D417&gt;0,D417&lt;1),C416/SQRT(D417)*SQRT(-2*LN(D417)),"Brak")</f>
        <v>-0.5310178387403508</v>
      </c>
      <c r="F416">
        <f t="shared" si="586"/>
        <v>173.62778593511578</v>
      </c>
    </row>
    <row r="417" spans="1:6" x14ac:dyDescent="0.3">
      <c r="A417">
        <v>0.29281921041386161</v>
      </c>
      <c r="B417" cm="1">
        <f t="array" ref="B417">_xlfn.NORM.INV(A417,_mu,_sigma)</f>
        <v>173.45799172889394</v>
      </c>
      <c r="C417">
        <f t="shared" si="587"/>
        <v>-0.41436157917227678</v>
      </c>
      <c r="D417">
        <f t="shared" ref="D417" si="633">SUMSQ(C416:C417)</f>
        <v>0.18748570505572271</v>
      </c>
      <c r="E417">
        <f t="shared" ref="E417" si="634">IF(AND(D417&gt;0,D417&lt;1),C417/SQRT(D417)*SQRT(-2*LN(D417)),"Brak")</f>
        <v>-1.7510355242830689</v>
      </c>
      <c r="F417">
        <f t="shared" si="586"/>
        <v>158.98757370860318</v>
      </c>
    </row>
    <row r="418" spans="1:6" x14ac:dyDescent="0.3">
      <c r="A418">
        <v>0.65536772636989704</v>
      </c>
      <c r="B418" cm="1">
        <f t="array" ref="B418">_xlfn.NORM.INV(A418,_mu,_sigma)</f>
        <v>184.79823997711711</v>
      </c>
      <c r="C418">
        <f t="shared" si="587"/>
        <v>0.31073545273979408</v>
      </c>
      <c r="E418">
        <f t="shared" ref="E418" si="635">IF(AND(D419&gt;0,D419&lt;1),C418/SQRT(D419)*SQRT(-2*LN(D419)),"Brak")</f>
        <v>0.29941089162231382</v>
      </c>
      <c r="F418">
        <f t="shared" si="586"/>
        <v>183.59293069946776</v>
      </c>
    </row>
    <row r="419" spans="1:6" x14ac:dyDescent="0.3">
      <c r="A419">
        <v>0.10618718571473362</v>
      </c>
      <c r="B419" cm="1">
        <f t="array" ref="B419">_xlfn.NORM.INV(A419,_mu,_sigma)</f>
        <v>165.03524311943886</v>
      </c>
      <c r="C419">
        <f t="shared" si="587"/>
        <v>-0.78762562857053275</v>
      </c>
      <c r="D419">
        <f t="shared" ref="D419" si="636">SUMSQ(C418:C419)</f>
        <v>0.71691065237053153</v>
      </c>
      <c r="E419">
        <f t="shared" ref="E419" si="637">IF(AND(D419&gt;0,D419&lt;1),C419/SQRT(D419)*SQRT(-2*LN(D419)),"Brak")</f>
        <v>-0.75892110036238558</v>
      </c>
      <c r="F419">
        <f t="shared" si="586"/>
        <v>170.89294679565137</v>
      </c>
    </row>
    <row r="420" spans="1:6" x14ac:dyDescent="0.3">
      <c r="A420">
        <v>0.50159545878607681</v>
      </c>
      <c r="B420" cm="1">
        <f t="array" ref="B420">_xlfn.NORM.INV(A420,_mu,_sigma)</f>
        <v>180.04799079317633</v>
      </c>
      <c r="C420">
        <f t="shared" si="587"/>
        <v>3.1909175721536176E-3</v>
      </c>
      <c r="E420">
        <f t="shared" ref="E420" si="638">IF(AND(D421&gt;0,D421&lt;1),C420/SQRT(D421)*SQRT(-2*LN(D421)),"Brak")</f>
        <v>8.3583565013604741E-2</v>
      </c>
      <c r="F420">
        <f t="shared" si="586"/>
        <v>181.00300278016326</v>
      </c>
    </row>
    <row r="421" spans="1:6" x14ac:dyDescent="0.3">
      <c r="A421">
        <v>0.55637286207650261</v>
      </c>
      <c r="B421" cm="1">
        <f t="array" ref="B421">_xlfn.NORM.INV(A421,_mu,_sigma)</f>
        <v>181.70135249997168</v>
      </c>
      <c r="C421">
        <f t="shared" si="587"/>
        <v>0.11274572415300521</v>
      </c>
      <c r="D421">
        <f t="shared" ref="D421" si="639">SUMSQ(C420:C421)</f>
        <v>1.2721780269737821E-2</v>
      </c>
      <c r="E421">
        <f t="shared" ref="E421" si="640">IF(AND(D421&gt;0,D421&lt;1),C421/SQRT(D421)*SQRT(-2*LN(D421)),"Brak")</f>
        <v>2.9532851763351604</v>
      </c>
      <c r="F421">
        <f t="shared" si="586"/>
        <v>215.43942211602192</v>
      </c>
    </row>
    <row r="422" spans="1:6" x14ac:dyDescent="0.3">
      <c r="A422">
        <v>0.22984789396736682</v>
      </c>
      <c r="B422" cm="1">
        <f t="array" ref="B422">_xlfn.NORM.INV(A422,_mu,_sigma)</f>
        <v>171.12782555275095</v>
      </c>
      <c r="C422">
        <f t="shared" si="587"/>
        <v>-0.54030421206526635</v>
      </c>
      <c r="E422" t="str">
        <f t="shared" ref="E422" si="641">IF(AND(D423&gt;0,D423&lt;1),C422/SQRT(D423)*SQRT(-2*LN(D423)),"Brak")</f>
        <v>Brak</v>
      </c>
      <c r="F422" t="str">
        <f t="shared" si="586"/>
        <v>Brak</v>
      </c>
    </row>
    <row r="423" spans="1:6" x14ac:dyDescent="0.3">
      <c r="A423">
        <v>3.7789609918811973E-2</v>
      </c>
      <c r="B423" cm="1">
        <f t="array" ref="B423">_xlfn.NORM.INV(A423,_mu,_sigma)</f>
        <v>158.67680077439056</v>
      </c>
      <c r="C423">
        <f t="shared" si="587"/>
        <v>-0.92442078016237605</v>
      </c>
      <c r="D423">
        <f t="shared" ref="D423" si="642">SUMSQ(C422:C423)</f>
        <v>1.1464824203714843</v>
      </c>
      <c r="E423" t="str">
        <f t="shared" ref="E423" si="643">IF(AND(D423&gt;0,D423&lt;1),C423/SQRT(D423)*SQRT(-2*LN(D423)),"Brak")</f>
        <v>Brak</v>
      </c>
      <c r="F423" t="str">
        <f t="shared" si="586"/>
        <v>Brak</v>
      </c>
    </row>
    <row r="424" spans="1:6" x14ac:dyDescent="0.3">
      <c r="A424">
        <v>0.45879446619985698</v>
      </c>
      <c r="B424" cm="1">
        <f t="array" ref="B424">_xlfn.NORM.INV(A424,_mu,_sigma)</f>
        <v>178.75834448931968</v>
      </c>
      <c r="C424">
        <f t="shared" si="587"/>
        <v>-8.2411067600286048E-2</v>
      </c>
      <c r="E424">
        <f t="shared" ref="E424" si="644">IF(AND(D425&gt;0,D425&lt;1),C424/SQRT(D425)*SQRT(-2*LN(D425)),"Brak")</f>
        <v>-8.1284039080817619E-2</v>
      </c>
      <c r="F424">
        <f t="shared" si="586"/>
        <v>179.02459153103018</v>
      </c>
    </row>
    <row r="425" spans="1:6" x14ac:dyDescent="0.3">
      <c r="A425">
        <v>8.1163239765300488E-2</v>
      </c>
      <c r="B425" cm="1">
        <f t="array" ref="B425">_xlfn.NORM.INV(A425,_mu,_sigma)</f>
        <v>163.23252390380756</v>
      </c>
      <c r="C425">
        <f t="shared" si="587"/>
        <v>-0.83767352046939902</v>
      </c>
      <c r="D425">
        <f t="shared" ref="D425" si="645">SUMSQ(C424:C425)</f>
        <v>0.70848851095861565</v>
      </c>
      <c r="E425">
        <f t="shared" ref="E425" si="646">IF(AND(D425&gt;0,D425&lt;1),C425/SQRT(D425)*SQRT(-2*LN(D425)),"Brak")</f>
        <v>-0.82621775396784647</v>
      </c>
      <c r="F425">
        <f t="shared" si="586"/>
        <v>170.08538695238585</v>
      </c>
    </row>
    <row r="426" spans="1:6" x14ac:dyDescent="0.3">
      <c r="A426">
        <v>0.3873860227846837</v>
      </c>
      <c r="B426" cm="1">
        <f t="array" ref="B426">_xlfn.NORM.INV(A426,_mu,_sigma)</f>
        <v>176.56633800912218</v>
      </c>
      <c r="C426">
        <f t="shared" si="587"/>
        <v>-0.22522795443063259</v>
      </c>
      <c r="E426">
        <f t="shared" ref="E426" si="647">IF(AND(D427&gt;0,D427&lt;1),C426/SQRT(D427)*SQRT(-2*LN(D427)),"Brak")</f>
        <v>-1.896715762337331</v>
      </c>
      <c r="F426">
        <f t="shared" si="586"/>
        <v>157.23941085195202</v>
      </c>
    </row>
    <row r="427" spans="1:6" x14ac:dyDescent="0.3">
      <c r="A427">
        <v>0.42440528656395549</v>
      </c>
      <c r="B427" cm="1">
        <f t="array" ref="B427">_xlfn.NORM.INV(A427,_mu,_sigma)</f>
        <v>177.71236477834992</v>
      </c>
      <c r="C427">
        <f t="shared" si="587"/>
        <v>-0.15118942687208903</v>
      </c>
      <c r="D427">
        <f t="shared" ref="D427" si="648">SUMSQ(C426:C427)</f>
        <v>7.3585874254917874E-2</v>
      </c>
      <c r="E427">
        <f t="shared" ref="E427" si="649">IF(AND(D427&gt;0,D427&lt;1),C427/SQRT(D427)*SQRT(-2*LN(D427)),"Brak")</f>
        <v>-1.2732139301800482</v>
      </c>
      <c r="F427">
        <f t="shared" si="586"/>
        <v>164.72143283783942</v>
      </c>
    </row>
    <row r="428" spans="1:6" x14ac:dyDescent="0.3">
      <c r="A428">
        <v>0.60564781174149418</v>
      </c>
      <c r="B428" cm="1">
        <f t="array" ref="B428">_xlfn.NORM.INV(A428,_mu,_sigma)</f>
        <v>183.21592115077468</v>
      </c>
      <c r="C428">
        <f t="shared" si="587"/>
        <v>0.21129562348298836</v>
      </c>
      <c r="E428">
        <f t="shared" ref="E428" si="650">IF(AND(D429&gt;0,D429&lt;1),C428/SQRT(D429)*SQRT(-2*LN(D429)),"Brak")</f>
        <v>0.83470483195582923</v>
      </c>
      <c r="F428">
        <f t="shared" si="586"/>
        <v>190.01645798346996</v>
      </c>
    </row>
    <row r="429" spans="1:6" x14ac:dyDescent="0.3">
      <c r="A429">
        <v>0.69948985226537619</v>
      </c>
      <c r="B429" cm="1">
        <f t="array" ref="B429">_xlfn.NORM.INV(A429,_mu,_sigma)</f>
        <v>186.27520606305399</v>
      </c>
      <c r="C429">
        <f t="shared" si="587"/>
        <v>0.39897970453075238</v>
      </c>
      <c r="D429">
        <f t="shared" ref="D429" si="651">SUMSQ(C428:C429)</f>
        <v>0.20383064513051125</v>
      </c>
      <c r="E429">
        <f t="shared" ref="E429" si="652">IF(AND(D429&gt;0,D429&lt;1),C429/SQRT(D429)*SQRT(-2*LN(D429)),"Brak")</f>
        <v>1.5761343360286906</v>
      </c>
      <c r="F429">
        <f t="shared" si="586"/>
        <v>198.91361203234428</v>
      </c>
    </row>
    <row r="430" spans="1:6" x14ac:dyDescent="0.3">
      <c r="A430">
        <v>0.34637357075029074</v>
      </c>
      <c r="B430" cm="1">
        <f t="array" ref="B430">_xlfn.NORM.INV(A430,_mu,_sigma)</f>
        <v>175.25844311873476</v>
      </c>
      <c r="C430">
        <f t="shared" si="587"/>
        <v>-0.30725285849941852</v>
      </c>
      <c r="E430">
        <f t="shared" ref="E430" si="653">IF(AND(D431&gt;0,D431&lt;1),C430/SQRT(D431)*SQRT(-2*LN(D431)),"Brak")</f>
        <v>-6.8685689753274493E-2</v>
      </c>
      <c r="F430">
        <f t="shared" si="586"/>
        <v>179.17577172296072</v>
      </c>
    </row>
    <row r="431" spans="1:6" x14ac:dyDescent="0.3">
      <c r="A431">
        <v>0.96944268005761547</v>
      </c>
      <c r="B431" cm="1">
        <f t="array" ref="B431">_xlfn.NORM.INV(A431,_mu,_sigma)</f>
        <v>202.47198169219882</v>
      </c>
      <c r="C431">
        <f t="shared" si="587"/>
        <v>0.93888536011523094</v>
      </c>
      <c r="D431">
        <f t="shared" ref="D431" si="654">SUMSQ(C430:C431)</f>
        <v>0.97591003849477065</v>
      </c>
      <c r="E431">
        <f t="shared" ref="E431" si="655">IF(AND(D431&gt;0,D431&lt;1),C431/SQRT(D431)*SQRT(-2*LN(D431)),"Brak")</f>
        <v>0.20988572367956732</v>
      </c>
      <c r="F431">
        <f t="shared" si="586"/>
        <v>182.51862868415481</v>
      </c>
    </row>
    <row r="432" spans="1:6" x14ac:dyDescent="0.3">
      <c r="A432">
        <v>1.3080116374093897E-2</v>
      </c>
      <c r="B432" cm="1">
        <f t="array" ref="B432">_xlfn.NORM.INV(A432,_mu,_sigma)</f>
        <v>153.31410215033492</v>
      </c>
      <c r="C432">
        <f t="shared" si="587"/>
        <v>-0.97383976725181221</v>
      </c>
      <c r="E432" t="str">
        <f t="shared" ref="E432" si="656">IF(AND(D433&gt;0,D433&lt;1),C432/SQRT(D433)*SQRT(-2*LN(D433)),"Brak")</f>
        <v>Brak</v>
      </c>
      <c r="F432" t="str">
        <f t="shared" si="586"/>
        <v>Brak</v>
      </c>
    </row>
    <row r="433" spans="1:6" x14ac:dyDescent="0.3">
      <c r="A433">
        <v>0.2382509824645056</v>
      </c>
      <c r="B433" cm="1">
        <f t="array" ref="B433">_xlfn.NORM.INV(A433,_mu,_sigma)</f>
        <v>171.45672065402294</v>
      </c>
      <c r="C433">
        <f t="shared" si="587"/>
        <v>-0.5234980350709888</v>
      </c>
      <c r="D433">
        <f t="shared" ref="D433" si="657">SUMSQ(C432:C433)</f>
        <v>1.22241408500425</v>
      </c>
      <c r="E433" t="str">
        <f t="shared" ref="E433" si="658">IF(AND(D433&gt;0,D433&lt;1),C433/SQRT(D433)*SQRT(-2*LN(D433)),"Brak")</f>
        <v>Brak</v>
      </c>
      <c r="F433" t="str">
        <f t="shared" si="586"/>
        <v>Brak</v>
      </c>
    </row>
    <row r="434" spans="1:6" x14ac:dyDescent="0.3">
      <c r="A434">
        <v>0.58573050855715603</v>
      </c>
      <c r="B434" cm="1">
        <f t="array" ref="B434">_xlfn.NORM.INV(A434,_mu,_sigma)</f>
        <v>182.59890904629418</v>
      </c>
      <c r="C434">
        <f t="shared" si="587"/>
        <v>0.17146101711431205</v>
      </c>
      <c r="E434">
        <f t="shared" ref="E434" si="659">IF(AND(D435&gt;0,D435&lt;1),C434/SQRT(D435)*SQRT(-2*LN(D435)),"Brak")</f>
        <v>0.70613688499117599</v>
      </c>
      <c r="F434">
        <f t="shared" si="586"/>
        <v>188.47364261989412</v>
      </c>
    </row>
    <row r="435" spans="1:6" x14ac:dyDescent="0.3">
      <c r="A435">
        <v>0.70261560992136485</v>
      </c>
      <c r="B435" cm="1">
        <f t="array" ref="B435">_xlfn.NORM.INV(A435,_mu,_sigma)</f>
        <v>186.38325872398983</v>
      </c>
      <c r="C435">
        <f t="shared" si="587"/>
        <v>0.4052312198427297</v>
      </c>
      <c r="D435">
        <f t="shared" ref="D435" si="660">SUMSQ(C434:C435)</f>
        <v>0.19361122192510113</v>
      </c>
      <c r="E435">
        <f t="shared" ref="E435" si="661">IF(AND(D435&gt;0,D435&lt;1),C435/SQRT(D435)*SQRT(-2*LN(D435)),"Brak")</f>
        <v>1.6688849517913793</v>
      </c>
      <c r="F435">
        <f t="shared" si="586"/>
        <v>200.02661942149655</v>
      </c>
    </row>
    <row r="436" spans="1:6" x14ac:dyDescent="0.3">
      <c r="A436">
        <v>0.14684630239772112</v>
      </c>
      <c r="B436" cm="1">
        <f t="array" ref="B436">_xlfn.NORM.INV(A436,_mu,_sigma)</f>
        <v>167.39933421449896</v>
      </c>
      <c r="C436">
        <f t="shared" si="587"/>
        <v>-0.70630739520455776</v>
      </c>
      <c r="E436" t="str">
        <f t="shared" ref="E436" si="662">IF(AND(D437&gt;0,D437&lt;1),C436/SQRT(D437)*SQRT(-2*LN(D437)),"Brak")</f>
        <v>Brak</v>
      </c>
      <c r="F436" t="str">
        <f t="shared" si="586"/>
        <v>Brak</v>
      </c>
    </row>
    <row r="437" spans="1:6" x14ac:dyDescent="0.3">
      <c r="A437">
        <v>0.11072663000229221</v>
      </c>
      <c r="B437" cm="1">
        <f t="array" ref="B437">_xlfn.NORM.INV(A437,_mu,_sigma)</f>
        <v>165.32792499120251</v>
      </c>
      <c r="C437">
        <f t="shared" si="587"/>
        <v>-0.77854673999541557</v>
      </c>
      <c r="D437">
        <f t="shared" ref="D437" si="663">SUMSQ(C436:C437)</f>
        <v>1.1050051628781365</v>
      </c>
      <c r="E437" t="str">
        <f t="shared" ref="E437" si="664">IF(AND(D437&gt;0,D437&lt;1),C437/SQRT(D437)*SQRT(-2*LN(D437)),"Brak")</f>
        <v>Brak</v>
      </c>
      <c r="F437" t="str">
        <f t="shared" si="586"/>
        <v>Brak</v>
      </c>
    </row>
    <row r="438" spans="1:6" x14ac:dyDescent="0.3">
      <c r="A438">
        <v>3.9005555429830974E-2</v>
      </c>
      <c r="B438" cm="1">
        <f t="array" ref="B438">_xlfn.NORM.INV(A438,_mu,_sigma)</f>
        <v>158.85186609003273</v>
      </c>
      <c r="C438">
        <f t="shared" si="587"/>
        <v>-0.92198888914033805</v>
      </c>
      <c r="E438">
        <f t="shared" ref="E438" si="665">IF(AND(D439&gt;0,D439&lt;1),C438/SQRT(D439)*SQRT(-2*LN(D439)),"Brak")</f>
        <v>-0.47402002094963708</v>
      </c>
      <c r="F438">
        <f t="shared" si="586"/>
        <v>174.31175974860435</v>
      </c>
    </row>
    <row r="439" spans="1:6" x14ac:dyDescent="0.3">
      <c r="A439">
        <v>0.59882739189367518</v>
      </c>
      <c r="B439" cm="1">
        <f t="array" ref="B439">_xlfn.NORM.INV(A439,_mu,_sigma)</f>
        <v>183.00375736025686</v>
      </c>
      <c r="C439">
        <f t="shared" si="587"/>
        <v>0.19765478378735035</v>
      </c>
      <c r="D439">
        <f t="shared" ref="D439" si="666">SUMSQ(C438:C439)</f>
        <v>0.88913092525225879</v>
      </c>
      <c r="E439">
        <f t="shared" ref="E439" si="667">IF(AND(D439&gt;0,D439&lt;1),C439/SQRT(D439)*SQRT(-2*LN(D439)),"Brak")</f>
        <v>0.10161979808567377</v>
      </c>
      <c r="F439">
        <f t="shared" si="586"/>
        <v>181.21943757702809</v>
      </c>
    </row>
    <row r="440" spans="1:6" x14ac:dyDescent="0.3">
      <c r="A440">
        <v>8.0032883501466312E-2</v>
      </c>
      <c r="B440" cm="1">
        <f t="array" ref="B440">_xlfn.NORM.INV(A440,_mu,_sigma)</f>
        <v>163.14179514545603</v>
      </c>
      <c r="C440">
        <f t="shared" si="587"/>
        <v>-0.83993423299706738</v>
      </c>
      <c r="E440">
        <f t="shared" ref="E440" si="668">IF(AND(D441&gt;0,D441&lt;1),C440/SQRT(D441)*SQRT(-2*LN(D441)),"Brak")</f>
        <v>-0.72051946578159742</v>
      </c>
      <c r="F440">
        <f t="shared" si="586"/>
        <v>171.35376641062084</v>
      </c>
    </row>
    <row r="441" spans="1:6" x14ac:dyDescent="0.3">
      <c r="A441">
        <v>0.38660822588260246</v>
      </c>
      <c r="B441" cm="1">
        <f t="array" ref="B441">_xlfn.NORM.INV(A441,_mu,_sigma)</f>
        <v>176.54195749255092</v>
      </c>
      <c r="C441">
        <f t="shared" si="587"/>
        <v>-0.22678354823479507</v>
      </c>
      <c r="D441">
        <f t="shared" ref="D441" si="669">SUMSQ(C440:C441)</f>
        <v>0.75692029351033552</v>
      </c>
      <c r="E441">
        <f t="shared" ref="E441" si="670">IF(AND(D441&gt;0,D441&lt;1),C441/SQRT(D441)*SQRT(-2*LN(D441)),"Brak")</f>
        <v>-0.19454137550643227</v>
      </c>
      <c r="F441">
        <f t="shared" si="586"/>
        <v>177.66550349392281</v>
      </c>
    </row>
    <row r="442" spans="1:6" x14ac:dyDescent="0.3">
      <c r="A442">
        <v>0.46645543601988904</v>
      </c>
      <c r="B442" cm="1">
        <f t="array" ref="B442">_xlfn.NORM.INV(A442,_mu,_sigma)</f>
        <v>178.9898030612008</v>
      </c>
      <c r="C442">
        <f t="shared" si="587"/>
        <v>-6.7089127960221928E-2</v>
      </c>
      <c r="E442">
        <f t="shared" ref="E442" si="671">IF(AND(D443&gt;0,D443&lt;1),C442/SQRT(D443)*SQRT(-2*LN(D443)),"Brak")</f>
        <v>-0.44734293773861494</v>
      </c>
      <c r="F442">
        <f t="shared" si="586"/>
        <v>174.63188474713661</v>
      </c>
    </row>
    <row r="443" spans="1:6" x14ac:dyDescent="0.3">
      <c r="A443">
        <v>0.6565059863188939</v>
      </c>
      <c r="B443" cm="1">
        <f t="array" ref="B443">_xlfn.NORM.INV(A443,_mu,_sigma)</f>
        <v>184.83535074169436</v>
      </c>
      <c r="C443">
        <f t="shared" si="587"/>
        <v>0.31301197263778779</v>
      </c>
      <c r="D443">
        <f t="shared" ref="D443" si="672">SUMSQ(C442:C443)</f>
        <v>0.10247744610506225</v>
      </c>
      <c r="E443">
        <f t="shared" ref="E443" si="673">IF(AND(D443&gt;0,D443&lt;1),C443/SQRT(D443)*SQRT(-2*LN(D443)),"Brak")</f>
        <v>2.0871294596371697</v>
      </c>
      <c r="F443">
        <f t="shared" si="586"/>
        <v>205.04555351564602</v>
      </c>
    </row>
    <row r="444" spans="1:6" x14ac:dyDescent="0.3">
      <c r="A444">
        <v>0.57571006434577421</v>
      </c>
      <c r="B444" cm="1">
        <f t="array" ref="B444">_xlfn.NORM.INV(A444,_mu,_sigma)</f>
        <v>182.29116864768946</v>
      </c>
      <c r="C444">
        <f t="shared" si="587"/>
        <v>0.15142012869154842</v>
      </c>
      <c r="E444">
        <f t="shared" ref="E444" si="674">IF(AND(D445&gt;0,D445&lt;1),C444/SQRT(D445)*SQRT(-2*LN(D445)),"Brak")</f>
        <v>1.3274366126498605</v>
      </c>
      <c r="F444">
        <f t="shared" si="586"/>
        <v>195.92923935179832</v>
      </c>
    </row>
    <row r="445" spans="1:6" x14ac:dyDescent="0.3">
      <c r="A445">
        <v>0.39218970632163275</v>
      </c>
      <c r="B445" cm="1">
        <f t="array" ref="B445">_xlfn.NORM.INV(A445,_mu,_sigma)</f>
        <v>176.71660293792621</v>
      </c>
      <c r="C445">
        <f t="shared" si="587"/>
        <v>-0.21562058735673451</v>
      </c>
      <c r="D445">
        <f t="shared" ref="D445" si="675">SUMSQ(C444:C445)</f>
        <v>6.9420293065028255E-2</v>
      </c>
      <c r="E445">
        <f t="shared" ref="E445" si="676">IF(AND(D445&gt;0,D445&lt;1),C445/SQRT(D445)*SQRT(-2*LN(D445)),"Brak")</f>
        <v>-1.8902550445023671</v>
      </c>
      <c r="F445">
        <f t="shared" si="586"/>
        <v>157.31693946597159</v>
      </c>
    </row>
    <row r="446" spans="1:6" x14ac:dyDescent="0.3">
      <c r="A446">
        <v>0.95415057690953864</v>
      </c>
      <c r="B446" cm="1">
        <f t="array" ref="B446">_xlfn.NORM.INV(A446,_mu,_sigma)</f>
        <v>200.23804295674182</v>
      </c>
      <c r="C446">
        <f t="shared" si="587"/>
        <v>0.90830115381907728</v>
      </c>
      <c r="E446">
        <f t="shared" ref="E446" si="677">IF(AND(D447&gt;0,D447&lt;1),C446/SQRT(D447)*SQRT(-2*LN(D447)),"Brak")</f>
        <v>0.33355788998406383</v>
      </c>
      <c r="F446">
        <f t="shared" si="586"/>
        <v>184.00269467980877</v>
      </c>
    </row>
    <row r="447" spans="1:6" x14ac:dyDescent="0.3">
      <c r="A447">
        <v>0.33143530140911281</v>
      </c>
      <c r="B447" cm="1">
        <f t="array" ref="B447">_xlfn.NORM.INV(A447,_mu,_sigma)</f>
        <v>174.76856023781917</v>
      </c>
      <c r="C447">
        <f t="shared" si="587"/>
        <v>-0.33712939718177437</v>
      </c>
      <c r="D447">
        <f t="shared" ref="D447" si="678">SUMSQ(C446:C447)</f>
        <v>0.93866721647321372</v>
      </c>
      <c r="E447">
        <f t="shared" ref="E447" si="679">IF(AND(D447&gt;0,D447&lt;1),C447/SQRT(D447)*SQRT(-2*LN(D447)),"Brak")</f>
        <v>-0.12380494057805765</v>
      </c>
      <c r="F447">
        <f t="shared" si="586"/>
        <v>178.51434071306332</v>
      </c>
    </row>
    <row r="448" spans="1:6" x14ac:dyDescent="0.3">
      <c r="A448">
        <v>0.66723491304140514</v>
      </c>
      <c r="B448" cm="1">
        <f t="array" ref="B448">_xlfn.NORM.INV(A448,_mu,_sigma)</f>
        <v>185.18748793159781</v>
      </c>
      <c r="C448">
        <f t="shared" si="587"/>
        <v>0.33446982608281028</v>
      </c>
      <c r="E448">
        <f t="shared" ref="E448" si="680">IF(AND(D449&gt;0,D449&lt;1),C448/SQRT(D449)*SQRT(-2*LN(D449)),"Brak")</f>
        <v>0.198047785167173</v>
      </c>
      <c r="F448">
        <f t="shared" si="586"/>
        <v>182.37657342200609</v>
      </c>
    </row>
    <row r="449" spans="1:6" x14ac:dyDescent="0.3">
      <c r="A449">
        <v>0.93248547721509423</v>
      </c>
      <c r="B449" cm="1">
        <f t="array" ref="B449">_xlfn.NORM.INV(A449,_mu,_sigma)</f>
        <v>197.93473224217132</v>
      </c>
      <c r="C449">
        <f t="shared" si="587"/>
        <v>0.86497095443018845</v>
      </c>
      <c r="D449">
        <f t="shared" ref="D449" si="681">SUMSQ(C448:C449)</f>
        <v>0.86004481656773657</v>
      </c>
      <c r="E449">
        <f t="shared" ref="E449" si="682">IF(AND(D449&gt;0,D449&lt;1),C449/SQRT(D449)*SQRT(-2*LN(D449)),"Brak")</f>
        <v>0.51217051105955846</v>
      </c>
      <c r="F449">
        <f t="shared" si="586"/>
        <v>186.1460461327147</v>
      </c>
    </row>
    <row r="450" spans="1:6" x14ac:dyDescent="0.3">
      <c r="A450">
        <v>0.59217599507563223</v>
      </c>
      <c r="B450" cm="1">
        <f t="array" ref="B450">_xlfn.NORM.INV(A450,_mu,_sigma)</f>
        <v>182.79775240590661</v>
      </c>
      <c r="C450">
        <f t="shared" si="587"/>
        <v>0.18435199015126447</v>
      </c>
      <c r="E450">
        <f t="shared" ref="E450" si="683">IF(AND(D451&gt;0,D451&lt;1),C450/SQRT(D451)*SQRT(-2*LN(D451)),"Brak")</f>
        <v>0.99659559925372165</v>
      </c>
      <c r="F450">
        <f t="shared" ref="F450:F513" si="684">IF(ISNUMBER(E450),_mu+E450*_sigma,"Brak")</f>
        <v>191.95914719104465</v>
      </c>
    </row>
    <row r="451" spans="1:6" x14ac:dyDescent="0.3">
      <c r="A451">
        <v>0.65997826487623501</v>
      </c>
      <c r="B451" cm="1">
        <f t="array" ref="B451">_xlfn.NORM.INV(A451,_mu,_sigma)</f>
        <v>184.94884573304412</v>
      </c>
      <c r="C451">
        <f t="shared" ref="C451:C514" si="685">2*A451-1</f>
        <v>0.31995652975247002</v>
      </c>
      <c r="D451">
        <f t="shared" ref="D451" si="686">SUMSQ(C450:C451)</f>
        <v>0.13635783720397515</v>
      </c>
      <c r="E451">
        <f t="shared" ref="E451" si="687">IF(AND(D451&gt;0,D451&lt;1),C451/SQRT(D451)*SQRT(-2*LN(D451)),"Brak")</f>
        <v>1.7296654581388959</v>
      </c>
      <c r="F451">
        <f t="shared" si="684"/>
        <v>200.75598549766676</v>
      </c>
    </row>
    <row r="452" spans="1:6" x14ac:dyDescent="0.3">
      <c r="A452">
        <v>0.7681481948296095</v>
      </c>
      <c r="B452" cm="1">
        <f t="array" ref="B452">_xlfn.NORM.INV(A452,_mu,_sigma)</f>
        <v>188.79314383199741</v>
      </c>
      <c r="C452">
        <f t="shared" si="685"/>
        <v>0.536296389659219</v>
      </c>
      <c r="E452">
        <f t="shared" ref="E452" si="688">IF(AND(D453&gt;0,D453&lt;1),C452/SQRT(D453)*SQRT(-2*LN(D453)),"Brak")</f>
        <v>1.2274025049881829</v>
      </c>
      <c r="F452">
        <f t="shared" si="684"/>
        <v>194.72883005985818</v>
      </c>
    </row>
    <row r="453" spans="1:6" x14ac:dyDescent="0.3">
      <c r="A453">
        <v>0.3524012151860243</v>
      </c>
      <c r="B453" cm="1">
        <f t="array" ref="B453">_xlfn.NORM.INV(A453,_mu,_sigma)</f>
        <v>175.45385130294588</v>
      </c>
      <c r="C453">
        <f t="shared" si="685"/>
        <v>-0.29519756962795141</v>
      </c>
      <c r="D453">
        <f t="shared" ref="D453" si="689">SUMSQ(C452:C453)</f>
        <v>0.37475542267576206</v>
      </c>
      <c r="E453">
        <f t="shared" ref="E453" si="690">IF(AND(D453&gt;0,D453&lt;1),C453/SQRT(D453)*SQRT(-2*LN(D453)),"Brak")</f>
        <v>-0.67560819616556711</v>
      </c>
      <c r="F453">
        <f t="shared" si="684"/>
        <v>171.89270164601319</v>
      </c>
    </row>
    <row r="454" spans="1:6" x14ac:dyDescent="0.3">
      <c r="A454">
        <v>0.31642326768125928</v>
      </c>
      <c r="B454" cm="1">
        <f t="array" ref="B454">_xlfn.NORM.INV(A454,_mu,_sigma)</f>
        <v>174.26730989802186</v>
      </c>
      <c r="C454">
        <f t="shared" si="685"/>
        <v>-0.36715346463748144</v>
      </c>
      <c r="E454" t="str">
        <f t="shared" ref="E454" si="691">IF(AND(D455&gt;0,D455&lt;1),C454/SQRT(D455)*SQRT(-2*LN(D455)),"Brak")</f>
        <v>Brak</v>
      </c>
      <c r="F454" t="str">
        <f t="shared" si="684"/>
        <v>Brak</v>
      </c>
    </row>
    <row r="455" spans="1:6" x14ac:dyDescent="0.3">
      <c r="A455">
        <v>2.0233271134843855E-2</v>
      </c>
      <c r="B455" cm="1">
        <f t="array" ref="B455">_xlfn.NORM.INV(A455,_mu,_sigma)</f>
        <v>155.4125432949115</v>
      </c>
      <c r="C455">
        <f t="shared" si="685"/>
        <v>-0.95953345773031229</v>
      </c>
      <c r="D455">
        <f t="shared" ref="D455" si="692">SUMSQ(C454:C455)</f>
        <v>1.0555061230991953</v>
      </c>
      <c r="E455" t="str">
        <f t="shared" ref="E455" si="693">IF(AND(D455&gt;0,D455&lt;1),C455/SQRT(D455)*SQRT(-2*LN(D455)),"Brak")</f>
        <v>Brak</v>
      </c>
      <c r="F455" t="str">
        <f t="shared" si="684"/>
        <v>Brak</v>
      </c>
    </row>
    <row r="456" spans="1:6" x14ac:dyDescent="0.3">
      <c r="A456">
        <v>0.26483282970287159</v>
      </c>
      <c r="B456" cm="1">
        <f t="array" ref="B456">_xlfn.NORM.INV(A456,_mu,_sigma)</f>
        <v>172.45780233498283</v>
      </c>
      <c r="C456">
        <f t="shared" si="685"/>
        <v>-0.47033434059425683</v>
      </c>
      <c r="E456">
        <f t="shared" ref="E456" si="694">IF(AND(D457&gt;0,D457&lt;1),C456/SQRT(D457)*SQRT(-2*LN(D457)),"Brak")</f>
        <v>-1.7029957265871563</v>
      </c>
      <c r="F456">
        <f t="shared" si="684"/>
        <v>159.56405128095412</v>
      </c>
    </row>
    <row r="457" spans="1:6" x14ac:dyDescent="0.3">
      <c r="A457">
        <v>0.46356591115807511</v>
      </c>
      <c r="B457" cm="1">
        <f t="array" ref="B457">_xlfn.NORM.INV(A457,_mu,_sigma)</f>
        <v>178.90255149606227</v>
      </c>
      <c r="C457">
        <f t="shared" si="685"/>
        <v>-7.2868177683849789E-2</v>
      </c>
      <c r="D457">
        <f t="shared" ref="D457" si="695">SUMSQ(C456:C457)</f>
        <v>0.22652416326119948</v>
      </c>
      <c r="E457">
        <f t="shared" ref="E457" si="696">IF(AND(D457&gt;0,D457&lt;1),C457/SQRT(D457)*SQRT(-2*LN(D457)),"Brak")</f>
        <v>-0.26384251475875559</v>
      </c>
      <c r="F457">
        <f t="shared" si="684"/>
        <v>176.83388982289495</v>
      </c>
    </row>
    <row r="458" spans="1:6" x14ac:dyDescent="0.3">
      <c r="A458">
        <v>0.14782868497833745</v>
      </c>
      <c r="B458" cm="1">
        <f t="array" ref="B458">_xlfn.NORM.INV(A458,_mu,_sigma)</f>
        <v>167.4505036507162</v>
      </c>
      <c r="C458">
        <f t="shared" si="685"/>
        <v>-0.70434263004332509</v>
      </c>
      <c r="E458">
        <f t="shared" ref="E458" si="697">IF(AND(D459&gt;0,D459&lt;1),C458/SQRT(D459)*SQRT(-2*LN(D459)),"Brak")</f>
        <v>-0.90172161962943975</v>
      </c>
      <c r="F458">
        <f t="shared" si="684"/>
        <v>169.17934056444673</v>
      </c>
    </row>
    <row r="459" spans="1:6" x14ac:dyDescent="0.3">
      <c r="A459">
        <v>0.33294593747118972</v>
      </c>
      <c r="B459" cm="1">
        <f t="array" ref="B459">_xlfn.NORM.INV(A459,_mu,_sigma)</f>
        <v>174.81848412152303</v>
      </c>
      <c r="C459">
        <f t="shared" si="685"/>
        <v>-0.33410812505762055</v>
      </c>
      <c r="D459">
        <f t="shared" ref="D459" si="698">SUMSQ(C458:C459)</f>
        <v>0.60772677972586697</v>
      </c>
      <c r="E459">
        <f t="shared" ref="E459" si="699">IF(AND(D459&gt;0,D459&lt;1),C459/SQRT(D459)*SQRT(-2*LN(D459)),"Brak")</f>
        <v>-0.42773574508727569</v>
      </c>
      <c r="F459">
        <f t="shared" si="684"/>
        <v>174.86717105895269</v>
      </c>
    </row>
    <row r="460" spans="1:6" x14ac:dyDescent="0.3">
      <c r="A460">
        <v>0.2323081103629554</v>
      </c>
      <c r="B460" cm="1">
        <f t="array" ref="B460">_xlfn.NORM.INV(A460,_mu,_sigma)</f>
        <v>171.22479870641655</v>
      </c>
      <c r="C460">
        <f t="shared" si="685"/>
        <v>-0.5353837792740892</v>
      </c>
      <c r="E460">
        <f t="shared" ref="E460" si="700">IF(AND(D461&gt;0,D461&lt;1),C460/SQRT(D461)*SQRT(-2*LN(D461)),"Brak")</f>
        <v>-0.15693335967543731</v>
      </c>
      <c r="F460">
        <f t="shared" si="684"/>
        <v>178.11679968389475</v>
      </c>
    </row>
    <row r="461" spans="1:6" x14ac:dyDescent="0.3">
      <c r="A461">
        <v>8.9824152049957418E-2</v>
      </c>
      <c r="B461" cm="1">
        <f t="array" ref="B461">_xlfn.NORM.INV(A461,_mu,_sigma)</f>
        <v>163.89793571014886</v>
      </c>
      <c r="C461">
        <f t="shared" si="685"/>
        <v>-0.82035169590008516</v>
      </c>
      <c r="D461">
        <f t="shared" ref="D461" si="701">SUMSQ(C460:C461)</f>
        <v>0.95961269607595245</v>
      </c>
      <c r="E461">
        <f t="shared" ref="E461" si="702">IF(AND(D461&gt;0,D461&lt;1),C461/SQRT(D461)*SQRT(-2*LN(D461)),"Brak")</f>
        <v>-0.24046404231297125</v>
      </c>
      <c r="F461">
        <f t="shared" si="684"/>
        <v>177.11443149224434</v>
      </c>
    </row>
    <row r="462" spans="1:6" x14ac:dyDescent="0.3">
      <c r="A462">
        <v>0.17362949838577613</v>
      </c>
      <c r="B462" cm="1">
        <f t="array" ref="B462">_xlfn.NORM.INV(A462,_mu,_sigma)</f>
        <v>168.72096933704751</v>
      </c>
      <c r="C462">
        <f t="shared" si="685"/>
        <v>-0.65274100322844775</v>
      </c>
      <c r="E462">
        <f t="shared" ref="E462" si="703">IF(AND(D463&gt;0,D463&lt;1),C462/SQRT(D463)*SQRT(-2*LN(D463)),"Brak")</f>
        <v>-0.60941275051836297</v>
      </c>
      <c r="F462">
        <f t="shared" si="684"/>
        <v>172.68704699377963</v>
      </c>
    </row>
    <row r="463" spans="1:6" x14ac:dyDescent="0.3">
      <c r="A463">
        <v>0.77478422840396444</v>
      </c>
      <c r="B463" cm="1">
        <f t="array" ref="B463">_xlfn.NORM.INV(A463,_mu,_sigma)</f>
        <v>189.05634927929088</v>
      </c>
      <c r="C463">
        <f t="shared" si="685"/>
        <v>0.54956845680792887</v>
      </c>
      <c r="D463">
        <f t="shared" ref="D463" si="704">SUMSQ(C462:C463)</f>
        <v>0.72809630601392872</v>
      </c>
      <c r="E463">
        <f t="shared" ref="E463" si="705">IF(AND(D463&gt;0,D463&lt;1),C463/SQRT(D463)*SQRT(-2*LN(D463)),"Brak")</f>
        <v>0.51308868786390316</v>
      </c>
      <c r="F463">
        <f t="shared" si="684"/>
        <v>186.15706425436684</v>
      </c>
    </row>
    <row r="464" spans="1:6" x14ac:dyDescent="0.3">
      <c r="A464">
        <v>0.98725513100089446</v>
      </c>
      <c r="B464" cm="1">
        <f t="array" ref="B464">_xlfn.NORM.INV(A464,_mu,_sigma)</f>
        <v>206.8067846062136</v>
      </c>
      <c r="C464">
        <f t="shared" si="685"/>
        <v>0.97451026200178892</v>
      </c>
      <c r="E464" t="str">
        <f t="shared" ref="E464" si="706">IF(AND(D465&gt;0,D465&lt;1),C464/SQRT(D465)*SQRT(-2*LN(D465)),"Brak")</f>
        <v>Brak</v>
      </c>
      <c r="F464" t="str">
        <f t="shared" si="684"/>
        <v>Brak</v>
      </c>
    </row>
    <row r="465" spans="1:6" x14ac:dyDescent="0.3">
      <c r="A465">
        <v>0.15520693020669307</v>
      </c>
      <c r="B465" cm="1">
        <f t="array" ref="B465">_xlfn.NORM.INV(A465,_mu,_sigma)</f>
        <v>167.82775186964369</v>
      </c>
      <c r="C465">
        <f t="shared" si="685"/>
        <v>-0.68958613958661386</v>
      </c>
      <c r="D465">
        <f t="shared" ref="D465" si="707">SUMSQ(C464:C465)</f>
        <v>1.425199294656764</v>
      </c>
      <c r="E465" t="str">
        <f t="shared" ref="E465" si="708">IF(AND(D465&gt;0,D465&lt;1),C465/SQRT(D465)*SQRT(-2*LN(D465)),"Brak")</f>
        <v>Brak</v>
      </c>
      <c r="F465" t="str">
        <f t="shared" si="684"/>
        <v>Brak</v>
      </c>
    </row>
    <row r="466" spans="1:6" x14ac:dyDescent="0.3">
      <c r="A466">
        <v>0.97002700426626109</v>
      </c>
      <c r="B466" cm="1">
        <f t="array" ref="B466">_xlfn.NORM.INV(A466,_mu,_sigma)</f>
        <v>202.57428759689853</v>
      </c>
      <c r="C466">
        <f t="shared" si="685"/>
        <v>0.94005400853252219</v>
      </c>
      <c r="E466" t="str">
        <f t="shared" ref="E466" si="709">IF(AND(D467&gt;0,D467&lt;1),C466/SQRT(D467)*SQRT(-2*LN(D467)),"Brak")</f>
        <v>Brak</v>
      </c>
      <c r="F466" t="str">
        <f t="shared" si="684"/>
        <v>Brak</v>
      </c>
    </row>
    <row r="467" spans="1:6" x14ac:dyDescent="0.3">
      <c r="A467">
        <v>0.32635175303990016</v>
      </c>
      <c r="B467" cm="1">
        <f t="array" ref="B467">_xlfn.NORM.INV(A467,_mu,_sigma)</f>
        <v>174.5998845937458</v>
      </c>
      <c r="C467">
        <f t="shared" si="685"/>
        <v>-0.34729649392019968</v>
      </c>
      <c r="D467">
        <f t="shared" ref="D467" si="710">SUMSQ(C466:C467)</f>
        <v>1.0043163936473265</v>
      </c>
      <c r="E467" t="str">
        <f t="shared" ref="E467" si="711">IF(AND(D467&gt;0,D467&lt;1),C467/SQRT(D467)*SQRT(-2*LN(D467)),"Brak")</f>
        <v>Brak</v>
      </c>
      <c r="F467" t="str">
        <f t="shared" si="684"/>
        <v>Brak</v>
      </c>
    </row>
    <row r="468" spans="1:6" x14ac:dyDescent="0.3">
      <c r="A468">
        <v>0.85380504158723536</v>
      </c>
      <c r="B468" cm="1">
        <f t="array" ref="B468">_xlfn.NORM.INV(A468,_mu,_sigma)</f>
        <v>192.63471908538972</v>
      </c>
      <c r="C468">
        <f t="shared" si="685"/>
        <v>0.70761008317447072</v>
      </c>
      <c r="E468">
        <f t="shared" ref="E468" si="712">IF(AND(D469&gt;0,D469&lt;1),C468/SQRT(D469)*SQRT(-2*LN(D469)),"Brak")</f>
        <v>0.70628134900083828</v>
      </c>
      <c r="F468">
        <f t="shared" si="684"/>
        <v>188.47537618801005</v>
      </c>
    </row>
    <row r="469" spans="1:6" x14ac:dyDescent="0.3">
      <c r="A469">
        <v>0.27447665480311556</v>
      </c>
      <c r="B469" cm="1">
        <f t="array" ref="B469">_xlfn.NORM.INV(A469,_mu,_sigma)</f>
        <v>172.80804834072816</v>
      </c>
      <c r="C469">
        <f t="shared" si="685"/>
        <v>-0.45104669039376888</v>
      </c>
      <c r="D469">
        <f t="shared" ref="D469" si="713">SUMSQ(C468:C469)</f>
        <v>0.70415514672535373</v>
      </c>
      <c r="E469">
        <f t="shared" ref="E469" si="714">IF(AND(D469&gt;0,D469&lt;1),C469/SQRT(D469)*SQRT(-2*LN(D469)),"Brak")</f>
        <v>-0.45019972514315892</v>
      </c>
      <c r="F469">
        <f t="shared" si="684"/>
        <v>174.59760329828208</v>
      </c>
    </row>
    <row r="470" spans="1:6" x14ac:dyDescent="0.3">
      <c r="A470">
        <v>0.88334114077547921</v>
      </c>
      <c r="B470" cm="1">
        <f t="array" ref="B470">_xlfn.NORM.INV(A470,_mu,_sigma)</f>
        <v>194.3022718443944</v>
      </c>
      <c r="C470">
        <f t="shared" si="685"/>
        <v>0.76668228155095841</v>
      </c>
      <c r="E470">
        <f t="shared" ref="E470" si="715">IF(AND(D471&gt;0,D471&lt;1),C470/SQRT(D471)*SQRT(-2*LN(D471)),"Brak")</f>
        <v>0.45583551031825947</v>
      </c>
      <c r="F470">
        <f t="shared" si="684"/>
        <v>185.47002612381911</v>
      </c>
    </row>
    <row r="471" spans="1:6" x14ac:dyDescent="0.3">
      <c r="A471">
        <v>0.76044060318393436</v>
      </c>
      <c r="B471" cm="1">
        <f t="array" ref="B471">_xlfn.NORM.INV(A471,_mu,_sigma)</f>
        <v>188.49264697886957</v>
      </c>
      <c r="C471">
        <f t="shared" si="685"/>
        <v>0.52088120636786872</v>
      </c>
      <c r="D471">
        <f t="shared" ref="D471" si="716">SUMSQ(C470:C471)</f>
        <v>0.85911895199142929</v>
      </c>
      <c r="E471">
        <f t="shared" ref="E471" si="717">IF(AND(D471&gt;0,D471&lt;1),C471/SQRT(D471)*SQRT(-2*LN(D471)),"Brak")</f>
        <v>0.3096930191729057</v>
      </c>
      <c r="F471">
        <f t="shared" si="684"/>
        <v>183.71631623007488</v>
      </c>
    </row>
    <row r="472" spans="1:6" x14ac:dyDescent="0.3">
      <c r="A472">
        <v>0.3695688526534906</v>
      </c>
      <c r="B472" cm="1">
        <f t="array" ref="B472">_xlfn.NORM.INV(A472,_mu,_sigma)</f>
        <v>176.00405440256665</v>
      </c>
      <c r="C472">
        <f t="shared" si="685"/>
        <v>-0.2608622946930188</v>
      </c>
      <c r="E472">
        <f t="shared" ref="E472" si="718">IF(AND(D473&gt;0,D473&lt;1),C472/SQRT(D473)*SQRT(-2*LN(D473)),"Brak")</f>
        <v>-2.2102051987251805</v>
      </c>
      <c r="F472">
        <f t="shared" si="684"/>
        <v>153.47753761529782</v>
      </c>
    </row>
    <row r="473" spans="1:6" x14ac:dyDescent="0.3">
      <c r="A473">
        <v>0.46502791272392252</v>
      </c>
      <c r="B473" cm="1">
        <f t="array" ref="B473">_xlfn.NORM.INV(A473,_mu,_sigma)</f>
        <v>178.94670479026814</v>
      </c>
      <c r="C473">
        <f t="shared" si="685"/>
        <v>-6.9944174552154958E-2</v>
      </c>
      <c r="D473">
        <f t="shared" ref="D473" si="719">SUMSQ(C472:C473)</f>
        <v>7.2941324346289707E-2</v>
      </c>
      <c r="E473">
        <f t="shared" ref="E473" si="720">IF(AND(D473&gt;0,D473&lt;1),C473/SQRT(D473)*SQRT(-2*LN(D473)),"Brak")</f>
        <v>-0.59261526621789518</v>
      </c>
      <c r="F473">
        <f t="shared" si="684"/>
        <v>172.88861680538525</v>
      </c>
    </row>
    <row r="474" spans="1:6" x14ac:dyDescent="0.3">
      <c r="A474">
        <v>0.16104829590738634</v>
      </c>
      <c r="B474" cm="1">
        <f t="array" ref="B474">_xlfn.NORM.INV(A474,_mu,_sigma)</f>
        <v>168.11809648880552</v>
      </c>
      <c r="C474">
        <f t="shared" si="685"/>
        <v>-0.67790340818522732</v>
      </c>
      <c r="E474">
        <f t="shared" ref="E474" si="721">IF(AND(D475&gt;0,D475&lt;1),C474/SQRT(D475)*SQRT(-2*LN(D475)),"Brak")</f>
        <v>-0.24989944490917865</v>
      </c>
      <c r="F474">
        <f t="shared" si="684"/>
        <v>177.00120666108987</v>
      </c>
    </row>
    <row r="475" spans="1:6" x14ac:dyDescent="0.3">
      <c r="A475">
        <v>0.15406406129923922</v>
      </c>
      <c r="B475" cm="1">
        <f t="array" ref="B475">_xlfn.NORM.INV(A475,_mu,_sigma)</f>
        <v>167.77010804903875</v>
      </c>
      <c r="C475">
        <f t="shared" si="685"/>
        <v>-0.69187187740152156</v>
      </c>
      <c r="D475">
        <f t="shared" ref="D475" si="722">SUMSQ(C474:C475)</f>
        <v>0.93823972556825308</v>
      </c>
      <c r="E475">
        <f t="shared" ref="E475" si="723">IF(AND(D475&gt;0,D475&lt;1),C475/SQRT(D475)*SQRT(-2*LN(D475)),"Brak")</f>
        <v>-0.25504872231542097</v>
      </c>
      <c r="F475">
        <f t="shared" si="684"/>
        <v>176.93941533221494</v>
      </c>
    </row>
    <row r="476" spans="1:6" x14ac:dyDescent="0.3">
      <c r="A476">
        <v>0.87671616581409184</v>
      </c>
      <c r="B476" cm="1">
        <f t="array" ref="B476">_xlfn.NORM.INV(A476,_mu,_sigma)</f>
        <v>193.90471850273087</v>
      </c>
      <c r="C476">
        <f t="shared" si="685"/>
        <v>0.75343233162818368</v>
      </c>
      <c r="E476">
        <f t="shared" ref="E476" si="724">IF(AND(D477&gt;0,D477&lt;1),C476/SQRT(D477)*SQRT(-2*LN(D477)),"Brak")</f>
        <v>0.75331820507816549</v>
      </c>
      <c r="F476">
        <f t="shared" si="684"/>
        <v>189.03981846093799</v>
      </c>
    </row>
    <row r="477" spans="1:6" x14ac:dyDescent="0.3">
      <c r="A477">
        <v>0.31570227839144405</v>
      </c>
      <c r="B477" cm="1">
        <f t="array" ref="B477">_xlfn.NORM.INV(A477,_mu,_sigma)</f>
        <v>174.24298965318422</v>
      </c>
      <c r="C477">
        <f t="shared" si="685"/>
        <v>-0.36859544321711191</v>
      </c>
      <c r="D477">
        <f t="shared" ref="D477" si="725">SUMSQ(C476:C477)</f>
        <v>0.70352287910310052</v>
      </c>
      <c r="E477">
        <f t="shared" ref="E477" si="726">IF(AND(D477&gt;0,D477&lt;1),C477/SQRT(D477)*SQRT(-2*LN(D477)),"Brak")</f>
        <v>-0.36853961003273572</v>
      </c>
      <c r="F477">
        <f t="shared" si="684"/>
        <v>175.57752467960717</v>
      </c>
    </row>
    <row r="478" spans="1:6" x14ac:dyDescent="0.3">
      <c r="A478">
        <v>6.828790080792968E-2</v>
      </c>
      <c r="B478" cm="1">
        <f t="array" ref="B478">_xlfn.NORM.INV(A478,_mu,_sigma)</f>
        <v>162.13602891509098</v>
      </c>
      <c r="C478">
        <f t="shared" si="685"/>
        <v>-0.86342419838414064</v>
      </c>
      <c r="E478" t="str">
        <f t="shared" ref="E478" si="727">IF(AND(D479&gt;0,D479&lt;1),C478/SQRT(D479)*SQRT(-2*LN(D479)),"Brak")</f>
        <v>Brak</v>
      </c>
      <c r="F478" t="str">
        <f t="shared" si="684"/>
        <v>Brak</v>
      </c>
    </row>
    <row r="479" spans="1:6" x14ac:dyDescent="0.3">
      <c r="A479">
        <v>0.95080687778290829</v>
      </c>
      <c r="B479" cm="1">
        <f t="array" ref="B479">_xlfn.NORM.INV(A479,_mu,_sigma)</f>
        <v>199.83273533705238</v>
      </c>
      <c r="C479">
        <f t="shared" si="685"/>
        <v>0.90161375556581658</v>
      </c>
      <c r="D479">
        <f t="shared" ref="D479" si="728">SUMSQ(C478:C479)</f>
        <v>1.558408710580792</v>
      </c>
      <c r="E479" t="str">
        <f t="shared" ref="E479" si="729">IF(AND(D479&gt;0,D479&lt;1),C479/SQRT(D479)*SQRT(-2*LN(D479)),"Brak")</f>
        <v>Brak</v>
      </c>
      <c r="F479" t="str">
        <f t="shared" si="684"/>
        <v>Brak</v>
      </c>
    </row>
    <row r="480" spans="1:6" x14ac:dyDescent="0.3">
      <c r="A480">
        <v>0.81246828697753937</v>
      </c>
      <c r="B480" cm="1">
        <f t="array" ref="B480">_xlfn.NORM.INV(A480,_mu,_sigma)</f>
        <v>190.6443449104332</v>
      </c>
      <c r="C480">
        <f t="shared" si="685"/>
        <v>0.62493657395507873</v>
      </c>
      <c r="E480" t="str">
        <f t="shared" ref="E480" si="730">IF(AND(D481&gt;0,D481&lt;1),C480/SQRT(D481)*SQRT(-2*LN(D481)),"Brak")</f>
        <v>Brak</v>
      </c>
      <c r="F480" t="str">
        <f t="shared" si="684"/>
        <v>Brak</v>
      </c>
    </row>
    <row r="481" spans="1:6" x14ac:dyDescent="0.3">
      <c r="A481">
        <v>8.4230231847471804E-2</v>
      </c>
      <c r="B481" cm="1">
        <f t="array" ref="B481">_xlfn.NORM.INV(A481,_mu,_sigma)</f>
        <v>163.47398985556626</v>
      </c>
      <c r="C481">
        <f t="shared" si="685"/>
        <v>-0.83153953630505639</v>
      </c>
      <c r="D481">
        <f t="shared" ref="D481" si="731">SUMSQ(C480:C481)</f>
        <v>1.0820037219051397</v>
      </c>
      <c r="E481" t="str">
        <f t="shared" ref="E481" si="732">IF(AND(D481&gt;0,D481&lt;1),C481/SQRT(D481)*SQRT(-2*LN(D481)),"Brak")</f>
        <v>Brak</v>
      </c>
      <c r="F481" t="str">
        <f t="shared" si="684"/>
        <v>Brak</v>
      </c>
    </row>
    <row r="482" spans="1:6" x14ac:dyDescent="0.3">
      <c r="A482">
        <v>0.72054128595501854</v>
      </c>
      <c r="B482" cm="1">
        <f t="array" ref="B482">_xlfn.NORM.INV(A482,_mu,_sigma)</f>
        <v>187.01340298701578</v>
      </c>
      <c r="C482">
        <f t="shared" si="685"/>
        <v>0.44108257191003708</v>
      </c>
      <c r="E482">
        <f t="shared" ref="E482" si="733">IF(AND(D483&gt;0,D483&lt;1),C482/SQRT(D483)*SQRT(-2*LN(D483)),"Brak")</f>
        <v>1.8061312882312361</v>
      </c>
      <c r="F482">
        <f t="shared" si="684"/>
        <v>201.67357545877485</v>
      </c>
    </row>
    <row r="483" spans="1:6" x14ac:dyDescent="0.3">
      <c r="A483">
        <v>0.51052634452343038</v>
      </c>
      <c r="B483" cm="1">
        <f t="array" ref="B483">_xlfn.NORM.INV(A483,_mu,_sigma)</f>
        <v>180.31666434212681</v>
      </c>
      <c r="C483">
        <f t="shared" si="685"/>
        <v>2.1052689046860751E-2</v>
      </c>
      <c r="D483">
        <f t="shared" ref="D483" si="734">SUMSQ(C482:C483)</f>
        <v>0.19499705095887684</v>
      </c>
      <c r="E483">
        <f t="shared" ref="E483" si="735">IF(AND(D483&gt;0,D483&lt;1),C483/SQRT(D483)*SQRT(-2*LN(D483)),"Brak")</f>
        <v>8.6205900687215495E-2</v>
      </c>
      <c r="F483">
        <f t="shared" si="684"/>
        <v>181.0344708082466</v>
      </c>
    </row>
    <row r="484" spans="1:6" x14ac:dyDescent="0.3">
      <c r="A484">
        <v>0.75302908246869515</v>
      </c>
      <c r="B484" cm="1">
        <f t="array" ref="B484">_xlfn.NORM.INV(A484,_mu,_sigma)</f>
        <v>188.20863341381096</v>
      </c>
      <c r="C484">
        <f t="shared" si="685"/>
        <v>0.50605816493739031</v>
      </c>
      <c r="E484">
        <f t="shared" ref="E484" si="736">IF(AND(D485&gt;0,D485&lt;1),C484/SQRT(D485)*SQRT(-2*LN(D485)),"Brak")</f>
        <v>1.4148518751430581</v>
      </c>
      <c r="F484">
        <f t="shared" si="684"/>
        <v>196.97822250171669</v>
      </c>
    </row>
    <row r="485" spans="1:6" x14ac:dyDescent="0.3">
      <c r="A485">
        <v>0.39015254999918214</v>
      </c>
      <c r="B485" cm="1">
        <f t="array" ref="B485">_xlfn.NORM.INV(A485,_mu,_sigma)</f>
        <v>176.65294249333647</v>
      </c>
      <c r="C485">
        <f t="shared" si="685"/>
        <v>-0.21969490000163572</v>
      </c>
      <c r="D485">
        <f t="shared" ref="D485" si="737">SUMSQ(C484:C485)</f>
        <v>0.30436071538652765</v>
      </c>
      <c r="E485">
        <f t="shared" ref="E485" si="738">IF(AND(D485&gt;0,D485&lt;1),C485/SQRT(D485)*SQRT(-2*LN(D485)),"Brak")</f>
        <v>-0.61422927790353432</v>
      </c>
      <c r="F485">
        <f t="shared" si="684"/>
        <v>172.62924866515758</v>
      </c>
    </row>
    <row r="486" spans="1:6" x14ac:dyDescent="0.3">
      <c r="A486">
        <v>0.97962894376670562</v>
      </c>
      <c r="B486" cm="1">
        <f t="array" ref="B486">_xlfn.NORM.INV(A486,_mu,_sigma)</f>
        <v>204.55373929823386</v>
      </c>
      <c r="C486">
        <f t="shared" si="685"/>
        <v>0.95925788753341124</v>
      </c>
      <c r="E486" t="str">
        <f t="shared" ref="E486" si="739">IF(AND(D487&gt;0,D487&lt;1),C486/SQRT(D487)*SQRT(-2*LN(D487)),"Brak")</f>
        <v>Brak</v>
      </c>
      <c r="F486" t="str">
        <f t="shared" si="684"/>
        <v>Brak</v>
      </c>
    </row>
    <row r="487" spans="1:6" x14ac:dyDescent="0.3">
      <c r="A487">
        <v>4.4901821234018646E-2</v>
      </c>
      <c r="B487" cm="1">
        <f t="array" ref="B487">_xlfn.NORM.INV(A487,_mu,_sigma)</f>
        <v>159.64278712429575</v>
      </c>
      <c r="C487">
        <f t="shared" si="685"/>
        <v>-0.91019635753196271</v>
      </c>
      <c r="D487">
        <f t="shared" ref="D487" si="740">SUMSQ(C486:C487)</f>
        <v>1.7486331040595151</v>
      </c>
      <c r="E487" t="str">
        <f t="shared" ref="E487" si="741">IF(AND(D487&gt;0,D487&lt;1),C487/SQRT(D487)*SQRT(-2*LN(D487)),"Brak")</f>
        <v>Brak</v>
      </c>
      <c r="F487" t="str">
        <f t="shared" si="684"/>
        <v>Brak</v>
      </c>
    </row>
    <row r="488" spans="1:6" x14ac:dyDescent="0.3">
      <c r="A488">
        <v>0.78827091702417396</v>
      </c>
      <c r="B488" cm="1">
        <f t="array" ref="B488">_xlfn.NORM.INV(A488,_mu,_sigma)</f>
        <v>189.60523333097007</v>
      </c>
      <c r="C488">
        <f t="shared" si="685"/>
        <v>0.57654183404834791</v>
      </c>
      <c r="E488" t="str">
        <f t="shared" ref="E488" si="742">IF(AND(D489&gt;0,D489&lt;1),C488/SQRT(D489)*SQRT(-2*LN(D489)),"Brak")</f>
        <v>Brak</v>
      </c>
      <c r="F488" t="str">
        <f t="shared" si="684"/>
        <v>Brak</v>
      </c>
    </row>
    <row r="489" spans="1:6" x14ac:dyDescent="0.3">
      <c r="A489">
        <v>2.8154760684601432E-2</v>
      </c>
      <c r="B489" cm="1">
        <f t="array" ref="B489">_xlfn.NORM.INV(A489,_mu,_sigma)</f>
        <v>157.09641046922371</v>
      </c>
      <c r="C489">
        <f t="shared" si="685"/>
        <v>-0.94369047863079714</v>
      </c>
      <c r="D489">
        <f t="shared" ref="D489" si="743">SUMSQ(C488:C489)</f>
        <v>1.2229522058662559</v>
      </c>
      <c r="E489" t="str">
        <f t="shared" ref="E489" si="744">IF(AND(D489&gt;0,D489&lt;1),C489/SQRT(D489)*SQRT(-2*LN(D489)),"Brak")</f>
        <v>Brak</v>
      </c>
      <c r="F489" t="str">
        <f t="shared" si="684"/>
        <v>Brak</v>
      </c>
    </row>
    <row r="490" spans="1:6" x14ac:dyDescent="0.3">
      <c r="A490">
        <v>0.240936660750104</v>
      </c>
      <c r="B490" cm="1">
        <f t="array" ref="B490">_xlfn.NORM.INV(A490,_mu,_sigma)</f>
        <v>171.56048687631966</v>
      </c>
      <c r="C490">
        <f t="shared" si="685"/>
        <v>-0.51812667849979199</v>
      </c>
      <c r="E490" t="str">
        <f t="shared" ref="E490" si="745">IF(AND(D491&gt;0,D491&lt;1),C490/SQRT(D491)*SQRT(-2*LN(D491)),"Brak")</f>
        <v>Brak</v>
      </c>
      <c r="F490" t="str">
        <f t="shared" si="684"/>
        <v>Brak</v>
      </c>
    </row>
    <row r="491" spans="1:6" x14ac:dyDescent="0.3">
      <c r="A491">
        <v>0.9571862948354477</v>
      </c>
      <c r="B491" cm="1">
        <f t="array" ref="B491">_xlfn.NORM.INV(A491,_mu,_sigma)</f>
        <v>200.62714078766669</v>
      </c>
      <c r="C491">
        <f t="shared" si="685"/>
        <v>0.91437258967089541</v>
      </c>
      <c r="D491">
        <f t="shared" ref="D491" si="746">SUMSQ(C490:C491)</f>
        <v>1.1045324877146865</v>
      </c>
      <c r="E491" t="str">
        <f t="shared" ref="E491" si="747">IF(AND(D491&gt;0,D491&lt;1),C491/SQRT(D491)*SQRT(-2*LN(D491)),"Brak")</f>
        <v>Brak</v>
      </c>
      <c r="F491" t="str">
        <f t="shared" si="684"/>
        <v>Brak</v>
      </c>
    </row>
    <row r="492" spans="1:6" x14ac:dyDescent="0.3">
      <c r="A492">
        <v>0.707168385200036</v>
      </c>
      <c r="B492" cm="1">
        <f t="array" ref="B492">_xlfn.NORM.INV(A492,_mu,_sigma)</f>
        <v>186.54157537870492</v>
      </c>
      <c r="C492">
        <f t="shared" si="685"/>
        <v>0.414336770400072</v>
      </c>
      <c r="E492">
        <f t="shared" ref="E492" si="748">IF(AND(D493&gt;0,D493&lt;1),C492/SQRT(D493)*SQRT(-2*LN(D493)),"Brak")</f>
        <v>0.82968030250461666</v>
      </c>
      <c r="F492">
        <f t="shared" si="684"/>
        <v>189.95616363005541</v>
      </c>
    </row>
    <row r="493" spans="1:6" x14ac:dyDescent="0.3">
      <c r="A493">
        <v>0.24793281334370953</v>
      </c>
      <c r="B493" cm="1">
        <f t="array" ref="B493">_xlfn.NORM.INV(A493,_mu,_sigma)</f>
        <v>171.8278887955951</v>
      </c>
      <c r="C493">
        <f t="shared" si="685"/>
        <v>-0.50413437331258093</v>
      </c>
      <c r="D493">
        <f t="shared" ref="D493" si="749">SUMSQ(C492:C493)</f>
        <v>0.42582642566083068</v>
      </c>
      <c r="E493">
        <f t="shared" ref="E493" si="750">IF(AND(D493&gt;0,D493&lt;1),C493/SQRT(D493)*SQRT(-2*LN(D493)),"Brak")</f>
        <v>-1.0094936998931747</v>
      </c>
      <c r="F493">
        <f t="shared" si="684"/>
        <v>167.8860756012819</v>
      </c>
    </row>
    <row r="494" spans="1:6" x14ac:dyDescent="0.3">
      <c r="A494">
        <v>5.8215893706594968E-2</v>
      </c>
      <c r="B494" cm="1">
        <f t="array" ref="B494">_xlfn.NORM.INV(A494,_mu,_sigma)</f>
        <v>161.16086011874657</v>
      </c>
      <c r="C494">
        <f t="shared" si="685"/>
        <v>-0.88356821258681006</v>
      </c>
      <c r="E494" t="str">
        <f t="shared" ref="E494" si="751">IF(AND(D495&gt;0,D495&lt;1),C494/SQRT(D495)*SQRT(-2*LN(D495)),"Brak")</f>
        <v>Brak</v>
      </c>
      <c r="F494" t="str">
        <f t="shared" si="684"/>
        <v>Brak</v>
      </c>
    </row>
    <row r="495" spans="1:6" x14ac:dyDescent="0.3">
      <c r="A495">
        <v>0.75829540587570166</v>
      </c>
      <c r="B495" cm="1">
        <f t="array" ref="B495">_xlfn.NORM.INV(A495,_mu,_sigma)</f>
        <v>188.40995856334729</v>
      </c>
      <c r="C495">
        <f t="shared" si="685"/>
        <v>0.51659081175140331</v>
      </c>
      <c r="D495">
        <f t="shared" ref="D495" si="752">SUMSQ(C494:C495)</f>
        <v>1.0475588530798241</v>
      </c>
      <c r="E495" t="str">
        <f t="shared" ref="E495" si="753">IF(AND(D495&gt;0,D495&lt;1),C495/SQRT(D495)*SQRT(-2*LN(D495)),"Brak")</f>
        <v>Brak</v>
      </c>
      <c r="F495" t="str">
        <f t="shared" si="684"/>
        <v>Brak</v>
      </c>
    </row>
    <row r="496" spans="1:6" x14ac:dyDescent="0.3">
      <c r="A496">
        <v>0.49612676059391758</v>
      </c>
      <c r="B496" cm="1">
        <f t="array" ref="B496">_xlfn.NORM.INV(A496,_mu,_sigma)</f>
        <v>179.8834929127209</v>
      </c>
      <c r="C496">
        <f t="shared" si="685"/>
        <v>-7.7464788121648365E-3</v>
      </c>
      <c r="E496">
        <f t="shared" ref="E496" si="754">IF(AND(D497&gt;0,D497&lt;1),C496/SQRT(D497)*SQRT(-2*LN(D497)),"Brak")</f>
        <v>-8.7343592238227317E-3</v>
      </c>
      <c r="F496">
        <f t="shared" si="684"/>
        <v>179.89518768931413</v>
      </c>
    </row>
    <row r="497" spans="1:6" x14ac:dyDescent="0.3">
      <c r="A497">
        <v>0.90560860820126909</v>
      </c>
      <c r="B497" cm="1">
        <f t="array" ref="B497">_xlfn.NORM.INV(A497,_mu,_sigma)</f>
        <v>195.77026178379376</v>
      </c>
      <c r="C497">
        <f t="shared" si="685"/>
        <v>0.81121721640253819</v>
      </c>
      <c r="D497">
        <f t="shared" ref="D497" si="755">SUMSQ(C496:C497)</f>
        <v>0.65813338012186973</v>
      </c>
      <c r="E497">
        <f t="shared" ref="E497" si="756">IF(AND(D497&gt;0,D497&lt;1),C497/SQRT(D497)*SQRT(-2*LN(D497)),"Brak")</f>
        <v>0.91466881255552057</v>
      </c>
      <c r="F497">
        <f t="shared" si="684"/>
        <v>190.97602575066625</v>
      </c>
    </row>
    <row r="498" spans="1:6" x14ac:dyDescent="0.3">
      <c r="A498">
        <v>0.1138410291471651</v>
      </c>
      <c r="B498" cm="1">
        <f t="array" ref="B498">_xlfn.NORM.INV(A498,_mu,_sigma)</f>
        <v>165.52378418363355</v>
      </c>
      <c r="C498">
        <f t="shared" si="685"/>
        <v>-0.77231794170566981</v>
      </c>
      <c r="E498">
        <f t="shared" ref="E498" si="757">IF(AND(D499&gt;0,D499&lt;1),C498/SQRT(D499)*SQRT(-2*LN(D499)),"Brak")</f>
        <v>-0.83961247804188044</v>
      </c>
      <c r="F498">
        <f t="shared" si="684"/>
        <v>169.92465026349743</v>
      </c>
    </row>
    <row r="499" spans="1:6" x14ac:dyDescent="0.3">
      <c r="A499">
        <v>0.36241931328224386</v>
      </c>
      <c r="B499" cm="1">
        <f t="array" ref="B499">_xlfn.NORM.INV(A499,_mu,_sigma)</f>
        <v>175.77600582578609</v>
      </c>
      <c r="C499">
        <f t="shared" si="685"/>
        <v>-0.27516137343551228</v>
      </c>
      <c r="D499">
        <f t="shared" ref="D499" si="758">SUMSQ(C498:C499)</f>
        <v>0.67218878451139985</v>
      </c>
      <c r="E499">
        <f t="shared" ref="E499" si="759">IF(AND(D499&gt;0,D499&lt;1),C499/SQRT(D499)*SQRT(-2*LN(D499)),"Brak")</f>
        <v>-0.29913706536632911</v>
      </c>
      <c r="F499">
        <f t="shared" si="684"/>
        <v>176.41035521560406</v>
      </c>
    </row>
    <row r="500" spans="1:6" x14ac:dyDescent="0.3">
      <c r="A500">
        <v>0.1798771386887017</v>
      </c>
      <c r="B500" cm="1">
        <f t="array" ref="B500">_xlfn.NORM.INV(A500,_mu,_sigma)</f>
        <v>169.00999908412234</v>
      </c>
      <c r="C500">
        <f t="shared" si="685"/>
        <v>-0.6402457226225966</v>
      </c>
      <c r="E500">
        <f t="shared" ref="E500" si="760">IF(AND(D501&gt;0,D501&lt;1),C500/SQRT(D501)*SQRT(-2*LN(D501)),"Brak")</f>
        <v>-1.0296517077395615</v>
      </c>
      <c r="F500">
        <f t="shared" si="684"/>
        <v>167.64417950712527</v>
      </c>
    </row>
    <row r="501" spans="1:6" x14ac:dyDescent="0.3">
      <c r="A501">
        <v>0.66151224947531351</v>
      </c>
      <c r="B501" cm="1">
        <f t="array" ref="B501">_xlfn.NORM.INV(A501,_mu,_sigma)</f>
        <v>184.99912632185934</v>
      </c>
      <c r="C501">
        <f t="shared" si="685"/>
        <v>0.32302449895062701</v>
      </c>
      <c r="D501">
        <f t="shared" ref="D501" si="761">SUMSQ(C500:C501)</f>
        <v>0.51425941225883454</v>
      </c>
      <c r="E501">
        <f t="shared" ref="E501" si="762">IF(AND(D501&gt;0,D501&lt;1),C501/SQRT(D501)*SQRT(-2*LN(D501)),"Brak")</f>
        <v>0.51949230620988851</v>
      </c>
      <c r="F501">
        <f t="shared" si="684"/>
        <v>186.23390767451866</v>
      </c>
    </row>
    <row r="502" spans="1:6" x14ac:dyDescent="0.3">
      <c r="A502">
        <v>0.56578255005933487</v>
      </c>
      <c r="B502" cm="1">
        <f t="array" ref="B502">_xlfn.NORM.INV(A502,_mu,_sigma)</f>
        <v>181.9877618297771</v>
      </c>
      <c r="C502">
        <f t="shared" si="685"/>
        <v>0.13156510011866973</v>
      </c>
      <c r="E502">
        <f t="shared" ref="E502" si="763">IF(AND(D503&gt;0,D503&lt;1),C502/SQRT(D503)*SQRT(-2*LN(D503)),"Brak")</f>
        <v>7.4507181830183539E-2</v>
      </c>
      <c r="F502">
        <f t="shared" si="684"/>
        <v>180.89408618196219</v>
      </c>
    </row>
    <row r="503" spans="1:6" x14ac:dyDescent="0.3">
      <c r="A503">
        <v>0.96165507843562592</v>
      </c>
      <c r="B503" cm="1">
        <f t="array" ref="B503">_xlfn.NORM.INV(A503,_mu,_sigma)</f>
        <v>201.24268725388359</v>
      </c>
      <c r="C503">
        <f t="shared" si="685"/>
        <v>0.92331015687125184</v>
      </c>
      <c r="D503">
        <f t="shared" ref="D503" si="764">SUMSQ(C502:C503)</f>
        <v>0.86981102135085131</v>
      </c>
      <c r="E503">
        <f t="shared" ref="E503" si="765">IF(AND(D503&gt;0,D503&lt;1),C503/SQRT(D503)*SQRT(-2*LN(D503)),"Brak")</f>
        <v>0.52288363465395593</v>
      </c>
      <c r="F503">
        <f t="shared" si="684"/>
        <v>186.27460361584747</v>
      </c>
    </row>
    <row r="504" spans="1:6" x14ac:dyDescent="0.3">
      <c r="A504">
        <v>0.54528145554696938</v>
      </c>
      <c r="B504" cm="1">
        <f t="array" ref="B504">_xlfn.NORM.INV(A504,_mu,_sigma)</f>
        <v>181.36498314511906</v>
      </c>
      <c r="C504">
        <f t="shared" si="685"/>
        <v>9.0562911093938769E-2</v>
      </c>
      <c r="E504">
        <f t="shared" ref="E504" si="766">IF(AND(D505&gt;0,D505&lt;1),C504/SQRT(D505)*SQRT(-2*LN(D505)),"Brak")</f>
        <v>0.16391372980379021</v>
      </c>
      <c r="F504">
        <f t="shared" si="684"/>
        <v>181.96696475764548</v>
      </c>
    </row>
    <row r="505" spans="1:6" x14ac:dyDescent="0.3">
      <c r="A505">
        <v>0.16166806173092552</v>
      </c>
      <c r="B505" cm="1">
        <f t="array" ref="B505">_xlfn.NORM.INV(A505,_mu,_sigma)</f>
        <v>168.14849474783253</v>
      </c>
      <c r="C505">
        <f t="shared" si="685"/>
        <v>-0.67666387653814897</v>
      </c>
      <c r="D505">
        <f t="shared" ref="D505" si="767">SUMSQ(C504:C505)</f>
        <v>0.46607564267744395</v>
      </c>
      <c r="E505">
        <f t="shared" ref="E505" si="768">IF(AND(D505&gt;0,D505&lt;1),C505/SQRT(D505)*SQRT(-2*LN(D505)),"Brak")</f>
        <v>-1.2247232171215259</v>
      </c>
      <c r="F505">
        <f t="shared" si="684"/>
        <v>165.30332139454168</v>
      </c>
    </row>
    <row r="506" spans="1:6" x14ac:dyDescent="0.3">
      <c r="A506">
        <v>0.22111930785817902</v>
      </c>
      <c r="B506" cm="1">
        <f t="array" ref="B506">_xlfn.NORM.INV(A506,_mu,_sigma)</f>
        <v>170.77897846016415</v>
      </c>
      <c r="C506">
        <f t="shared" si="685"/>
        <v>-0.55776138428364197</v>
      </c>
      <c r="E506">
        <f t="shared" ref="E506" si="769">IF(AND(D507&gt;0,D507&lt;1),C506/SQRT(D507)*SQRT(-2*LN(D507)),"Brak")</f>
        <v>-1.114618687723844</v>
      </c>
      <c r="F506">
        <f t="shared" si="684"/>
        <v>166.62457574731388</v>
      </c>
    </row>
    <row r="507" spans="1:6" x14ac:dyDescent="0.3">
      <c r="A507">
        <v>0.33005650007705079</v>
      </c>
      <c r="B507" cm="1">
        <f t="array" ref="B507">_xlfn.NORM.INV(A507,_mu,_sigma)</f>
        <v>174.72291410929273</v>
      </c>
      <c r="C507">
        <f t="shared" si="685"/>
        <v>-0.33988699984589843</v>
      </c>
      <c r="D507">
        <f t="shared" ref="D507" si="770">SUMSQ(C506:C507)</f>
        <v>0.4266209344622503</v>
      </c>
      <c r="E507">
        <f t="shared" ref="E507" si="771">IF(AND(D507&gt;0,D507&lt;1),C507/SQRT(D507)*SQRT(-2*LN(D507)),"Brak")</f>
        <v>-0.67922307355357092</v>
      </c>
      <c r="F507">
        <f t="shared" si="684"/>
        <v>171.84932311735716</v>
      </c>
    </row>
    <row r="508" spans="1:6" x14ac:dyDescent="0.3">
      <c r="A508">
        <v>7.9299529084363773E-2</v>
      </c>
      <c r="B508" cm="1">
        <f t="array" ref="B508">_xlfn.NORM.INV(A508,_mu,_sigma)</f>
        <v>163.08241265706613</v>
      </c>
      <c r="C508">
        <f t="shared" si="685"/>
        <v>-0.84140094183127245</v>
      </c>
      <c r="E508" t="str">
        <f t="shared" ref="E508" si="772">IF(AND(D509&gt;0,D509&lt;1),C508/SQRT(D509)*SQRT(-2*LN(D509)),"Brak")</f>
        <v>Brak</v>
      </c>
      <c r="F508" t="str">
        <f t="shared" si="684"/>
        <v>Brak</v>
      </c>
    </row>
    <row r="509" spans="1:6" x14ac:dyDescent="0.3">
      <c r="A509">
        <v>0.94616891895581312</v>
      </c>
      <c r="B509" cm="1">
        <f t="array" ref="B509">_xlfn.NORM.INV(A509,_mu,_sigma)</f>
        <v>199.30548582313804</v>
      </c>
      <c r="C509">
        <f t="shared" si="685"/>
        <v>0.89233783791162624</v>
      </c>
      <c r="D509">
        <f t="shared" ref="D509" si="773">SUMSQ(C508:C509)</f>
        <v>1.5042223618833481</v>
      </c>
      <c r="E509" t="str">
        <f t="shared" ref="E509" si="774">IF(AND(D509&gt;0,D509&lt;1),C509/SQRT(D509)*SQRT(-2*LN(D509)),"Brak")</f>
        <v>Brak</v>
      </c>
      <c r="F509" t="str">
        <f t="shared" si="684"/>
        <v>Brak</v>
      </c>
    </row>
    <row r="510" spans="1:6" x14ac:dyDescent="0.3">
      <c r="A510">
        <v>0.8863499294644912</v>
      </c>
      <c r="B510" cm="1">
        <f t="array" ref="B510">_xlfn.NORM.INV(A510,_mu,_sigma)</f>
        <v>194.48811400924313</v>
      </c>
      <c r="C510">
        <f t="shared" si="685"/>
        <v>0.77269985892898241</v>
      </c>
      <c r="E510" t="str">
        <f t="shared" ref="E510" si="775">IF(AND(D511&gt;0,D511&lt;1),C510/SQRT(D511)*SQRT(-2*LN(D511)),"Brak")</f>
        <v>Brak</v>
      </c>
      <c r="F510" t="str">
        <f t="shared" si="684"/>
        <v>Brak</v>
      </c>
    </row>
    <row r="511" spans="1:6" x14ac:dyDescent="0.3">
      <c r="A511">
        <v>0.96892746608883251</v>
      </c>
      <c r="B511" cm="1">
        <f t="array" ref="B511">_xlfn.NORM.INV(A511,_mu,_sigma)</f>
        <v>202.38311153643701</v>
      </c>
      <c r="C511">
        <f t="shared" si="685"/>
        <v>0.93785493217766502</v>
      </c>
      <c r="D511">
        <f t="shared" ref="D511" si="776">SUMSQ(C510:C511)</f>
        <v>1.476636945798842</v>
      </c>
      <c r="E511" t="str">
        <f t="shared" ref="E511" si="777">IF(AND(D511&gt;0,D511&lt;1),C511/SQRT(D511)*SQRT(-2*LN(D511)),"Brak")</f>
        <v>Brak</v>
      </c>
      <c r="F511" t="str">
        <f t="shared" si="684"/>
        <v>Brak</v>
      </c>
    </row>
    <row r="512" spans="1:6" x14ac:dyDescent="0.3">
      <c r="A512">
        <v>0.67675839416122097</v>
      </c>
      <c r="B512" cm="1">
        <f t="array" ref="B512">_xlfn.NORM.INV(A512,_mu,_sigma)</f>
        <v>185.50383864947383</v>
      </c>
      <c r="C512">
        <f t="shared" si="685"/>
        <v>0.35351678832244193</v>
      </c>
      <c r="E512">
        <f t="shared" ref="E512" si="778">IF(AND(D513&gt;0,D513&lt;1),C512/SQRT(D513)*SQRT(-2*LN(D513)),"Brak")</f>
        <v>1.9924283624200207</v>
      </c>
      <c r="F512">
        <f t="shared" si="684"/>
        <v>203.90914034904026</v>
      </c>
    </row>
    <row r="513" spans="1:6" x14ac:dyDescent="0.3">
      <c r="A513">
        <v>0.46842263703301479</v>
      </c>
      <c r="B513" cm="1">
        <f t="array" ref="B513">_xlfn.NORM.INV(A513,_mu,_sigma)</f>
        <v>179.04917348157034</v>
      </c>
      <c r="C513">
        <f t="shared" si="685"/>
        <v>-6.3154725933970424E-2</v>
      </c>
      <c r="D513">
        <f t="shared" ref="D513" si="779">SUMSQ(C512:C513)</f>
        <v>0.12896263903360913</v>
      </c>
      <c r="E513">
        <f t="shared" ref="E513" si="780">IF(AND(D513&gt;0,D513&lt;1),C513/SQRT(D513)*SQRT(-2*LN(D513)),"Brak")</f>
        <v>-0.35594141870551127</v>
      </c>
      <c r="F513">
        <f t="shared" si="684"/>
        <v>175.72870297553388</v>
      </c>
    </row>
    <row r="514" spans="1:6" x14ac:dyDescent="0.3">
      <c r="A514">
        <v>0.36608268050771775</v>
      </c>
      <c r="B514" cm="1">
        <f t="array" ref="B514">_xlfn.NORM.INV(A514,_mu,_sigma)</f>
        <v>175.89304147691124</v>
      </c>
      <c r="C514">
        <f t="shared" si="685"/>
        <v>-0.2678346389845645</v>
      </c>
      <c r="E514">
        <f t="shared" ref="E514" si="781">IF(AND(D515&gt;0,D515&lt;1),C514/SQRT(D515)*SQRT(-2*LN(D515)),"Brak")</f>
        <v>-1.7134847499843235</v>
      </c>
      <c r="F514">
        <f t="shared" ref="F514:F576" si="782">IF(ISNUMBER(E514),_mu+E514*_sigma,"Brak")</f>
        <v>159.43818300018813</v>
      </c>
    </row>
    <row r="515" spans="1:6" x14ac:dyDescent="0.3">
      <c r="A515">
        <v>0.40410192277293977</v>
      </c>
      <c r="B515" cm="1">
        <f t="array" ref="B515">_xlfn.NORM.INV(A515,_mu,_sigma)</f>
        <v>177.08707395094859</v>
      </c>
      <c r="C515">
        <f t="shared" ref="C515:C576" si="783">2*A515-1</f>
        <v>-0.19179615445412046</v>
      </c>
      <c r="D515">
        <f t="shared" ref="D515" si="784">SUMSQ(C514:C515)</f>
        <v>0.10852115870338083</v>
      </c>
      <c r="E515">
        <f t="shared" ref="E515" si="785">IF(AND(D515&gt;0,D515&lt;1),C515/SQRT(D515)*SQRT(-2*LN(D515)),"Brak")</f>
        <v>-1.2270249546837479</v>
      </c>
      <c r="F515">
        <f t="shared" si="782"/>
        <v>165.27570054379504</v>
      </c>
    </row>
    <row r="516" spans="1:6" x14ac:dyDescent="0.3">
      <c r="A516">
        <v>0.36495103169764076</v>
      </c>
      <c r="B516" cm="1">
        <f t="array" ref="B516">_xlfn.NORM.INV(A516,_mu,_sigma)</f>
        <v>175.85693025602035</v>
      </c>
      <c r="C516">
        <f t="shared" si="783"/>
        <v>-0.27009793660471848</v>
      </c>
      <c r="E516">
        <f t="shared" ref="E516" si="786">IF(AND(D517&gt;0,D517&lt;1),C516/SQRT(D517)*SQRT(-2*LN(D517)),"Brak")</f>
        <v>-0.85369962780101671</v>
      </c>
      <c r="F516">
        <f t="shared" si="782"/>
        <v>169.75560446638781</v>
      </c>
    </row>
    <row r="517" spans="1:6" x14ac:dyDescent="0.3">
      <c r="A517">
        <v>0.28060156598765329</v>
      </c>
      <c r="B517" cm="1">
        <f t="array" ref="B517">_xlfn.NORM.INV(A517,_mu,_sigma)</f>
        <v>173.027335479242</v>
      </c>
      <c r="C517">
        <f t="shared" si="783"/>
        <v>-0.43879686802469342</v>
      </c>
      <c r="D517">
        <f t="shared" ref="D517" si="787">SUMSQ(C516:C517)</f>
        <v>0.26549558674640672</v>
      </c>
      <c r="E517">
        <f t="shared" ref="E517" si="788">IF(AND(D517&gt;0,D517&lt;1),C517/SQRT(D517)*SQRT(-2*LN(D517)),"Brak")</f>
        <v>-1.3869070146254074</v>
      </c>
      <c r="F517">
        <f t="shared" si="782"/>
        <v>163.35711582449511</v>
      </c>
    </row>
    <row r="518" spans="1:6" x14ac:dyDescent="0.3">
      <c r="A518">
        <v>0.74869419883177613</v>
      </c>
      <c r="B518" cm="1">
        <f t="array" ref="B518">_xlfn.NORM.INV(A518,_mu,_sigma)</f>
        <v>188.04463491108825</v>
      </c>
      <c r="C518">
        <f t="shared" si="783"/>
        <v>0.49738839766355225</v>
      </c>
      <c r="E518">
        <f t="shared" ref="E518" si="789">IF(AND(D519&gt;0,D519&lt;1),C518/SQRT(D519)*SQRT(-2*LN(D519)),"Brak")</f>
        <v>0.87196555483573812</v>
      </c>
      <c r="F518">
        <f t="shared" si="782"/>
        <v>190.46358665802885</v>
      </c>
    </row>
    <row r="519" spans="1:6" x14ac:dyDescent="0.3">
      <c r="A519">
        <v>0.25937400687247181</v>
      </c>
      <c r="B519" cm="1">
        <f t="array" ref="B519">_xlfn.NORM.INV(A519,_mu,_sigma)</f>
        <v>172.25668190623958</v>
      </c>
      <c r="C519">
        <f t="shared" si="783"/>
        <v>-0.48125198625505639</v>
      </c>
      <c r="D519">
        <f t="shared" ref="D519" si="790">SUMSQ(C518:C519)</f>
        <v>0.47899869240475296</v>
      </c>
      <c r="E519">
        <f t="shared" ref="E519" si="791">IF(AND(D519&gt;0,D519&lt;1),C519/SQRT(D519)*SQRT(-2*LN(D519)),"Brak")</f>
        <v>-0.84367700811257063</v>
      </c>
      <c r="F519">
        <f t="shared" si="782"/>
        <v>169.87587590264914</v>
      </c>
    </row>
    <row r="520" spans="1:6" x14ac:dyDescent="0.3">
      <c r="A520">
        <v>0.46957611558880707</v>
      </c>
      <c r="B520" cm="1">
        <f t="array" ref="B520">_xlfn.NORM.INV(A520,_mu,_sigma)</f>
        <v>179.08397472199599</v>
      </c>
      <c r="C520">
        <f t="shared" si="783"/>
        <v>-6.084776882238585E-2</v>
      </c>
      <c r="E520">
        <f t="shared" ref="E520" si="792">IF(AND(D521&gt;0,D521&lt;1),C520/SQRT(D521)*SQRT(-2*LN(D521)),"Brak")</f>
        <v>-0.35679757278675883</v>
      </c>
      <c r="F520">
        <f t="shared" si="782"/>
        <v>175.7184291265589</v>
      </c>
    </row>
    <row r="521" spans="1:6" x14ac:dyDescent="0.3">
      <c r="A521">
        <v>0.67215294357730349</v>
      </c>
      <c r="B521" cm="1">
        <f t="array" ref="B521">_xlfn.NORM.INV(A521,_mu,_sigma)</f>
        <v>185.35039084549001</v>
      </c>
      <c r="C521">
        <f t="shared" si="783"/>
        <v>0.34430588715460697</v>
      </c>
      <c r="D521">
        <f t="shared" ref="D521" si="793">SUMSQ(C520:C521)</f>
        <v>0.12224899489998345</v>
      </c>
      <c r="E521">
        <f t="shared" ref="E521" si="794">IF(AND(D521&gt;0,D521&lt;1),C521/SQRT(D521)*SQRT(-2*LN(D521)),"Brak")</f>
        <v>2.0189319544574649</v>
      </c>
      <c r="F521">
        <f t="shared" si="782"/>
        <v>204.22718345348957</v>
      </c>
    </row>
    <row r="522" spans="1:6" x14ac:dyDescent="0.3">
      <c r="A522">
        <v>0.81124041986203099</v>
      </c>
      <c r="B522" cm="1">
        <f t="array" ref="B522">_xlfn.NORM.INV(A522,_mu,_sigma)</f>
        <v>190.5897184930345</v>
      </c>
      <c r="C522">
        <f t="shared" si="783"/>
        <v>0.62248083972406199</v>
      </c>
      <c r="E522">
        <f t="shared" ref="E522" si="795">IF(AND(D523&gt;0,D523&lt;1),C522/SQRT(D523)*SQRT(-2*LN(D523)),"Brak")</f>
        <v>1.1825052349677678</v>
      </c>
      <c r="F522">
        <f t="shared" si="782"/>
        <v>194.19006281961322</v>
      </c>
    </row>
    <row r="523" spans="1:6" x14ac:dyDescent="0.3">
      <c r="A523">
        <v>0.37836259284354323</v>
      </c>
      <c r="B523" cm="1">
        <f t="array" ref="B523">_xlfn.NORM.INV(A523,_mu,_sigma)</f>
        <v>176.28259146426569</v>
      </c>
      <c r="C523">
        <f t="shared" si="783"/>
        <v>-0.24327481431291353</v>
      </c>
      <c r="D523">
        <f t="shared" ref="D523" si="796">SUMSQ(C522:C523)</f>
        <v>0.4466650311025559</v>
      </c>
      <c r="E523">
        <f t="shared" ref="E523" si="797">IF(AND(D523&gt;0,D523&lt;1),C523/SQRT(D523)*SQRT(-2*LN(D523)),"Brak")</f>
        <v>-0.46214071679435809</v>
      </c>
      <c r="F523">
        <f t="shared" si="782"/>
        <v>174.45431139846769</v>
      </c>
    </row>
    <row r="524" spans="1:6" x14ac:dyDescent="0.3">
      <c r="A524">
        <v>0.57135868032385784</v>
      </c>
      <c r="B524" cm="1">
        <f t="array" ref="B524">_xlfn.NORM.INV(A524,_mu,_sigma)</f>
        <v>182.15801184026097</v>
      </c>
      <c r="C524">
        <f t="shared" si="783"/>
        <v>0.14271736064771567</v>
      </c>
      <c r="E524">
        <f t="shared" ref="E524" si="798">IF(AND(D525&gt;0,D525&lt;1),C524/SQRT(D525)*SQRT(-2*LN(D525)),"Brak")</f>
        <v>0.60730016560430322</v>
      </c>
      <c r="F524">
        <f t="shared" si="782"/>
        <v>187.28760198725163</v>
      </c>
    </row>
    <row r="525" spans="1:6" x14ac:dyDescent="0.3">
      <c r="A525">
        <v>0.29659439006368915</v>
      </c>
      <c r="B525" cm="1">
        <f t="array" ref="B525">_xlfn.NORM.INV(A525,_mu,_sigma)</f>
        <v>173.58935040158869</v>
      </c>
      <c r="C525">
        <f t="shared" si="783"/>
        <v>-0.4068112198726217</v>
      </c>
      <c r="D525">
        <f t="shared" ref="D525" si="799">SUMSQ(C524:C525)</f>
        <v>0.18586361364450069</v>
      </c>
      <c r="E525">
        <f t="shared" ref="E525" si="800">IF(AND(D525&gt;0,D525&lt;1),C525/SQRT(D525)*SQRT(-2*LN(D525)),"Brak")</f>
        <v>-1.7310894769709724</v>
      </c>
      <c r="F525">
        <f t="shared" si="782"/>
        <v>159.22692627634834</v>
      </c>
    </row>
    <row r="526" spans="1:6" x14ac:dyDescent="0.3">
      <c r="A526">
        <v>0.66363736861739986</v>
      </c>
      <c r="B526" cm="1">
        <f t="array" ref="B526">_xlfn.NORM.INV(A526,_mu,_sigma)</f>
        <v>185.06892850565302</v>
      </c>
      <c r="C526">
        <f t="shared" si="783"/>
        <v>0.32727473723479972</v>
      </c>
      <c r="E526">
        <f t="shared" ref="E526" si="801">IF(AND(D527&gt;0,D527&lt;1),C526/SQRT(D527)*SQRT(-2*LN(D527)),"Brak")</f>
        <v>0.78710284980936274</v>
      </c>
      <c r="F526">
        <f t="shared" si="782"/>
        <v>189.44523419771235</v>
      </c>
    </row>
    <row r="527" spans="1:6" x14ac:dyDescent="0.3">
      <c r="A527">
        <v>0.25026941788402257</v>
      </c>
      <c r="B527" cm="1">
        <f t="array" ref="B527">_xlfn.NORM.INV(A527,_mu,_sigma)</f>
        <v>171.91629395180263</v>
      </c>
      <c r="C527">
        <f t="shared" si="783"/>
        <v>-0.49946116423195486</v>
      </c>
      <c r="D527">
        <f t="shared" ref="D527" si="802">SUMSQ(C526:C527)</f>
        <v>0.35657020820804697</v>
      </c>
      <c r="E527">
        <f t="shared" ref="E527" si="803">IF(AND(D527&gt;0,D527&lt;1),C527/SQRT(D527)*SQRT(-2*LN(D527)),"Brak")</f>
        <v>-1.2012149457598644</v>
      </c>
      <c r="F527">
        <f t="shared" si="782"/>
        <v>165.58542065088162</v>
      </c>
    </row>
    <row r="528" spans="1:6" x14ac:dyDescent="0.3">
      <c r="A528">
        <v>0.69461113271439223</v>
      </c>
      <c r="B528" cm="1">
        <f t="array" ref="B528">_xlfn.NORM.INV(A528,_mu,_sigma)</f>
        <v>186.10756326890166</v>
      </c>
      <c r="C528">
        <f t="shared" si="783"/>
        <v>0.38922226542878446</v>
      </c>
      <c r="E528">
        <f t="shared" ref="E528" si="804">IF(AND(D529&gt;0,D529&lt;1),C528/SQRT(D529)*SQRT(-2*LN(D529)),"Brak")</f>
        <v>1.3911838589502852</v>
      </c>
      <c r="F528">
        <f t="shared" si="782"/>
        <v>196.69420630740342</v>
      </c>
    </row>
    <row r="529" spans="1:6" x14ac:dyDescent="0.3">
      <c r="A529">
        <v>0.64013682517544501</v>
      </c>
      <c r="B529" cm="1">
        <f t="array" ref="B529">_xlfn.NORM.INV(A529,_mu,_sigma)</f>
        <v>184.30589453850524</v>
      </c>
      <c r="C529">
        <f t="shared" si="783"/>
        <v>0.28027365035089002</v>
      </c>
      <c r="D529">
        <f t="shared" ref="D529" si="805">SUMSQ(C528:C529)</f>
        <v>0.2300472909865281</v>
      </c>
      <c r="E529">
        <f t="shared" ref="E529" si="806">IF(AND(D529&gt;0,D529&lt;1),C529/SQRT(D529)*SQRT(-2*LN(D529)),"Brak")</f>
        <v>1.0017725425540329</v>
      </c>
      <c r="F529">
        <f t="shared" si="782"/>
        <v>192.02127051064841</v>
      </c>
    </row>
    <row r="530" spans="1:6" x14ac:dyDescent="0.3">
      <c r="A530">
        <v>0.77542431693650293</v>
      </c>
      <c r="B530" cm="1">
        <f t="array" ref="B530">_xlfn.NORM.INV(A530,_mu,_sigma)</f>
        <v>189.08196702943147</v>
      </c>
      <c r="C530">
        <f t="shared" si="783"/>
        <v>0.55084863387300587</v>
      </c>
      <c r="E530">
        <f t="shared" ref="E530" si="807">IF(AND(D531&gt;0,D531&lt;1),C530/SQRT(D531)*SQRT(-2*LN(D531)),"Brak")</f>
        <v>1.1461271378008668</v>
      </c>
      <c r="F530">
        <f t="shared" si="782"/>
        <v>193.75352565361041</v>
      </c>
    </row>
    <row r="531" spans="1:6" x14ac:dyDescent="0.3">
      <c r="A531">
        <v>0.66390735013902091</v>
      </c>
      <c r="B531" cm="1">
        <f t="array" ref="B531">_xlfn.NORM.INV(A531,_mu,_sigma)</f>
        <v>185.07780862686553</v>
      </c>
      <c r="C531">
        <f t="shared" si="783"/>
        <v>0.32781470027804183</v>
      </c>
      <c r="D531">
        <f t="shared" ref="D531" si="808">SUMSQ(C530:C531)</f>
        <v>0.41089669515813926</v>
      </c>
      <c r="E531">
        <f t="shared" ref="E531" si="809">IF(AND(D531&gt;0,D531&lt;1),C531/SQRT(D531)*SQRT(-2*LN(D531)),"Brak")</f>
        <v>0.68206999356077191</v>
      </c>
      <c r="F531">
        <f t="shared" si="782"/>
        <v>188.18483992272925</v>
      </c>
    </row>
    <row r="532" spans="1:6" x14ac:dyDescent="0.3">
      <c r="A532">
        <v>5.2013152188639888E-2</v>
      </c>
      <c r="B532" cm="1">
        <f t="array" ref="B532">_xlfn.NORM.INV(A532,_mu,_sigma)</f>
        <v>160.49232245989666</v>
      </c>
      <c r="C532">
        <f t="shared" si="783"/>
        <v>-0.89597369562272022</v>
      </c>
      <c r="E532">
        <f t="shared" ref="E532" si="810">IF(AND(D533&gt;0,D533&lt;1),C532/SQRT(D533)*SQRT(-2*LN(D533)),"Brak")</f>
        <v>-0.65183531445803167</v>
      </c>
      <c r="F532">
        <f t="shared" si="782"/>
        <v>172.17797622650363</v>
      </c>
    </row>
    <row r="533" spans="1:6" x14ac:dyDescent="0.3">
      <c r="A533">
        <v>0.46533009308262685</v>
      </c>
      <c r="B533" cm="1">
        <f t="array" ref="B533">_xlfn.NORM.INV(A533,_mu,_sigma)</f>
        <v>178.95582901444396</v>
      </c>
      <c r="C533">
        <f t="shared" si="783"/>
        <v>-6.93398138347463E-2</v>
      </c>
      <c r="D533">
        <f t="shared" ref="D533" si="811">SUMSQ(C532:C533)</f>
        <v>0.80757687303047221</v>
      </c>
      <c r="E533">
        <f t="shared" ref="E533" si="812">IF(AND(D533&gt;0,D533&lt;1),C533/SQRT(D533)*SQRT(-2*LN(D533)),"Brak")</f>
        <v>-5.0445832925953914E-2</v>
      </c>
      <c r="F533">
        <f t="shared" si="782"/>
        <v>179.39465000488855</v>
      </c>
    </row>
    <row r="534" spans="1:6" x14ac:dyDescent="0.3">
      <c r="A534">
        <v>0.55451564365532524</v>
      </c>
      <c r="B534" cm="1">
        <f t="array" ref="B534">_xlfn.NORM.INV(A534,_mu,_sigma)</f>
        <v>181.64494251400194</v>
      </c>
      <c r="C534">
        <f t="shared" si="783"/>
        <v>0.10903128731065048</v>
      </c>
      <c r="E534">
        <f t="shared" ref="E534" si="813">IF(AND(D535&gt;0,D535&lt;1),C534/SQRT(D535)*SQRT(-2*LN(D535)),"Brak")</f>
        <v>0.24591808863053877</v>
      </c>
      <c r="F534">
        <f t="shared" si="782"/>
        <v>182.95101706356647</v>
      </c>
    </row>
    <row r="535" spans="1:6" x14ac:dyDescent="0.3">
      <c r="A535">
        <v>0.19655783412034122</v>
      </c>
      <c r="B535" cm="1">
        <f t="array" ref="B535">_xlfn.NORM.INV(A535,_mu,_sigma)</f>
        <v>169.75223127638256</v>
      </c>
      <c r="C535">
        <f t="shared" si="783"/>
        <v>-0.60688433175931755</v>
      </c>
      <c r="D535">
        <f t="shared" ref="D535" si="814">SUMSQ(C534:C535)</f>
        <v>0.38019641374757102</v>
      </c>
      <c r="E535">
        <f t="shared" ref="E535" si="815">IF(AND(D535&gt;0,D535&lt;1),C535/SQRT(D535)*SQRT(-2*LN(D535)),"Brak")</f>
        <v>-1.368816589873415</v>
      </c>
      <c r="F535">
        <f t="shared" si="782"/>
        <v>163.57420092151901</v>
      </c>
    </row>
    <row r="536" spans="1:6" x14ac:dyDescent="0.3">
      <c r="A536">
        <v>0.11173694784590338</v>
      </c>
      <c r="B536" cm="1">
        <f t="array" ref="B536">_xlfn.NORM.INV(A536,_mu,_sigma)</f>
        <v>165.39188890281019</v>
      </c>
      <c r="C536">
        <f t="shared" si="783"/>
        <v>-0.77652610430819324</v>
      </c>
      <c r="E536">
        <f t="shared" ref="E536" si="816">IF(AND(D537&gt;0,D537&lt;1),C536/SQRT(D537)*SQRT(-2*LN(D537)),"Brak")</f>
        <v>-0.89265226874387038</v>
      </c>
      <c r="F536">
        <f t="shared" si="782"/>
        <v>169.28817277507355</v>
      </c>
    </row>
    <row r="537" spans="1:6" x14ac:dyDescent="0.3">
      <c r="A537">
        <v>0.60909059937116716</v>
      </c>
      <c r="B537" cm="1">
        <f t="array" ref="B537">_xlfn.NORM.INV(A537,_mu,_sigma)</f>
        <v>183.3233952780169</v>
      </c>
      <c r="C537">
        <f t="shared" si="783"/>
        <v>0.21818119874233433</v>
      </c>
      <c r="D537">
        <f t="shared" ref="D537" si="817">SUMSQ(C536:C537)</f>
        <v>0.65059582615670097</v>
      </c>
      <c r="E537">
        <f t="shared" ref="E537" si="818">IF(AND(D537&gt;0,D537&lt;1),C537/SQRT(D537)*SQRT(-2*LN(D537)),"Brak")</f>
        <v>0.25080926574659529</v>
      </c>
      <c r="F537">
        <f t="shared" si="782"/>
        <v>183.00971118895913</v>
      </c>
    </row>
    <row r="538" spans="1:6" x14ac:dyDescent="0.3">
      <c r="A538">
        <v>0.57586735563222557</v>
      </c>
      <c r="B538" cm="1">
        <f t="array" ref="B538">_xlfn.NORM.INV(A538,_mu,_sigma)</f>
        <v>182.29598711044963</v>
      </c>
      <c r="C538">
        <f t="shared" si="783"/>
        <v>0.15173471126445115</v>
      </c>
      <c r="E538">
        <f t="shared" ref="E538" si="819">IF(AND(D539&gt;0,D539&lt;1),C538/SQRT(D539)*SQRT(-2*LN(D539)),"Brak")</f>
        <v>1.5059727617476943</v>
      </c>
      <c r="F538">
        <f t="shared" si="782"/>
        <v>198.07167314097234</v>
      </c>
    </row>
    <row r="539" spans="1:6" x14ac:dyDescent="0.3">
      <c r="A539">
        <v>0.4066784218698698</v>
      </c>
      <c r="B539" cm="1">
        <f t="array" ref="B539">_xlfn.NORM.INV(A539,_mu,_sigma)</f>
        <v>177.16682736983304</v>
      </c>
      <c r="C539">
        <f t="shared" si="783"/>
        <v>-0.1866431562602604</v>
      </c>
      <c r="D539">
        <f t="shared" ref="D539" si="820">SUMSQ(C538:C539)</f>
        <v>5.7859090381298342E-2</v>
      </c>
      <c r="E539">
        <f t="shared" ref="E539" si="821">IF(AND(D539&gt;0,D539&lt;1),C539/SQRT(D539)*SQRT(-2*LN(D539)),"Brak")</f>
        <v>-1.852440401752838</v>
      </c>
      <c r="F539">
        <f t="shared" si="782"/>
        <v>157.77071517896593</v>
      </c>
    </row>
    <row r="540" spans="1:6" x14ac:dyDescent="0.3">
      <c r="A540">
        <v>0.70518745050963227</v>
      </c>
      <c r="B540" cm="1">
        <f t="array" ref="B540">_xlfn.NORM.INV(A540,_mu,_sigma)</f>
        <v>186.47255268257078</v>
      </c>
      <c r="C540">
        <f t="shared" si="783"/>
        <v>0.41037490101926455</v>
      </c>
      <c r="E540">
        <f t="shared" ref="E540" si="822">IF(AND(D541&gt;0,D541&lt;1),C540/SQRT(D541)*SQRT(-2*LN(D541)),"Brak")</f>
        <v>1.0948260977482547</v>
      </c>
      <c r="F540">
        <f t="shared" si="782"/>
        <v>193.13791317297907</v>
      </c>
    </row>
    <row r="541" spans="1:6" x14ac:dyDescent="0.3">
      <c r="A541">
        <v>0.30526500971072823</v>
      </c>
      <c r="B541" cm="1">
        <f t="array" ref="B541">_xlfn.NORM.INV(A541,_mu,_sigma)</f>
        <v>173.88819558238072</v>
      </c>
      <c r="C541">
        <f t="shared" si="783"/>
        <v>-0.38946998057854354</v>
      </c>
      <c r="D541">
        <f t="shared" ref="D541" si="823">SUMSQ(C540:C541)</f>
        <v>0.32009442515842224</v>
      </c>
      <c r="E541">
        <f t="shared" ref="E541" si="824">IF(AND(D541&gt;0,D541&lt;1),C541/SQRT(D541)*SQRT(-2*LN(D541)),"Brak")</f>
        <v>-1.0390545278666503</v>
      </c>
      <c r="F541">
        <f t="shared" si="782"/>
        <v>167.53134566560018</v>
      </c>
    </row>
    <row r="542" spans="1:6" x14ac:dyDescent="0.3">
      <c r="A542">
        <v>0.77466011067371665</v>
      </c>
      <c r="B542" cm="1">
        <f t="array" ref="B542">_xlfn.NORM.INV(A542,_mu,_sigma)</f>
        <v>189.05138659252242</v>
      </c>
      <c r="C542">
        <f t="shared" si="783"/>
        <v>0.5493202213474333</v>
      </c>
      <c r="E542">
        <f t="shared" ref="E542" si="825">IF(AND(D543&gt;0,D543&lt;1),C542/SQRT(D543)*SQRT(-2*LN(D543)),"Brak")</f>
        <v>1.193254078962817</v>
      </c>
      <c r="F542">
        <f t="shared" si="782"/>
        <v>194.3190489475538</v>
      </c>
    </row>
    <row r="543" spans="1:6" x14ac:dyDescent="0.3">
      <c r="A543">
        <v>0.65216969869727714</v>
      </c>
      <c r="B543" cm="1">
        <f t="array" ref="B543">_xlfn.NORM.INV(A543,_mu,_sigma)</f>
        <v>184.69421825248307</v>
      </c>
      <c r="C543">
        <f t="shared" si="783"/>
        <v>0.30433939739455429</v>
      </c>
      <c r="D543">
        <f t="shared" ref="D543" si="826">SUMSQ(C542:C543)</f>
        <v>0.39437517438767355</v>
      </c>
      <c r="E543">
        <f t="shared" ref="E543" si="827">IF(AND(D543&gt;0,D543&lt;1),C543/SQRT(D543)*SQRT(-2*LN(D543)),"Brak")</f>
        <v>0.66109750418317537</v>
      </c>
      <c r="F543">
        <f t="shared" si="782"/>
        <v>187.9331700501981</v>
      </c>
    </row>
    <row r="544" spans="1:6" x14ac:dyDescent="0.3">
      <c r="A544">
        <v>0.7549754169121633</v>
      </c>
      <c r="B544" cm="1">
        <f t="array" ref="B544">_xlfn.NORM.INV(A544,_mu,_sigma)</f>
        <v>188.2827675212101</v>
      </c>
      <c r="C544">
        <f t="shared" si="783"/>
        <v>0.5099508338243266</v>
      </c>
      <c r="E544">
        <f t="shared" ref="E544" si="828">IF(AND(D545&gt;0,D545&lt;1),C544/SQRT(D545)*SQRT(-2*LN(D545)),"Brak")</f>
        <v>0.97424205438772349</v>
      </c>
      <c r="F544">
        <f t="shared" si="782"/>
        <v>191.69090465265268</v>
      </c>
    </row>
    <row r="545" spans="1:6" x14ac:dyDescent="0.3">
      <c r="A545">
        <v>0.71468430922574022</v>
      </c>
      <c r="B545" cm="1">
        <f t="array" ref="B545">_xlfn.NORM.INV(A545,_mu,_sigma)</f>
        <v>186.80546250489812</v>
      </c>
      <c r="C545">
        <f t="shared" si="783"/>
        <v>0.42936861845148044</v>
      </c>
      <c r="D545">
        <f t="shared" ref="D545" si="829">SUMSQ(C544:C545)</f>
        <v>0.4444072634290589</v>
      </c>
      <c r="E545">
        <f t="shared" ref="E545" si="830">IF(AND(D545&gt;0,D545&lt;1),C545/SQRT(D545)*SQRT(-2*LN(D545)),"Brak")</f>
        <v>0.82029273644425982</v>
      </c>
      <c r="F545">
        <f t="shared" si="782"/>
        <v>189.8435128373311</v>
      </c>
    </row>
    <row r="546" spans="1:6" x14ac:dyDescent="0.3">
      <c r="A546">
        <v>0.64384508215606184</v>
      </c>
      <c r="B546" cm="1">
        <f t="array" ref="B546">_xlfn.NORM.INV(A546,_mu,_sigma)</f>
        <v>184.42506826593203</v>
      </c>
      <c r="C546">
        <f t="shared" si="783"/>
        <v>0.28769016431212369</v>
      </c>
      <c r="E546">
        <f t="shared" ref="E546" si="831">IF(AND(D547&gt;0,D547&lt;1),C546/SQRT(D547)*SQRT(-2*LN(D547)),"Brak")</f>
        <v>0.36734932730141201</v>
      </c>
      <c r="F546">
        <f t="shared" si="782"/>
        <v>184.40819192761694</v>
      </c>
    </row>
    <row r="547" spans="1:6" x14ac:dyDescent="0.3">
      <c r="A547">
        <v>0.8626348749573105</v>
      </c>
      <c r="B547" cm="1">
        <f t="array" ref="B547">_xlfn.NORM.INV(A547,_mu,_sigma)</f>
        <v>193.1068083152924</v>
      </c>
      <c r="C547">
        <f t="shared" si="783"/>
        <v>0.72526974991462101</v>
      </c>
      <c r="D547">
        <f t="shared" ref="D547" si="832">SUMSQ(C546:C547)</f>
        <v>0.60878184078315367</v>
      </c>
      <c r="E547">
        <f t="shared" ref="E547" si="833">IF(AND(D547&gt;0,D547&lt;1),C547/SQRT(D547)*SQRT(-2*LN(D547)),"Brak")</f>
        <v>0.92609128775825755</v>
      </c>
      <c r="F547">
        <f t="shared" si="782"/>
        <v>191.11309545309908</v>
      </c>
    </row>
    <row r="548" spans="1:6" x14ac:dyDescent="0.3">
      <c r="A548">
        <v>0.40314923720725115</v>
      </c>
      <c r="B548" cm="1">
        <f t="array" ref="B548">_xlfn.NORM.INV(A548,_mu,_sigma)</f>
        <v>177.05755192325688</v>
      </c>
      <c r="C548">
        <f t="shared" si="783"/>
        <v>-0.19370152558549769</v>
      </c>
      <c r="E548">
        <f t="shared" ref="E548" si="834">IF(AND(D549&gt;0,D549&lt;1),C548/SQRT(D549)*SQRT(-2*LN(D549)),"Brak")</f>
        <v>-0.33858946604191387</v>
      </c>
      <c r="F548">
        <f t="shared" si="782"/>
        <v>175.93692640749703</v>
      </c>
    </row>
    <row r="549" spans="1:6" x14ac:dyDescent="0.3">
      <c r="A549">
        <v>0.83266357117850676</v>
      </c>
      <c r="B549" cm="1">
        <f t="array" ref="B549">_xlfn.NORM.INV(A549,_mu,_sigma)</f>
        <v>191.57693263041838</v>
      </c>
      <c r="C549">
        <f t="shared" si="783"/>
        <v>0.66532714235701351</v>
      </c>
      <c r="D549">
        <f t="shared" ref="D549" si="835">SUMSQ(C548:C549)</f>
        <v>0.48018048737109897</v>
      </c>
      <c r="E549">
        <f t="shared" ref="E549" si="836">IF(AND(D549&gt;0,D549&lt;1),C549/SQRT(D549)*SQRT(-2*LN(D549)),"Brak")</f>
        <v>1.1629890946543979</v>
      </c>
      <c r="F549">
        <f t="shared" si="782"/>
        <v>193.95586913585277</v>
      </c>
    </row>
    <row r="550" spans="1:6" x14ac:dyDescent="0.3">
      <c r="A550">
        <v>0.73013177538212914</v>
      </c>
      <c r="B550" cm="1">
        <f t="array" ref="B550">_xlfn.NORM.INV(A550,_mu,_sigma)</f>
        <v>187.35853895340782</v>
      </c>
      <c r="C550">
        <f t="shared" si="783"/>
        <v>0.46026355076425829</v>
      </c>
      <c r="E550">
        <f t="shared" ref="E550" si="837">IF(AND(D551&gt;0,D551&lt;1),C550/SQRT(D551)*SQRT(-2*LN(D551)),"Brak")</f>
        <v>1.2637649369093591</v>
      </c>
      <c r="F550">
        <f t="shared" si="782"/>
        <v>195.1651792429123</v>
      </c>
    </row>
    <row r="551" spans="1:6" x14ac:dyDescent="0.3">
      <c r="A551">
        <v>0.3430505787723831</v>
      </c>
      <c r="B551" cm="1">
        <f t="array" ref="B551">_xlfn.NORM.INV(A551,_mu,_sigma)</f>
        <v>175.15017941375672</v>
      </c>
      <c r="C551">
        <f t="shared" si="783"/>
        <v>-0.31389884245523381</v>
      </c>
      <c r="D551">
        <f t="shared" ref="D551" si="838">SUMSQ(C550:C551)</f>
        <v>0.31037501945685869</v>
      </c>
      <c r="E551">
        <f t="shared" ref="E551" si="839">IF(AND(D551&gt;0,D551&lt;1),C551/SQRT(D551)*SQRT(-2*LN(D551)),"Brak")</f>
        <v>-0.86188521809440788</v>
      </c>
      <c r="F551">
        <f t="shared" si="782"/>
        <v>169.65737738286711</v>
      </c>
    </row>
    <row r="552" spans="1:6" x14ac:dyDescent="0.3">
      <c r="A552">
        <v>0.38043954104005473</v>
      </c>
      <c r="B552" cm="1">
        <f t="array" ref="B552">_xlfn.NORM.INV(A552,_mu,_sigma)</f>
        <v>176.34808080519394</v>
      </c>
      <c r="C552">
        <f t="shared" si="783"/>
        <v>-0.23912091791989054</v>
      </c>
      <c r="E552">
        <f t="shared" ref="E552" si="840">IF(AND(D553&gt;0,D553&lt;1),C552/SQRT(D553)*SQRT(-2*LN(D553)),"Brak")</f>
        <v>-1.2118174418564016</v>
      </c>
      <c r="F552">
        <f t="shared" si="782"/>
        <v>165.45819069772318</v>
      </c>
    </row>
    <row r="553" spans="1:6" x14ac:dyDescent="0.3">
      <c r="A553">
        <v>0.65110695441284094</v>
      </c>
      <c r="B553" cm="1">
        <f t="array" ref="B553">_xlfn.NORM.INV(A553,_mu,_sigma)</f>
        <v>184.65972886534524</v>
      </c>
      <c r="C553">
        <f t="shared" si="783"/>
        <v>0.30221390882568189</v>
      </c>
      <c r="D553">
        <f t="shared" ref="D553" si="841">SUMSQ(C552:C553)</f>
        <v>0.14851206007454859</v>
      </c>
      <c r="E553">
        <f t="shared" ref="E553" si="842">IF(AND(D553&gt;0,D553&lt;1),C553/SQRT(D553)*SQRT(-2*LN(D553)),"Brak")</f>
        <v>1.5315602209642492</v>
      </c>
      <c r="F553">
        <f t="shared" si="782"/>
        <v>198.378722651571</v>
      </c>
    </row>
    <row r="554" spans="1:6" x14ac:dyDescent="0.3">
      <c r="A554">
        <v>0.20701514432887202</v>
      </c>
      <c r="B554" cm="1">
        <f t="array" ref="B554">_xlfn.NORM.INV(A554,_mu,_sigma)</f>
        <v>170.19813874613817</v>
      </c>
      <c r="C554">
        <f t="shared" si="783"/>
        <v>-0.58596971134225595</v>
      </c>
      <c r="E554">
        <f t="shared" ref="E554" si="843">IF(AND(D555&gt;0,D555&lt;1),C554/SQRT(D555)*SQRT(-2*LN(D555)),"Brak")</f>
        <v>-1.124742128462751</v>
      </c>
      <c r="F554">
        <f t="shared" si="782"/>
        <v>166.50309445844698</v>
      </c>
    </row>
    <row r="555" spans="1:6" x14ac:dyDescent="0.3">
      <c r="A555">
        <v>0.65746354025655462</v>
      </c>
      <c r="B555" cm="1">
        <f t="array" ref="B555">_xlfn.NORM.INV(A555,_mu,_sigma)</f>
        <v>184.86660577692462</v>
      </c>
      <c r="C555">
        <f t="shared" si="783"/>
        <v>0.31492708051310925</v>
      </c>
      <c r="D555">
        <f t="shared" ref="D555" si="844">SUMSQ(C554:C555)</f>
        <v>0.44253956865103716</v>
      </c>
      <c r="E555">
        <f t="shared" ref="E555" si="845">IF(AND(D555&gt;0,D555&lt;1),C555/SQRT(D555)*SQRT(-2*LN(D555)),"Brak")</f>
        <v>0.60448816379177162</v>
      </c>
      <c r="F555">
        <f t="shared" si="782"/>
        <v>187.25385796550125</v>
      </c>
    </row>
    <row r="556" spans="1:6" x14ac:dyDescent="0.3">
      <c r="A556">
        <v>0.86290577224991794</v>
      </c>
      <c r="B556" cm="1">
        <f t="array" ref="B556">_xlfn.NORM.INV(A556,_mu,_sigma)</f>
        <v>193.12161370391411</v>
      </c>
      <c r="C556">
        <f t="shared" si="783"/>
        <v>0.72581154449983587</v>
      </c>
      <c r="E556">
        <f t="shared" ref="E556" si="846">IF(AND(D557&gt;0,D557&lt;1),C556/SQRT(D557)*SQRT(-2*LN(D557)),"Brak")</f>
        <v>0.8546201867774964</v>
      </c>
      <c r="F556">
        <f t="shared" si="782"/>
        <v>190.25544224132994</v>
      </c>
    </row>
    <row r="557" spans="1:6" x14ac:dyDescent="0.3">
      <c r="A557">
        <v>0.33091143585938665</v>
      </c>
      <c r="B557" cm="1">
        <f t="array" ref="B557">_xlfn.NORM.INV(A557,_mu,_sigma)</f>
        <v>174.75122627380804</v>
      </c>
      <c r="C557">
        <f t="shared" si="783"/>
        <v>-0.3381771282812267</v>
      </c>
      <c r="D557">
        <f t="shared" ref="D557" si="847">SUMSQ(C556:C557)</f>
        <v>0.64116616822177452</v>
      </c>
      <c r="E557">
        <f t="shared" ref="E557" si="848">IF(AND(D557&gt;0,D557&lt;1),C557/SQRT(D557)*SQRT(-2*LN(D557)),"Brak")</f>
        <v>-0.39819289556043247</v>
      </c>
      <c r="F557">
        <f t="shared" si="782"/>
        <v>175.22168525327481</v>
      </c>
    </row>
    <row r="558" spans="1:6" x14ac:dyDescent="0.3">
      <c r="A558">
        <v>0.85644973663673418</v>
      </c>
      <c r="B558" cm="1">
        <f t="array" ref="B558">_xlfn.NORM.INV(A558,_mu,_sigma)</f>
        <v>192.77404578959843</v>
      </c>
      <c r="C558">
        <f t="shared" si="783"/>
        <v>0.71289947327346836</v>
      </c>
      <c r="E558">
        <f t="shared" ref="E558" si="849">IF(AND(D559&gt;0,D559&lt;1),C558/SQRT(D559)*SQRT(-2*LN(D559)),"Brak")</f>
        <v>1.1623738152006071</v>
      </c>
      <c r="F558">
        <f t="shared" si="782"/>
        <v>193.94848578240729</v>
      </c>
    </row>
    <row r="559" spans="1:6" x14ac:dyDescent="0.3">
      <c r="A559">
        <v>0.50982718938333804</v>
      </c>
      <c r="B559" cm="1">
        <f t="array" ref="B559">_xlfn.NORM.INV(A559,_mu,_sigma)</f>
        <v>180.29562722982942</v>
      </c>
      <c r="C559">
        <f t="shared" si="783"/>
        <v>1.9654378766676084E-2</v>
      </c>
      <c r="D559">
        <f t="shared" ref="D559" si="850">SUMSQ(C558:C559)</f>
        <v>0.50861195359829259</v>
      </c>
      <c r="E559">
        <f t="shared" ref="E559" si="851">IF(AND(D559&gt;0,D559&lt;1),C559/SQRT(D559)*SQRT(-2*LN(D559)),"Brak")</f>
        <v>3.2046222628720408E-2</v>
      </c>
      <c r="F559">
        <f t="shared" si="782"/>
        <v>180.38455467154463</v>
      </c>
    </row>
    <row r="560" spans="1:6" x14ac:dyDescent="0.3">
      <c r="A560">
        <v>0.25296317438549121</v>
      </c>
      <c r="B560" cm="1">
        <f t="array" ref="B560">_xlfn.NORM.INV(A560,_mu,_sigma)</f>
        <v>172.01767070790038</v>
      </c>
      <c r="C560">
        <f t="shared" si="783"/>
        <v>-0.49407365122901759</v>
      </c>
      <c r="E560">
        <f t="shared" ref="E560" si="852">IF(AND(D561&gt;0,D561&lt;1),C560/SQRT(D561)*SQRT(-2*LN(D561)),"Brak")</f>
        <v>-0.29323798506581361</v>
      </c>
      <c r="F560">
        <f t="shared" si="782"/>
        <v>176.48114417921025</v>
      </c>
    </row>
    <row r="561" spans="1:6" x14ac:dyDescent="0.3">
      <c r="A561">
        <v>0.10776017405868066</v>
      </c>
      <c r="B561" cm="1">
        <f t="array" ref="B561">_xlfn.NORM.INV(A561,_mu,_sigma)</f>
        <v>165.13766405232411</v>
      </c>
      <c r="C561">
        <f t="shared" si="783"/>
        <v>-0.78447965188263868</v>
      </c>
      <c r="D561">
        <f t="shared" ref="D561" si="853">SUMSQ(C560:C561)</f>
        <v>0.85951709705667878</v>
      </c>
      <c r="E561">
        <f t="shared" ref="E561" si="854">IF(AND(D561&gt;0,D561&lt;1),C561/SQRT(D561)*SQRT(-2*LN(D561)),"Brak")</f>
        <v>-0.46559704584725153</v>
      </c>
      <c r="F561">
        <f t="shared" si="782"/>
        <v>174.41283544983298</v>
      </c>
    </row>
    <row r="562" spans="1:6" x14ac:dyDescent="0.3">
      <c r="A562">
        <v>0.63501938442596528</v>
      </c>
      <c r="B562" cm="1">
        <f t="array" ref="B562">_xlfn.NORM.INV(A562,_mu,_sigma)</f>
        <v>184.14212523812932</v>
      </c>
      <c r="C562">
        <f t="shared" si="783"/>
        <v>0.27003876885193057</v>
      </c>
      <c r="E562">
        <f t="shared" ref="E562" si="855">IF(AND(D563&gt;0,D563&lt;1),C562/SQRT(D563)*SQRT(-2*LN(D563)),"Brak")</f>
        <v>1.0609012052660416</v>
      </c>
      <c r="F562">
        <f t="shared" si="782"/>
        <v>192.7308144631925</v>
      </c>
    </row>
    <row r="563" spans="1:6" x14ac:dyDescent="0.3">
      <c r="A563">
        <v>0.31813966945584871</v>
      </c>
      <c r="B563" cm="1">
        <f t="array" ref="B563">_xlfn.NORM.INV(A563,_mu,_sigma)</f>
        <v>174.32511277546232</v>
      </c>
      <c r="C563">
        <f t="shared" si="783"/>
        <v>-0.36372066108830259</v>
      </c>
      <c r="D563">
        <f t="shared" ref="D563" si="856">SUMSQ(C562:C563)</f>
        <v>0.20521365598557828</v>
      </c>
      <c r="E563">
        <f t="shared" ref="E563" si="857">IF(AND(D563&gt;0,D563&lt;1),C563/SQRT(D563)*SQRT(-2*LN(D563)),"Brak")</f>
        <v>-1.4289492185484129</v>
      </c>
      <c r="F563">
        <f t="shared" si="782"/>
        <v>162.85260937741904</v>
      </c>
    </row>
    <row r="564" spans="1:6" x14ac:dyDescent="0.3">
      <c r="A564">
        <v>0.17499700545785712</v>
      </c>
      <c r="B564" cm="1">
        <f t="array" ref="B564">_xlfn.NORM.INV(A564,_mu,_sigma)</f>
        <v>168.78478910390771</v>
      </c>
      <c r="C564">
        <f t="shared" si="783"/>
        <v>-0.65000598908428575</v>
      </c>
      <c r="E564">
        <f t="shared" ref="E564" si="858">IF(AND(D565&gt;0,D565&lt;1),C564/SQRT(D565)*SQRT(-2*LN(D565)),"Brak")</f>
        <v>-0.90249588006065073</v>
      </c>
      <c r="F564">
        <f t="shared" si="782"/>
        <v>169.17004943927219</v>
      </c>
    </row>
    <row r="565" spans="1:6" x14ac:dyDescent="0.3">
      <c r="A565">
        <v>0.69505003443012836</v>
      </c>
      <c r="B565" cm="1">
        <f t="array" ref="B565">_xlfn.NORM.INV(A565,_mu,_sigma)</f>
        <v>186.1225956470694</v>
      </c>
      <c r="C565">
        <f t="shared" si="783"/>
        <v>0.39010006886025672</v>
      </c>
      <c r="D565">
        <f t="shared" ref="D565" si="859">SUMSQ(C564:C565)</f>
        <v>0.57468584957021762</v>
      </c>
      <c r="E565">
        <f t="shared" ref="E565" si="860">IF(AND(D565&gt;0,D565&lt;1),C565/SQRT(D565)*SQRT(-2*LN(D565)),"Brak")</f>
        <v>0.54163147858643201</v>
      </c>
      <c r="F565">
        <f t="shared" si="782"/>
        <v>186.49957774303718</v>
      </c>
    </row>
    <row r="566" spans="1:6" x14ac:dyDescent="0.3">
      <c r="A566">
        <v>0.29057613292400908</v>
      </c>
      <c r="B566" cm="1">
        <f t="array" ref="B566">_xlfn.NORM.INV(A566,_mu,_sigma)</f>
        <v>173.37957120816722</v>
      </c>
      <c r="C566">
        <f t="shared" si="783"/>
        <v>-0.41884773415198184</v>
      </c>
      <c r="E566">
        <f t="shared" ref="E566" si="861">IF(AND(D567&gt;0,D567&lt;1),C566/SQRT(D567)*SQRT(-2*LN(D567)),"Brak")</f>
        <v>-0.25634009895709314</v>
      </c>
      <c r="F566">
        <f t="shared" si="782"/>
        <v>176.92391881251487</v>
      </c>
    </row>
    <row r="567" spans="1:6" x14ac:dyDescent="0.3">
      <c r="A567">
        <v>0.91140377219125213</v>
      </c>
      <c r="B567" cm="1">
        <f t="array" ref="B567">_xlfn.NORM.INV(A567,_mu,_sigma)</f>
        <v>196.19340053910361</v>
      </c>
      <c r="C567">
        <f t="shared" si="783"/>
        <v>0.82280754438250425</v>
      </c>
      <c r="D567">
        <f t="shared" ref="D567" si="862">SUMSQ(C566:C567)</f>
        <v>0.852445679497016</v>
      </c>
      <c r="E567">
        <f t="shared" ref="E567" si="863">IF(AND(D567&gt;0,D567&lt;1),C567/SQRT(D567)*SQRT(-2*LN(D567)),"Brak")</f>
        <v>0.50356860059584485</v>
      </c>
      <c r="F567">
        <f t="shared" si="782"/>
        <v>186.04282320715015</v>
      </c>
    </row>
    <row r="568" spans="1:6" x14ac:dyDescent="0.3">
      <c r="A568">
        <v>0.44814764350770686</v>
      </c>
      <c r="B568" cm="1">
        <f t="array" ref="B568">_xlfn.NORM.INV(A568,_mu,_sigma)</f>
        <v>178.43588742597839</v>
      </c>
      <c r="C568">
        <f t="shared" si="783"/>
        <v>-0.10370471298458628</v>
      </c>
      <c r="E568">
        <f t="shared" ref="E568" si="864">IF(AND(D569&gt;0,D569&lt;1),C568/SQRT(D569)*SQRT(-2*LN(D569)),"Brak")</f>
        <v>-6.3698122044910654E-2</v>
      </c>
      <c r="F568">
        <f t="shared" si="782"/>
        <v>179.23562253546106</v>
      </c>
    </row>
    <row r="569" spans="1:6" x14ac:dyDescent="0.3">
      <c r="A569">
        <v>4.1512845063988113E-2</v>
      </c>
      <c r="B569" cm="1">
        <f t="array" ref="B569">_xlfn.NORM.INV(A569,_mu,_sigma)</f>
        <v>159.19927381223016</v>
      </c>
      <c r="C569">
        <f t="shared" si="783"/>
        <v>-0.91697430987202377</v>
      </c>
      <c r="D569">
        <f t="shared" ref="D569" si="865">SUMSQ(C568:C569)</f>
        <v>0.8515965524604896</v>
      </c>
      <c r="E569">
        <f t="shared" ref="E569" si="866">IF(AND(D569&gt;0,D569&lt;1),C569/SQRT(D569)*SQRT(-2*LN(D569)),"Brak")</f>
        <v>-0.56322938293997638</v>
      </c>
      <c r="F569">
        <f t="shared" si="782"/>
        <v>173.2412474047203</v>
      </c>
    </row>
    <row r="570" spans="1:6" x14ac:dyDescent="0.3">
      <c r="A570">
        <v>0.30618928544930513</v>
      </c>
      <c r="B570" cm="1">
        <f t="array" ref="B570">_xlfn.NORM.INV(A570,_mu,_sigma)</f>
        <v>173.91982640671813</v>
      </c>
      <c r="C570">
        <f t="shared" si="783"/>
        <v>-0.38762142910138975</v>
      </c>
      <c r="E570">
        <f t="shared" ref="E570" si="867">IF(AND(D571&gt;0,D571&lt;1),C570/SQRT(D571)*SQRT(-2*LN(D571)),"Brak")</f>
        <v>-1.7455538323223891</v>
      </c>
      <c r="F570">
        <f t="shared" si="782"/>
        <v>159.05335401213134</v>
      </c>
    </row>
    <row r="571" spans="1:6" x14ac:dyDescent="0.3">
      <c r="A571">
        <v>0.57544741818368128</v>
      </c>
      <c r="B571" cm="1">
        <f t="array" ref="B571">_xlfn.NORM.INV(A571,_mu,_sigma)</f>
        <v>182.28312356562469</v>
      </c>
      <c r="C571">
        <f t="shared" si="783"/>
        <v>0.15089483636736256</v>
      </c>
      <c r="D571">
        <f t="shared" ref="D571" si="868">SUMSQ(C570:C571)</f>
        <v>0.17301962394093684</v>
      </c>
      <c r="E571">
        <f t="shared" ref="E571" si="869">IF(AND(D571&gt;0,D571&lt;1),C571/SQRT(D571)*SQRT(-2*LN(D571)),"Brak")</f>
        <v>0.67951624993832205</v>
      </c>
      <c r="F571">
        <f t="shared" si="782"/>
        <v>188.15419499925986</v>
      </c>
    </row>
    <row r="572" spans="1:6" x14ac:dyDescent="0.3">
      <c r="A572">
        <v>0.95104287202550819</v>
      </c>
      <c r="B572" cm="1">
        <f t="array" ref="B572">_xlfn.NORM.INV(A572,_mu,_sigma)</f>
        <v>199.86060591830858</v>
      </c>
      <c r="C572">
        <f t="shared" si="783"/>
        <v>0.90208574405101638</v>
      </c>
      <c r="E572" t="str">
        <f t="shared" ref="E572" si="870">IF(AND(D573&gt;0,D573&lt;1),C572/SQRT(D573)*SQRT(-2*LN(D573)),"Brak")</f>
        <v>Brak</v>
      </c>
      <c r="F572" t="str">
        <f t="shared" si="782"/>
        <v>Brak</v>
      </c>
    </row>
    <row r="573" spans="1:6" x14ac:dyDescent="0.3">
      <c r="A573">
        <v>0.12489082878661284</v>
      </c>
      <c r="B573" cm="1">
        <f t="array" ref="B573">_xlfn.NORM.INV(A573,_mu,_sigma)</f>
        <v>166.18944148006298</v>
      </c>
      <c r="C573">
        <f t="shared" si="783"/>
        <v>-0.75021834242677432</v>
      </c>
      <c r="D573">
        <f t="shared" ref="D573" si="871">SUMSQ(C572:C573)</f>
        <v>1.3765862509336526</v>
      </c>
      <c r="E573" t="str">
        <f t="shared" ref="E573" si="872">IF(AND(D573&gt;0,D573&lt;1),C573/SQRT(D573)*SQRT(-2*LN(D573)),"Brak")</f>
        <v>Brak</v>
      </c>
      <c r="F573" t="str">
        <f t="shared" si="782"/>
        <v>Brak</v>
      </c>
    </row>
    <row r="574" spans="1:6" x14ac:dyDescent="0.3">
      <c r="A574">
        <v>0.26221258927277113</v>
      </c>
      <c r="B574" cm="1">
        <f t="array" ref="B574">_xlfn.NORM.INV(A574,_mu,_sigma)</f>
        <v>172.36153216237977</v>
      </c>
      <c r="C574">
        <f t="shared" si="783"/>
        <v>-0.47557482145445773</v>
      </c>
      <c r="E574">
        <f t="shared" ref="E574" si="873">IF(AND(D575&gt;0,D575&lt;1),C574/SQRT(D575)*SQRT(-2*LN(D575)),"Brak")</f>
        <v>-1.4494917502795213</v>
      </c>
      <c r="F574">
        <f t="shared" si="782"/>
        <v>162.60609899664576</v>
      </c>
    </row>
    <row r="575" spans="1:6" x14ac:dyDescent="0.3">
      <c r="A575">
        <v>0.61234093967517467</v>
      </c>
      <c r="B575" cm="1">
        <f t="array" ref="B575">_xlfn.NORM.INV(A575,_mu,_sigma)</f>
        <v>183.4251068283566</v>
      </c>
      <c r="C575">
        <f t="shared" si="783"/>
        <v>0.22468187935034933</v>
      </c>
      <c r="D575">
        <f t="shared" ref="D575" si="874">SUMSQ(C574:C575)</f>
        <v>0.27665335770984428</v>
      </c>
      <c r="E575">
        <f t="shared" ref="E575" si="875">IF(AND(D575&gt;0,D575&lt;1),C575/SQRT(D575)*SQRT(-2*LN(D575)),"Brak")</f>
        <v>0.68480187735678411</v>
      </c>
      <c r="F575">
        <f t="shared" si="782"/>
        <v>188.21762252828142</v>
      </c>
    </row>
    <row r="576" spans="1:6" x14ac:dyDescent="0.3">
      <c r="A576">
        <v>0.30708152538454525</v>
      </c>
      <c r="B576" cm="1">
        <f t="array" ref="B576">_xlfn.NORM.INV(A576,_mu,_sigma)</f>
        <v>173.95032086856918</v>
      </c>
      <c r="C576">
        <f t="shared" si="783"/>
        <v>-0.3858369492309095</v>
      </c>
      <c r="E576" t="str">
        <f t="shared" ref="E576" si="876">IF(AND(D577&gt;0,D577&lt;1),C576/SQRT(D577)*SQRT(-2*LN(D577)),"Brak")</f>
        <v>Brak</v>
      </c>
      <c r="F576" t="str">
        <f t="shared" si="782"/>
        <v>Brak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9FF-4C24-4866-9A9E-FCE0218E963E}">
  <sheetPr codeName="Arkusz3"/>
  <dimension ref="A3:B9"/>
  <sheetViews>
    <sheetView workbookViewId="0">
      <selection activeCell="D4" sqref="D4"/>
    </sheetView>
  </sheetViews>
  <sheetFormatPr defaultRowHeight="14.4" x14ac:dyDescent="0.3"/>
  <cols>
    <col min="1" max="1" width="16.5546875" bestFit="1" customWidth="1"/>
    <col min="2" max="2" width="13.5546875" bestFit="1" customWidth="1"/>
  </cols>
  <sheetData>
    <row r="3" spans="1:2" x14ac:dyDescent="0.3">
      <c r="A3" s="1" t="s">
        <v>31</v>
      </c>
      <c r="B3" t="s">
        <v>33</v>
      </c>
    </row>
    <row r="4" spans="1:2" x14ac:dyDescent="0.3">
      <c r="A4" s="2" t="s">
        <v>37</v>
      </c>
      <c r="B4" s="3">
        <v>7</v>
      </c>
    </row>
    <row r="5" spans="1:2" x14ac:dyDescent="0.3">
      <c r="A5" s="2" t="s">
        <v>38</v>
      </c>
      <c r="B5" s="3">
        <v>174</v>
      </c>
    </row>
    <row r="6" spans="1:2" x14ac:dyDescent="0.3">
      <c r="A6" s="2" t="s">
        <v>39</v>
      </c>
      <c r="B6" s="3">
        <v>308</v>
      </c>
    </row>
    <row r="7" spans="1:2" x14ac:dyDescent="0.3">
      <c r="A7" s="2" t="s">
        <v>40</v>
      </c>
      <c r="B7" s="3">
        <v>83</v>
      </c>
    </row>
    <row r="8" spans="1:2" x14ac:dyDescent="0.3">
      <c r="A8" s="2" t="s">
        <v>41</v>
      </c>
      <c r="B8" s="3">
        <v>3</v>
      </c>
    </row>
    <row r="9" spans="1:2" x14ac:dyDescent="0.3">
      <c r="A9" s="2" t="s">
        <v>32</v>
      </c>
      <c r="B9" s="3">
        <v>575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48B9-9643-4E41-AF85-9A57802282A8}">
  <sheetPr codeName="Arkusz4"/>
  <dimension ref="A1:N204"/>
  <sheetViews>
    <sheetView tabSelected="1" workbookViewId="0">
      <selection activeCell="D33" sqref="D33"/>
    </sheetView>
  </sheetViews>
  <sheetFormatPr defaultRowHeight="14.4" x14ac:dyDescent="0.3"/>
  <sheetData>
    <row r="1" spans="1:14" x14ac:dyDescent="0.3">
      <c r="B1" t="s">
        <v>7</v>
      </c>
      <c r="D1">
        <f>AVERAGE(B:B)</f>
        <v>179.26</v>
      </c>
      <c r="F1" t="s">
        <v>34</v>
      </c>
      <c r="H1" t="s">
        <v>35</v>
      </c>
      <c r="I1" t="s">
        <v>36</v>
      </c>
      <c r="L1" t="s">
        <v>42</v>
      </c>
    </row>
    <row r="2" spans="1:14" x14ac:dyDescent="0.3">
      <c r="A2">
        <v>1</v>
      </c>
      <c r="B2">
        <f>Arkusz1!C2</f>
        <v>162</v>
      </c>
      <c r="D2">
        <f>_xlfn.STDEV.S(B:B)</f>
        <v>10.631210009336959</v>
      </c>
      <c r="F2">
        <v>0</v>
      </c>
      <c r="G2">
        <v>145</v>
      </c>
      <c r="H2">
        <f>COUNTIF(B:B,"&lt;="&amp;G2)/$D$7</f>
        <v>0</v>
      </c>
      <c r="I2">
        <f>_xlfn.NORM.DIST(G2,[0]!_mu, [0]!_sigma,TRUE)</f>
        <v>1.7689682391110516E-3</v>
      </c>
      <c r="L2" t="s">
        <v>43</v>
      </c>
      <c r="M2" t="s">
        <v>44</v>
      </c>
      <c r="N2" t="s">
        <v>45</v>
      </c>
    </row>
    <row r="3" spans="1:14" x14ac:dyDescent="0.3">
      <c r="A3">
        <v>2</v>
      </c>
      <c r="B3">
        <f>Arkusz1!C3</f>
        <v>191</v>
      </c>
      <c r="F3">
        <v>1</v>
      </c>
      <c r="G3">
        <f>SMALL(B:B,(F3+1)/2)</f>
        <v>148</v>
      </c>
      <c r="H3">
        <f>COUNTIF(B:B,"&lt;"&amp;G3)/$D$7</f>
        <v>0</v>
      </c>
      <c r="I3">
        <f>_xlfn.NORM.DIST(G3,[0]!_mu, [0]!_sigma,TRUE)</f>
        <v>3.8303805675897356E-3</v>
      </c>
      <c r="L3">
        <v>1</v>
      </c>
      <c r="M3">
        <f>SMALL(B:B,L3)</f>
        <v>148</v>
      </c>
      <c r="N3" t="e">
        <f>QNorm((L3-1/2)/$D$7)</f>
        <v>#VALUE!</v>
      </c>
    </row>
    <row r="4" spans="1:14" x14ac:dyDescent="0.3">
      <c r="A4">
        <v>3</v>
      </c>
      <c r="B4">
        <f>Arkusz1!C4</f>
        <v>177</v>
      </c>
      <c r="D4">
        <f>MIN(B:B)</f>
        <v>148</v>
      </c>
      <c r="E4" t="s">
        <v>11</v>
      </c>
      <c r="F4">
        <v>2</v>
      </c>
      <c r="G4">
        <f>SMALL(B:B,(F4+1)/2)</f>
        <v>148</v>
      </c>
      <c r="H4">
        <f>COUNTIF(B:B,"&lt;="&amp;G4)/$D$7</f>
        <v>0.01</v>
      </c>
      <c r="I4">
        <f>_xlfn.NORM.DIST(G4,[0]!_mu, [0]!_sigma,TRUE)</f>
        <v>3.8303805675897356E-3</v>
      </c>
      <c r="L4">
        <v>2</v>
      </c>
      <c r="M4">
        <f t="shared" ref="M4:M42" si="0">SMALL(B:B,L4)</f>
        <v>154</v>
      </c>
      <c r="N4" t="e">
        <f t="shared" ref="N4:N42" si="1">QNorm((L4-1/2)/$D$7)</f>
        <v>#VALUE!</v>
      </c>
    </row>
    <row r="5" spans="1:14" x14ac:dyDescent="0.3">
      <c r="A5">
        <v>4</v>
      </c>
      <c r="B5">
        <f>Arkusz1!C5</f>
        <v>174</v>
      </c>
      <c r="D5">
        <f>MAX(B:B)</f>
        <v>210</v>
      </c>
      <c r="E5" t="s">
        <v>12</v>
      </c>
      <c r="F5">
        <v>3</v>
      </c>
      <c r="G5">
        <f>SMALL(B:B,(F5+1)/2)</f>
        <v>154</v>
      </c>
      <c r="H5">
        <f t="shared" ref="H5" si="2">COUNTIF(B:B,"&lt;"&amp;G5)/$D$7</f>
        <v>0.01</v>
      </c>
      <c r="I5">
        <f>_xlfn.NORM.DIST(G5,[0]!_mu, [0]!_sigma,TRUE)</f>
        <v>1.5130140010235814E-2</v>
      </c>
      <c r="L5">
        <v>3</v>
      </c>
      <c r="M5">
        <f t="shared" si="0"/>
        <v>158</v>
      </c>
      <c r="N5" t="e">
        <f t="shared" si="1"/>
        <v>#VALUE!</v>
      </c>
    </row>
    <row r="6" spans="1:14" x14ac:dyDescent="0.3">
      <c r="A6">
        <v>5</v>
      </c>
      <c r="B6">
        <f>Arkusz1!C6</f>
        <v>186</v>
      </c>
      <c r="F6">
        <v>4</v>
      </c>
      <c r="G6">
        <f t="shared" ref="G6:G69" si="3">SMALL(B:B,(F6+1)/2)</f>
        <v>154</v>
      </c>
      <c r="H6">
        <f t="shared" ref="H6" si="4">COUNTIF(B:B,"&lt;="&amp;G6)/$D$7</f>
        <v>0.02</v>
      </c>
      <c r="I6">
        <f>_xlfn.NORM.DIST(G6,[0]!_mu, [0]!_sigma,TRUE)</f>
        <v>1.5130140010235814E-2</v>
      </c>
      <c r="L6">
        <v>4</v>
      </c>
      <c r="M6">
        <f t="shared" si="0"/>
        <v>161</v>
      </c>
      <c r="N6" t="e">
        <f t="shared" si="1"/>
        <v>#VALUE!</v>
      </c>
    </row>
    <row r="7" spans="1:14" x14ac:dyDescent="0.3">
      <c r="A7">
        <v>6</v>
      </c>
      <c r="B7">
        <f>Arkusz1!C7</f>
        <v>189</v>
      </c>
      <c r="D7">
        <f>COUNT(B:B)</f>
        <v>100</v>
      </c>
      <c r="F7">
        <v>5</v>
      </c>
      <c r="G7">
        <f t="shared" si="3"/>
        <v>158</v>
      </c>
      <c r="H7">
        <f t="shared" ref="H7" si="5">COUNTIF(B:B,"&lt;"&amp;G7)/$D$7</f>
        <v>0.02</v>
      </c>
      <c r="I7">
        <f>_xlfn.NORM.DIST(G7,[0]!_mu, [0]!_sigma,TRUE)</f>
        <v>3.337650758481725E-2</v>
      </c>
      <c r="L7">
        <v>5</v>
      </c>
      <c r="M7">
        <f t="shared" si="0"/>
        <v>162</v>
      </c>
      <c r="N7" t="e">
        <f t="shared" si="1"/>
        <v>#VALUE!</v>
      </c>
    </row>
    <row r="8" spans="1:14" x14ac:dyDescent="0.3">
      <c r="A8">
        <v>7</v>
      </c>
      <c r="B8">
        <f>Arkusz1!C8</f>
        <v>210</v>
      </c>
      <c r="F8">
        <v>6</v>
      </c>
      <c r="G8">
        <f t="shared" si="3"/>
        <v>158</v>
      </c>
      <c r="H8">
        <f t="shared" ref="H8" si="6">COUNTIF(B:B,"&lt;="&amp;G8)/$D$7</f>
        <v>0.03</v>
      </c>
      <c r="I8">
        <f>_xlfn.NORM.DIST(G8,[0]!_mu, [0]!_sigma,TRUE)</f>
        <v>3.337650758481725E-2</v>
      </c>
      <c r="L8">
        <v>6</v>
      </c>
      <c r="M8">
        <f t="shared" si="0"/>
        <v>162</v>
      </c>
      <c r="N8" t="e">
        <f t="shared" si="1"/>
        <v>#VALUE!</v>
      </c>
    </row>
    <row r="9" spans="1:14" x14ac:dyDescent="0.3">
      <c r="A9">
        <v>8</v>
      </c>
      <c r="B9">
        <f>Arkusz1!C9</f>
        <v>183</v>
      </c>
      <c r="F9">
        <v>7</v>
      </c>
      <c r="G9">
        <f t="shared" si="3"/>
        <v>161</v>
      </c>
      <c r="H9">
        <f t="shared" ref="H9" si="7">COUNTIF(B:B,"&lt;"&amp;G9)/$D$7</f>
        <v>0.03</v>
      </c>
      <c r="I9">
        <f>_xlfn.NORM.DIST(G9,[0]!_mu, [0]!_sigma,TRUE)</f>
        <v>5.6672754609762913E-2</v>
      </c>
      <c r="L9">
        <v>7</v>
      </c>
      <c r="M9">
        <f t="shared" si="0"/>
        <v>162</v>
      </c>
      <c r="N9" t="e">
        <f t="shared" si="1"/>
        <v>#VALUE!</v>
      </c>
    </row>
    <row r="10" spans="1:14" x14ac:dyDescent="0.3">
      <c r="A10">
        <v>9</v>
      </c>
      <c r="B10">
        <f>Arkusz1!C10</f>
        <v>170</v>
      </c>
      <c r="F10">
        <v>8</v>
      </c>
      <c r="G10">
        <f t="shared" si="3"/>
        <v>161</v>
      </c>
      <c r="H10">
        <f t="shared" ref="H10" si="8">COUNTIF(B:B,"&lt;="&amp;G10)/$D$7</f>
        <v>0.04</v>
      </c>
      <c r="I10">
        <f>_xlfn.NORM.DIST(G10,[0]!_mu, [0]!_sigma,TRUE)</f>
        <v>5.6672754609762913E-2</v>
      </c>
      <c r="L10">
        <v>8</v>
      </c>
      <c r="M10">
        <f t="shared" si="0"/>
        <v>164</v>
      </c>
      <c r="N10" t="e">
        <f t="shared" si="1"/>
        <v>#VALUE!</v>
      </c>
    </row>
    <row r="11" spans="1:14" x14ac:dyDescent="0.3">
      <c r="A11">
        <v>10</v>
      </c>
      <c r="B11">
        <f>Arkusz1!C11</f>
        <v>148</v>
      </c>
      <c r="F11">
        <v>9</v>
      </c>
      <c r="G11">
        <f t="shared" si="3"/>
        <v>162</v>
      </c>
      <c r="H11">
        <f t="shared" ref="H11" si="9">COUNTIF(B:B,"&lt;"&amp;G11)/$D$7</f>
        <v>0.04</v>
      </c>
      <c r="I11">
        <f>_xlfn.NORM.DIST(G11,[0]!_mu, [0]!_sigma,TRUE)</f>
        <v>6.6807201268858057E-2</v>
      </c>
      <c r="L11">
        <v>9</v>
      </c>
      <c r="M11">
        <f t="shared" si="0"/>
        <v>165</v>
      </c>
      <c r="N11" t="e">
        <f t="shared" si="1"/>
        <v>#VALUE!</v>
      </c>
    </row>
    <row r="12" spans="1:14" x14ac:dyDescent="0.3">
      <c r="A12">
        <v>11</v>
      </c>
      <c r="B12">
        <f>Arkusz1!C12</f>
        <v>168</v>
      </c>
      <c r="F12">
        <v>10</v>
      </c>
      <c r="G12">
        <f t="shared" si="3"/>
        <v>162</v>
      </c>
      <c r="H12">
        <f t="shared" ref="H12" si="10">COUNTIF(B:B,"&lt;="&amp;G12)/$D$7</f>
        <v>7.0000000000000007E-2</v>
      </c>
      <c r="I12">
        <f>_xlfn.NORM.DIST(G12,[0]!_mu, [0]!_sigma,TRUE)</f>
        <v>6.6807201268858057E-2</v>
      </c>
      <c r="L12">
        <v>10</v>
      </c>
      <c r="M12">
        <f t="shared" si="0"/>
        <v>167</v>
      </c>
      <c r="N12" t="e">
        <f t="shared" si="1"/>
        <v>#VALUE!</v>
      </c>
    </row>
    <row r="13" spans="1:14" x14ac:dyDescent="0.3">
      <c r="A13">
        <v>12</v>
      </c>
      <c r="B13">
        <f>Arkusz1!C13</f>
        <v>178</v>
      </c>
      <c r="F13">
        <v>11</v>
      </c>
      <c r="G13">
        <f t="shared" si="3"/>
        <v>162</v>
      </c>
      <c r="H13">
        <f t="shared" ref="H13" si="11">COUNTIF(B:B,"&lt;"&amp;G13)/$D$7</f>
        <v>0.04</v>
      </c>
      <c r="I13">
        <f>_xlfn.NORM.DIST(G13,[0]!_mu, [0]!_sigma,TRUE)</f>
        <v>6.6807201268858057E-2</v>
      </c>
      <c r="L13">
        <v>11</v>
      </c>
      <c r="M13">
        <f t="shared" si="0"/>
        <v>167</v>
      </c>
      <c r="N13" t="e">
        <f t="shared" si="1"/>
        <v>#VALUE!</v>
      </c>
    </row>
    <row r="14" spans="1:14" x14ac:dyDescent="0.3">
      <c r="A14">
        <v>13</v>
      </c>
      <c r="B14">
        <f>Arkusz1!C14</f>
        <v>170</v>
      </c>
      <c r="F14">
        <v>12</v>
      </c>
      <c r="G14">
        <f t="shared" si="3"/>
        <v>162</v>
      </c>
      <c r="H14">
        <f t="shared" ref="H14" si="12">COUNTIF(B:B,"&lt;="&amp;G14)/$D$7</f>
        <v>7.0000000000000007E-2</v>
      </c>
      <c r="I14">
        <f>_xlfn.NORM.DIST(G14,[0]!_mu, [0]!_sigma,TRUE)</f>
        <v>6.6807201268858057E-2</v>
      </c>
      <c r="L14">
        <v>12</v>
      </c>
      <c r="M14">
        <f t="shared" si="0"/>
        <v>168</v>
      </c>
      <c r="N14" t="e">
        <f t="shared" si="1"/>
        <v>#VALUE!</v>
      </c>
    </row>
    <row r="15" spans="1:14" x14ac:dyDescent="0.3">
      <c r="A15">
        <v>14</v>
      </c>
      <c r="B15">
        <f>Arkusz1!C15</f>
        <v>186</v>
      </c>
      <c r="F15">
        <v>13</v>
      </c>
      <c r="G15">
        <f t="shared" si="3"/>
        <v>162</v>
      </c>
      <c r="H15">
        <f t="shared" ref="H15" si="13">COUNTIF(B:B,"&lt;"&amp;G15)/$D$7</f>
        <v>0.04</v>
      </c>
      <c r="I15">
        <f>_xlfn.NORM.DIST(G15,[0]!_mu, [0]!_sigma,TRUE)</f>
        <v>6.6807201268858057E-2</v>
      </c>
      <c r="L15">
        <v>13</v>
      </c>
      <c r="M15">
        <f t="shared" si="0"/>
        <v>168</v>
      </c>
      <c r="N15" t="e">
        <f t="shared" si="1"/>
        <v>#VALUE!</v>
      </c>
    </row>
    <row r="16" spans="1:14" x14ac:dyDescent="0.3">
      <c r="A16">
        <v>15</v>
      </c>
      <c r="B16">
        <f>Arkusz1!C16</f>
        <v>175</v>
      </c>
      <c r="F16">
        <v>14</v>
      </c>
      <c r="G16">
        <f t="shared" si="3"/>
        <v>162</v>
      </c>
      <c r="H16">
        <f t="shared" ref="H16" si="14">COUNTIF(B:B,"&lt;="&amp;G16)/$D$7</f>
        <v>7.0000000000000007E-2</v>
      </c>
      <c r="I16">
        <f>_xlfn.NORM.DIST(G16,[0]!_mu, [0]!_sigma,TRUE)</f>
        <v>6.6807201268858057E-2</v>
      </c>
      <c r="L16">
        <v>14</v>
      </c>
      <c r="M16">
        <f t="shared" si="0"/>
        <v>169</v>
      </c>
      <c r="N16" t="e">
        <f t="shared" si="1"/>
        <v>#VALUE!</v>
      </c>
    </row>
    <row r="17" spans="1:14" x14ac:dyDescent="0.3">
      <c r="A17">
        <v>16</v>
      </c>
      <c r="B17">
        <f>Arkusz1!C17</f>
        <v>154</v>
      </c>
      <c r="F17">
        <v>15</v>
      </c>
      <c r="G17">
        <f t="shared" si="3"/>
        <v>164</v>
      </c>
      <c r="H17">
        <f t="shared" ref="H17" si="15">COUNTIF(B:B,"&lt;"&amp;G17)/$D$7</f>
        <v>7.0000000000000007E-2</v>
      </c>
      <c r="I17">
        <f>_xlfn.NORM.DIST(G17,[0]!_mu, [0]!_sigma,TRUE)</f>
        <v>9.1211219725867876E-2</v>
      </c>
      <c r="L17">
        <v>15</v>
      </c>
      <c r="M17">
        <f t="shared" si="0"/>
        <v>169</v>
      </c>
      <c r="N17" t="e">
        <f t="shared" si="1"/>
        <v>#VALUE!</v>
      </c>
    </row>
    <row r="18" spans="1:14" x14ac:dyDescent="0.3">
      <c r="A18">
        <v>17</v>
      </c>
      <c r="B18">
        <f>Arkusz1!C18</f>
        <v>189</v>
      </c>
      <c r="F18">
        <v>16</v>
      </c>
      <c r="G18">
        <f t="shared" si="3"/>
        <v>164</v>
      </c>
      <c r="H18">
        <f t="shared" ref="H18" si="16">COUNTIF(B:B,"&lt;="&amp;G18)/$D$7</f>
        <v>0.08</v>
      </c>
      <c r="I18">
        <f>_xlfn.NORM.DIST(G18,[0]!_mu, [0]!_sigma,TRUE)</f>
        <v>9.1211219725867876E-2</v>
      </c>
      <c r="L18">
        <v>16</v>
      </c>
      <c r="M18">
        <f t="shared" si="0"/>
        <v>170</v>
      </c>
      <c r="N18" t="e">
        <f t="shared" si="1"/>
        <v>#VALUE!</v>
      </c>
    </row>
    <row r="19" spans="1:14" x14ac:dyDescent="0.3">
      <c r="A19">
        <v>18</v>
      </c>
      <c r="B19">
        <f>Arkusz1!C19</f>
        <v>191</v>
      </c>
      <c r="F19">
        <v>17</v>
      </c>
      <c r="G19">
        <f t="shared" si="3"/>
        <v>165</v>
      </c>
      <c r="H19">
        <f t="shared" ref="H19" si="17">COUNTIF(B:B,"&lt;"&amp;G19)/$D$7</f>
        <v>0.08</v>
      </c>
      <c r="I19">
        <f>_xlfn.NORM.DIST(G19,[0]!_mu, [0]!_sigma,TRUE)</f>
        <v>0.10564977366685525</v>
      </c>
      <c r="L19">
        <v>17</v>
      </c>
      <c r="M19">
        <f t="shared" si="0"/>
        <v>170</v>
      </c>
      <c r="N19" t="e">
        <f t="shared" si="1"/>
        <v>#VALUE!</v>
      </c>
    </row>
    <row r="20" spans="1:14" x14ac:dyDescent="0.3">
      <c r="A20">
        <v>19</v>
      </c>
      <c r="B20">
        <f>Arkusz1!C20</f>
        <v>180</v>
      </c>
      <c r="F20">
        <v>18</v>
      </c>
      <c r="G20">
        <f t="shared" si="3"/>
        <v>165</v>
      </c>
      <c r="H20">
        <f t="shared" ref="H20" si="18">COUNTIF(B:B,"&lt;="&amp;G20)/$D$7</f>
        <v>0.09</v>
      </c>
      <c r="I20">
        <f>_xlfn.NORM.DIST(G20,[0]!_mu, [0]!_sigma,TRUE)</f>
        <v>0.10564977366685525</v>
      </c>
      <c r="L20">
        <v>18</v>
      </c>
      <c r="M20">
        <f t="shared" si="0"/>
        <v>170</v>
      </c>
      <c r="N20" t="e">
        <f t="shared" si="1"/>
        <v>#VALUE!</v>
      </c>
    </row>
    <row r="21" spans="1:14" x14ac:dyDescent="0.3">
      <c r="A21">
        <v>20</v>
      </c>
      <c r="B21">
        <f>Arkusz1!C21</f>
        <v>174</v>
      </c>
      <c r="F21">
        <v>19</v>
      </c>
      <c r="G21">
        <f t="shared" si="3"/>
        <v>167</v>
      </c>
      <c r="H21">
        <f t="shared" ref="H21" si="19">COUNTIF(B:B,"&lt;"&amp;G21)/$D$7</f>
        <v>0.09</v>
      </c>
      <c r="I21">
        <f>_xlfn.NORM.DIST(G21,[0]!_mu, [0]!_sigma,TRUE)</f>
        <v>0.13933024744962202</v>
      </c>
      <c r="L21">
        <v>19</v>
      </c>
      <c r="M21">
        <f t="shared" si="0"/>
        <v>170</v>
      </c>
      <c r="N21" t="e">
        <f t="shared" si="1"/>
        <v>#VALUE!</v>
      </c>
    </row>
    <row r="22" spans="1:14" x14ac:dyDescent="0.3">
      <c r="A22">
        <v>21</v>
      </c>
      <c r="B22">
        <f>Arkusz1!C22</f>
        <v>180</v>
      </c>
      <c r="F22">
        <v>20</v>
      </c>
      <c r="G22">
        <f t="shared" si="3"/>
        <v>167</v>
      </c>
      <c r="H22">
        <f t="shared" ref="H22" si="20">COUNTIF(B:B,"&lt;="&amp;G22)/$D$7</f>
        <v>0.11</v>
      </c>
      <c r="I22">
        <f>_xlfn.NORM.DIST(G22,[0]!_mu, [0]!_sigma,TRUE)</f>
        <v>0.13933024744962202</v>
      </c>
      <c r="L22">
        <v>20</v>
      </c>
      <c r="M22">
        <f t="shared" si="0"/>
        <v>171</v>
      </c>
      <c r="N22" t="e">
        <f t="shared" si="1"/>
        <v>#VALUE!</v>
      </c>
    </row>
    <row r="23" spans="1:14" x14ac:dyDescent="0.3">
      <c r="A23">
        <v>22</v>
      </c>
      <c r="B23">
        <f>Arkusz1!C23</f>
        <v>173</v>
      </c>
      <c r="F23">
        <v>21</v>
      </c>
      <c r="G23">
        <f t="shared" si="3"/>
        <v>167</v>
      </c>
      <c r="H23">
        <f t="shared" ref="H23" si="21">COUNTIF(B:B,"&lt;"&amp;G23)/$D$7</f>
        <v>0.09</v>
      </c>
      <c r="I23">
        <f>_xlfn.NORM.DIST(G23,[0]!_mu, [0]!_sigma,TRUE)</f>
        <v>0.13933024744962202</v>
      </c>
      <c r="L23">
        <v>21</v>
      </c>
      <c r="M23">
        <f t="shared" si="0"/>
        <v>171</v>
      </c>
      <c r="N23" t="e">
        <f t="shared" si="1"/>
        <v>#VALUE!</v>
      </c>
    </row>
    <row r="24" spans="1:14" x14ac:dyDescent="0.3">
      <c r="A24">
        <v>23</v>
      </c>
      <c r="B24">
        <f>Arkusz1!C24</f>
        <v>171</v>
      </c>
      <c r="F24">
        <v>22</v>
      </c>
      <c r="G24">
        <f t="shared" si="3"/>
        <v>167</v>
      </c>
      <c r="H24">
        <f t="shared" ref="H24" si="22">COUNTIF(B:B,"&lt;="&amp;G24)/$D$7</f>
        <v>0.11</v>
      </c>
      <c r="I24">
        <f>_xlfn.NORM.DIST(G24,[0]!_mu, [0]!_sigma,TRUE)</f>
        <v>0.13933024744962202</v>
      </c>
      <c r="L24">
        <v>22</v>
      </c>
      <c r="M24">
        <f t="shared" si="0"/>
        <v>171</v>
      </c>
      <c r="N24" t="e">
        <f t="shared" si="1"/>
        <v>#VALUE!</v>
      </c>
    </row>
    <row r="25" spans="1:14" x14ac:dyDescent="0.3">
      <c r="A25">
        <v>24</v>
      </c>
      <c r="B25">
        <f>Arkusz1!C25</f>
        <v>201</v>
      </c>
      <c r="F25">
        <v>23</v>
      </c>
      <c r="G25">
        <f t="shared" si="3"/>
        <v>168</v>
      </c>
      <c r="H25">
        <f t="shared" ref="H25" si="23">COUNTIF(B:B,"&lt;"&amp;G25)/$D$7</f>
        <v>0.11</v>
      </c>
      <c r="I25">
        <f>_xlfn.NORM.DIST(G25,[0]!_mu, [0]!_sigma,TRUE)</f>
        <v>0.15865525393145699</v>
      </c>
      <c r="L25">
        <v>23</v>
      </c>
      <c r="M25">
        <f t="shared" si="0"/>
        <v>171</v>
      </c>
      <c r="N25" t="e">
        <f t="shared" si="1"/>
        <v>#VALUE!</v>
      </c>
    </row>
    <row r="26" spans="1:14" x14ac:dyDescent="0.3">
      <c r="A26">
        <v>25</v>
      </c>
      <c r="B26">
        <f>Arkusz1!C26</f>
        <v>190</v>
      </c>
      <c r="F26">
        <v>24</v>
      </c>
      <c r="G26">
        <f t="shared" si="3"/>
        <v>168</v>
      </c>
      <c r="H26">
        <f t="shared" ref="H26" si="24">COUNTIF(B:B,"&lt;="&amp;G26)/$D$7</f>
        <v>0.13</v>
      </c>
      <c r="I26">
        <f>_xlfn.NORM.DIST(G26,[0]!_mu, [0]!_sigma,TRUE)</f>
        <v>0.15865525393145699</v>
      </c>
      <c r="L26">
        <v>24</v>
      </c>
      <c r="M26">
        <f t="shared" si="0"/>
        <v>172</v>
      </c>
      <c r="N26" t="e">
        <f t="shared" si="1"/>
        <v>#VALUE!</v>
      </c>
    </row>
    <row r="27" spans="1:14" x14ac:dyDescent="0.3">
      <c r="A27">
        <v>26</v>
      </c>
      <c r="B27">
        <f>Arkusz1!C27</f>
        <v>188</v>
      </c>
      <c r="F27">
        <v>25</v>
      </c>
      <c r="G27">
        <f t="shared" si="3"/>
        <v>168</v>
      </c>
      <c r="H27">
        <f t="shared" ref="H27" si="25">COUNTIF(B:B,"&lt;"&amp;G27)/$D$7</f>
        <v>0.11</v>
      </c>
      <c r="I27">
        <f>_xlfn.NORM.DIST(G27,[0]!_mu, [0]!_sigma,TRUE)</f>
        <v>0.15865525393145699</v>
      </c>
      <c r="L27">
        <v>25</v>
      </c>
      <c r="M27">
        <f t="shared" si="0"/>
        <v>172</v>
      </c>
      <c r="N27" t="e">
        <f t="shared" si="1"/>
        <v>#VALUE!</v>
      </c>
    </row>
    <row r="28" spans="1:14" x14ac:dyDescent="0.3">
      <c r="A28">
        <v>27</v>
      </c>
      <c r="B28">
        <f>Arkusz1!C28</f>
        <v>185</v>
      </c>
      <c r="F28">
        <v>26</v>
      </c>
      <c r="G28">
        <f t="shared" si="3"/>
        <v>168</v>
      </c>
      <c r="H28">
        <f t="shared" ref="H28" si="26">COUNTIF(B:B,"&lt;="&amp;G28)/$D$7</f>
        <v>0.13</v>
      </c>
      <c r="I28">
        <f>_xlfn.NORM.DIST(G28,[0]!_mu, [0]!_sigma,TRUE)</f>
        <v>0.15865525393145699</v>
      </c>
      <c r="L28">
        <v>26</v>
      </c>
      <c r="M28">
        <f t="shared" si="0"/>
        <v>172</v>
      </c>
      <c r="N28" t="e">
        <f t="shared" si="1"/>
        <v>#VALUE!</v>
      </c>
    </row>
    <row r="29" spans="1:14" x14ac:dyDescent="0.3">
      <c r="A29">
        <v>28</v>
      </c>
      <c r="B29">
        <f>Arkusz1!C29</f>
        <v>172</v>
      </c>
      <c r="F29">
        <v>27</v>
      </c>
      <c r="G29">
        <f t="shared" si="3"/>
        <v>169</v>
      </c>
      <c r="H29">
        <f t="shared" ref="H29" si="27">COUNTIF(B:B,"&lt;"&amp;G29)/$D$7</f>
        <v>0.13</v>
      </c>
      <c r="I29">
        <f>_xlfn.NORM.DIST(G29,[0]!_mu, [0]!_sigma,TRUE)</f>
        <v>0.1796586691647854</v>
      </c>
      <c r="L29">
        <v>27</v>
      </c>
      <c r="M29">
        <f t="shared" si="0"/>
        <v>172</v>
      </c>
      <c r="N29" t="e">
        <f t="shared" si="1"/>
        <v>#VALUE!</v>
      </c>
    </row>
    <row r="30" spans="1:14" x14ac:dyDescent="0.3">
      <c r="A30">
        <v>29</v>
      </c>
      <c r="B30">
        <f>Arkusz1!C30</f>
        <v>175</v>
      </c>
      <c r="F30">
        <v>28</v>
      </c>
      <c r="G30">
        <f t="shared" si="3"/>
        <v>169</v>
      </c>
      <c r="H30">
        <f t="shared" ref="H30" si="28">COUNTIF(B:B,"&lt;="&amp;G30)/$D$7</f>
        <v>0.15</v>
      </c>
      <c r="I30">
        <f>_xlfn.NORM.DIST(G30,[0]!_mu, [0]!_sigma,TRUE)</f>
        <v>0.1796586691647854</v>
      </c>
      <c r="L30">
        <v>28</v>
      </c>
      <c r="M30">
        <f t="shared" si="0"/>
        <v>173</v>
      </c>
      <c r="N30" t="e">
        <f t="shared" si="1"/>
        <v>#VALUE!</v>
      </c>
    </row>
    <row r="31" spans="1:14" x14ac:dyDescent="0.3">
      <c r="A31">
        <v>30</v>
      </c>
      <c r="B31">
        <f>Arkusz1!C31</f>
        <v>184</v>
      </c>
      <c r="F31">
        <v>29</v>
      </c>
      <c r="G31">
        <f t="shared" si="3"/>
        <v>169</v>
      </c>
      <c r="H31">
        <f t="shared" ref="H31" si="29">COUNTIF(B:B,"&lt;"&amp;G31)/$D$7</f>
        <v>0.13</v>
      </c>
      <c r="I31">
        <f>_xlfn.NORM.DIST(G31,[0]!_mu, [0]!_sigma,TRUE)</f>
        <v>0.1796586691647854</v>
      </c>
      <c r="L31">
        <v>29</v>
      </c>
      <c r="M31">
        <f t="shared" si="0"/>
        <v>173</v>
      </c>
      <c r="N31" t="e">
        <f t="shared" si="1"/>
        <v>#VALUE!</v>
      </c>
    </row>
    <row r="32" spans="1:14" x14ac:dyDescent="0.3">
      <c r="A32">
        <v>31</v>
      </c>
      <c r="B32">
        <f>Arkusz1!C32</f>
        <v>171</v>
      </c>
      <c r="F32">
        <v>30</v>
      </c>
      <c r="G32">
        <f t="shared" si="3"/>
        <v>169</v>
      </c>
      <c r="H32">
        <f t="shared" ref="H32" si="30">COUNTIF(B:B,"&lt;="&amp;G32)/$D$7</f>
        <v>0.15</v>
      </c>
      <c r="I32">
        <f>_xlfn.NORM.DIST(G32,[0]!_mu, [0]!_sigma,TRUE)</f>
        <v>0.1796586691647854</v>
      </c>
      <c r="L32">
        <v>30</v>
      </c>
      <c r="M32">
        <f t="shared" si="0"/>
        <v>174</v>
      </c>
      <c r="N32" t="e">
        <f t="shared" si="1"/>
        <v>#VALUE!</v>
      </c>
    </row>
    <row r="33" spans="1:14" x14ac:dyDescent="0.3">
      <c r="A33">
        <v>32</v>
      </c>
      <c r="B33">
        <f>Arkusz1!C33</f>
        <v>176</v>
      </c>
      <c r="F33">
        <v>31</v>
      </c>
      <c r="G33">
        <f t="shared" si="3"/>
        <v>170</v>
      </c>
      <c r="H33">
        <f t="shared" ref="H33" si="31">COUNTIF(B:B,"&lt;"&amp;G33)/$D$7</f>
        <v>0.15</v>
      </c>
      <c r="I33">
        <f>_xlfn.NORM.DIST(G33,[0]!_mu, [0]!_sigma,TRUE)</f>
        <v>0.20232838096364303</v>
      </c>
      <c r="L33">
        <v>31</v>
      </c>
      <c r="M33">
        <f t="shared" si="0"/>
        <v>174</v>
      </c>
      <c r="N33" t="e">
        <f t="shared" si="1"/>
        <v>#VALUE!</v>
      </c>
    </row>
    <row r="34" spans="1:14" x14ac:dyDescent="0.3">
      <c r="A34">
        <v>33</v>
      </c>
      <c r="B34">
        <f>Arkusz1!C34</f>
        <v>195</v>
      </c>
      <c r="F34">
        <v>32</v>
      </c>
      <c r="G34">
        <f t="shared" si="3"/>
        <v>170</v>
      </c>
      <c r="H34">
        <f t="shared" ref="H34" si="32">COUNTIF(B:B,"&lt;="&amp;G34)/$D$7</f>
        <v>0.19</v>
      </c>
      <c r="I34">
        <f>_xlfn.NORM.DIST(G34,[0]!_mu, [0]!_sigma,TRUE)</f>
        <v>0.20232838096364303</v>
      </c>
      <c r="L34">
        <v>32</v>
      </c>
      <c r="M34">
        <f t="shared" si="0"/>
        <v>174</v>
      </c>
      <c r="N34" t="e">
        <f t="shared" si="1"/>
        <v>#VALUE!</v>
      </c>
    </row>
    <row r="35" spans="1:14" x14ac:dyDescent="0.3">
      <c r="A35">
        <v>34</v>
      </c>
      <c r="B35">
        <f>Arkusz1!C35</f>
        <v>192</v>
      </c>
      <c r="F35">
        <v>33</v>
      </c>
      <c r="G35">
        <f t="shared" si="3"/>
        <v>170</v>
      </c>
      <c r="H35">
        <f t="shared" ref="H35" si="33">COUNTIF(B:B,"&lt;"&amp;G35)/$D$7</f>
        <v>0.15</v>
      </c>
      <c r="I35">
        <f>_xlfn.NORM.DIST(G35,[0]!_mu, [0]!_sigma,TRUE)</f>
        <v>0.20232838096364303</v>
      </c>
      <c r="L35">
        <v>33</v>
      </c>
      <c r="M35">
        <f t="shared" si="0"/>
        <v>174</v>
      </c>
      <c r="N35" t="e">
        <f t="shared" si="1"/>
        <v>#VALUE!</v>
      </c>
    </row>
    <row r="36" spans="1:14" x14ac:dyDescent="0.3">
      <c r="A36">
        <v>35</v>
      </c>
      <c r="B36">
        <f>Arkusz1!C36</f>
        <v>174</v>
      </c>
      <c r="F36">
        <v>34</v>
      </c>
      <c r="G36">
        <f t="shared" si="3"/>
        <v>170</v>
      </c>
      <c r="H36">
        <f t="shared" ref="H36" si="34">COUNTIF(B:B,"&lt;="&amp;G36)/$D$7</f>
        <v>0.19</v>
      </c>
      <c r="I36">
        <f>_xlfn.NORM.DIST(G36,[0]!_mu, [0]!_sigma,TRUE)</f>
        <v>0.20232838096364303</v>
      </c>
      <c r="L36">
        <v>34</v>
      </c>
      <c r="M36">
        <f t="shared" si="0"/>
        <v>174</v>
      </c>
      <c r="N36" t="e">
        <f t="shared" si="1"/>
        <v>#VALUE!</v>
      </c>
    </row>
    <row r="37" spans="1:14" x14ac:dyDescent="0.3">
      <c r="A37">
        <v>36</v>
      </c>
      <c r="B37">
        <f>Arkusz1!C37</f>
        <v>179</v>
      </c>
      <c r="F37">
        <v>35</v>
      </c>
      <c r="G37">
        <f t="shared" si="3"/>
        <v>170</v>
      </c>
      <c r="H37">
        <f t="shared" ref="H37" si="35">COUNTIF(B:B,"&lt;"&amp;G37)/$D$7</f>
        <v>0.15</v>
      </c>
      <c r="I37">
        <f>_xlfn.NORM.DIST(G37,[0]!_mu, [0]!_sigma,TRUE)</f>
        <v>0.20232838096364303</v>
      </c>
      <c r="L37">
        <v>35</v>
      </c>
      <c r="M37">
        <f t="shared" si="0"/>
        <v>174</v>
      </c>
      <c r="N37" t="e">
        <f t="shared" si="1"/>
        <v>#VALUE!</v>
      </c>
    </row>
    <row r="38" spans="1:14" x14ac:dyDescent="0.3">
      <c r="A38">
        <v>37</v>
      </c>
      <c r="B38">
        <f>Arkusz1!C38</f>
        <v>175</v>
      </c>
      <c r="F38">
        <v>36</v>
      </c>
      <c r="G38">
        <f t="shared" si="3"/>
        <v>170</v>
      </c>
      <c r="H38">
        <f t="shared" ref="H38" si="36">COUNTIF(B:B,"&lt;="&amp;G38)/$D$7</f>
        <v>0.19</v>
      </c>
      <c r="I38">
        <f>_xlfn.NORM.DIST(G38,[0]!_mu, [0]!_sigma,TRUE)</f>
        <v>0.20232838096364303</v>
      </c>
      <c r="L38">
        <v>36</v>
      </c>
      <c r="M38">
        <f t="shared" si="0"/>
        <v>175</v>
      </c>
      <c r="N38" t="e">
        <f t="shared" si="1"/>
        <v>#VALUE!</v>
      </c>
    </row>
    <row r="39" spans="1:14" x14ac:dyDescent="0.3">
      <c r="A39">
        <v>38</v>
      </c>
      <c r="B39">
        <f>Arkusz1!C39</f>
        <v>188</v>
      </c>
      <c r="F39">
        <v>37</v>
      </c>
      <c r="G39">
        <f t="shared" si="3"/>
        <v>170</v>
      </c>
      <c r="H39">
        <f t="shared" ref="H39" si="37">COUNTIF(B:B,"&lt;"&amp;G39)/$D$7</f>
        <v>0.15</v>
      </c>
      <c r="I39">
        <f>_xlfn.NORM.DIST(G39,[0]!_mu, [0]!_sigma,TRUE)</f>
        <v>0.20232838096364303</v>
      </c>
      <c r="L39">
        <v>37</v>
      </c>
      <c r="M39">
        <f t="shared" si="0"/>
        <v>175</v>
      </c>
      <c r="N39" t="e">
        <f t="shared" si="1"/>
        <v>#VALUE!</v>
      </c>
    </row>
    <row r="40" spans="1:14" x14ac:dyDescent="0.3">
      <c r="A40">
        <v>39</v>
      </c>
      <c r="B40">
        <f>Arkusz1!C40</f>
        <v>184</v>
      </c>
      <c r="F40">
        <v>38</v>
      </c>
      <c r="G40">
        <f t="shared" si="3"/>
        <v>170</v>
      </c>
      <c r="H40">
        <f t="shared" ref="H40" si="38">COUNTIF(B:B,"&lt;="&amp;G40)/$D$7</f>
        <v>0.19</v>
      </c>
      <c r="I40">
        <f>_xlfn.NORM.DIST(G40,[0]!_mu, [0]!_sigma,TRUE)</f>
        <v>0.20232838096364303</v>
      </c>
      <c r="L40">
        <v>38</v>
      </c>
      <c r="M40">
        <f t="shared" si="0"/>
        <v>175</v>
      </c>
      <c r="N40" t="e">
        <f t="shared" si="1"/>
        <v>#VALUE!</v>
      </c>
    </row>
    <row r="41" spans="1:14" x14ac:dyDescent="0.3">
      <c r="A41">
        <v>40</v>
      </c>
      <c r="B41">
        <f>Arkusz1!C41</f>
        <v>162</v>
      </c>
      <c r="F41">
        <v>39</v>
      </c>
      <c r="G41">
        <f t="shared" si="3"/>
        <v>171</v>
      </c>
      <c r="H41">
        <f t="shared" ref="H41" si="39">COUNTIF(B:B,"&lt;"&amp;G41)/$D$7</f>
        <v>0.19</v>
      </c>
      <c r="I41">
        <f>_xlfn.NORM.DIST(G41,[0]!_mu, [0]!_sigma,TRUE)</f>
        <v>0.22662735237686821</v>
      </c>
      <c r="L41">
        <v>39</v>
      </c>
      <c r="M41">
        <f t="shared" si="0"/>
        <v>175</v>
      </c>
      <c r="N41" t="e">
        <f t="shared" si="1"/>
        <v>#VALUE!</v>
      </c>
    </row>
    <row r="42" spans="1:14" x14ac:dyDescent="0.3">
      <c r="B42">
        <f>Arkusz1!C42</f>
        <v>174</v>
      </c>
      <c r="F42">
        <v>40</v>
      </c>
      <c r="G42">
        <f t="shared" si="3"/>
        <v>171</v>
      </c>
      <c r="H42">
        <f t="shared" ref="H42" si="40">COUNTIF(B:B,"&lt;="&amp;G42)/$D$7</f>
        <v>0.23</v>
      </c>
      <c r="I42">
        <f>_xlfn.NORM.DIST(G42,[0]!_mu, [0]!_sigma,TRUE)</f>
        <v>0.22662735237686821</v>
      </c>
      <c r="L42">
        <v>40</v>
      </c>
      <c r="M42">
        <f t="shared" si="0"/>
        <v>175</v>
      </c>
      <c r="N42" t="e">
        <f t="shared" si="1"/>
        <v>#VALUE!</v>
      </c>
    </row>
    <row r="43" spans="1:14" x14ac:dyDescent="0.3">
      <c r="B43">
        <f>Arkusz1!C43</f>
        <v>186</v>
      </c>
      <c r="F43">
        <v>41</v>
      </c>
      <c r="G43">
        <f t="shared" si="3"/>
        <v>171</v>
      </c>
      <c r="H43">
        <f t="shared" ref="H43" si="41">COUNTIF(B:B,"&lt;"&amp;G43)/$D$7</f>
        <v>0.19</v>
      </c>
      <c r="I43">
        <f>_xlfn.NORM.DIST(G43,[0]!_mu, [0]!_sigma,TRUE)</f>
        <v>0.22662735237686821</v>
      </c>
      <c r="L43">
        <v>41</v>
      </c>
      <c r="M43">
        <f t="shared" ref="M43:M101" si="42">SMALL(B:B,L43)</f>
        <v>176</v>
      </c>
      <c r="N43" t="e">
        <f t="shared" ref="N43:N101" si="43">QNorm((L43-1/2)/$D$7)</f>
        <v>#VALUE!</v>
      </c>
    </row>
    <row r="44" spans="1:14" x14ac:dyDescent="0.3">
      <c r="B44">
        <f>Arkusz1!C44</f>
        <v>183</v>
      </c>
      <c r="F44">
        <v>42</v>
      </c>
      <c r="G44">
        <f t="shared" si="3"/>
        <v>171</v>
      </c>
      <c r="H44">
        <f t="shared" ref="H44" si="44">COUNTIF(B:B,"&lt;="&amp;G44)/$D$7</f>
        <v>0.23</v>
      </c>
      <c r="I44">
        <f>_xlfn.NORM.DIST(G44,[0]!_mu, [0]!_sigma,TRUE)</f>
        <v>0.22662735237686821</v>
      </c>
      <c r="L44">
        <v>42</v>
      </c>
      <c r="M44">
        <f t="shared" si="42"/>
        <v>176</v>
      </c>
      <c r="N44" t="e">
        <f t="shared" si="43"/>
        <v>#VALUE!</v>
      </c>
    </row>
    <row r="45" spans="1:14" x14ac:dyDescent="0.3">
      <c r="B45">
        <f>Arkusz1!C45</f>
        <v>181</v>
      </c>
      <c r="F45">
        <v>43</v>
      </c>
      <c r="G45">
        <f t="shared" si="3"/>
        <v>171</v>
      </c>
      <c r="H45">
        <f t="shared" ref="H45" si="45">COUNTIF(B:B,"&lt;"&amp;G45)/$D$7</f>
        <v>0.19</v>
      </c>
      <c r="I45">
        <f>_xlfn.NORM.DIST(G45,[0]!_mu, [0]!_sigma,TRUE)</f>
        <v>0.22662735237686821</v>
      </c>
      <c r="L45">
        <v>43</v>
      </c>
      <c r="M45">
        <f t="shared" si="42"/>
        <v>177</v>
      </c>
      <c r="N45" t="e">
        <f t="shared" si="43"/>
        <v>#VALUE!</v>
      </c>
    </row>
    <row r="46" spans="1:14" x14ac:dyDescent="0.3">
      <c r="B46">
        <f>Arkusz1!C46</f>
        <v>184</v>
      </c>
      <c r="F46">
        <v>44</v>
      </c>
      <c r="G46">
        <f t="shared" si="3"/>
        <v>171</v>
      </c>
      <c r="H46">
        <f t="shared" ref="H46" si="46">COUNTIF(B:B,"&lt;="&amp;G46)/$D$7</f>
        <v>0.23</v>
      </c>
      <c r="I46">
        <f>_xlfn.NORM.DIST(G46,[0]!_mu, [0]!_sigma,TRUE)</f>
        <v>0.22662735237686821</v>
      </c>
      <c r="L46">
        <v>44</v>
      </c>
      <c r="M46">
        <f t="shared" si="42"/>
        <v>177</v>
      </c>
      <c r="N46" t="e">
        <f t="shared" si="43"/>
        <v>#VALUE!</v>
      </c>
    </row>
    <row r="47" spans="1:14" x14ac:dyDescent="0.3">
      <c r="B47">
        <f>Arkusz1!C47</f>
        <v>194</v>
      </c>
      <c r="F47">
        <v>45</v>
      </c>
      <c r="G47">
        <f t="shared" si="3"/>
        <v>171</v>
      </c>
      <c r="H47">
        <f t="shared" ref="H47" si="47">COUNTIF(B:B,"&lt;"&amp;G47)/$D$7</f>
        <v>0.19</v>
      </c>
      <c r="I47">
        <f>_xlfn.NORM.DIST(G47,[0]!_mu, [0]!_sigma,TRUE)</f>
        <v>0.22662735237686821</v>
      </c>
      <c r="L47">
        <v>45</v>
      </c>
      <c r="M47">
        <f t="shared" si="42"/>
        <v>177</v>
      </c>
      <c r="N47" t="e">
        <f t="shared" si="43"/>
        <v>#VALUE!</v>
      </c>
    </row>
    <row r="48" spans="1:14" x14ac:dyDescent="0.3">
      <c r="B48">
        <f>Arkusz1!C48</f>
        <v>177</v>
      </c>
      <c r="F48">
        <v>46</v>
      </c>
      <c r="G48">
        <f t="shared" si="3"/>
        <v>171</v>
      </c>
      <c r="H48">
        <f t="shared" ref="H48" si="48">COUNTIF(B:B,"&lt;="&amp;G48)/$D$7</f>
        <v>0.23</v>
      </c>
      <c r="I48">
        <f>_xlfn.NORM.DIST(G48,[0]!_mu, [0]!_sigma,TRUE)</f>
        <v>0.22662735237686821</v>
      </c>
      <c r="L48">
        <v>46</v>
      </c>
      <c r="M48">
        <f t="shared" si="42"/>
        <v>178</v>
      </c>
      <c r="N48" t="e">
        <f t="shared" si="43"/>
        <v>#VALUE!</v>
      </c>
    </row>
    <row r="49" spans="2:14" x14ac:dyDescent="0.3">
      <c r="B49">
        <f>Arkusz1!C49</f>
        <v>179</v>
      </c>
      <c r="F49">
        <v>47</v>
      </c>
      <c r="G49">
        <f t="shared" si="3"/>
        <v>172</v>
      </c>
      <c r="H49">
        <f t="shared" ref="H49" si="49">COUNTIF(B:B,"&lt;"&amp;G49)/$D$7</f>
        <v>0.23</v>
      </c>
      <c r="I49">
        <f>_xlfn.NORM.DIST(G49,[0]!_mu, [0]!_sigma,TRUE)</f>
        <v>0.25249253754692291</v>
      </c>
      <c r="L49">
        <v>47</v>
      </c>
      <c r="M49">
        <f t="shared" si="42"/>
        <v>178</v>
      </c>
      <c r="N49" t="e">
        <f t="shared" si="43"/>
        <v>#VALUE!</v>
      </c>
    </row>
    <row r="50" spans="2:14" x14ac:dyDescent="0.3">
      <c r="B50">
        <f>Arkusz1!C50</f>
        <v>197</v>
      </c>
      <c r="F50">
        <v>48</v>
      </c>
      <c r="G50">
        <f t="shared" si="3"/>
        <v>172</v>
      </c>
      <c r="H50">
        <f t="shared" ref="H50" si="50">COUNTIF(B:B,"&lt;="&amp;G50)/$D$7</f>
        <v>0.27</v>
      </c>
      <c r="I50">
        <f>_xlfn.NORM.DIST(G50,[0]!_mu, [0]!_sigma,TRUE)</f>
        <v>0.25249253754692291</v>
      </c>
      <c r="L50">
        <v>48</v>
      </c>
      <c r="M50">
        <f t="shared" si="42"/>
        <v>178</v>
      </c>
      <c r="N50" t="e">
        <f t="shared" si="43"/>
        <v>#VALUE!</v>
      </c>
    </row>
    <row r="51" spans="2:14" x14ac:dyDescent="0.3">
      <c r="B51">
        <f>Arkusz1!C51</f>
        <v>187</v>
      </c>
      <c r="F51">
        <v>49</v>
      </c>
      <c r="G51">
        <f t="shared" si="3"/>
        <v>172</v>
      </c>
      <c r="H51">
        <f t="shared" ref="H51" si="51">COUNTIF(B:B,"&lt;"&amp;G51)/$D$7</f>
        <v>0.23</v>
      </c>
      <c r="I51">
        <f>_xlfn.NORM.DIST(G51,[0]!_mu, [0]!_sigma,TRUE)</f>
        <v>0.25249253754692291</v>
      </c>
      <c r="L51">
        <v>49</v>
      </c>
      <c r="M51">
        <f t="shared" si="42"/>
        <v>179</v>
      </c>
      <c r="N51" t="e">
        <f t="shared" si="43"/>
        <v>#VALUE!</v>
      </c>
    </row>
    <row r="52" spans="2:14" x14ac:dyDescent="0.3">
      <c r="B52">
        <f>Arkusz1!C52</f>
        <v>181</v>
      </c>
      <c r="F52">
        <v>50</v>
      </c>
      <c r="G52">
        <f t="shared" si="3"/>
        <v>172</v>
      </c>
      <c r="H52">
        <f t="shared" ref="H52" si="52">COUNTIF(B:B,"&lt;="&amp;G52)/$D$7</f>
        <v>0.27</v>
      </c>
      <c r="I52">
        <f>_xlfn.NORM.DIST(G52,[0]!_mu, [0]!_sigma,TRUE)</f>
        <v>0.25249253754692291</v>
      </c>
      <c r="L52">
        <v>50</v>
      </c>
      <c r="M52">
        <f t="shared" si="42"/>
        <v>179</v>
      </c>
      <c r="N52" t="e">
        <f t="shared" si="43"/>
        <v>#VALUE!</v>
      </c>
    </row>
    <row r="53" spans="2:14" x14ac:dyDescent="0.3">
      <c r="B53">
        <f>Arkusz1!C53</f>
        <v>185</v>
      </c>
      <c r="F53">
        <v>51</v>
      </c>
      <c r="G53">
        <f t="shared" si="3"/>
        <v>172</v>
      </c>
      <c r="H53">
        <f t="shared" ref="H53" si="53">COUNTIF(B:B,"&lt;"&amp;G53)/$D$7</f>
        <v>0.23</v>
      </c>
      <c r="I53">
        <f>_xlfn.NORM.DIST(G53,[0]!_mu, [0]!_sigma,TRUE)</f>
        <v>0.25249253754692291</v>
      </c>
      <c r="L53">
        <v>51</v>
      </c>
      <c r="M53">
        <f t="shared" si="42"/>
        <v>179</v>
      </c>
      <c r="N53" t="e">
        <f t="shared" si="43"/>
        <v>#VALUE!</v>
      </c>
    </row>
    <row r="54" spans="2:14" x14ac:dyDescent="0.3">
      <c r="B54">
        <f>Arkusz1!C54</f>
        <v>172</v>
      </c>
      <c r="F54">
        <v>52</v>
      </c>
      <c r="G54">
        <f t="shared" si="3"/>
        <v>172</v>
      </c>
      <c r="H54">
        <f t="shared" ref="H54" si="54">COUNTIF(B:B,"&lt;="&amp;G54)/$D$7</f>
        <v>0.27</v>
      </c>
      <c r="I54">
        <f>_xlfn.NORM.DIST(G54,[0]!_mu, [0]!_sigma,TRUE)</f>
        <v>0.25249253754692291</v>
      </c>
      <c r="L54">
        <v>52</v>
      </c>
      <c r="M54">
        <f t="shared" si="42"/>
        <v>179</v>
      </c>
      <c r="N54" t="e">
        <f t="shared" si="43"/>
        <v>#VALUE!</v>
      </c>
    </row>
    <row r="55" spans="2:14" x14ac:dyDescent="0.3">
      <c r="B55">
        <f>Arkusz1!C55</f>
        <v>187</v>
      </c>
      <c r="F55">
        <v>53</v>
      </c>
      <c r="G55">
        <f t="shared" si="3"/>
        <v>172</v>
      </c>
      <c r="H55">
        <f t="shared" ref="H55" si="55">COUNTIF(B:B,"&lt;"&amp;G55)/$D$7</f>
        <v>0.23</v>
      </c>
      <c r="I55">
        <f>_xlfn.NORM.DIST(G55,[0]!_mu, [0]!_sigma,TRUE)</f>
        <v>0.25249253754692291</v>
      </c>
      <c r="L55">
        <v>53</v>
      </c>
      <c r="M55">
        <f t="shared" si="42"/>
        <v>179</v>
      </c>
      <c r="N55" t="e">
        <f t="shared" si="43"/>
        <v>#VALUE!</v>
      </c>
    </row>
    <row r="56" spans="2:14" x14ac:dyDescent="0.3">
      <c r="B56">
        <f>Arkusz1!C56</f>
        <v>188</v>
      </c>
      <c r="F56">
        <v>54</v>
      </c>
      <c r="G56">
        <f t="shared" si="3"/>
        <v>172</v>
      </c>
      <c r="H56">
        <f t="shared" ref="H56" si="56">COUNTIF(B:B,"&lt;="&amp;G56)/$D$7</f>
        <v>0.27</v>
      </c>
      <c r="I56">
        <f>_xlfn.NORM.DIST(G56,[0]!_mu, [0]!_sigma,TRUE)</f>
        <v>0.25249253754692291</v>
      </c>
      <c r="L56">
        <v>54</v>
      </c>
      <c r="M56">
        <f t="shared" si="42"/>
        <v>180</v>
      </c>
      <c r="N56" t="e">
        <f t="shared" si="43"/>
        <v>#VALUE!</v>
      </c>
    </row>
    <row r="57" spans="2:14" x14ac:dyDescent="0.3">
      <c r="B57">
        <f>Arkusz1!C57</f>
        <v>186</v>
      </c>
      <c r="F57">
        <v>55</v>
      </c>
      <c r="G57">
        <f t="shared" si="3"/>
        <v>173</v>
      </c>
      <c r="H57">
        <f t="shared" ref="H57" si="57">COUNTIF(B:B,"&lt;"&amp;G57)/$D$7</f>
        <v>0.27</v>
      </c>
      <c r="I57">
        <f>_xlfn.NORM.DIST(G57,[0]!_mu, [0]!_sigma,TRUE)</f>
        <v>0.27983446359970565</v>
      </c>
      <c r="L57">
        <v>55</v>
      </c>
      <c r="M57">
        <f t="shared" si="42"/>
        <v>180</v>
      </c>
      <c r="N57" t="e">
        <f t="shared" si="43"/>
        <v>#VALUE!</v>
      </c>
    </row>
    <row r="58" spans="2:14" x14ac:dyDescent="0.3">
      <c r="B58">
        <f>Arkusz1!C58</f>
        <v>162</v>
      </c>
      <c r="F58">
        <v>56</v>
      </c>
      <c r="G58">
        <f t="shared" si="3"/>
        <v>173</v>
      </c>
      <c r="H58">
        <f t="shared" ref="H58" si="58">COUNTIF(B:B,"&lt;="&amp;G58)/$D$7</f>
        <v>0.28999999999999998</v>
      </c>
      <c r="I58">
        <f>_xlfn.NORM.DIST(G58,[0]!_mu, [0]!_sigma,TRUE)</f>
        <v>0.27983446359970565</v>
      </c>
      <c r="L58">
        <v>56</v>
      </c>
      <c r="M58">
        <f t="shared" si="42"/>
        <v>181</v>
      </c>
      <c r="N58" t="e">
        <f t="shared" si="43"/>
        <v>#VALUE!</v>
      </c>
    </row>
    <row r="59" spans="2:14" x14ac:dyDescent="0.3">
      <c r="B59">
        <f>Arkusz1!C59</f>
        <v>188</v>
      </c>
      <c r="F59">
        <v>57</v>
      </c>
      <c r="G59">
        <f t="shared" si="3"/>
        <v>173</v>
      </c>
      <c r="H59">
        <f t="shared" ref="H59" si="59">COUNTIF(B:B,"&lt;"&amp;G59)/$D$7</f>
        <v>0.27</v>
      </c>
      <c r="I59">
        <f>_xlfn.NORM.DIST(G59,[0]!_mu, [0]!_sigma,TRUE)</f>
        <v>0.27983446359970565</v>
      </c>
      <c r="L59">
        <v>57</v>
      </c>
      <c r="M59">
        <f t="shared" si="42"/>
        <v>181</v>
      </c>
      <c r="N59" t="e">
        <f t="shared" si="43"/>
        <v>#VALUE!</v>
      </c>
    </row>
    <row r="60" spans="2:14" x14ac:dyDescent="0.3">
      <c r="B60">
        <f>Arkusz1!C60</f>
        <v>178</v>
      </c>
      <c r="F60">
        <v>58</v>
      </c>
      <c r="G60">
        <f t="shared" si="3"/>
        <v>173</v>
      </c>
      <c r="H60">
        <f t="shared" ref="H60" si="60">COUNTIF(B:B,"&lt;="&amp;G60)/$D$7</f>
        <v>0.28999999999999998</v>
      </c>
      <c r="I60">
        <f>_xlfn.NORM.DIST(G60,[0]!_mu, [0]!_sigma,TRUE)</f>
        <v>0.27983446359970565</v>
      </c>
      <c r="L60">
        <v>58</v>
      </c>
      <c r="M60">
        <f t="shared" si="42"/>
        <v>181</v>
      </c>
      <c r="N60" t="e">
        <f t="shared" si="43"/>
        <v>#VALUE!</v>
      </c>
    </row>
    <row r="61" spans="2:14" x14ac:dyDescent="0.3">
      <c r="B61">
        <f>Arkusz1!C61</f>
        <v>183</v>
      </c>
      <c r="F61">
        <v>59</v>
      </c>
      <c r="G61">
        <f t="shared" si="3"/>
        <v>174</v>
      </c>
      <c r="H61">
        <f t="shared" ref="H61" si="61">COUNTIF(B:B,"&lt;"&amp;G61)/$D$7</f>
        <v>0.28999999999999998</v>
      </c>
      <c r="I61">
        <f>_xlfn.NORM.DIST(G61,[0]!_mu, [0]!_sigma,TRUE)</f>
        <v>0.30853753872598688</v>
      </c>
      <c r="L61">
        <v>59</v>
      </c>
      <c r="M61">
        <f t="shared" si="42"/>
        <v>182</v>
      </c>
      <c r="N61" t="e">
        <f t="shared" si="43"/>
        <v>#VALUE!</v>
      </c>
    </row>
    <row r="62" spans="2:14" x14ac:dyDescent="0.3">
      <c r="B62">
        <f>Arkusz1!C62</f>
        <v>158</v>
      </c>
      <c r="F62">
        <v>60</v>
      </c>
      <c r="G62">
        <f t="shared" si="3"/>
        <v>174</v>
      </c>
      <c r="H62">
        <f t="shared" ref="H62" si="62">COUNTIF(B:B,"&lt;="&amp;G62)/$D$7</f>
        <v>0.35</v>
      </c>
      <c r="I62">
        <f>_xlfn.NORM.DIST(G62,[0]!_mu, [0]!_sigma,TRUE)</f>
        <v>0.30853753872598688</v>
      </c>
      <c r="L62">
        <v>60</v>
      </c>
      <c r="M62">
        <f t="shared" si="42"/>
        <v>183</v>
      </c>
      <c r="N62" t="e">
        <f t="shared" si="43"/>
        <v>#VALUE!</v>
      </c>
    </row>
    <row r="63" spans="2:14" x14ac:dyDescent="0.3">
      <c r="B63">
        <f>Arkusz1!C63</f>
        <v>164</v>
      </c>
      <c r="F63">
        <v>61</v>
      </c>
      <c r="G63">
        <f t="shared" si="3"/>
        <v>174</v>
      </c>
      <c r="H63">
        <f t="shared" ref="H63" si="63">COUNTIF(B:B,"&lt;"&amp;G63)/$D$7</f>
        <v>0.28999999999999998</v>
      </c>
      <c r="I63">
        <f>_xlfn.NORM.DIST(G63,[0]!_mu, [0]!_sigma,TRUE)</f>
        <v>0.30853753872598688</v>
      </c>
      <c r="L63">
        <v>61</v>
      </c>
      <c r="M63">
        <f t="shared" si="42"/>
        <v>183</v>
      </c>
      <c r="N63" t="e">
        <f t="shared" si="43"/>
        <v>#VALUE!</v>
      </c>
    </row>
    <row r="64" spans="2:14" x14ac:dyDescent="0.3">
      <c r="B64">
        <f>Arkusz1!C64</f>
        <v>167</v>
      </c>
      <c r="F64">
        <v>62</v>
      </c>
      <c r="G64">
        <f t="shared" si="3"/>
        <v>174</v>
      </c>
      <c r="H64">
        <f t="shared" ref="H64" si="64">COUNTIF(B:B,"&lt;="&amp;G64)/$D$7</f>
        <v>0.35</v>
      </c>
      <c r="I64">
        <f>_xlfn.NORM.DIST(G64,[0]!_mu, [0]!_sigma,TRUE)</f>
        <v>0.30853753872598688</v>
      </c>
      <c r="L64">
        <v>62</v>
      </c>
      <c r="M64">
        <f t="shared" si="42"/>
        <v>183</v>
      </c>
      <c r="N64" t="e">
        <f t="shared" si="43"/>
        <v>#VALUE!</v>
      </c>
    </row>
    <row r="65" spans="2:14" x14ac:dyDescent="0.3">
      <c r="B65">
        <f>Arkusz1!C65</f>
        <v>179</v>
      </c>
      <c r="F65">
        <v>63</v>
      </c>
      <c r="G65">
        <f t="shared" si="3"/>
        <v>174</v>
      </c>
      <c r="H65">
        <f t="shared" ref="H65" si="65">COUNTIF(B:B,"&lt;"&amp;G65)/$D$7</f>
        <v>0.28999999999999998</v>
      </c>
      <c r="I65">
        <f>_xlfn.NORM.DIST(G65,[0]!_mu, [0]!_sigma,TRUE)</f>
        <v>0.30853753872598688</v>
      </c>
      <c r="L65">
        <v>63</v>
      </c>
      <c r="M65">
        <f t="shared" si="42"/>
        <v>184</v>
      </c>
      <c r="N65" t="e">
        <f t="shared" si="43"/>
        <v>#VALUE!</v>
      </c>
    </row>
    <row r="66" spans="2:14" x14ac:dyDescent="0.3">
      <c r="B66">
        <f>Arkusz1!C66</f>
        <v>187</v>
      </c>
      <c r="F66">
        <v>64</v>
      </c>
      <c r="G66">
        <f t="shared" si="3"/>
        <v>174</v>
      </c>
      <c r="H66">
        <f t="shared" ref="H66" si="66">COUNTIF(B:B,"&lt;="&amp;G66)/$D$7</f>
        <v>0.35</v>
      </c>
      <c r="I66">
        <f>_xlfn.NORM.DIST(G66,[0]!_mu, [0]!_sigma,TRUE)</f>
        <v>0.30853753872598688</v>
      </c>
      <c r="L66">
        <v>64</v>
      </c>
      <c r="M66">
        <f t="shared" si="42"/>
        <v>184</v>
      </c>
      <c r="N66" t="e">
        <f t="shared" si="43"/>
        <v>#VALUE!</v>
      </c>
    </row>
    <row r="67" spans="2:14" x14ac:dyDescent="0.3">
      <c r="B67">
        <f>Arkusz1!C67</f>
        <v>175</v>
      </c>
      <c r="F67">
        <v>65</v>
      </c>
      <c r="G67">
        <f t="shared" si="3"/>
        <v>174</v>
      </c>
      <c r="H67">
        <f t="shared" ref="H67" si="67">COUNTIF(B:B,"&lt;"&amp;G67)/$D$7</f>
        <v>0.28999999999999998</v>
      </c>
      <c r="I67">
        <f>_xlfn.NORM.DIST(G67,[0]!_mu, [0]!_sigma,TRUE)</f>
        <v>0.30853753872598688</v>
      </c>
      <c r="L67">
        <v>65</v>
      </c>
      <c r="M67">
        <f t="shared" si="42"/>
        <v>184</v>
      </c>
      <c r="N67" t="e">
        <f t="shared" si="43"/>
        <v>#VALUE!</v>
      </c>
    </row>
    <row r="68" spans="2:14" x14ac:dyDescent="0.3">
      <c r="B68">
        <f>Arkusz1!C68</f>
        <v>172</v>
      </c>
      <c r="F68">
        <v>66</v>
      </c>
      <c r="G68">
        <f t="shared" si="3"/>
        <v>174</v>
      </c>
      <c r="H68">
        <f t="shared" ref="H68" si="68">COUNTIF(B:B,"&lt;="&amp;G68)/$D$7</f>
        <v>0.35</v>
      </c>
      <c r="I68">
        <f>_xlfn.NORM.DIST(G68,[0]!_mu, [0]!_sigma,TRUE)</f>
        <v>0.30853753872598688</v>
      </c>
      <c r="L68">
        <v>66</v>
      </c>
      <c r="M68">
        <f t="shared" si="42"/>
        <v>185</v>
      </c>
      <c r="N68" t="e">
        <f t="shared" si="43"/>
        <v>#VALUE!</v>
      </c>
    </row>
    <row r="69" spans="2:14" x14ac:dyDescent="0.3">
      <c r="B69">
        <f>Arkusz1!C69</f>
        <v>173</v>
      </c>
      <c r="F69">
        <v>67</v>
      </c>
      <c r="G69">
        <f t="shared" si="3"/>
        <v>174</v>
      </c>
      <c r="H69">
        <f t="shared" ref="H69" si="69">COUNTIF(B:B,"&lt;"&amp;G69)/$D$7</f>
        <v>0.28999999999999998</v>
      </c>
      <c r="I69">
        <f>_xlfn.NORM.DIST(G69,[0]!_mu, [0]!_sigma,TRUE)</f>
        <v>0.30853753872598688</v>
      </c>
      <c r="L69">
        <v>67</v>
      </c>
      <c r="M69">
        <f t="shared" si="42"/>
        <v>185</v>
      </c>
      <c r="N69" t="e">
        <f t="shared" si="43"/>
        <v>#VALUE!</v>
      </c>
    </row>
    <row r="70" spans="2:14" x14ac:dyDescent="0.3">
      <c r="B70">
        <f>Arkusz1!C70</f>
        <v>171</v>
      </c>
      <c r="F70">
        <v>68</v>
      </c>
      <c r="G70">
        <f t="shared" ref="G70:G81" si="70">SMALL(B:B,(F70+1)/2)</f>
        <v>174</v>
      </c>
      <c r="H70">
        <f t="shared" ref="H70" si="71">COUNTIF(B:B,"&lt;="&amp;G70)/$D$7</f>
        <v>0.35</v>
      </c>
      <c r="I70">
        <f>_xlfn.NORM.DIST(G70,[0]!_mu, [0]!_sigma,TRUE)</f>
        <v>0.30853753872598688</v>
      </c>
      <c r="L70">
        <v>68</v>
      </c>
      <c r="M70">
        <f t="shared" si="42"/>
        <v>185</v>
      </c>
      <c r="N70" t="e">
        <f t="shared" si="43"/>
        <v>#VALUE!</v>
      </c>
    </row>
    <row r="71" spans="2:14" x14ac:dyDescent="0.3">
      <c r="B71">
        <f>Arkusz1!C71</f>
        <v>170</v>
      </c>
      <c r="F71">
        <v>69</v>
      </c>
      <c r="G71">
        <f t="shared" si="70"/>
        <v>174</v>
      </c>
      <c r="H71">
        <f t="shared" ref="H71" si="72">COUNTIF(B:B,"&lt;"&amp;G71)/$D$7</f>
        <v>0.28999999999999998</v>
      </c>
      <c r="I71">
        <f>_xlfn.NORM.DIST(G71,[0]!_mu, [0]!_sigma,TRUE)</f>
        <v>0.30853753872598688</v>
      </c>
      <c r="L71">
        <v>69</v>
      </c>
      <c r="M71">
        <f t="shared" si="42"/>
        <v>186</v>
      </c>
      <c r="N71" t="e">
        <f t="shared" si="43"/>
        <v>#VALUE!</v>
      </c>
    </row>
    <row r="72" spans="2:14" x14ac:dyDescent="0.3">
      <c r="B72">
        <f>Arkusz1!C72</f>
        <v>175</v>
      </c>
      <c r="F72">
        <v>70</v>
      </c>
      <c r="G72">
        <f t="shared" si="70"/>
        <v>174</v>
      </c>
      <c r="H72">
        <f t="shared" ref="H72" si="73">COUNTIF(B:B,"&lt;="&amp;G72)/$D$7</f>
        <v>0.35</v>
      </c>
      <c r="I72">
        <f>_xlfn.NORM.DIST(G72,[0]!_mu, [0]!_sigma,TRUE)</f>
        <v>0.30853753872598688</v>
      </c>
      <c r="L72">
        <v>70</v>
      </c>
      <c r="M72">
        <f t="shared" si="42"/>
        <v>186</v>
      </c>
      <c r="N72" t="e">
        <f t="shared" si="43"/>
        <v>#VALUE!</v>
      </c>
    </row>
    <row r="73" spans="2:14" x14ac:dyDescent="0.3">
      <c r="B73">
        <f>Arkusz1!C73</f>
        <v>167</v>
      </c>
      <c r="F73">
        <v>71</v>
      </c>
      <c r="G73">
        <f t="shared" si="70"/>
        <v>175</v>
      </c>
      <c r="H73">
        <f t="shared" ref="H73" si="74">COUNTIF(B:B,"&lt;"&amp;G73)/$D$7</f>
        <v>0.35</v>
      </c>
      <c r="I73">
        <f>_xlfn.NORM.DIST(G73,[0]!_mu, [0]!_sigma,TRUE)</f>
        <v>0.33846111951068963</v>
      </c>
      <c r="L73">
        <v>71</v>
      </c>
      <c r="M73">
        <f t="shared" si="42"/>
        <v>186</v>
      </c>
      <c r="N73" t="e">
        <f t="shared" si="43"/>
        <v>#VALUE!</v>
      </c>
    </row>
    <row r="74" spans="2:14" x14ac:dyDescent="0.3">
      <c r="B74">
        <f>Arkusz1!C74</f>
        <v>194</v>
      </c>
      <c r="F74">
        <v>72</v>
      </c>
      <c r="G74">
        <f t="shared" si="70"/>
        <v>175</v>
      </c>
      <c r="H74">
        <f t="shared" ref="H74" si="75">COUNTIF(B:B,"&lt;="&amp;G74)/$D$7</f>
        <v>0.4</v>
      </c>
      <c r="I74">
        <f>_xlfn.NORM.DIST(G74,[0]!_mu, [0]!_sigma,TRUE)</f>
        <v>0.33846111951068963</v>
      </c>
      <c r="L74">
        <v>72</v>
      </c>
      <c r="M74">
        <f t="shared" si="42"/>
        <v>186</v>
      </c>
      <c r="N74" t="e">
        <f t="shared" si="43"/>
        <v>#VALUE!</v>
      </c>
    </row>
    <row r="75" spans="2:14" x14ac:dyDescent="0.3">
      <c r="B75">
        <f>Arkusz1!C75</f>
        <v>169</v>
      </c>
      <c r="F75">
        <v>73</v>
      </c>
      <c r="G75">
        <f t="shared" si="70"/>
        <v>175</v>
      </c>
      <c r="H75">
        <f t="shared" ref="H75" si="76">COUNTIF(B:B,"&lt;"&amp;G75)/$D$7</f>
        <v>0.35</v>
      </c>
      <c r="I75">
        <f>_xlfn.NORM.DIST(G75,[0]!_mu, [0]!_sigma,TRUE)</f>
        <v>0.33846111951068963</v>
      </c>
      <c r="L75">
        <v>73</v>
      </c>
      <c r="M75">
        <f t="shared" si="42"/>
        <v>186</v>
      </c>
      <c r="N75" t="e">
        <f t="shared" si="43"/>
        <v>#VALUE!</v>
      </c>
    </row>
    <row r="76" spans="2:14" x14ac:dyDescent="0.3">
      <c r="B76">
        <f>Arkusz1!C76</f>
        <v>181</v>
      </c>
      <c r="F76">
        <v>74</v>
      </c>
      <c r="G76">
        <f t="shared" si="70"/>
        <v>175</v>
      </c>
      <c r="H76">
        <f t="shared" ref="H76" si="77">COUNTIF(B:B,"&lt;="&amp;G76)/$D$7</f>
        <v>0.4</v>
      </c>
      <c r="I76">
        <f>_xlfn.NORM.DIST(G76,[0]!_mu, [0]!_sigma,TRUE)</f>
        <v>0.33846111951068963</v>
      </c>
      <c r="L76">
        <v>74</v>
      </c>
      <c r="M76">
        <f t="shared" si="42"/>
        <v>187</v>
      </c>
      <c r="N76" t="e">
        <f t="shared" si="43"/>
        <v>#VALUE!</v>
      </c>
    </row>
    <row r="77" spans="2:14" x14ac:dyDescent="0.3">
      <c r="B77">
        <f>Arkusz1!C77</f>
        <v>177</v>
      </c>
      <c r="F77">
        <v>75</v>
      </c>
      <c r="G77">
        <f t="shared" si="70"/>
        <v>175</v>
      </c>
      <c r="H77">
        <f t="shared" ref="H77" si="78">COUNTIF(B:B,"&lt;"&amp;G77)/$D$7</f>
        <v>0.35</v>
      </c>
      <c r="I77">
        <f>_xlfn.NORM.DIST(G77,[0]!_mu, [0]!_sigma,TRUE)</f>
        <v>0.33846111951068963</v>
      </c>
      <c r="L77">
        <v>75</v>
      </c>
      <c r="M77">
        <f t="shared" si="42"/>
        <v>187</v>
      </c>
      <c r="N77" t="e">
        <f t="shared" si="43"/>
        <v>#VALUE!</v>
      </c>
    </row>
    <row r="78" spans="2:14" x14ac:dyDescent="0.3">
      <c r="B78">
        <f>Arkusz1!C78</f>
        <v>174</v>
      </c>
      <c r="F78">
        <v>76</v>
      </c>
      <c r="G78">
        <f t="shared" si="70"/>
        <v>175</v>
      </c>
      <c r="H78">
        <f t="shared" ref="H78" si="79">COUNTIF(B:B,"&lt;="&amp;G78)/$D$7</f>
        <v>0.4</v>
      </c>
      <c r="I78">
        <f>_xlfn.NORM.DIST(G78,[0]!_mu, [0]!_sigma,TRUE)</f>
        <v>0.33846111951068963</v>
      </c>
      <c r="L78">
        <v>76</v>
      </c>
      <c r="M78">
        <f t="shared" si="42"/>
        <v>187</v>
      </c>
      <c r="N78" t="e">
        <f t="shared" si="43"/>
        <v>#VALUE!</v>
      </c>
    </row>
    <row r="79" spans="2:14" x14ac:dyDescent="0.3">
      <c r="B79">
        <f>Arkusz1!C79</f>
        <v>165</v>
      </c>
      <c r="F79">
        <v>77</v>
      </c>
      <c r="G79">
        <f t="shared" si="70"/>
        <v>175</v>
      </c>
      <c r="H79">
        <f t="shared" ref="H79" si="80">COUNTIF(B:B,"&lt;"&amp;G79)/$D$7</f>
        <v>0.35</v>
      </c>
      <c r="I79">
        <f>_xlfn.NORM.DIST(G79,[0]!_mu, [0]!_sigma,TRUE)</f>
        <v>0.33846111951068963</v>
      </c>
      <c r="L79">
        <v>77</v>
      </c>
      <c r="M79">
        <f t="shared" si="42"/>
        <v>187</v>
      </c>
      <c r="N79" t="e">
        <f t="shared" si="43"/>
        <v>#VALUE!</v>
      </c>
    </row>
    <row r="80" spans="2:14" x14ac:dyDescent="0.3">
      <c r="B80">
        <f>Arkusz1!C80</f>
        <v>170</v>
      </c>
      <c r="F80">
        <v>78</v>
      </c>
      <c r="G80">
        <f t="shared" si="70"/>
        <v>175</v>
      </c>
      <c r="H80">
        <f t="shared" ref="H80" si="81">COUNTIF(B:B,"&lt;="&amp;G80)/$D$7</f>
        <v>0.4</v>
      </c>
      <c r="I80">
        <f>_xlfn.NORM.DIST(G80,[0]!_mu, [0]!_sigma,TRUE)</f>
        <v>0.33846111951068963</v>
      </c>
      <c r="L80">
        <v>78</v>
      </c>
      <c r="M80">
        <f t="shared" si="42"/>
        <v>187</v>
      </c>
      <c r="N80" t="e">
        <f t="shared" si="43"/>
        <v>#VALUE!</v>
      </c>
    </row>
    <row r="81" spans="2:14" x14ac:dyDescent="0.3">
      <c r="B81">
        <f>Arkusz1!C81</f>
        <v>178</v>
      </c>
      <c r="F81">
        <v>79</v>
      </c>
      <c r="G81">
        <f t="shared" si="70"/>
        <v>175</v>
      </c>
      <c r="H81">
        <f t="shared" ref="H81" si="82">COUNTIF(B:B,"&lt;"&amp;G81)/$D$7</f>
        <v>0.35</v>
      </c>
      <c r="I81">
        <f>_xlfn.NORM.DIST(G81,[0]!_mu, [0]!_sigma,TRUE)</f>
        <v>0.33846111951068963</v>
      </c>
      <c r="L81">
        <v>79</v>
      </c>
      <c r="M81">
        <f t="shared" si="42"/>
        <v>188</v>
      </c>
      <c r="N81" t="e">
        <f t="shared" si="43"/>
        <v>#VALUE!</v>
      </c>
    </row>
    <row r="82" spans="2:14" x14ac:dyDescent="0.3">
      <c r="B82">
        <f>Arkusz1!C82</f>
        <v>194</v>
      </c>
      <c r="F82">
        <v>80</v>
      </c>
      <c r="G82">
        <f>G81</f>
        <v>175</v>
      </c>
      <c r="H82">
        <f t="shared" ref="H82" si="83">COUNTIF(B:B,"&lt;="&amp;G82)/$D$7</f>
        <v>0.4</v>
      </c>
      <c r="I82">
        <f>_xlfn.NORM.DIST(G82,[0]!_mu, [0]!_sigma,TRUE)</f>
        <v>0.33846111951068963</v>
      </c>
      <c r="L82">
        <v>80</v>
      </c>
      <c r="M82">
        <f t="shared" si="42"/>
        <v>188</v>
      </c>
      <c r="N82" t="e">
        <f t="shared" si="43"/>
        <v>#VALUE!</v>
      </c>
    </row>
    <row r="83" spans="2:14" x14ac:dyDescent="0.3">
      <c r="B83">
        <f>Arkusz1!C83</f>
        <v>176</v>
      </c>
      <c r="F83">
        <v>81</v>
      </c>
      <c r="G83">
        <f t="shared" ref="G83" si="84">SMALL(B:B,(F83+1)/2)</f>
        <v>176</v>
      </c>
      <c r="H83">
        <f t="shared" ref="H83" si="85">COUNTIF(B:B,"&lt;"&amp;G83)/$D$7</f>
        <v>0.4</v>
      </c>
      <c r="I83">
        <f>_xlfn.NORM.DIST(G83,[0]!_mu, [0]!_sigma,TRUE)</f>
        <v>0.36944134018176361</v>
      </c>
      <c r="L83">
        <v>81</v>
      </c>
      <c r="M83">
        <f t="shared" si="42"/>
        <v>188</v>
      </c>
      <c r="N83" t="e">
        <f t="shared" si="43"/>
        <v>#VALUE!</v>
      </c>
    </row>
    <row r="84" spans="2:14" x14ac:dyDescent="0.3">
      <c r="B84">
        <f>Arkusz1!C84</f>
        <v>168</v>
      </c>
      <c r="F84">
        <v>82</v>
      </c>
      <c r="G84">
        <f t="shared" ref="G84" si="86">G83</f>
        <v>176</v>
      </c>
      <c r="H84">
        <f t="shared" ref="H84" si="87">COUNTIF(B:B,"&lt;="&amp;G84)/$D$7</f>
        <v>0.42</v>
      </c>
      <c r="I84">
        <f>_xlfn.NORM.DIST(G84,[0]!_mu, [0]!_sigma,TRUE)</f>
        <v>0.36944134018176361</v>
      </c>
      <c r="L84">
        <v>82</v>
      </c>
      <c r="M84">
        <f t="shared" si="42"/>
        <v>188</v>
      </c>
      <c r="N84" t="e">
        <f t="shared" si="43"/>
        <v>#VALUE!</v>
      </c>
    </row>
    <row r="85" spans="2:14" x14ac:dyDescent="0.3">
      <c r="B85">
        <f>Arkusz1!C85</f>
        <v>179</v>
      </c>
      <c r="F85">
        <v>83</v>
      </c>
      <c r="G85">
        <f t="shared" ref="G85" si="88">SMALL(B:B,(F85+1)/2)</f>
        <v>176</v>
      </c>
      <c r="H85">
        <f t="shared" ref="H85" si="89">COUNTIF(B:B,"&lt;"&amp;G85)/$D$7</f>
        <v>0.4</v>
      </c>
      <c r="I85">
        <f>_xlfn.NORM.DIST(G85,[0]!_mu, [0]!_sigma,TRUE)</f>
        <v>0.36944134018176361</v>
      </c>
      <c r="L85">
        <v>83</v>
      </c>
      <c r="M85">
        <f t="shared" si="42"/>
        <v>189</v>
      </c>
      <c r="N85" t="e">
        <f t="shared" si="43"/>
        <v>#VALUE!</v>
      </c>
    </row>
    <row r="86" spans="2:14" x14ac:dyDescent="0.3">
      <c r="B86">
        <f>Arkusz1!C86</f>
        <v>190</v>
      </c>
      <c r="F86">
        <v>84</v>
      </c>
      <c r="G86">
        <f t="shared" ref="G86" si="90">G85</f>
        <v>176</v>
      </c>
      <c r="H86">
        <f t="shared" ref="H86" si="91">COUNTIF(B:B,"&lt;="&amp;G86)/$D$7</f>
        <v>0.42</v>
      </c>
      <c r="I86">
        <f>_xlfn.NORM.DIST(G86,[0]!_mu, [0]!_sigma,TRUE)</f>
        <v>0.36944134018176361</v>
      </c>
      <c r="L86">
        <v>84</v>
      </c>
      <c r="M86">
        <f t="shared" si="42"/>
        <v>189</v>
      </c>
      <c r="N86" t="e">
        <f t="shared" si="43"/>
        <v>#VALUE!</v>
      </c>
    </row>
    <row r="87" spans="2:14" x14ac:dyDescent="0.3">
      <c r="B87">
        <f>Arkusz1!C87</f>
        <v>182</v>
      </c>
      <c r="F87">
        <v>85</v>
      </c>
      <c r="G87">
        <f t="shared" ref="G87" si="92">SMALL(B:B,(F87+1)/2)</f>
        <v>177</v>
      </c>
      <c r="H87">
        <f t="shared" ref="H87" si="93">COUNTIF(B:B,"&lt;"&amp;G87)/$D$7</f>
        <v>0.42</v>
      </c>
      <c r="I87">
        <f>_xlfn.NORM.DIST(G87,[0]!_mu, [0]!_sigma,TRUE)</f>
        <v>0.4012936743170763</v>
      </c>
      <c r="L87">
        <v>85</v>
      </c>
      <c r="M87">
        <f t="shared" si="42"/>
        <v>190</v>
      </c>
      <c r="N87" t="e">
        <f t="shared" si="43"/>
        <v>#VALUE!</v>
      </c>
    </row>
    <row r="88" spans="2:14" x14ac:dyDescent="0.3">
      <c r="B88">
        <f>Arkusz1!C88</f>
        <v>192</v>
      </c>
      <c r="F88">
        <v>86</v>
      </c>
      <c r="G88">
        <f t="shared" ref="G88" si="94">G87</f>
        <v>177</v>
      </c>
      <c r="H88">
        <f t="shared" ref="H88" si="95">COUNTIF(B:B,"&lt;="&amp;G88)/$D$7</f>
        <v>0.45</v>
      </c>
      <c r="I88">
        <f>_xlfn.NORM.DIST(G88,[0]!_mu, [0]!_sigma,TRUE)</f>
        <v>0.4012936743170763</v>
      </c>
      <c r="L88">
        <v>86</v>
      </c>
      <c r="M88">
        <f t="shared" si="42"/>
        <v>190</v>
      </c>
      <c r="N88" t="e">
        <f t="shared" si="43"/>
        <v>#VALUE!</v>
      </c>
    </row>
    <row r="89" spans="2:14" x14ac:dyDescent="0.3">
      <c r="B89">
        <f>Arkusz1!C89</f>
        <v>186</v>
      </c>
      <c r="F89">
        <v>87</v>
      </c>
      <c r="G89">
        <f t="shared" ref="G89" si="96">SMALL(B:B,(F89+1)/2)</f>
        <v>177</v>
      </c>
      <c r="H89">
        <f t="shared" ref="H89" si="97">COUNTIF(B:B,"&lt;"&amp;G89)/$D$7</f>
        <v>0.42</v>
      </c>
      <c r="I89">
        <f>_xlfn.NORM.DIST(G89,[0]!_mu, [0]!_sigma,TRUE)</f>
        <v>0.4012936743170763</v>
      </c>
      <c r="L89">
        <v>87</v>
      </c>
      <c r="M89">
        <f t="shared" si="42"/>
        <v>191</v>
      </c>
      <c r="N89" t="e">
        <f t="shared" si="43"/>
        <v>#VALUE!</v>
      </c>
    </row>
    <row r="90" spans="2:14" x14ac:dyDescent="0.3">
      <c r="B90">
        <f>Arkusz1!C90</f>
        <v>172</v>
      </c>
      <c r="F90">
        <v>88</v>
      </c>
      <c r="G90">
        <f t="shared" ref="G90" si="98">G89</f>
        <v>177</v>
      </c>
      <c r="H90">
        <f t="shared" ref="H90" si="99">COUNTIF(B:B,"&lt;="&amp;G90)/$D$7</f>
        <v>0.45</v>
      </c>
      <c r="I90">
        <f>_xlfn.NORM.DIST(G90,[0]!_mu, [0]!_sigma,TRUE)</f>
        <v>0.4012936743170763</v>
      </c>
      <c r="L90">
        <v>88</v>
      </c>
      <c r="M90">
        <f t="shared" si="42"/>
        <v>191</v>
      </c>
      <c r="N90" t="e">
        <f t="shared" si="43"/>
        <v>#VALUE!</v>
      </c>
    </row>
    <row r="91" spans="2:14" x14ac:dyDescent="0.3">
      <c r="B91">
        <f>Arkusz1!C91</f>
        <v>187</v>
      </c>
      <c r="F91">
        <v>89</v>
      </c>
      <c r="G91">
        <f t="shared" ref="G91" si="100">SMALL(B:B,(F91+1)/2)</f>
        <v>177</v>
      </c>
      <c r="H91">
        <f t="shared" ref="H91" si="101">COUNTIF(B:B,"&lt;"&amp;G91)/$D$7</f>
        <v>0.42</v>
      </c>
      <c r="I91">
        <f>_xlfn.NORM.DIST(G91,[0]!_mu, [0]!_sigma,TRUE)</f>
        <v>0.4012936743170763</v>
      </c>
      <c r="L91">
        <v>89</v>
      </c>
      <c r="M91">
        <f t="shared" si="42"/>
        <v>192</v>
      </c>
      <c r="N91" t="e">
        <f t="shared" si="43"/>
        <v>#VALUE!</v>
      </c>
    </row>
    <row r="92" spans="2:14" x14ac:dyDescent="0.3">
      <c r="B92">
        <f>Arkusz1!C92</f>
        <v>197</v>
      </c>
      <c r="F92">
        <v>90</v>
      </c>
      <c r="G92">
        <f t="shared" ref="G92" si="102">G91</f>
        <v>177</v>
      </c>
      <c r="H92">
        <f t="shared" ref="H92" si="103">COUNTIF(B:B,"&lt;="&amp;G92)/$D$7</f>
        <v>0.45</v>
      </c>
      <c r="I92">
        <f>_xlfn.NORM.DIST(G92,[0]!_mu, [0]!_sigma,TRUE)</f>
        <v>0.4012936743170763</v>
      </c>
      <c r="L92">
        <v>90</v>
      </c>
      <c r="M92">
        <f t="shared" si="42"/>
        <v>192</v>
      </c>
      <c r="N92" t="e">
        <f t="shared" si="43"/>
        <v>#VALUE!</v>
      </c>
    </row>
    <row r="93" spans="2:14" x14ac:dyDescent="0.3">
      <c r="B93">
        <f>Arkusz1!C93</f>
        <v>169</v>
      </c>
      <c r="F93">
        <v>91</v>
      </c>
      <c r="G93">
        <f t="shared" ref="G93" si="104">SMALL(B:B,(F93+1)/2)</f>
        <v>178</v>
      </c>
      <c r="H93">
        <f t="shared" ref="H93" si="105">COUNTIF(B:B,"&lt;"&amp;G93)/$D$7</f>
        <v>0.45</v>
      </c>
      <c r="I93">
        <f>_xlfn.NORM.DIST(G93,[0]!_mu, [0]!_sigma,TRUE)</f>
        <v>0.43381616738909634</v>
      </c>
      <c r="L93">
        <v>91</v>
      </c>
      <c r="M93">
        <f t="shared" si="42"/>
        <v>194</v>
      </c>
      <c r="N93" t="e">
        <f t="shared" si="43"/>
        <v>#VALUE!</v>
      </c>
    </row>
    <row r="94" spans="2:14" x14ac:dyDescent="0.3">
      <c r="B94">
        <f>Arkusz1!C94</f>
        <v>171</v>
      </c>
      <c r="F94">
        <v>92</v>
      </c>
      <c r="G94">
        <f t="shared" ref="G94" si="106">G93</f>
        <v>178</v>
      </c>
      <c r="H94">
        <f t="shared" ref="H94" si="107">COUNTIF(B:B,"&lt;="&amp;G94)/$D$7</f>
        <v>0.48</v>
      </c>
      <c r="I94">
        <f>_xlfn.NORM.DIST(G94,[0]!_mu, [0]!_sigma,TRUE)</f>
        <v>0.43381616738909634</v>
      </c>
      <c r="L94">
        <v>92</v>
      </c>
      <c r="M94">
        <f t="shared" si="42"/>
        <v>194</v>
      </c>
      <c r="N94" t="e">
        <f t="shared" si="43"/>
        <v>#VALUE!</v>
      </c>
    </row>
    <row r="95" spans="2:14" x14ac:dyDescent="0.3">
      <c r="B95">
        <f>Arkusz1!C95</f>
        <v>174</v>
      </c>
      <c r="F95">
        <v>93</v>
      </c>
      <c r="G95">
        <f t="shared" ref="G95" si="108">SMALL(B:B,(F95+1)/2)</f>
        <v>178</v>
      </c>
      <c r="H95">
        <f t="shared" ref="H95" si="109">COUNTIF(B:B,"&lt;"&amp;G95)/$D$7</f>
        <v>0.45</v>
      </c>
      <c r="I95">
        <f>_xlfn.NORM.DIST(G95,[0]!_mu, [0]!_sigma,TRUE)</f>
        <v>0.43381616738909634</v>
      </c>
      <c r="L95">
        <v>93</v>
      </c>
      <c r="M95">
        <f t="shared" si="42"/>
        <v>194</v>
      </c>
      <c r="N95" t="e">
        <f t="shared" si="43"/>
        <v>#VALUE!</v>
      </c>
    </row>
    <row r="96" spans="2:14" x14ac:dyDescent="0.3">
      <c r="B96">
        <f>Arkusz1!C96</f>
        <v>161</v>
      </c>
      <c r="F96">
        <v>94</v>
      </c>
      <c r="G96">
        <f t="shared" ref="G96" si="110">G95</f>
        <v>178</v>
      </c>
      <c r="H96">
        <f t="shared" ref="H96" si="111">COUNTIF(B:B,"&lt;="&amp;G96)/$D$7</f>
        <v>0.48</v>
      </c>
      <c r="I96">
        <f>_xlfn.NORM.DIST(G96,[0]!_mu, [0]!_sigma,TRUE)</f>
        <v>0.43381616738909634</v>
      </c>
      <c r="L96">
        <v>94</v>
      </c>
      <c r="M96">
        <f t="shared" si="42"/>
        <v>194</v>
      </c>
      <c r="N96" t="e">
        <f t="shared" si="43"/>
        <v>#VALUE!</v>
      </c>
    </row>
    <row r="97" spans="2:14" x14ac:dyDescent="0.3">
      <c r="B97">
        <f>Arkusz1!C97</f>
        <v>179</v>
      </c>
      <c r="F97">
        <v>95</v>
      </c>
      <c r="G97">
        <f t="shared" ref="G97" si="112">SMALL(B:B,(F97+1)/2)</f>
        <v>178</v>
      </c>
      <c r="H97">
        <f t="shared" ref="H97" si="113">COUNTIF(B:B,"&lt;"&amp;G97)/$D$7</f>
        <v>0.45</v>
      </c>
      <c r="I97">
        <f>_xlfn.NORM.DIST(G97,[0]!_mu, [0]!_sigma,TRUE)</f>
        <v>0.43381616738909634</v>
      </c>
      <c r="L97">
        <v>95</v>
      </c>
      <c r="M97">
        <f t="shared" si="42"/>
        <v>195</v>
      </c>
      <c r="N97" t="e">
        <f t="shared" si="43"/>
        <v>#VALUE!</v>
      </c>
    </row>
    <row r="98" spans="2:14" x14ac:dyDescent="0.3">
      <c r="B98">
        <f>Arkusz1!C98</f>
        <v>194</v>
      </c>
      <c r="F98">
        <v>96</v>
      </c>
      <c r="G98">
        <f t="shared" ref="G98" si="114">G97</f>
        <v>178</v>
      </c>
      <c r="H98">
        <f t="shared" ref="H98" si="115">COUNTIF(B:B,"&lt;="&amp;G98)/$D$7</f>
        <v>0.48</v>
      </c>
      <c r="I98">
        <f>_xlfn.NORM.DIST(G98,[0]!_mu, [0]!_sigma,TRUE)</f>
        <v>0.43381616738909634</v>
      </c>
      <c r="L98">
        <v>96</v>
      </c>
      <c r="M98">
        <f t="shared" si="42"/>
        <v>195</v>
      </c>
      <c r="N98" t="e">
        <f t="shared" si="43"/>
        <v>#VALUE!</v>
      </c>
    </row>
    <row r="99" spans="2:14" x14ac:dyDescent="0.3">
      <c r="B99">
        <f>Arkusz1!C99</f>
        <v>185</v>
      </c>
      <c r="F99">
        <v>97</v>
      </c>
      <c r="G99">
        <f t="shared" ref="G99" si="116">SMALL(B:B,(F99+1)/2)</f>
        <v>179</v>
      </c>
      <c r="H99">
        <f t="shared" ref="H99" si="117">COUNTIF(B:B,"&lt;"&amp;G99)/$D$7</f>
        <v>0.48</v>
      </c>
      <c r="I99">
        <f>_xlfn.NORM.DIST(G99,[0]!_mu, [0]!_sigma,TRUE)</f>
        <v>0.46679324814737772</v>
      </c>
      <c r="L99">
        <v>97</v>
      </c>
      <c r="M99">
        <f t="shared" si="42"/>
        <v>197</v>
      </c>
      <c r="N99" t="e">
        <f t="shared" si="43"/>
        <v>#VALUE!</v>
      </c>
    </row>
    <row r="100" spans="2:14" x14ac:dyDescent="0.3">
      <c r="B100">
        <f>Arkusz1!C100</f>
        <v>195</v>
      </c>
      <c r="F100">
        <v>98</v>
      </c>
      <c r="G100">
        <f t="shared" ref="G100" si="118">G99</f>
        <v>179</v>
      </c>
      <c r="H100">
        <f t="shared" ref="H100" si="119">COUNTIF(B:B,"&lt;="&amp;G100)/$D$7</f>
        <v>0.53</v>
      </c>
      <c r="I100">
        <f>_xlfn.NORM.DIST(G100,[0]!_mu, [0]!_sigma,TRUE)</f>
        <v>0.46679324814737772</v>
      </c>
      <c r="L100">
        <v>98</v>
      </c>
      <c r="M100">
        <f t="shared" si="42"/>
        <v>197</v>
      </c>
      <c r="N100" t="e">
        <f t="shared" si="43"/>
        <v>#VALUE!</v>
      </c>
    </row>
    <row r="101" spans="2:14" x14ac:dyDescent="0.3">
      <c r="B101">
        <f>Arkusz1!C101</f>
        <v>187</v>
      </c>
      <c r="F101">
        <v>99</v>
      </c>
      <c r="G101">
        <f t="shared" ref="G101" si="120">SMALL(B:B,(F101+1)/2)</f>
        <v>179</v>
      </c>
      <c r="H101">
        <f t="shared" ref="H101" si="121">COUNTIF(B:B,"&lt;"&amp;G101)/$D$7</f>
        <v>0.48</v>
      </c>
      <c r="I101">
        <f>_xlfn.NORM.DIST(G101,[0]!_mu, [0]!_sigma,TRUE)</f>
        <v>0.46679324814737772</v>
      </c>
      <c r="L101">
        <v>99</v>
      </c>
      <c r="M101">
        <f t="shared" si="42"/>
        <v>201</v>
      </c>
      <c r="N101" t="e">
        <f t="shared" si="43"/>
        <v>#VALUE!</v>
      </c>
    </row>
    <row r="102" spans="2:14" x14ac:dyDescent="0.3">
      <c r="F102">
        <v>100</v>
      </c>
      <c r="G102">
        <f t="shared" ref="G102" si="122">G101</f>
        <v>179</v>
      </c>
      <c r="H102">
        <f t="shared" ref="H102" si="123">COUNTIF(B:B,"&lt;="&amp;G102)/$D$7</f>
        <v>0.53</v>
      </c>
      <c r="I102">
        <f>_xlfn.NORM.DIST(G102,[0]!_mu, [0]!_sigma,TRUE)</f>
        <v>0.46679324814737772</v>
      </c>
      <c r="L102">
        <v>100</v>
      </c>
      <c r="M102">
        <f t="shared" ref="M102" si="124">SMALL(B:B,L102)</f>
        <v>210</v>
      </c>
      <c r="N102" t="e">
        <f t="shared" ref="N102" si="125">QNorm((L102-1/2)/$D$7)</f>
        <v>#VALUE!</v>
      </c>
    </row>
    <row r="103" spans="2:14" x14ac:dyDescent="0.3">
      <c r="F103">
        <v>101</v>
      </c>
      <c r="G103">
        <f t="shared" ref="G103" si="126">SMALL(B:B,(F103+1)/2)</f>
        <v>179</v>
      </c>
      <c r="H103">
        <f t="shared" ref="H103" si="127">COUNTIF(B:B,"&lt;"&amp;G103)/$D$7</f>
        <v>0.48</v>
      </c>
      <c r="I103">
        <f>_xlfn.NORM.DIST(G103,[0]!_mu, [0]!_sigma,TRUE)</f>
        <v>0.46679324814737772</v>
      </c>
    </row>
    <row r="104" spans="2:14" x14ac:dyDescent="0.3">
      <c r="F104">
        <v>102</v>
      </c>
      <c r="G104">
        <f t="shared" ref="G104" si="128">G103</f>
        <v>179</v>
      </c>
      <c r="H104">
        <f t="shared" ref="H104" si="129">COUNTIF(B:B,"&lt;="&amp;G104)/$D$7</f>
        <v>0.53</v>
      </c>
      <c r="I104">
        <f>_xlfn.NORM.DIST(G104,[0]!_mu, [0]!_sigma,TRUE)</f>
        <v>0.46679324814737772</v>
      </c>
    </row>
    <row r="105" spans="2:14" x14ac:dyDescent="0.3">
      <c r="F105">
        <v>103</v>
      </c>
      <c r="G105">
        <f t="shared" ref="G105" si="130">SMALL(B:B,(F105+1)/2)</f>
        <v>179</v>
      </c>
      <c r="H105">
        <f t="shared" ref="H105" si="131">COUNTIF(B:B,"&lt;"&amp;G105)/$D$7</f>
        <v>0.48</v>
      </c>
      <c r="I105">
        <f>_xlfn.NORM.DIST(G105,[0]!_mu, [0]!_sigma,TRUE)</f>
        <v>0.46679324814737772</v>
      </c>
    </row>
    <row r="106" spans="2:14" x14ac:dyDescent="0.3">
      <c r="F106">
        <v>104</v>
      </c>
      <c r="G106">
        <f t="shared" ref="G106" si="132">G105</f>
        <v>179</v>
      </c>
      <c r="H106">
        <f t="shared" ref="H106" si="133">COUNTIF(B:B,"&lt;="&amp;G106)/$D$7</f>
        <v>0.53</v>
      </c>
      <c r="I106">
        <f>_xlfn.NORM.DIST(G106,[0]!_mu, [0]!_sigma,TRUE)</f>
        <v>0.46679324814737772</v>
      </c>
    </row>
    <row r="107" spans="2:14" x14ac:dyDescent="0.3">
      <c r="F107">
        <v>105</v>
      </c>
      <c r="G107">
        <f t="shared" ref="G107" si="134">SMALL(B:B,(F107+1)/2)</f>
        <v>179</v>
      </c>
      <c r="H107">
        <f t="shared" ref="H107" si="135">COUNTIF(B:B,"&lt;"&amp;G107)/$D$7</f>
        <v>0.48</v>
      </c>
      <c r="I107">
        <f>_xlfn.NORM.DIST(G107,[0]!_mu, [0]!_sigma,TRUE)</f>
        <v>0.46679324814737772</v>
      </c>
    </row>
    <row r="108" spans="2:14" x14ac:dyDescent="0.3">
      <c r="F108">
        <v>106</v>
      </c>
      <c r="G108">
        <f t="shared" ref="G108" si="136">G107</f>
        <v>179</v>
      </c>
      <c r="H108">
        <f t="shared" ref="H108" si="137">COUNTIF(B:B,"&lt;="&amp;G108)/$D$7</f>
        <v>0.53</v>
      </c>
      <c r="I108">
        <f>_xlfn.NORM.DIST(G108,[0]!_mu, [0]!_sigma,TRUE)</f>
        <v>0.46679324814737772</v>
      </c>
    </row>
    <row r="109" spans="2:14" x14ac:dyDescent="0.3">
      <c r="F109">
        <v>107</v>
      </c>
      <c r="G109">
        <f t="shared" ref="G109" si="138">SMALL(B:B,(F109+1)/2)</f>
        <v>180</v>
      </c>
      <c r="H109">
        <f t="shared" ref="H109" si="139">COUNTIF(B:B,"&lt;"&amp;G109)/$D$7</f>
        <v>0.53</v>
      </c>
      <c r="I109">
        <f>_xlfn.NORM.DIST(G109,[0]!_mu, [0]!_sigma,TRUE)</f>
        <v>0.5</v>
      </c>
    </row>
    <row r="110" spans="2:14" x14ac:dyDescent="0.3">
      <c r="F110">
        <v>108</v>
      </c>
      <c r="G110">
        <f t="shared" ref="G110" si="140">G109</f>
        <v>180</v>
      </c>
      <c r="H110">
        <f t="shared" ref="H110" si="141">COUNTIF(B:B,"&lt;="&amp;G110)/$D$7</f>
        <v>0.55000000000000004</v>
      </c>
      <c r="I110">
        <f>_xlfn.NORM.DIST(G110,[0]!_mu, [0]!_sigma,TRUE)</f>
        <v>0.5</v>
      </c>
    </row>
    <row r="111" spans="2:14" x14ac:dyDescent="0.3">
      <c r="F111">
        <v>109</v>
      </c>
      <c r="G111">
        <f t="shared" ref="G111" si="142">SMALL(B:B,(F111+1)/2)</f>
        <v>180</v>
      </c>
      <c r="H111">
        <f t="shared" ref="H111" si="143">COUNTIF(B:B,"&lt;"&amp;G111)/$D$7</f>
        <v>0.53</v>
      </c>
      <c r="I111">
        <f>_xlfn.NORM.DIST(G111,[0]!_mu, [0]!_sigma,TRUE)</f>
        <v>0.5</v>
      </c>
    </row>
    <row r="112" spans="2:14" x14ac:dyDescent="0.3">
      <c r="F112">
        <v>110</v>
      </c>
      <c r="G112">
        <f t="shared" ref="G112" si="144">G111</f>
        <v>180</v>
      </c>
      <c r="H112">
        <f t="shared" ref="H112" si="145">COUNTIF(B:B,"&lt;="&amp;G112)/$D$7</f>
        <v>0.55000000000000004</v>
      </c>
      <c r="I112">
        <f>_xlfn.NORM.DIST(G112,[0]!_mu, [0]!_sigma,TRUE)</f>
        <v>0.5</v>
      </c>
    </row>
    <row r="113" spans="6:9" x14ac:dyDescent="0.3">
      <c r="F113">
        <v>111</v>
      </c>
      <c r="G113">
        <f t="shared" ref="G113" si="146">SMALL(B:B,(F113+1)/2)</f>
        <v>181</v>
      </c>
      <c r="H113">
        <f t="shared" ref="H113" si="147">COUNTIF(B:B,"&lt;"&amp;G113)/$D$7</f>
        <v>0.55000000000000004</v>
      </c>
      <c r="I113">
        <f>_xlfn.NORM.DIST(G113,[0]!_mu, [0]!_sigma,TRUE)</f>
        <v>0.53320675185262223</v>
      </c>
    </row>
    <row r="114" spans="6:9" x14ac:dyDescent="0.3">
      <c r="F114">
        <v>112</v>
      </c>
      <c r="G114">
        <f t="shared" ref="G114" si="148">G113</f>
        <v>181</v>
      </c>
      <c r="H114">
        <f t="shared" ref="H114" si="149">COUNTIF(B:B,"&lt;="&amp;G114)/$D$7</f>
        <v>0.57999999999999996</v>
      </c>
      <c r="I114">
        <f>_xlfn.NORM.DIST(G114,[0]!_mu, [0]!_sigma,TRUE)</f>
        <v>0.53320675185262223</v>
      </c>
    </row>
    <row r="115" spans="6:9" x14ac:dyDescent="0.3">
      <c r="F115">
        <v>113</v>
      </c>
      <c r="G115">
        <f t="shared" ref="G115" si="150">SMALL(B:B,(F115+1)/2)</f>
        <v>181</v>
      </c>
      <c r="H115">
        <f t="shared" ref="H115" si="151">COUNTIF(B:B,"&lt;"&amp;G115)/$D$7</f>
        <v>0.55000000000000004</v>
      </c>
      <c r="I115">
        <f>_xlfn.NORM.DIST(G115,[0]!_mu, [0]!_sigma,TRUE)</f>
        <v>0.53320675185262223</v>
      </c>
    </row>
    <row r="116" spans="6:9" x14ac:dyDescent="0.3">
      <c r="F116">
        <v>114</v>
      </c>
      <c r="G116">
        <f t="shared" ref="G116" si="152">G115</f>
        <v>181</v>
      </c>
      <c r="H116">
        <f t="shared" ref="H116" si="153">COUNTIF(B:B,"&lt;="&amp;G116)/$D$7</f>
        <v>0.57999999999999996</v>
      </c>
      <c r="I116">
        <f>_xlfn.NORM.DIST(G116,[0]!_mu, [0]!_sigma,TRUE)</f>
        <v>0.53320675185262223</v>
      </c>
    </row>
    <row r="117" spans="6:9" x14ac:dyDescent="0.3">
      <c r="F117">
        <v>115</v>
      </c>
      <c r="G117">
        <f t="shared" ref="G117" si="154">SMALL(B:B,(F117+1)/2)</f>
        <v>181</v>
      </c>
      <c r="H117">
        <f t="shared" ref="H117" si="155">COUNTIF(B:B,"&lt;"&amp;G117)/$D$7</f>
        <v>0.55000000000000004</v>
      </c>
      <c r="I117">
        <f>_xlfn.NORM.DIST(G117,[0]!_mu, [0]!_sigma,TRUE)</f>
        <v>0.53320675185262223</v>
      </c>
    </row>
    <row r="118" spans="6:9" x14ac:dyDescent="0.3">
      <c r="F118">
        <v>116</v>
      </c>
      <c r="G118">
        <f t="shared" ref="G118" si="156">G117</f>
        <v>181</v>
      </c>
      <c r="H118">
        <f t="shared" ref="H118" si="157">COUNTIF(B:B,"&lt;="&amp;G118)/$D$7</f>
        <v>0.57999999999999996</v>
      </c>
      <c r="I118">
        <f>_xlfn.NORM.DIST(G118,[0]!_mu, [0]!_sigma,TRUE)</f>
        <v>0.53320675185262223</v>
      </c>
    </row>
    <row r="119" spans="6:9" x14ac:dyDescent="0.3">
      <c r="F119">
        <v>117</v>
      </c>
      <c r="G119">
        <f t="shared" ref="G119" si="158">SMALL(B:B,(F119+1)/2)</f>
        <v>182</v>
      </c>
      <c r="H119">
        <f t="shared" ref="H119" si="159">COUNTIF(B:B,"&lt;"&amp;G119)/$D$7</f>
        <v>0.57999999999999996</v>
      </c>
      <c r="I119">
        <f>_xlfn.NORM.DIST(G119,[0]!_mu, [0]!_sigma,TRUE)</f>
        <v>0.56618383261090366</v>
      </c>
    </row>
    <row r="120" spans="6:9" x14ac:dyDescent="0.3">
      <c r="F120">
        <v>118</v>
      </c>
      <c r="G120">
        <f t="shared" ref="G120" si="160">G119</f>
        <v>182</v>
      </c>
      <c r="H120">
        <f t="shared" ref="H120" si="161">COUNTIF(B:B,"&lt;="&amp;G120)/$D$7</f>
        <v>0.59</v>
      </c>
      <c r="I120">
        <f>_xlfn.NORM.DIST(G120,[0]!_mu, [0]!_sigma,TRUE)</f>
        <v>0.56618383261090366</v>
      </c>
    </row>
    <row r="121" spans="6:9" x14ac:dyDescent="0.3">
      <c r="F121">
        <v>119</v>
      </c>
      <c r="G121">
        <f t="shared" ref="G121" si="162">SMALL(B:B,(F121+1)/2)</f>
        <v>183</v>
      </c>
      <c r="H121">
        <f t="shared" ref="H121" si="163">COUNTIF(B:B,"&lt;"&amp;G121)/$D$7</f>
        <v>0.59</v>
      </c>
      <c r="I121">
        <f>_xlfn.NORM.DIST(G121,[0]!_mu, [0]!_sigma,TRUE)</f>
        <v>0.5987063256829237</v>
      </c>
    </row>
    <row r="122" spans="6:9" x14ac:dyDescent="0.3">
      <c r="F122">
        <v>120</v>
      </c>
      <c r="G122">
        <f t="shared" ref="G122" si="164">G121</f>
        <v>183</v>
      </c>
      <c r="H122">
        <f t="shared" ref="H122" si="165">COUNTIF(B:B,"&lt;="&amp;G122)/$D$7</f>
        <v>0.62</v>
      </c>
      <c r="I122">
        <f>_xlfn.NORM.DIST(G122,[0]!_mu, [0]!_sigma,TRUE)</f>
        <v>0.5987063256829237</v>
      </c>
    </row>
    <row r="123" spans="6:9" x14ac:dyDescent="0.3">
      <c r="F123">
        <v>121</v>
      </c>
      <c r="G123">
        <f t="shared" ref="G123" si="166">SMALL(B:B,(F123+1)/2)</f>
        <v>183</v>
      </c>
      <c r="H123">
        <f t="shared" ref="H123" si="167">COUNTIF(B:B,"&lt;"&amp;G123)/$D$7</f>
        <v>0.59</v>
      </c>
      <c r="I123">
        <f>_xlfn.NORM.DIST(G123,[0]!_mu, [0]!_sigma,TRUE)</f>
        <v>0.5987063256829237</v>
      </c>
    </row>
    <row r="124" spans="6:9" x14ac:dyDescent="0.3">
      <c r="F124">
        <v>122</v>
      </c>
      <c r="G124">
        <f t="shared" ref="G124" si="168">G123</f>
        <v>183</v>
      </c>
      <c r="H124">
        <f t="shared" ref="H124" si="169">COUNTIF(B:B,"&lt;="&amp;G124)/$D$7</f>
        <v>0.62</v>
      </c>
      <c r="I124">
        <f>_xlfn.NORM.DIST(G124,[0]!_mu, [0]!_sigma,TRUE)</f>
        <v>0.5987063256829237</v>
      </c>
    </row>
    <row r="125" spans="6:9" x14ac:dyDescent="0.3">
      <c r="F125">
        <v>123</v>
      </c>
      <c r="G125">
        <f t="shared" ref="G125" si="170">SMALL(B:B,(F125+1)/2)</f>
        <v>183</v>
      </c>
      <c r="H125">
        <f t="shared" ref="H125" si="171">COUNTIF(B:B,"&lt;"&amp;G125)/$D$7</f>
        <v>0.59</v>
      </c>
      <c r="I125">
        <f>_xlfn.NORM.DIST(G125,[0]!_mu, [0]!_sigma,TRUE)</f>
        <v>0.5987063256829237</v>
      </c>
    </row>
    <row r="126" spans="6:9" x14ac:dyDescent="0.3">
      <c r="F126">
        <v>124</v>
      </c>
      <c r="G126">
        <f t="shared" ref="G126" si="172">G125</f>
        <v>183</v>
      </c>
      <c r="H126">
        <f t="shared" ref="H126" si="173">COUNTIF(B:B,"&lt;="&amp;G126)/$D$7</f>
        <v>0.62</v>
      </c>
      <c r="I126">
        <f>_xlfn.NORM.DIST(G126,[0]!_mu, [0]!_sigma,TRUE)</f>
        <v>0.5987063256829237</v>
      </c>
    </row>
    <row r="127" spans="6:9" x14ac:dyDescent="0.3">
      <c r="F127">
        <v>125</v>
      </c>
      <c r="G127">
        <f t="shared" ref="G127" si="174">SMALL(B:B,(F127+1)/2)</f>
        <v>184</v>
      </c>
      <c r="H127">
        <f t="shared" ref="H127" si="175">COUNTIF(B:B,"&lt;"&amp;G127)/$D$7</f>
        <v>0.62</v>
      </c>
      <c r="I127">
        <f>_xlfn.NORM.DIST(G127,[0]!_mu, [0]!_sigma,TRUE)</f>
        <v>0.63055865981823644</v>
      </c>
    </row>
    <row r="128" spans="6:9" x14ac:dyDescent="0.3">
      <c r="F128">
        <v>126</v>
      </c>
      <c r="G128">
        <f t="shared" ref="G128" si="176">G127</f>
        <v>184</v>
      </c>
      <c r="H128">
        <f t="shared" ref="H128" si="177">COUNTIF(B:B,"&lt;="&amp;G128)/$D$7</f>
        <v>0.65</v>
      </c>
      <c r="I128">
        <f>_xlfn.NORM.DIST(G128,[0]!_mu, [0]!_sigma,TRUE)</f>
        <v>0.63055865981823644</v>
      </c>
    </row>
    <row r="129" spans="6:9" x14ac:dyDescent="0.3">
      <c r="F129">
        <v>127</v>
      </c>
      <c r="G129">
        <f t="shared" ref="G129" si="178">SMALL(B:B,(F129+1)/2)</f>
        <v>184</v>
      </c>
      <c r="H129">
        <f t="shared" ref="H129" si="179">COUNTIF(B:B,"&lt;"&amp;G129)/$D$7</f>
        <v>0.62</v>
      </c>
      <c r="I129">
        <f>_xlfn.NORM.DIST(G129,[0]!_mu, [0]!_sigma,TRUE)</f>
        <v>0.63055865981823644</v>
      </c>
    </row>
    <row r="130" spans="6:9" x14ac:dyDescent="0.3">
      <c r="F130">
        <v>128</v>
      </c>
      <c r="G130">
        <f t="shared" ref="G130" si="180">G129</f>
        <v>184</v>
      </c>
      <c r="H130">
        <f t="shared" ref="H130" si="181">COUNTIF(B:B,"&lt;="&amp;G130)/$D$7</f>
        <v>0.65</v>
      </c>
      <c r="I130">
        <f>_xlfn.NORM.DIST(G130,[0]!_mu, [0]!_sigma,TRUE)</f>
        <v>0.63055865981823644</v>
      </c>
    </row>
    <row r="131" spans="6:9" x14ac:dyDescent="0.3">
      <c r="F131">
        <v>129</v>
      </c>
      <c r="G131">
        <f t="shared" ref="G131" si="182">SMALL(B:B,(F131+1)/2)</f>
        <v>184</v>
      </c>
      <c r="H131">
        <f t="shared" ref="H131" si="183">COUNTIF(B:B,"&lt;"&amp;G131)/$D$7</f>
        <v>0.62</v>
      </c>
      <c r="I131">
        <f>_xlfn.NORM.DIST(G131,[0]!_mu, [0]!_sigma,TRUE)</f>
        <v>0.63055865981823644</v>
      </c>
    </row>
    <row r="132" spans="6:9" x14ac:dyDescent="0.3">
      <c r="F132">
        <v>130</v>
      </c>
      <c r="G132">
        <f t="shared" ref="G132" si="184">G131</f>
        <v>184</v>
      </c>
      <c r="H132">
        <f t="shared" ref="H132" si="185">COUNTIF(B:B,"&lt;="&amp;G132)/$D$7</f>
        <v>0.65</v>
      </c>
      <c r="I132">
        <f>_xlfn.NORM.DIST(G132,[0]!_mu, [0]!_sigma,TRUE)</f>
        <v>0.63055865981823644</v>
      </c>
    </row>
    <row r="133" spans="6:9" x14ac:dyDescent="0.3">
      <c r="F133">
        <v>131</v>
      </c>
      <c r="G133">
        <f t="shared" ref="G133" si="186">SMALL(B:B,(F133+1)/2)</f>
        <v>185</v>
      </c>
      <c r="H133">
        <f t="shared" ref="H133" si="187">COUNTIF(B:B,"&lt;"&amp;G133)/$D$7</f>
        <v>0.65</v>
      </c>
      <c r="I133">
        <f>_xlfn.NORM.DIST(G133,[0]!_mu, [0]!_sigma,TRUE)</f>
        <v>0.66153888048931031</v>
      </c>
    </row>
    <row r="134" spans="6:9" x14ac:dyDescent="0.3">
      <c r="F134">
        <v>132</v>
      </c>
      <c r="G134">
        <f t="shared" ref="G134" si="188">G133</f>
        <v>185</v>
      </c>
      <c r="H134">
        <f t="shared" ref="H134" si="189">COUNTIF(B:B,"&lt;="&amp;G134)/$D$7</f>
        <v>0.68</v>
      </c>
      <c r="I134">
        <f>_xlfn.NORM.DIST(G134,[0]!_mu, [0]!_sigma,TRUE)</f>
        <v>0.66153888048931031</v>
      </c>
    </row>
    <row r="135" spans="6:9" x14ac:dyDescent="0.3">
      <c r="F135">
        <v>133</v>
      </c>
      <c r="G135">
        <f t="shared" ref="G135" si="190">SMALL(B:B,(F135+1)/2)</f>
        <v>185</v>
      </c>
      <c r="H135">
        <f t="shared" ref="H135" si="191">COUNTIF(B:B,"&lt;"&amp;G135)/$D$7</f>
        <v>0.65</v>
      </c>
      <c r="I135">
        <f>_xlfn.NORM.DIST(G135,[0]!_mu, [0]!_sigma,TRUE)</f>
        <v>0.66153888048931031</v>
      </c>
    </row>
    <row r="136" spans="6:9" x14ac:dyDescent="0.3">
      <c r="F136">
        <v>134</v>
      </c>
      <c r="G136">
        <f t="shared" ref="G136" si="192">G135</f>
        <v>185</v>
      </c>
      <c r="H136">
        <f t="shared" ref="H136" si="193">COUNTIF(B:B,"&lt;="&amp;G136)/$D$7</f>
        <v>0.68</v>
      </c>
      <c r="I136">
        <f>_xlfn.NORM.DIST(G136,[0]!_mu, [0]!_sigma,TRUE)</f>
        <v>0.66153888048931031</v>
      </c>
    </row>
    <row r="137" spans="6:9" x14ac:dyDescent="0.3">
      <c r="F137">
        <v>135</v>
      </c>
      <c r="G137">
        <f t="shared" ref="G137" si="194">SMALL(B:B,(F137+1)/2)</f>
        <v>185</v>
      </c>
      <c r="H137">
        <f t="shared" ref="H137" si="195">COUNTIF(B:B,"&lt;"&amp;G137)/$D$7</f>
        <v>0.65</v>
      </c>
      <c r="I137">
        <f>_xlfn.NORM.DIST(G137,[0]!_mu, [0]!_sigma,TRUE)</f>
        <v>0.66153888048931031</v>
      </c>
    </row>
    <row r="138" spans="6:9" x14ac:dyDescent="0.3">
      <c r="F138">
        <v>136</v>
      </c>
      <c r="G138">
        <f t="shared" ref="G138" si="196">G137</f>
        <v>185</v>
      </c>
      <c r="H138">
        <f t="shared" ref="H138" si="197">COUNTIF(B:B,"&lt;="&amp;G138)/$D$7</f>
        <v>0.68</v>
      </c>
      <c r="I138">
        <f>_xlfn.NORM.DIST(G138,[0]!_mu, [0]!_sigma,TRUE)</f>
        <v>0.66153888048931031</v>
      </c>
    </row>
    <row r="139" spans="6:9" x14ac:dyDescent="0.3">
      <c r="F139">
        <v>137</v>
      </c>
      <c r="G139">
        <f t="shared" ref="G139" si="198">SMALL(B:B,(F139+1)/2)</f>
        <v>186</v>
      </c>
      <c r="H139">
        <f t="shared" ref="H139" si="199">COUNTIF(B:B,"&lt;"&amp;G139)/$D$7</f>
        <v>0.68</v>
      </c>
      <c r="I139">
        <f>_xlfn.NORM.DIST(G139,[0]!_mu, [0]!_sigma,TRUE)</f>
        <v>0.69146246127401312</v>
      </c>
    </row>
    <row r="140" spans="6:9" x14ac:dyDescent="0.3">
      <c r="F140">
        <v>138</v>
      </c>
      <c r="G140">
        <f t="shared" ref="G140" si="200">G139</f>
        <v>186</v>
      </c>
      <c r="H140">
        <f t="shared" ref="H140" si="201">COUNTIF(B:B,"&lt;="&amp;G140)/$D$7</f>
        <v>0.73</v>
      </c>
      <c r="I140">
        <f>_xlfn.NORM.DIST(G140,[0]!_mu, [0]!_sigma,TRUE)</f>
        <v>0.69146246127401312</v>
      </c>
    </row>
    <row r="141" spans="6:9" x14ac:dyDescent="0.3">
      <c r="F141">
        <v>139</v>
      </c>
      <c r="G141">
        <f t="shared" ref="G141" si="202">SMALL(B:B,(F141+1)/2)</f>
        <v>186</v>
      </c>
      <c r="H141">
        <f t="shared" ref="H141" si="203">COUNTIF(B:B,"&lt;"&amp;G141)/$D$7</f>
        <v>0.68</v>
      </c>
      <c r="I141">
        <f>_xlfn.NORM.DIST(G141,[0]!_mu, [0]!_sigma,TRUE)</f>
        <v>0.69146246127401312</v>
      </c>
    </row>
    <row r="142" spans="6:9" x14ac:dyDescent="0.3">
      <c r="F142">
        <v>140</v>
      </c>
      <c r="G142">
        <f t="shared" ref="G142" si="204">G141</f>
        <v>186</v>
      </c>
      <c r="H142">
        <f t="shared" ref="H142" si="205">COUNTIF(B:B,"&lt;="&amp;G142)/$D$7</f>
        <v>0.73</v>
      </c>
      <c r="I142">
        <f>_xlfn.NORM.DIST(G142,[0]!_mu, [0]!_sigma,TRUE)</f>
        <v>0.69146246127401312</v>
      </c>
    </row>
    <row r="143" spans="6:9" x14ac:dyDescent="0.3">
      <c r="F143">
        <v>141</v>
      </c>
      <c r="G143">
        <f t="shared" ref="G143" si="206">SMALL(B:B,(F143+1)/2)</f>
        <v>186</v>
      </c>
      <c r="H143">
        <f t="shared" ref="H143" si="207">COUNTIF(B:B,"&lt;"&amp;G143)/$D$7</f>
        <v>0.68</v>
      </c>
      <c r="I143">
        <f>_xlfn.NORM.DIST(G143,[0]!_mu, [0]!_sigma,TRUE)</f>
        <v>0.69146246127401312</v>
      </c>
    </row>
    <row r="144" spans="6:9" x14ac:dyDescent="0.3">
      <c r="F144">
        <v>142</v>
      </c>
      <c r="G144">
        <f t="shared" ref="G144" si="208">G143</f>
        <v>186</v>
      </c>
      <c r="H144">
        <f t="shared" ref="H144" si="209">COUNTIF(B:B,"&lt;="&amp;G144)/$D$7</f>
        <v>0.73</v>
      </c>
      <c r="I144">
        <f>_xlfn.NORM.DIST(G144,[0]!_mu, [0]!_sigma,TRUE)</f>
        <v>0.69146246127401312</v>
      </c>
    </row>
    <row r="145" spans="6:9" x14ac:dyDescent="0.3">
      <c r="F145">
        <v>143</v>
      </c>
      <c r="G145">
        <f t="shared" ref="G145" si="210">SMALL(B:B,(F145+1)/2)</f>
        <v>186</v>
      </c>
      <c r="H145">
        <f t="shared" ref="H145" si="211">COUNTIF(B:B,"&lt;"&amp;G145)/$D$7</f>
        <v>0.68</v>
      </c>
      <c r="I145">
        <f>_xlfn.NORM.DIST(G145,[0]!_mu, [0]!_sigma,TRUE)</f>
        <v>0.69146246127401312</v>
      </c>
    </row>
    <row r="146" spans="6:9" x14ac:dyDescent="0.3">
      <c r="F146">
        <v>144</v>
      </c>
      <c r="G146">
        <f t="shared" ref="G146" si="212">G145</f>
        <v>186</v>
      </c>
      <c r="H146">
        <f t="shared" ref="H146" si="213">COUNTIF(B:B,"&lt;="&amp;G146)/$D$7</f>
        <v>0.73</v>
      </c>
      <c r="I146">
        <f>_xlfn.NORM.DIST(G146,[0]!_mu, [0]!_sigma,TRUE)</f>
        <v>0.69146246127401312</v>
      </c>
    </row>
    <row r="147" spans="6:9" x14ac:dyDescent="0.3">
      <c r="F147">
        <v>145</v>
      </c>
      <c r="G147">
        <f t="shared" ref="G147" si="214">SMALL(B:B,(F147+1)/2)</f>
        <v>186</v>
      </c>
      <c r="H147">
        <f t="shared" ref="H147" si="215">COUNTIF(B:B,"&lt;"&amp;G147)/$D$7</f>
        <v>0.68</v>
      </c>
      <c r="I147">
        <f>_xlfn.NORM.DIST(G147,[0]!_mu, [0]!_sigma,TRUE)</f>
        <v>0.69146246127401312</v>
      </c>
    </row>
    <row r="148" spans="6:9" x14ac:dyDescent="0.3">
      <c r="F148">
        <v>146</v>
      </c>
      <c r="G148">
        <f t="shared" ref="G148" si="216">G147</f>
        <v>186</v>
      </c>
      <c r="H148">
        <f t="shared" ref="H148" si="217">COUNTIF(B:B,"&lt;="&amp;G148)/$D$7</f>
        <v>0.73</v>
      </c>
      <c r="I148">
        <f>_xlfn.NORM.DIST(G148,[0]!_mu, [0]!_sigma,TRUE)</f>
        <v>0.69146246127401312</v>
      </c>
    </row>
    <row r="149" spans="6:9" x14ac:dyDescent="0.3">
      <c r="F149">
        <v>147</v>
      </c>
      <c r="G149">
        <f t="shared" ref="G149" si="218">SMALL(B:B,(F149+1)/2)</f>
        <v>187</v>
      </c>
      <c r="H149">
        <f t="shared" ref="H149" si="219">COUNTIF(B:B,"&lt;"&amp;G149)/$D$7</f>
        <v>0.73</v>
      </c>
      <c r="I149">
        <f>_xlfn.NORM.DIST(G149,[0]!_mu, [0]!_sigma,TRUE)</f>
        <v>0.72016553640029435</v>
      </c>
    </row>
    <row r="150" spans="6:9" x14ac:dyDescent="0.3">
      <c r="F150">
        <v>148</v>
      </c>
      <c r="G150">
        <f t="shared" ref="G150" si="220">G149</f>
        <v>187</v>
      </c>
      <c r="H150">
        <f t="shared" ref="H150" si="221">COUNTIF(B:B,"&lt;="&amp;G150)/$D$7</f>
        <v>0.78</v>
      </c>
      <c r="I150">
        <f>_xlfn.NORM.DIST(G150,[0]!_mu, [0]!_sigma,TRUE)</f>
        <v>0.72016553640029435</v>
      </c>
    </row>
    <row r="151" spans="6:9" x14ac:dyDescent="0.3">
      <c r="F151">
        <v>149</v>
      </c>
      <c r="G151">
        <f t="shared" ref="G151" si="222">SMALL(B:B,(F151+1)/2)</f>
        <v>187</v>
      </c>
      <c r="H151">
        <f t="shared" ref="H151" si="223">COUNTIF(B:B,"&lt;"&amp;G151)/$D$7</f>
        <v>0.73</v>
      </c>
      <c r="I151">
        <f>_xlfn.NORM.DIST(G151,[0]!_mu, [0]!_sigma,TRUE)</f>
        <v>0.72016553640029435</v>
      </c>
    </row>
    <row r="152" spans="6:9" x14ac:dyDescent="0.3">
      <c r="F152">
        <v>150</v>
      </c>
      <c r="G152">
        <f t="shared" ref="G152" si="224">G151</f>
        <v>187</v>
      </c>
      <c r="H152">
        <f t="shared" ref="H152" si="225">COUNTIF(B:B,"&lt;="&amp;G152)/$D$7</f>
        <v>0.78</v>
      </c>
      <c r="I152">
        <f>_xlfn.NORM.DIST(G152,[0]!_mu, [0]!_sigma,TRUE)</f>
        <v>0.72016553640029435</v>
      </c>
    </row>
    <row r="153" spans="6:9" x14ac:dyDescent="0.3">
      <c r="F153">
        <v>151</v>
      </c>
      <c r="G153">
        <f t="shared" ref="G153" si="226">SMALL(B:B,(F153+1)/2)</f>
        <v>187</v>
      </c>
      <c r="H153">
        <f t="shared" ref="H153" si="227">COUNTIF(B:B,"&lt;"&amp;G153)/$D$7</f>
        <v>0.73</v>
      </c>
      <c r="I153">
        <f>_xlfn.NORM.DIST(G153,[0]!_mu, [0]!_sigma,TRUE)</f>
        <v>0.72016553640029435</v>
      </c>
    </row>
    <row r="154" spans="6:9" x14ac:dyDescent="0.3">
      <c r="F154">
        <v>152</v>
      </c>
      <c r="G154">
        <f t="shared" ref="G154" si="228">G153</f>
        <v>187</v>
      </c>
      <c r="H154">
        <f t="shared" ref="H154" si="229">COUNTIF(B:B,"&lt;="&amp;G154)/$D$7</f>
        <v>0.78</v>
      </c>
      <c r="I154">
        <f>_xlfn.NORM.DIST(G154,[0]!_mu, [0]!_sigma,TRUE)</f>
        <v>0.72016553640029435</v>
      </c>
    </row>
    <row r="155" spans="6:9" x14ac:dyDescent="0.3">
      <c r="F155">
        <v>153</v>
      </c>
      <c r="G155">
        <f t="shared" ref="G155" si="230">SMALL(B:B,(F155+1)/2)</f>
        <v>187</v>
      </c>
      <c r="H155">
        <f t="shared" ref="H155" si="231">COUNTIF(B:B,"&lt;"&amp;G155)/$D$7</f>
        <v>0.73</v>
      </c>
      <c r="I155">
        <f>_xlfn.NORM.DIST(G155,[0]!_mu, [0]!_sigma,TRUE)</f>
        <v>0.72016553640029435</v>
      </c>
    </row>
    <row r="156" spans="6:9" x14ac:dyDescent="0.3">
      <c r="F156">
        <v>154</v>
      </c>
      <c r="G156">
        <f t="shared" ref="G156" si="232">G155</f>
        <v>187</v>
      </c>
      <c r="H156">
        <f t="shared" ref="H156" si="233">COUNTIF(B:B,"&lt;="&amp;G156)/$D$7</f>
        <v>0.78</v>
      </c>
      <c r="I156">
        <f>_xlfn.NORM.DIST(G156,[0]!_mu, [0]!_sigma,TRUE)</f>
        <v>0.72016553640029435</v>
      </c>
    </row>
    <row r="157" spans="6:9" x14ac:dyDescent="0.3">
      <c r="F157">
        <v>155</v>
      </c>
      <c r="G157">
        <f t="shared" ref="G157" si="234">SMALL(B:B,(F157+1)/2)</f>
        <v>187</v>
      </c>
      <c r="H157">
        <f t="shared" ref="H157" si="235">COUNTIF(B:B,"&lt;"&amp;G157)/$D$7</f>
        <v>0.73</v>
      </c>
      <c r="I157">
        <f>_xlfn.NORM.DIST(G157,[0]!_mu, [0]!_sigma,TRUE)</f>
        <v>0.72016553640029435</v>
      </c>
    </row>
    <row r="158" spans="6:9" x14ac:dyDescent="0.3">
      <c r="F158">
        <v>156</v>
      </c>
      <c r="G158">
        <f t="shared" ref="G158" si="236">G157</f>
        <v>187</v>
      </c>
      <c r="H158">
        <f t="shared" ref="H158" si="237">COUNTIF(B:B,"&lt;="&amp;G158)/$D$7</f>
        <v>0.78</v>
      </c>
      <c r="I158">
        <f>_xlfn.NORM.DIST(G158,[0]!_mu, [0]!_sigma,TRUE)</f>
        <v>0.72016553640029435</v>
      </c>
    </row>
    <row r="159" spans="6:9" x14ac:dyDescent="0.3">
      <c r="F159">
        <v>157</v>
      </c>
      <c r="G159">
        <f t="shared" ref="G159" si="238">SMALL(B:B,(F159+1)/2)</f>
        <v>188</v>
      </c>
      <c r="H159">
        <f t="shared" ref="H159" si="239">COUNTIF(B:B,"&lt;"&amp;G159)/$D$7</f>
        <v>0.78</v>
      </c>
      <c r="I159">
        <f>_xlfn.NORM.DIST(G159,[0]!_mu, [0]!_sigma,TRUE)</f>
        <v>0.74750746245307709</v>
      </c>
    </row>
    <row r="160" spans="6:9" x14ac:dyDescent="0.3">
      <c r="F160">
        <v>158</v>
      </c>
      <c r="G160">
        <f t="shared" ref="G160" si="240">G159</f>
        <v>188</v>
      </c>
      <c r="H160">
        <f t="shared" ref="H160" si="241">COUNTIF(B:B,"&lt;="&amp;G160)/$D$7</f>
        <v>0.82</v>
      </c>
      <c r="I160">
        <f>_xlfn.NORM.DIST(G160,[0]!_mu, [0]!_sigma,TRUE)</f>
        <v>0.74750746245307709</v>
      </c>
    </row>
    <row r="161" spans="6:9" x14ac:dyDescent="0.3">
      <c r="F161">
        <v>159</v>
      </c>
      <c r="G161">
        <f t="shared" ref="G161" si="242">SMALL(B:B,(F161+1)/2)</f>
        <v>188</v>
      </c>
      <c r="H161">
        <f t="shared" ref="H161" si="243">COUNTIF(B:B,"&lt;"&amp;G161)/$D$7</f>
        <v>0.78</v>
      </c>
      <c r="I161">
        <f>_xlfn.NORM.DIST(G161,[0]!_mu, [0]!_sigma,TRUE)</f>
        <v>0.74750746245307709</v>
      </c>
    </row>
    <row r="162" spans="6:9" x14ac:dyDescent="0.3">
      <c r="F162">
        <v>160</v>
      </c>
      <c r="G162">
        <f t="shared" ref="G162" si="244">G161</f>
        <v>188</v>
      </c>
      <c r="H162">
        <f t="shared" ref="H162" si="245">COUNTIF(B:B,"&lt;="&amp;G162)/$D$7</f>
        <v>0.82</v>
      </c>
      <c r="I162">
        <f>_xlfn.NORM.DIST(G162,[0]!_mu, [0]!_sigma,TRUE)</f>
        <v>0.74750746245307709</v>
      </c>
    </row>
    <row r="163" spans="6:9" x14ac:dyDescent="0.3">
      <c r="F163">
        <v>161</v>
      </c>
      <c r="G163">
        <f t="shared" ref="G163" si="246">SMALL(B:B,(F163+1)/2)</f>
        <v>188</v>
      </c>
      <c r="H163">
        <f t="shared" ref="H163" si="247">COUNTIF(B:B,"&lt;"&amp;G163)/$D$7</f>
        <v>0.78</v>
      </c>
      <c r="I163">
        <f>_xlfn.NORM.DIST(G163,[0]!_mu, [0]!_sigma,TRUE)</f>
        <v>0.74750746245307709</v>
      </c>
    </row>
    <row r="164" spans="6:9" x14ac:dyDescent="0.3">
      <c r="F164">
        <v>162</v>
      </c>
      <c r="G164">
        <f t="shared" ref="G164" si="248">G163</f>
        <v>188</v>
      </c>
      <c r="H164">
        <f t="shared" ref="H164" si="249">COUNTIF(B:B,"&lt;="&amp;G164)/$D$7</f>
        <v>0.82</v>
      </c>
      <c r="I164">
        <f>_xlfn.NORM.DIST(G164,[0]!_mu, [0]!_sigma,TRUE)</f>
        <v>0.74750746245307709</v>
      </c>
    </row>
    <row r="165" spans="6:9" x14ac:dyDescent="0.3">
      <c r="F165">
        <v>163</v>
      </c>
      <c r="G165">
        <f t="shared" ref="G165" si="250">SMALL(B:B,(F165+1)/2)</f>
        <v>188</v>
      </c>
      <c r="H165">
        <f t="shared" ref="H165" si="251">COUNTIF(B:B,"&lt;"&amp;G165)/$D$7</f>
        <v>0.78</v>
      </c>
      <c r="I165">
        <f>_xlfn.NORM.DIST(G165,[0]!_mu, [0]!_sigma,TRUE)</f>
        <v>0.74750746245307709</v>
      </c>
    </row>
    <row r="166" spans="6:9" x14ac:dyDescent="0.3">
      <c r="F166">
        <v>164</v>
      </c>
      <c r="G166">
        <f t="shared" ref="G166" si="252">G165</f>
        <v>188</v>
      </c>
      <c r="H166">
        <f t="shared" ref="H166" si="253">COUNTIF(B:B,"&lt;="&amp;G166)/$D$7</f>
        <v>0.82</v>
      </c>
      <c r="I166">
        <f>_xlfn.NORM.DIST(G166,[0]!_mu, [0]!_sigma,TRUE)</f>
        <v>0.74750746245307709</v>
      </c>
    </row>
    <row r="167" spans="6:9" x14ac:dyDescent="0.3">
      <c r="F167">
        <v>165</v>
      </c>
      <c r="G167">
        <f t="shared" ref="G167" si="254">SMALL(B:B,(F167+1)/2)</f>
        <v>189</v>
      </c>
      <c r="H167">
        <f t="shared" ref="H167" si="255">COUNTIF(B:B,"&lt;"&amp;G167)/$D$7</f>
        <v>0.82</v>
      </c>
      <c r="I167">
        <f>_xlfn.NORM.DIST(G167,[0]!_mu, [0]!_sigma,TRUE)</f>
        <v>0.77337264762313174</v>
      </c>
    </row>
    <row r="168" spans="6:9" x14ac:dyDescent="0.3">
      <c r="F168">
        <v>166</v>
      </c>
      <c r="G168">
        <f t="shared" ref="G168" si="256">G167</f>
        <v>189</v>
      </c>
      <c r="H168">
        <f t="shared" ref="H168" si="257">COUNTIF(B:B,"&lt;="&amp;G168)/$D$7</f>
        <v>0.84</v>
      </c>
      <c r="I168">
        <f>_xlfn.NORM.DIST(G168,[0]!_mu, [0]!_sigma,TRUE)</f>
        <v>0.77337264762313174</v>
      </c>
    </row>
    <row r="169" spans="6:9" x14ac:dyDescent="0.3">
      <c r="F169">
        <v>167</v>
      </c>
      <c r="G169">
        <f t="shared" ref="G169" si="258">SMALL(B:B,(F169+1)/2)</f>
        <v>189</v>
      </c>
      <c r="H169">
        <f t="shared" ref="H169" si="259">COUNTIF(B:B,"&lt;"&amp;G169)/$D$7</f>
        <v>0.82</v>
      </c>
      <c r="I169">
        <f>_xlfn.NORM.DIST(G169,[0]!_mu, [0]!_sigma,TRUE)</f>
        <v>0.77337264762313174</v>
      </c>
    </row>
    <row r="170" spans="6:9" x14ac:dyDescent="0.3">
      <c r="F170">
        <v>168</v>
      </c>
      <c r="G170">
        <f t="shared" ref="G170" si="260">G169</f>
        <v>189</v>
      </c>
      <c r="H170">
        <f t="shared" ref="H170" si="261">COUNTIF(B:B,"&lt;="&amp;G170)/$D$7</f>
        <v>0.84</v>
      </c>
      <c r="I170">
        <f>_xlfn.NORM.DIST(G170,[0]!_mu, [0]!_sigma,TRUE)</f>
        <v>0.77337264762313174</v>
      </c>
    </row>
    <row r="171" spans="6:9" x14ac:dyDescent="0.3">
      <c r="F171">
        <v>169</v>
      </c>
      <c r="G171">
        <f t="shared" ref="G171" si="262">SMALL(B:B,(F171+1)/2)</f>
        <v>190</v>
      </c>
      <c r="H171">
        <f t="shared" ref="H171" si="263">COUNTIF(B:B,"&lt;"&amp;G171)/$D$7</f>
        <v>0.84</v>
      </c>
      <c r="I171">
        <f>_xlfn.NORM.DIST(G171,[0]!_mu, [0]!_sigma,TRUE)</f>
        <v>0.79767161903635697</v>
      </c>
    </row>
    <row r="172" spans="6:9" x14ac:dyDescent="0.3">
      <c r="F172">
        <v>170</v>
      </c>
      <c r="G172">
        <f t="shared" ref="G172" si="264">G171</f>
        <v>190</v>
      </c>
      <c r="H172">
        <f t="shared" ref="H172" si="265">COUNTIF(B:B,"&lt;="&amp;G172)/$D$7</f>
        <v>0.86</v>
      </c>
      <c r="I172">
        <f>_xlfn.NORM.DIST(G172,[0]!_mu, [0]!_sigma,TRUE)</f>
        <v>0.79767161903635697</v>
      </c>
    </row>
    <row r="173" spans="6:9" x14ac:dyDescent="0.3">
      <c r="F173">
        <v>171</v>
      </c>
      <c r="G173">
        <f t="shared" ref="G173" si="266">SMALL(B:B,(F173+1)/2)</f>
        <v>190</v>
      </c>
      <c r="H173">
        <f t="shared" ref="H173" si="267">COUNTIF(B:B,"&lt;"&amp;G173)/$D$7</f>
        <v>0.84</v>
      </c>
      <c r="I173">
        <f>_xlfn.NORM.DIST(G173,[0]!_mu, [0]!_sigma,TRUE)</f>
        <v>0.79767161903635697</v>
      </c>
    </row>
    <row r="174" spans="6:9" x14ac:dyDescent="0.3">
      <c r="F174">
        <v>172</v>
      </c>
      <c r="G174">
        <f t="shared" ref="G174" si="268">G173</f>
        <v>190</v>
      </c>
      <c r="H174">
        <f t="shared" ref="H174" si="269">COUNTIF(B:B,"&lt;="&amp;G174)/$D$7</f>
        <v>0.86</v>
      </c>
      <c r="I174">
        <f>_xlfn.NORM.DIST(G174,[0]!_mu, [0]!_sigma,TRUE)</f>
        <v>0.79767161903635697</v>
      </c>
    </row>
    <row r="175" spans="6:9" x14ac:dyDescent="0.3">
      <c r="F175">
        <v>173</v>
      </c>
      <c r="G175">
        <f t="shared" ref="G175" si="270">SMALL(B:B,(F175+1)/2)</f>
        <v>191</v>
      </c>
      <c r="H175">
        <f t="shared" ref="H175" si="271">COUNTIF(B:B,"&lt;"&amp;G175)/$D$7</f>
        <v>0.86</v>
      </c>
      <c r="I175">
        <f>_xlfn.NORM.DIST(G175,[0]!_mu, [0]!_sigma,TRUE)</f>
        <v>0.82034133083521454</v>
      </c>
    </row>
    <row r="176" spans="6:9" x14ac:dyDescent="0.3">
      <c r="F176">
        <v>174</v>
      </c>
      <c r="G176">
        <f t="shared" ref="G176" si="272">G175</f>
        <v>191</v>
      </c>
      <c r="H176">
        <f t="shared" ref="H176" si="273">COUNTIF(B:B,"&lt;="&amp;G176)/$D$7</f>
        <v>0.88</v>
      </c>
      <c r="I176">
        <f>_xlfn.NORM.DIST(G176,[0]!_mu, [0]!_sigma,TRUE)</f>
        <v>0.82034133083521454</v>
      </c>
    </row>
    <row r="177" spans="6:9" x14ac:dyDescent="0.3">
      <c r="F177">
        <v>175</v>
      </c>
      <c r="G177">
        <f t="shared" ref="G177" si="274">SMALL(B:B,(F177+1)/2)</f>
        <v>191</v>
      </c>
      <c r="H177">
        <f t="shared" ref="H177" si="275">COUNTIF(B:B,"&lt;"&amp;G177)/$D$7</f>
        <v>0.86</v>
      </c>
      <c r="I177">
        <f>_xlfn.NORM.DIST(G177,[0]!_mu, [0]!_sigma,TRUE)</f>
        <v>0.82034133083521454</v>
      </c>
    </row>
    <row r="178" spans="6:9" x14ac:dyDescent="0.3">
      <c r="F178">
        <v>176</v>
      </c>
      <c r="G178">
        <f t="shared" ref="G178" si="276">G177</f>
        <v>191</v>
      </c>
      <c r="H178">
        <f t="shared" ref="H178" si="277">COUNTIF(B:B,"&lt;="&amp;G178)/$D$7</f>
        <v>0.88</v>
      </c>
      <c r="I178">
        <f>_xlfn.NORM.DIST(G178,[0]!_mu, [0]!_sigma,TRUE)</f>
        <v>0.82034133083521454</v>
      </c>
    </row>
    <row r="179" spans="6:9" x14ac:dyDescent="0.3">
      <c r="F179">
        <v>177</v>
      </c>
      <c r="G179">
        <f t="shared" ref="G179" si="278">SMALL(B:B,(F179+1)/2)</f>
        <v>192</v>
      </c>
      <c r="H179">
        <f t="shared" ref="H179" si="279">COUNTIF(B:B,"&lt;"&amp;G179)/$D$7</f>
        <v>0.88</v>
      </c>
      <c r="I179">
        <f>_xlfn.NORM.DIST(G179,[0]!_mu, [0]!_sigma,TRUE)</f>
        <v>0.84134474606854304</v>
      </c>
    </row>
    <row r="180" spans="6:9" x14ac:dyDescent="0.3">
      <c r="F180">
        <v>178</v>
      </c>
      <c r="G180">
        <f t="shared" ref="G180" si="280">G179</f>
        <v>192</v>
      </c>
      <c r="H180">
        <f t="shared" ref="H180" si="281">COUNTIF(B:B,"&lt;="&amp;G180)/$D$7</f>
        <v>0.9</v>
      </c>
      <c r="I180">
        <f>_xlfn.NORM.DIST(G180,[0]!_mu, [0]!_sigma,TRUE)</f>
        <v>0.84134474606854304</v>
      </c>
    </row>
    <row r="181" spans="6:9" x14ac:dyDescent="0.3">
      <c r="F181">
        <v>179</v>
      </c>
      <c r="G181">
        <f t="shared" ref="G181" si="282">SMALL(B:B,(F181+1)/2)</f>
        <v>192</v>
      </c>
      <c r="H181">
        <f t="shared" ref="H181" si="283">COUNTIF(B:B,"&lt;"&amp;G181)/$D$7</f>
        <v>0.88</v>
      </c>
      <c r="I181">
        <f>_xlfn.NORM.DIST(G181,[0]!_mu, [0]!_sigma,TRUE)</f>
        <v>0.84134474606854304</v>
      </c>
    </row>
    <row r="182" spans="6:9" x14ac:dyDescent="0.3">
      <c r="F182">
        <v>180</v>
      </c>
      <c r="G182">
        <f t="shared" ref="G182" si="284">G181</f>
        <v>192</v>
      </c>
      <c r="H182">
        <f t="shared" ref="H182" si="285">COUNTIF(B:B,"&lt;="&amp;G182)/$D$7</f>
        <v>0.9</v>
      </c>
      <c r="I182">
        <f>_xlfn.NORM.DIST(G182,[0]!_mu, [0]!_sigma,TRUE)</f>
        <v>0.84134474606854304</v>
      </c>
    </row>
    <row r="183" spans="6:9" x14ac:dyDescent="0.3">
      <c r="F183">
        <v>181</v>
      </c>
      <c r="G183">
        <f t="shared" ref="G183" si="286">SMALL(B:B,(F183+1)/2)</f>
        <v>194</v>
      </c>
      <c r="H183">
        <f t="shared" ref="H183" si="287">COUNTIF(B:B,"&lt;"&amp;G183)/$D$7</f>
        <v>0.9</v>
      </c>
      <c r="I183">
        <f>_xlfn.NORM.DIST(G183,[0]!_mu, [0]!_sigma,TRUE)</f>
        <v>0.87832749542561872</v>
      </c>
    </row>
    <row r="184" spans="6:9" x14ac:dyDescent="0.3">
      <c r="F184">
        <v>182</v>
      </c>
      <c r="G184">
        <f t="shared" ref="G184" si="288">G183</f>
        <v>194</v>
      </c>
      <c r="H184">
        <f t="shared" ref="H184" si="289">COUNTIF(B:B,"&lt;="&amp;G184)/$D$7</f>
        <v>0.94</v>
      </c>
      <c r="I184">
        <f>_xlfn.NORM.DIST(G184,[0]!_mu, [0]!_sigma,TRUE)</f>
        <v>0.87832749542561872</v>
      </c>
    </row>
    <row r="185" spans="6:9" x14ac:dyDescent="0.3">
      <c r="F185">
        <v>183</v>
      </c>
      <c r="G185">
        <f t="shared" ref="G185" si="290">SMALL(B:B,(F185+1)/2)</f>
        <v>194</v>
      </c>
      <c r="H185">
        <f t="shared" ref="H185" si="291">COUNTIF(B:B,"&lt;"&amp;G185)/$D$7</f>
        <v>0.9</v>
      </c>
      <c r="I185">
        <f>_xlfn.NORM.DIST(G185,[0]!_mu, [0]!_sigma,TRUE)</f>
        <v>0.87832749542561872</v>
      </c>
    </row>
    <row r="186" spans="6:9" x14ac:dyDescent="0.3">
      <c r="F186">
        <v>184</v>
      </c>
      <c r="G186">
        <f t="shared" ref="G186" si="292">G185</f>
        <v>194</v>
      </c>
      <c r="H186">
        <f t="shared" ref="H186" si="293">COUNTIF(B:B,"&lt;="&amp;G186)/$D$7</f>
        <v>0.94</v>
      </c>
      <c r="I186">
        <f>_xlfn.NORM.DIST(G186,[0]!_mu, [0]!_sigma,TRUE)</f>
        <v>0.87832749542561872</v>
      </c>
    </row>
    <row r="187" spans="6:9" x14ac:dyDescent="0.3">
      <c r="F187">
        <v>185</v>
      </c>
      <c r="G187">
        <f t="shared" ref="G187" si="294">SMALL(B:B,(F187+1)/2)</f>
        <v>194</v>
      </c>
      <c r="H187">
        <f t="shared" ref="H187" si="295">COUNTIF(B:B,"&lt;"&amp;G187)/$D$7</f>
        <v>0.9</v>
      </c>
      <c r="I187">
        <f>_xlfn.NORM.DIST(G187,[0]!_mu, [0]!_sigma,TRUE)</f>
        <v>0.87832749542561872</v>
      </c>
    </row>
    <row r="188" spans="6:9" x14ac:dyDescent="0.3">
      <c r="F188">
        <v>186</v>
      </c>
      <c r="G188">
        <f t="shared" ref="G188" si="296">G187</f>
        <v>194</v>
      </c>
      <c r="H188">
        <f t="shared" ref="H188" si="297">COUNTIF(B:B,"&lt;="&amp;G188)/$D$7</f>
        <v>0.94</v>
      </c>
      <c r="I188">
        <f>_xlfn.NORM.DIST(G188,[0]!_mu, [0]!_sigma,TRUE)</f>
        <v>0.87832749542561872</v>
      </c>
    </row>
    <row r="189" spans="6:9" x14ac:dyDescent="0.3">
      <c r="F189">
        <v>187</v>
      </c>
      <c r="G189">
        <f t="shared" ref="G189" si="298">SMALL(B:B,(F189+1)/2)</f>
        <v>194</v>
      </c>
      <c r="H189">
        <f t="shared" ref="H189" si="299">COUNTIF(B:B,"&lt;"&amp;G189)/$D$7</f>
        <v>0.9</v>
      </c>
      <c r="I189">
        <f>_xlfn.NORM.DIST(G189,[0]!_mu, [0]!_sigma,TRUE)</f>
        <v>0.87832749542561872</v>
      </c>
    </row>
    <row r="190" spans="6:9" x14ac:dyDescent="0.3">
      <c r="F190">
        <v>188</v>
      </c>
      <c r="G190">
        <f t="shared" ref="G190" si="300">G189</f>
        <v>194</v>
      </c>
      <c r="H190">
        <f t="shared" ref="H190" si="301">COUNTIF(B:B,"&lt;="&amp;G190)/$D$7</f>
        <v>0.94</v>
      </c>
      <c r="I190">
        <f>_xlfn.NORM.DIST(G190,[0]!_mu, [0]!_sigma,TRUE)</f>
        <v>0.87832749542561872</v>
      </c>
    </row>
    <row r="191" spans="6:9" x14ac:dyDescent="0.3">
      <c r="F191">
        <v>189</v>
      </c>
      <c r="G191">
        <f t="shared" ref="G191" si="302">SMALL(B:B,(F191+1)/2)</f>
        <v>195</v>
      </c>
      <c r="H191">
        <f t="shared" ref="H191" si="303">COUNTIF(B:B,"&lt;"&amp;G191)/$D$7</f>
        <v>0.94</v>
      </c>
      <c r="I191">
        <f>_xlfn.NORM.DIST(G191,[0]!_mu, [0]!_sigma,TRUE)</f>
        <v>0.89435022633314476</v>
      </c>
    </row>
    <row r="192" spans="6:9" x14ac:dyDescent="0.3">
      <c r="F192">
        <v>190</v>
      </c>
      <c r="G192">
        <f t="shared" ref="G192" si="304">G191</f>
        <v>195</v>
      </c>
      <c r="H192">
        <f t="shared" ref="H192" si="305">COUNTIF(B:B,"&lt;="&amp;G192)/$D$7</f>
        <v>0.96</v>
      </c>
      <c r="I192">
        <f>_xlfn.NORM.DIST(G192,[0]!_mu, [0]!_sigma,TRUE)</f>
        <v>0.89435022633314476</v>
      </c>
    </row>
    <row r="193" spans="6:9" x14ac:dyDescent="0.3">
      <c r="F193">
        <v>191</v>
      </c>
      <c r="G193">
        <f t="shared" ref="G193" si="306">SMALL(B:B,(F193+1)/2)</f>
        <v>195</v>
      </c>
      <c r="H193">
        <f t="shared" ref="H193" si="307">COUNTIF(B:B,"&lt;"&amp;G193)/$D$7</f>
        <v>0.94</v>
      </c>
      <c r="I193">
        <f>_xlfn.NORM.DIST(G193,[0]!_mu, [0]!_sigma,TRUE)</f>
        <v>0.89435022633314476</v>
      </c>
    </row>
    <row r="194" spans="6:9" x14ac:dyDescent="0.3">
      <c r="F194">
        <v>192</v>
      </c>
      <c r="G194">
        <f t="shared" ref="G194" si="308">G193</f>
        <v>195</v>
      </c>
      <c r="H194">
        <f t="shared" ref="H194" si="309">COUNTIF(B:B,"&lt;="&amp;G194)/$D$7</f>
        <v>0.96</v>
      </c>
      <c r="I194">
        <f>_xlfn.NORM.DIST(G194,[0]!_mu, [0]!_sigma,TRUE)</f>
        <v>0.89435022633314476</v>
      </c>
    </row>
    <row r="195" spans="6:9" x14ac:dyDescent="0.3">
      <c r="F195">
        <v>193</v>
      </c>
      <c r="G195">
        <f t="shared" ref="G195" si="310">SMALL(B:B,(F195+1)/2)</f>
        <v>197</v>
      </c>
      <c r="H195">
        <f t="shared" ref="H195" si="311">COUNTIF(B:B,"&lt;"&amp;G195)/$D$7</f>
        <v>0.96</v>
      </c>
      <c r="I195">
        <f>_xlfn.NORM.DIST(G195,[0]!_mu, [0]!_sigma,TRUE)</f>
        <v>0.92170979645518258</v>
      </c>
    </row>
    <row r="196" spans="6:9" x14ac:dyDescent="0.3">
      <c r="F196">
        <v>194</v>
      </c>
      <c r="G196">
        <f t="shared" ref="G196" si="312">G195</f>
        <v>197</v>
      </c>
      <c r="H196">
        <f t="shared" ref="H196" si="313">COUNTIF(B:B,"&lt;="&amp;G196)/$D$7</f>
        <v>0.98</v>
      </c>
      <c r="I196">
        <f>_xlfn.NORM.DIST(G196,[0]!_mu, [0]!_sigma,TRUE)</f>
        <v>0.92170979645518258</v>
      </c>
    </row>
    <row r="197" spans="6:9" x14ac:dyDescent="0.3">
      <c r="F197">
        <v>195</v>
      </c>
      <c r="G197">
        <f t="shared" ref="G197" si="314">SMALL(B:B,(F197+1)/2)</f>
        <v>197</v>
      </c>
      <c r="H197">
        <f t="shared" ref="H197" si="315">COUNTIF(B:B,"&lt;"&amp;G197)/$D$7</f>
        <v>0.96</v>
      </c>
      <c r="I197">
        <f>_xlfn.NORM.DIST(G197,[0]!_mu, [0]!_sigma,TRUE)</f>
        <v>0.92170979645518258</v>
      </c>
    </row>
    <row r="198" spans="6:9" x14ac:dyDescent="0.3">
      <c r="F198">
        <v>196</v>
      </c>
      <c r="G198">
        <f t="shared" ref="G198" si="316">G197</f>
        <v>197</v>
      </c>
      <c r="H198">
        <f t="shared" ref="H198" si="317">COUNTIF(B:B,"&lt;="&amp;G198)/$D$7</f>
        <v>0.98</v>
      </c>
      <c r="I198">
        <f>_xlfn.NORM.DIST(G198,[0]!_mu, [0]!_sigma,TRUE)</f>
        <v>0.92170979645518258</v>
      </c>
    </row>
    <row r="199" spans="6:9" x14ac:dyDescent="0.3">
      <c r="F199">
        <v>197</v>
      </c>
      <c r="G199">
        <f t="shared" ref="G199" si="318">SMALL(B:B,(F199+1)/2)</f>
        <v>201</v>
      </c>
      <c r="H199">
        <f t="shared" ref="H199" si="319">COUNTIF(B:B,"&lt;"&amp;G199)/$D$7</f>
        <v>0.98</v>
      </c>
      <c r="I199">
        <f>_xlfn.NORM.DIST(G199,[0]!_mu, [0]!_sigma,TRUE)</f>
        <v>0.95994084313618289</v>
      </c>
    </row>
    <row r="200" spans="6:9" x14ac:dyDescent="0.3">
      <c r="F200">
        <v>198</v>
      </c>
      <c r="G200">
        <f t="shared" ref="G200" si="320">G199</f>
        <v>201</v>
      </c>
      <c r="H200">
        <f t="shared" ref="H200" si="321">COUNTIF(B:B,"&lt;="&amp;G200)/$D$7</f>
        <v>0.99</v>
      </c>
      <c r="I200">
        <f>_xlfn.NORM.DIST(G200,[0]!_mu, [0]!_sigma,TRUE)</f>
        <v>0.95994084313618289</v>
      </c>
    </row>
    <row r="201" spans="6:9" x14ac:dyDescent="0.3">
      <c r="F201">
        <v>199</v>
      </c>
      <c r="G201">
        <f t="shared" ref="G201" si="322">SMALL(B:B,(F201+1)/2)</f>
        <v>210</v>
      </c>
      <c r="H201">
        <f t="shared" ref="H201" si="323">COUNTIF(B:B,"&lt;"&amp;G201)/$D$7</f>
        <v>0.99</v>
      </c>
      <c r="I201">
        <f>_xlfn.NORM.DIST(G201,[0]!_mu, [0]!_sigma,TRUE)</f>
        <v>0.99379033467422384</v>
      </c>
    </row>
    <row r="202" spans="6:9" x14ac:dyDescent="0.3">
      <c r="F202">
        <v>200</v>
      </c>
      <c r="G202">
        <f t="shared" ref="G202" si="324">G201</f>
        <v>210</v>
      </c>
      <c r="H202">
        <f t="shared" ref="H202" si="325">COUNTIF(B:B,"&lt;="&amp;G202)/$D$7</f>
        <v>1</v>
      </c>
      <c r="I202">
        <f>_xlfn.NORM.DIST(G202,[0]!_mu, [0]!_sigma,TRUE)</f>
        <v>0.99379033467422384</v>
      </c>
    </row>
    <row r="203" spans="6:9" x14ac:dyDescent="0.3">
      <c r="F203">
        <v>201</v>
      </c>
      <c r="G203">
        <v>205</v>
      </c>
      <c r="H203">
        <f t="shared" ref="H203" si="326">COUNTIF(B:B,"&lt;"&amp;G203)/$D$7</f>
        <v>0.99</v>
      </c>
      <c r="I203">
        <f>_xlfn.NORM.DIST(G203,[0]!_mu, [0]!_sigma,TRUE)</f>
        <v>0.98138957481011369</v>
      </c>
    </row>
    <row r="204" spans="6:9" x14ac:dyDescent="0.3">
      <c r="F204">
        <v>202</v>
      </c>
      <c r="G204">
        <f t="shared" ref="G204" si="327">G203</f>
        <v>205</v>
      </c>
      <c r="H204">
        <f t="shared" ref="H204" si="328">COUNTIF(B:B,"&lt;="&amp;G204)/$D$7</f>
        <v>0.99</v>
      </c>
      <c r="I204">
        <f>_xlfn.NORM.DIST(G204,[0]!_mu, [0]!_sigma,TRUE)</f>
        <v>0.98138957481011369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Nazwane zakresy</vt:lpstr>
      </vt:variant>
      <vt:variant>
        <vt:i4>6</vt:i4>
      </vt:variant>
    </vt:vector>
  </HeadingPairs>
  <TitlesOfParts>
    <vt:vector size="12" baseType="lpstr">
      <vt:lpstr>Arkusz5</vt:lpstr>
      <vt:lpstr>Arkusz3</vt:lpstr>
      <vt:lpstr>Arkusz1</vt:lpstr>
      <vt:lpstr>Arkusz2</vt:lpstr>
      <vt:lpstr>Arkusz6</vt:lpstr>
      <vt:lpstr>Arkusz4</vt:lpstr>
      <vt:lpstr>__k</vt:lpstr>
      <vt:lpstr>_h</vt:lpstr>
      <vt:lpstr>_k</vt:lpstr>
      <vt:lpstr>_mu</vt:lpstr>
      <vt:lpstr>_n</vt:lpstr>
      <vt:lpstr>_sigma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pgordin</dc:creator>
  <cp:lastModifiedBy>User</cp:lastModifiedBy>
  <dcterms:created xsi:type="dcterms:W3CDTF">2022-03-08T11:13:28Z</dcterms:created>
  <dcterms:modified xsi:type="dcterms:W3CDTF">2022-05-23T19:16:58Z</dcterms:modified>
</cp:coreProperties>
</file>