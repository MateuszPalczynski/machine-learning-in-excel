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Izabe\Downloads\"/>
    </mc:Choice>
  </mc:AlternateContent>
  <xr:revisionPtr revIDLastSave="0" documentId="13_ncr:1_{5A0449E2-4D38-4BCE-AC33-73A8958DABE7}" xr6:coauthVersionLast="47" xr6:coauthVersionMax="47" xr10:uidLastSave="{00000000-0000-0000-0000-000000000000}"/>
  <bookViews>
    <workbookView xWindow="-108" yWindow="-108" windowWidth="23256" windowHeight="12456" activeTab="3" xr2:uid="{5A874044-F1F7-4AB3-A86B-75FA212F2E41}"/>
  </bookViews>
  <sheets>
    <sheet name="Irysy" sheetId="1" r:id="rId1"/>
    <sheet name="Irysy - estymacja g. i d." sheetId="3" r:id="rId2"/>
    <sheet name="Gatunek 1" sheetId="5" r:id="rId3"/>
    <sheet name="Gatunek 1- estymacja g. i d." sheetId="7" r:id="rId4"/>
  </sheets>
  <functionGroups builtInGroupCount="19"/>
  <definedNames>
    <definedName name="_h">Irysy!$I$9</definedName>
    <definedName name="_k">Irysy!$I$8</definedName>
    <definedName name="_n">Irysy!$I$7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7" i="5" l="1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6" i="5"/>
  <c r="E5" i="3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6" i="1"/>
  <c r="I10" i="1"/>
  <c r="AE5" i="7"/>
  <c r="AB5" i="7"/>
  <c r="X5" i="7"/>
  <c r="H7" i="7"/>
  <c r="I7" i="7" s="1"/>
  <c r="I6" i="7"/>
  <c r="H6" i="7"/>
  <c r="E9" i="7"/>
  <c r="E10" i="7"/>
  <c r="E11" i="7"/>
  <c r="E7" i="7"/>
  <c r="J5" i="7" s="1"/>
  <c r="E6" i="7"/>
  <c r="E5" i="7"/>
  <c r="AE5" i="3"/>
  <c r="Q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6" i="5"/>
  <c r="L6" i="5"/>
  <c r="M6" i="5" s="1"/>
  <c r="L7" i="5" s="1"/>
  <c r="I9" i="5"/>
  <c r="I5" i="5"/>
  <c r="I11" i="5"/>
  <c r="I10" i="5"/>
  <c r="I7" i="5"/>
  <c r="I6" i="5"/>
  <c r="E11" i="3"/>
  <c r="E10" i="3"/>
  <c r="H6" i="3" s="1"/>
  <c r="E7" i="3"/>
  <c r="E6" i="3"/>
  <c r="AB5" i="3" s="1"/>
  <c r="H8" i="7" l="1"/>
  <c r="M7" i="5"/>
  <c r="T6" i="5"/>
  <c r="N6" i="5"/>
  <c r="E9" i="3"/>
  <c r="H7" i="3" s="1"/>
  <c r="J5" i="3"/>
  <c r="X5" i="3"/>
  <c r="I6" i="3"/>
  <c r="AE223" i="7"/>
  <c r="AD117" i="7"/>
  <c r="AC119" i="7"/>
  <c r="AB181" i="7"/>
  <c r="AC192" i="7"/>
  <c r="AB154" i="7"/>
  <c r="AD288" i="7"/>
  <c r="AE54" i="7"/>
  <c r="AD152" i="7"/>
  <c r="AE143" i="7"/>
  <c r="AD146" i="7"/>
  <c r="AD227" i="7"/>
  <c r="AC229" i="7"/>
  <c r="AB291" i="7"/>
  <c r="AC302" i="7"/>
  <c r="AB264" i="7"/>
  <c r="AE196" i="7"/>
  <c r="AB87" i="7"/>
  <c r="AE168" i="7"/>
  <c r="AC40" i="7"/>
  <c r="AB36" i="7"/>
  <c r="AE251" i="7"/>
  <c r="AD145" i="7"/>
  <c r="AC147" i="7"/>
  <c r="AB209" i="7"/>
  <c r="AC220" i="7"/>
  <c r="AB182" i="7"/>
  <c r="AE57" i="7"/>
  <c r="AD109" i="7"/>
  <c r="AD230" i="7"/>
  <c r="AE215" i="7"/>
  <c r="AE297" i="7"/>
  <c r="AD191" i="7"/>
  <c r="AC193" i="7"/>
  <c r="AB255" i="7"/>
  <c r="AC266" i="7"/>
  <c r="AB228" i="7"/>
  <c r="AE113" i="7"/>
  <c r="AE46" i="7"/>
  <c r="AE70" i="7"/>
  <c r="AD292" i="7"/>
  <c r="AD276" i="7"/>
  <c r="AD217" i="7"/>
  <c r="AC219" i="7"/>
  <c r="AB281" i="7"/>
  <c r="AC292" i="7"/>
  <c r="AB254" i="7"/>
  <c r="AD170" i="7"/>
  <c r="AE75" i="7"/>
  <c r="AD144" i="7"/>
  <c r="AC30" i="7"/>
  <c r="AE273" i="7"/>
  <c r="AD167" i="7"/>
  <c r="AC169" i="7"/>
  <c r="AB231" i="7"/>
  <c r="AB219" i="7"/>
  <c r="AE141" i="7"/>
  <c r="AD86" i="7"/>
  <c r="AD83" i="7"/>
  <c r="AE99" i="7"/>
  <c r="X271" i="7"/>
  <c r="AB157" i="7"/>
  <c r="AD71" i="7"/>
  <c r="AC34" i="7"/>
  <c r="AE62" i="7"/>
  <c r="AE19" i="7"/>
  <c r="X247" i="7"/>
  <c r="Z86" i="7"/>
  <c r="Z131" i="7"/>
  <c r="Z88" i="7"/>
  <c r="Z157" i="7"/>
  <c r="AD139" i="7"/>
  <c r="AB300" i="7"/>
  <c r="AB89" i="7"/>
  <c r="AB24" i="7"/>
  <c r="AE202" i="7"/>
  <c r="AB11" i="7"/>
  <c r="Y233" i="7"/>
  <c r="Y278" i="7"/>
  <c r="Y235" i="7"/>
  <c r="Y304" i="7"/>
  <c r="Y48" i="7"/>
  <c r="AC63" i="7"/>
  <c r="AB124" i="7"/>
  <c r="AD254" i="7"/>
  <c r="AD126" i="7"/>
  <c r="AC21" i="7"/>
  <c r="Z305" i="7"/>
  <c r="AC61" i="7"/>
  <c r="AB114" i="7"/>
  <c r="AD216" i="7"/>
  <c r="AD122" i="7"/>
  <c r="AE104" i="7"/>
  <c r="X303" i="7"/>
  <c r="Z142" i="7"/>
  <c r="Z187" i="7"/>
  <c r="Z144" i="7"/>
  <c r="AD299" i="7"/>
  <c r="AC248" i="7"/>
  <c r="AD98" i="7"/>
  <c r="AE127" i="7"/>
  <c r="AD19" i="7"/>
  <c r="AB79" i="7"/>
  <c r="Z286" i="7"/>
  <c r="Z30" i="7"/>
  <c r="Z288" i="7"/>
  <c r="Z32" i="7"/>
  <c r="Z101" i="7"/>
  <c r="AB171" i="7"/>
  <c r="AD87" i="7"/>
  <c r="AC48" i="7"/>
  <c r="AD67" i="7"/>
  <c r="AB31" i="7"/>
  <c r="Y252" i="7"/>
  <c r="X92" i="7"/>
  <c r="X137" i="7"/>
  <c r="AE59" i="7"/>
  <c r="Y270" i="7"/>
  <c r="Y224" i="7"/>
  <c r="Y165" i="7"/>
  <c r="Z207" i="7"/>
  <c r="Z180" i="7"/>
  <c r="Y175" i="7"/>
  <c r="X89" i="7"/>
  <c r="AD293" i="7"/>
  <c r="AC295" i="7"/>
  <c r="AC103" i="7"/>
  <c r="AB165" i="7"/>
  <c r="AC176" i="7"/>
  <c r="AB138" i="7"/>
  <c r="AD224" i="7"/>
  <c r="AD26" i="7"/>
  <c r="AC120" i="7"/>
  <c r="AE111" i="7"/>
  <c r="AD114" i="7"/>
  <c r="AD211" i="7"/>
  <c r="AC213" i="7"/>
  <c r="AB275" i="7"/>
  <c r="AC286" i="7"/>
  <c r="AB248" i="7"/>
  <c r="AD154" i="7"/>
  <c r="AE68" i="7"/>
  <c r="AD128" i="7"/>
  <c r="AC24" i="7"/>
  <c r="AB20" i="7"/>
  <c r="AE235" i="7"/>
  <c r="AD129" i="7"/>
  <c r="AC131" i="7"/>
  <c r="AB193" i="7"/>
  <c r="AC204" i="7"/>
  <c r="AB166" i="7"/>
  <c r="AB41" i="7"/>
  <c r="AE77" i="7"/>
  <c r="AD184" i="7"/>
  <c r="AE172" i="7"/>
  <c r="AE281" i="7"/>
  <c r="AD175" i="7"/>
  <c r="AC177" i="7"/>
  <c r="AB239" i="7"/>
  <c r="AC250" i="7"/>
  <c r="AB212" i="7"/>
  <c r="AB92" i="7"/>
  <c r="AE30" i="7"/>
  <c r="AD28" i="7"/>
  <c r="AE161" i="7"/>
  <c r="AE146" i="7"/>
  <c r="AD201" i="7"/>
  <c r="AC203" i="7"/>
  <c r="AB265" i="7"/>
  <c r="AC276" i="7"/>
  <c r="AB238" i="7"/>
  <c r="AE133" i="7"/>
  <c r="AD57" i="7"/>
  <c r="AC98" i="7"/>
  <c r="AC14" i="7"/>
  <c r="AE257" i="7"/>
  <c r="AD151" i="7"/>
  <c r="AC153" i="7"/>
  <c r="AB215" i="7"/>
  <c r="AB167" i="7"/>
  <c r="AE82" i="7"/>
  <c r="AC44" i="7"/>
  <c r="AB65" i="7"/>
  <c r="AC25" i="7"/>
  <c r="Z249" i="7"/>
  <c r="AB119" i="7"/>
  <c r="AD296" i="7"/>
  <c r="AE209" i="7"/>
  <c r="AD45" i="7"/>
  <c r="AC35" i="7"/>
  <c r="Z225" i="7"/>
  <c r="Y65" i="7"/>
  <c r="Y110" i="7"/>
  <c r="Y67" i="7"/>
  <c r="AD277" i="7"/>
  <c r="AC279" i="7"/>
  <c r="AC87" i="7"/>
  <c r="AB149" i="7"/>
  <c r="AC160" i="7"/>
  <c r="AB122" i="7"/>
  <c r="AD180" i="7"/>
  <c r="AE166" i="7"/>
  <c r="AE95" i="7"/>
  <c r="AE90" i="7"/>
  <c r="AE301" i="7"/>
  <c r="AD195" i="7"/>
  <c r="AC197" i="7"/>
  <c r="AB259" i="7"/>
  <c r="AC270" i="7"/>
  <c r="AB232" i="7"/>
  <c r="AE121" i="7"/>
  <c r="AE50" i="7"/>
  <c r="AC82" i="7"/>
  <c r="AC8" i="7"/>
  <c r="AD300" i="7"/>
  <c r="AD305" i="7"/>
  <c r="AD113" i="7"/>
  <c r="AC115" i="7"/>
  <c r="AB177" i="7"/>
  <c r="AC188" i="7"/>
  <c r="AB150" i="7"/>
  <c r="AD272" i="7"/>
  <c r="AD46" i="7"/>
  <c r="AC144" i="7"/>
  <c r="AE135" i="7"/>
  <c r="AE265" i="7"/>
  <c r="AD159" i="7"/>
  <c r="AC161" i="7"/>
  <c r="AB223" i="7"/>
  <c r="AC234" i="7"/>
  <c r="AB196" i="7"/>
  <c r="AE73" i="7"/>
  <c r="AE14" i="7"/>
  <c r="AD286" i="7"/>
  <c r="AE268" i="7"/>
  <c r="AE291" i="7"/>
  <c r="AD185" i="7"/>
  <c r="AC187" i="7"/>
  <c r="AB249" i="7"/>
  <c r="AC260" i="7"/>
  <c r="AB222" i="7"/>
  <c r="AE103" i="7"/>
  <c r="AE40" i="7"/>
  <c r="AD52" i="7"/>
  <c r="AD220" i="7"/>
  <c r="AE241" i="7"/>
  <c r="AD135" i="7"/>
  <c r="AC137" i="7"/>
  <c r="AB199" i="7"/>
  <c r="AB123" i="7"/>
  <c r="AB35" i="7"/>
  <c r="AD236" i="7"/>
  <c r="AD47" i="7"/>
  <c r="AC43" i="7"/>
  <c r="AE247" i="7"/>
  <c r="AC278" i="7"/>
  <c r="AE153" i="7"/>
  <c r="AE199" i="7"/>
  <c r="AD29" i="7"/>
  <c r="AE64" i="7"/>
  <c r="X300" i="7"/>
  <c r="X44" i="7"/>
  <c r="X302" i="7"/>
  <c r="X46" i="7"/>
  <c r="X115" i="7"/>
  <c r="AC205" i="7"/>
  <c r="AB210" i="7"/>
  <c r="AE195" i="7"/>
  <c r="AE250" i="7"/>
  <c r="AC126" i="7"/>
  <c r="AB58" i="7"/>
  <c r="Z190" i="7"/>
  <c r="Z235" i="7"/>
  <c r="Z192" i="7"/>
  <c r="Z261" i="7"/>
  <c r="Y285" i="7"/>
  <c r="AB189" i="7"/>
  <c r="AC110" i="7"/>
  <c r="AC68" i="7"/>
  <c r="AD76" i="7"/>
  <c r="AD62" i="7"/>
  <c r="X263" i="7"/>
  <c r="AB187" i="7"/>
  <c r="AE106" i="7"/>
  <c r="AB66" i="7"/>
  <c r="AC74" i="7"/>
  <c r="AD53" i="7"/>
  <c r="Y260" i="7"/>
  <c r="X100" i="7"/>
  <c r="X145" i="7"/>
  <c r="X102" i="7"/>
  <c r="AD171" i="7"/>
  <c r="AC166" i="7"/>
  <c r="AE10" i="7"/>
  <c r="AB40" i="7"/>
  <c r="AD226" i="7"/>
  <c r="AB17" i="7"/>
  <c r="X244" i="7"/>
  <c r="X289" i="7"/>
  <c r="X246" i="7"/>
  <c r="Z13" i="7"/>
  <c r="AE263" i="7"/>
  <c r="AC290" i="7"/>
  <c r="AE185" i="7"/>
  <c r="AE236" i="7"/>
  <c r="AD33" i="7"/>
  <c r="AE47" i="7"/>
  <c r="Y305" i="7"/>
  <c r="Y49" i="7"/>
  <c r="Y94" i="7"/>
  <c r="AD214" i="7"/>
  <c r="Z155" i="7"/>
  <c r="Y152" i="7"/>
  <c r="Z122" i="7"/>
  <c r="X165" i="7"/>
  <c r="Z169" i="7"/>
  <c r="X34" i="7"/>
  <c r="AE7" i="3"/>
  <c r="AD261" i="7"/>
  <c r="AD245" i="7"/>
  <c r="AD229" i="7"/>
  <c r="AD213" i="7"/>
  <c r="AE303" i="7"/>
  <c r="AE287" i="7"/>
  <c r="AE271" i="7"/>
  <c r="AE255" i="7"/>
  <c r="AE239" i="7"/>
  <c r="AD197" i="7"/>
  <c r="AC151" i="7"/>
  <c r="AB117" i="7"/>
  <c r="AB234" i="7"/>
  <c r="AC62" i="7"/>
  <c r="AE216" i="7"/>
  <c r="AC10" i="7"/>
  <c r="AE234" i="7"/>
  <c r="AD163" i="7"/>
  <c r="AC117" i="7"/>
  <c r="AB131" i="7"/>
  <c r="AB200" i="7"/>
  <c r="AD280" i="7"/>
  <c r="AE270" i="7"/>
  <c r="AE284" i="7"/>
  <c r="AD142" i="7"/>
  <c r="AD177" i="7"/>
  <c r="AC83" i="7"/>
  <c r="AC300" i="7"/>
  <c r="AB214" i="7"/>
  <c r="AE169" i="7"/>
  <c r="AE163" i="7"/>
  <c r="AE177" i="7"/>
  <c r="AE233" i="7"/>
  <c r="AC273" i="7"/>
  <c r="AB287" i="7"/>
  <c r="AC202" i="7"/>
  <c r="AB116" i="7"/>
  <c r="AD82" i="7"/>
  <c r="AE178" i="7"/>
  <c r="AB84" i="7"/>
  <c r="AD249" i="7"/>
  <c r="AC155" i="7"/>
  <c r="AB169" i="7"/>
  <c r="AB286" i="7"/>
  <c r="AE66" i="7"/>
  <c r="AD34" i="7"/>
  <c r="AE63" i="7"/>
  <c r="AD295" i="7"/>
  <c r="AC249" i="7"/>
  <c r="AB263" i="7"/>
  <c r="AC242" i="7"/>
  <c r="AD30" i="7"/>
  <c r="AD138" i="7"/>
  <c r="AE60" i="7"/>
  <c r="AC207" i="7"/>
  <c r="AE264" i="7"/>
  <c r="AE58" i="7"/>
  <c r="AC130" i="7"/>
  <c r="Z289" i="7"/>
  <c r="Y302" i="7"/>
  <c r="Y195" i="7"/>
  <c r="Y200" i="7"/>
  <c r="AC269" i="7"/>
  <c r="AB128" i="7"/>
  <c r="AE79" i="7"/>
  <c r="AD43" i="7"/>
  <c r="AE43" i="7"/>
  <c r="X212" i="7"/>
  <c r="X193" i="7"/>
  <c r="Y107" i="7"/>
  <c r="Z133" i="7"/>
  <c r="AC191" i="7"/>
  <c r="AD218" i="7"/>
  <c r="AE122" i="7"/>
  <c r="AD9" i="7"/>
  <c r="AE92" i="7"/>
  <c r="AC189" i="7"/>
  <c r="AE207" i="7"/>
  <c r="AE300" i="7"/>
  <c r="AD7" i="7"/>
  <c r="AE76" i="7"/>
  <c r="Y185" i="7"/>
  <c r="Y166" i="7"/>
  <c r="Y59" i="7"/>
  <c r="AC109" i="7"/>
  <c r="AE175" i="7"/>
  <c r="AC12" i="7"/>
  <c r="AD290" i="7"/>
  <c r="AC7" i="7"/>
  <c r="Z158" i="7"/>
  <c r="X161" i="7"/>
  <c r="Y75" i="7"/>
  <c r="Y80" i="7"/>
  <c r="AC200" i="7"/>
  <c r="AD36" i="7"/>
  <c r="AE203" i="7"/>
  <c r="AB102" i="7"/>
  <c r="X231" i="7"/>
  <c r="Z6" i="7"/>
  <c r="X222" i="7"/>
  <c r="X196" i="7"/>
  <c r="Z301" i="7"/>
  <c r="X144" i="7"/>
  <c r="Y122" i="7"/>
  <c r="Y231" i="7"/>
  <c r="Z220" i="7"/>
  <c r="X188" i="7"/>
  <c r="Z56" i="7"/>
  <c r="X248" i="7"/>
  <c r="Y290" i="7"/>
  <c r="Y34" i="7"/>
  <c r="Z57" i="7"/>
  <c r="Z204" i="7"/>
  <c r="AD118" i="7"/>
  <c r="Y142" i="7"/>
  <c r="X147" i="7"/>
  <c r="Y117" i="7"/>
  <c r="Z159" i="7"/>
  <c r="Y148" i="7"/>
  <c r="Y20" i="7"/>
  <c r="Z230" i="7"/>
  <c r="Y91" i="7"/>
  <c r="Y269" i="7"/>
  <c r="X8" i="7"/>
  <c r="Y50" i="7"/>
  <c r="Y103" i="7"/>
  <c r="X10" i="7"/>
  <c r="AD181" i="7"/>
  <c r="AC135" i="7"/>
  <c r="AC304" i="7"/>
  <c r="AB218" i="7"/>
  <c r="AB45" i="7"/>
  <c r="AD174" i="7"/>
  <c r="AD204" i="7"/>
  <c r="AE187" i="7"/>
  <c r="AD147" i="7"/>
  <c r="AC101" i="7"/>
  <c r="AB115" i="7"/>
  <c r="AB184" i="7"/>
  <c r="AE217" i="7"/>
  <c r="AE211" i="7"/>
  <c r="AE220" i="7"/>
  <c r="AE110" i="7"/>
  <c r="AD161" i="7"/>
  <c r="AC67" i="7"/>
  <c r="AC284" i="7"/>
  <c r="AB198" i="7"/>
  <c r="AE132" i="7"/>
  <c r="AD124" i="7"/>
  <c r="AE276" i="7"/>
  <c r="AD303" i="7"/>
  <c r="AC257" i="7"/>
  <c r="AB271" i="7"/>
  <c r="AC186" i="7"/>
  <c r="AE296" i="7"/>
  <c r="AC64" i="7"/>
  <c r="AC140" i="7"/>
  <c r="AE65" i="7"/>
  <c r="AD233" i="7"/>
  <c r="AC139" i="7"/>
  <c r="AB153" i="7"/>
  <c r="AB270" i="7"/>
  <c r="AB49" i="7"/>
  <c r="AD6" i="7"/>
  <c r="AC46" i="7"/>
  <c r="AD279" i="7"/>
  <c r="AC233" i="7"/>
  <c r="AB247" i="7"/>
  <c r="AC198" i="7"/>
  <c r="AE238" i="7"/>
  <c r="AE101" i="7"/>
  <c r="AB9" i="7"/>
  <c r="AC143" i="7"/>
  <c r="AE137" i="7"/>
  <c r="AB26" i="7"/>
  <c r="AD101" i="7"/>
  <c r="Y268" i="7"/>
  <c r="X281" i="7"/>
  <c r="X174" i="7"/>
  <c r="X179" i="7"/>
  <c r="AC141" i="7"/>
  <c r="AE224" i="7"/>
  <c r="AC32" i="7"/>
  <c r="AD27" i="7"/>
  <c r="AB19" i="7"/>
  <c r="Y169" i="7"/>
  <c r="Z171" i="7"/>
  <c r="X86" i="7"/>
  <c r="Y112" i="7"/>
  <c r="AC127" i="7"/>
  <c r="AD64" i="7"/>
  <c r="AD162" i="7"/>
  <c r="AD250" i="7"/>
  <c r="AC23" i="7"/>
  <c r="AC125" i="7"/>
  <c r="AB53" i="7"/>
  <c r="AE156" i="7"/>
  <c r="AD242" i="7"/>
  <c r="AE17" i="7"/>
  <c r="X164" i="7"/>
  <c r="Z123" i="7"/>
  <c r="X38" i="7"/>
  <c r="AB299" i="7"/>
  <c r="AE89" i="7"/>
  <c r="AE252" i="7"/>
  <c r="AE181" i="7"/>
  <c r="AE27" i="7"/>
  <c r="Y137" i="7"/>
  <c r="Z139" i="7"/>
  <c r="X54" i="7"/>
  <c r="AD285" i="7"/>
  <c r="AC162" i="7"/>
  <c r="AE246" i="7"/>
  <c r="AD150" i="7"/>
  <c r="AE9" i="7"/>
  <c r="X284" i="7"/>
  <c r="Y286" i="7"/>
  <c r="Z200" i="7"/>
  <c r="X140" i="7"/>
  <c r="X259" i="7"/>
  <c r="Y101" i="7"/>
  <c r="X101" i="7"/>
  <c r="Y135" i="7"/>
  <c r="X130" i="7"/>
  <c r="AD173" i="7"/>
  <c r="X132" i="7"/>
  <c r="X14" i="7"/>
  <c r="Z226" i="7"/>
  <c r="X269" i="7"/>
  <c r="X13" i="7"/>
  <c r="X250" i="7"/>
  <c r="Y119" i="7"/>
  <c r="AE186" i="7"/>
  <c r="Z296" i="7"/>
  <c r="Z109" i="7"/>
  <c r="X96" i="7"/>
  <c r="Y138" i="7"/>
  <c r="X73" i="7"/>
  <c r="Y38" i="7"/>
  <c r="Z174" i="7"/>
  <c r="Z48" i="7"/>
  <c r="Z242" i="7"/>
  <c r="X285" i="7"/>
  <c r="X29" i="7"/>
  <c r="Z43" i="7"/>
  <c r="AD165" i="7"/>
  <c r="AC71" i="7"/>
  <c r="AC288" i="7"/>
  <c r="AB202" i="7"/>
  <c r="AE140" i="7"/>
  <c r="AD132" i="7"/>
  <c r="AE292" i="7"/>
  <c r="AE285" i="7"/>
  <c r="AD131" i="7"/>
  <c r="AC85" i="7"/>
  <c r="AC254" i="7"/>
  <c r="AB168" i="7"/>
  <c r="AE174" i="7"/>
  <c r="AD38" i="7"/>
  <c r="AD178" i="7"/>
  <c r="AE299" i="7"/>
  <c r="AC291" i="7"/>
  <c r="AB305" i="7"/>
  <c r="AC268" i="7"/>
  <c r="AB134" i="7"/>
  <c r="AD103" i="7"/>
  <c r="AD75" i="7"/>
  <c r="AD105" i="7"/>
  <c r="AD287" i="7"/>
  <c r="AC241" i="7"/>
  <c r="AB207" i="7"/>
  <c r="AC170" i="7"/>
  <c r="AE232" i="7"/>
  <c r="AC106" i="7"/>
  <c r="AE108" i="7"/>
  <c r="AB48" i="7"/>
  <c r="AD169" i="7"/>
  <c r="AC123" i="7"/>
  <c r="AB137" i="7"/>
  <c r="AB206" i="7"/>
  <c r="AD304" i="7"/>
  <c r="AE294" i="7"/>
  <c r="AD111" i="7"/>
  <c r="AD263" i="7"/>
  <c r="AC217" i="7"/>
  <c r="AE261" i="7"/>
  <c r="AC152" i="7"/>
  <c r="AD112" i="7"/>
  <c r="AD31" i="7"/>
  <c r="AE31" i="7"/>
  <c r="AC79" i="7"/>
  <c r="AC80" i="7"/>
  <c r="AD244" i="7"/>
  <c r="AB83" i="7"/>
  <c r="Z278" i="7"/>
  <c r="Z259" i="7"/>
  <c r="Z152" i="7"/>
  <c r="Y136" i="7"/>
  <c r="AC77" i="7"/>
  <c r="AE129" i="7"/>
  <c r="AE142" i="7"/>
  <c r="AD11" i="7"/>
  <c r="AB29" i="7"/>
  <c r="X148" i="7"/>
  <c r="Y150" i="7"/>
  <c r="Z64" i="7"/>
  <c r="X91" i="7"/>
  <c r="AB253" i="7"/>
  <c r="AD248" i="7"/>
  <c r="AB93" i="7"/>
  <c r="AE197" i="7"/>
  <c r="AC49" i="7"/>
  <c r="AB251" i="7"/>
  <c r="AD232" i="7"/>
  <c r="AE81" i="7"/>
  <c r="AD192" i="7"/>
  <c r="AC41" i="7"/>
  <c r="Y121" i="7"/>
  <c r="Y102" i="7"/>
  <c r="Z16" i="7"/>
  <c r="AB235" i="7"/>
  <c r="AB47" i="7"/>
  <c r="AE74" i="7"/>
  <c r="AC142" i="7"/>
  <c r="AE21" i="7"/>
  <c r="X116" i="7"/>
  <c r="Y118" i="7"/>
  <c r="Y11" i="7"/>
  <c r="AD221" i="7"/>
  <c r="AB272" i="7"/>
  <c r="AD136" i="7"/>
  <c r="AD104" i="7"/>
  <c r="AC51" i="7"/>
  <c r="Z262" i="7"/>
  <c r="X265" i="7"/>
  <c r="Y179" i="7"/>
  <c r="Y81" i="7"/>
  <c r="Z189" i="7"/>
  <c r="X80" i="7"/>
  <c r="Z79" i="7"/>
  <c r="X65" i="7"/>
  <c r="Z60" i="7"/>
  <c r="AB139" i="7"/>
  <c r="X76" i="7"/>
  <c r="Y296" i="7"/>
  <c r="Y205" i="7"/>
  <c r="Z247" i="7"/>
  <c r="X290" i="7"/>
  <c r="X42" i="7"/>
  <c r="Y54" i="7"/>
  <c r="AC88" i="7"/>
  <c r="Z240" i="7"/>
  <c r="Z77" i="7"/>
  <c r="Z74" i="7"/>
  <c r="X117" i="7"/>
  <c r="Y15" i="7"/>
  <c r="Z153" i="7"/>
  <c r="AC239" i="7"/>
  <c r="Z118" i="7"/>
  <c r="X6" i="7"/>
  <c r="Y221" i="7"/>
  <c r="Z263" i="7"/>
  <c r="Z7" i="7"/>
  <c r="Y188" i="7"/>
  <c r="AD149" i="7"/>
  <c r="AC55" i="7"/>
  <c r="AC272" i="7"/>
  <c r="AB186" i="7"/>
  <c r="AE109" i="7"/>
  <c r="AE86" i="7"/>
  <c r="AE228" i="7"/>
  <c r="AE269" i="7"/>
  <c r="AD115" i="7"/>
  <c r="AC69" i="7"/>
  <c r="AC238" i="7"/>
  <c r="AB152" i="7"/>
  <c r="AE136" i="7"/>
  <c r="AD302" i="7"/>
  <c r="AE139" i="7"/>
  <c r="AE283" i="7"/>
  <c r="AC275" i="7"/>
  <c r="AB289" i="7"/>
  <c r="AC252" i="7"/>
  <c r="AB118" i="7"/>
  <c r="AE84" i="7"/>
  <c r="AD32" i="7"/>
  <c r="AC86" i="7"/>
  <c r="AD271" i="7"/>
  <c r="AC225" i="7"/>
  <c r="AB191" i="7"/>
  <c r="AC154" i="7"/>
  <c r="AD186" i="7"/>
  <c r="AB73" i="7"/>
  <c r="AE88" i="7"/>
  <c r="AB32" i="7"/>
  <c r="AD153" i="7"/>
  <c r="AC107" i="7"/>
  <c r="AB121" i="7"/>
  <c r="AB190" i="7"/>
  <c r="AD240" i="7"/>
  <c r="AE230" i="7"/>
  <c r="AE244" i="7"/>
  <c r="AD247" i="7"/>
  <c r="AC201" i="7"/>
  <c r="AD283" i="7"/>
  <c r="AB268" i="7"/>
  <c r="AD8" i="7"/>
  <c r="AD15" i="7"/>
  <c r="AE41" i="7"/>
  <c r="AB269" i="7"/>
  <c r="AE38" i="7"/>
  <c r="AE258" i="7"/>
  <c r="AC72" i="7"/>
  <c r="Y257" i="7"/>
  <c r="Y238" i="7"/>
  <c r="Y131" i="7"/>
  <c r="Z93" i="7"/>
  <c r="AB267" i="7"/>
  <c r="AB69" i="7"/>
  <c r="AE188" i="7"/>
  <c r="AD258" i="7"/>
  <c r="AB7" i="7"/>
  <c r="Z126" i="7"/>
  <c r="X129" i="7"/>
  <c r="Y43" i="7"/>
  <c r="Z69" i="7"/>
  <c r="AB151" i="7"/>
  <c r="AE124" i="7"/>
  <c r="AB46" i="7"/>
  <c r="AE154" i="7"/>
  <c r="AC108" i="7"/>
  <c r="AB141" i="7"/>
  <c r="AE120" i="7"/>
  <c r="AB44" i="7"/>
  <c r="AC150" i="7"/>
  <c r="AC56" i="7"/>
  <c r="Z78" i="7"/>
  <c r="X294" i="7"/>
  <c r="Z21" i="7"/>
  <c r="AB173" i="7"/>
  <c r="AD196" i="7"/>
  <c r="AB8" i="7"/>
  <c r="AD110" i="7"/>
  <c r="Z297" i="7"/>
  <c r="Z94" i="7"/>
  <c r="X97" i="7"/>
  <c r="Z293" i="7"/>
  <c r="AD157" i="7"/>
  <c r="AD133" i="7"/>
  <c r="AB229" i="7"/>
  <c r="AB170" i="7"/>
  <c r="AE20" i="7"/>
  <c r="AE183" i="7"/>
  <c r="AD275" i="7"/>
  <c r="AC53" i="7"/>
  <c r="AC158" i="7"/>
  <c r="AD106" i="7"/>
  <c r="AD93" i="7"/>
  <c r="AE267" i="7"/>
  <c r="AC195" i="7"/>
  <c r="AC236" i="7"/>
  <c r="AE117" i="7"/>
  <c r="AD294" i="7"/>
  <c r="AD284" i="7"/>
  <c r="AC209" i="7"/>
  <c r="AB111" i="7"/>
  <c r="AE145" i="7"/>
  <c r="AE200" i="7"/>
  <c r="AB16" i="7"/>
  <c r="AC267" i="7"/>
  <c r="AB105" i="7"/>
  <c r="AB110" i="7"/>
  <c r="AE184" i="7"/>
  <c r="AB77" i="7"/>
  <c r="AC185" i="7"/>
  <c r="AC157" i="7"/>
  <c r="AD168" i="7"/>
  <c r="AC104" i="7"/>
  <c r="AB205" i="7"/>
  <c r="AD278" i="7"/>
  <c r="AD81" i="7"/>
  <c r="Z150" i="7"/>
  <c r="X110" i="7"/>
  <c r="Z266" i="7"/>
  <c r="AD256" i="7"/>
  <c r="AD130" i="7"/>
  <c r="AB21" i="7"/>
  <c r="X20" i="7"/>
  <c r="X22" i="7"/>
  <c r="AD253" i="7"/>
  <c r="AD73" i="7"/>
  <c r="AE94" i="7"/>
  <c r="Y284" i="7"/>
  <c r="AB288" i="7"/>
  <c r="AB12" i="7"/>
  <c r="AC13" i="7"/>
  <c r="Y57" i="7"/>
  <c r="Y187" i="7"/>
  <c r="AB135" i="7"/>
  <c r="AD22" i="7"/>
  <c r="AB90" i="7"/>
  <c r="Y265" i="7"/>
  <c r="Y267" i="7"/>
  <c r="X187" i="7"/>
  <c r="AB226" i="7"/>
  <c r="AD260" i="7"/>
  <c r="AC138" i="7"/>
  <c r="Y241" i="7"/>
  <c r="Z179" i="7"/>
  <c r="AC33" i="7"/>
  <c r="Y120" i="7"/>
  <c r="X293" i="7"/>
  <c r="X87" i="7"/>
  <c r="Y239" i="7"/>
  <c r="Y17" i="7"/>
  <c r="Z149" i="7"/>
  <c r="X56" i="7"/>
  <c r="Z260" i="7"/>
  <c r="Z27" i="7"/>
  <c r="X12" i="7"/>
  <c r="Z45" i="7"/>
  <c r="Z287" i="7"/>
  <c r="X258" i="7"/>
  <c r="Y76" i="7"/>
  <c r="AC258" i="7"/>
  <c r="Y190" i="7"/>
  <c r="X75" i="7"/>
  <c r="Y242" i="7"/>
  <c r="X234" i="7"/>
  <c r="X143" i="7"/>
  <c r="Z166" i="7"/>
  <c r="Z40" i="7"/>
  <c r="X240" i="7"/>
  <c r="Y282" i="7"/>
  <c r="Y26" i="7"/>
  <c r="Y36" i="7"/>
  <c r="Z172" i="7"/>
  <c r="AB10" i="7"/>
  <c r="X169" i="7"/>
  <c r="X163" i="7"/>
  <c r="X128" i="7"/>
  <c r="Y170" i="7"/>
  <c r="X191" i="7"/>
  <c r="X49" i="7"/>
  <c r="J6" i="7"/>
  <c r="AB237" i="7"/>
  <c r="Y89" i="7"/>
  <c r="Z284" i="7"/>
  <c r="Z210" i="7"/>
  <c r="X253" i="7"/>
  <c r="Y295" i="7"/>
  <c r="Z84" i="7"/>
  <c r="Y68" i="7"/>
  <c r="Z121" i="7"/>
  <c r="AC263" i="7"/>
  <c r="AB213" i="7"/>
  <c r="AB106" i="7"/>
  <c r="AD140" i="7"/>
  <c r="AD72" i="7"/>
  <c r="AD259" i="7"/>
  <c r="AB243" i="7"/>
  <c r="AB296" i="7"/>
  <c r="AE34" i="7"/>
  <c r="AB75" i="7"/>
  <c r="AD289" i="7"/>
  <c r="AC179" i="7"/>
  <c r="AC172" i="7"/>
  <c r="AC94" i="7"/>
  <c r="AC112" i="7"/>
  <c r="AD156" i="7"/>
  <c r="AC145" i="7"/>
  <c r="AC298" i="7"/>
  <c r="AD55" i="7"/>
  <c r="AD158" i="7"/>
  <c r="AE275" i="7"/>
  <c r="AC251" i="7"/>
  <c r="AC244" i="7"/>
  <c r="AE272" i="7"/>
  <c r="AD12" i="7"/>
  <c r="AE305" i="7"/>
  <c r="AC121" i="7"/>
  <c r="AC93" i="7"/>
  <c r="AE204" i="7"/>
  <c r="AD85" i="7"/>
  <c r="AC232" i="7"/>
  <c r="AE157" i="7"/>
  <c r="AE51" i="7"/>
  <c r="Y129" i="7"/>
  <c r="Z24" i="7"/>
  <c r="AE245" i="7"/>
  <c r="AE144" i="7"/>
  <c r="AB97" i="7"/>
  <c r="X287" i="7"/>
  <c r="Z299" i="7"/>
  <c r="Y32" i="7"/>
  <c r="AD189" i="7"/>
  <c r="AE26" i="7"/>
  <c r="AC58" i="7"/>
  <c r="Z241" i="7"/>
  <c r="AB242" i="7"/>
  <c r="AE118" i="7"/>
  <c r="AE25" i="7"/>
  <c r="X36" i="7"/>
  <c r="X166" i="7"/>
  <c r="AC294" i="7"/>
  <c r="AD200" i="7"/>
  <c r="AB27" i="7"/>
  <c r="Z222" i="7"/>
  <c r="Z224" i="7"/>
  <c r="Z165" i="7"/>
  <c r="AB188" i="7"/>
  <c r="AE123" i="7"/>
  <c r="AD107" i="7"/>
  <c r="X220" i="7"/>
  <c r="Y158" i="7"/>
  <c r="X215" i="7"/>
  <c r="Z85" i="7"/>
  <c r="Z271" i="7"/>
  <c r="Y30" i="7"/>
  <c r="J7" i="7"/>
  <c r="Y262" i="7"/>
  <c r="Z117" i="7"/>
  <c r="Z34" i="7"/>
  <c r="X170" i="7"/>
  <c r="Y127" i="7"/>
  <c r="AC303" i="7"/>
  <c r="Y254" i="7"/>
  <c r="Z298" i="7"/>
  <c r="Y266" i="7"/>
  <c r="Y159" i="7"/>
  <c r="Z19" i="7"/>
  <c r="AE180" i="7"/>
  <c r="Y134" i="7"/>
  <c r="X43" i="7"/>
  <c r="X221" i="7"/>
  <c r="Z137" i="7"/>
  <c r="Z68" i="7"/>
  <c r="AC175" i="7"/>
  <c r="Z110" i="7"/>
  <c r="X27" i="7"/>
  <c r="Z218" i="7"/>
  <c r="X261" i="7"/>
  <c r="Y303" i="7"/>
  <c r="X167" i="7"/>
  <c r="Z89" i="7"/>
  <c r="AD37" i="7"/>
  <c r="X113" i="7"/>
  <c r="Y128" i="7"/>
  <c r="Z106" i="7"/>
  <c r="X149" i="7"/>
  <c r="Z105" i="7"/>
  <c r="Z67" i="7"/>
  <c r="AB240" i="7"/>
  <c r="Y33" i="7"/>
  <c r="X267" i="7"/>
  <c r="Y189" i="7"/>
  <c r="Z231" i="7"/>
  <c r="X266" i="7"/>
  <c r="X57" i="7"/>
  <c r="Z11" i="7"/>
  <c r="Z116" i="7"/>
  <c r="AC247" i="7"/>
  <c r="AB197" i="7"/>
  <c r="AE256" i="7"/>
  <c r="AD84" i="7"/>
  <c r="AC54" i="7"/>
  <c r="AD243" i="7"/>
  <c r="AB227" i="7"/>
  <c r="AB280" i="7"/>
  <c r="AE18" i="7"/>
  <c r="AE56" i="7"/>
  <c r="AD273" i="7"/>
  <c r="AC163" i="7"/>
  <c r="AC156" i="7"/>
  <c r="AB76" i="7"/>
  <c r="AB91" i="7"/>
  <c r="AE282" i="7"/>
  <c r="AC129" i="7"/>
  <c r="AC282" i="7"/>
  <c r="AB39" i="7"/>
  <c r="AD120" i="7"/>
  <c r="AE259" i="7"/>
  <c r="AC235" i="7"/>
  <c r="AC228" i="7"/>
  <c r="AE212" i="7"/>
  <c r="AD262" i="7"/>
  <c r="AE289" i="7"/>
  <c r="AC105" i="7"/>
  <c r="AB283" i="7"/>
  <c r="AE115" i="7"/>
  <c r="AE83" i="7"/>
  <c r="AC194" i="7"/>
  <c r="AC84" i="7"/>
  <c r="AD78" i="7"/>
  <c r="X108" i="7"/>
  <c r="Y40" i="7"/>
  <c r="AD267" i="7"/>
  <c r="AB78" i="7"/>
  <c r="AE78" i="7"/>
  <c r="Z265" i="7"/>
  <c r="X257" i="7"/>
  <c r="X283" i="7"/>
  <c r="AD125" i="7"/>
  <c r="AD68" i="7"/>
  <c r="AD41" i="7"/>
  <c r="AE293" i="7"/>
  <c r="AB204" i="7"/>
  <c r="AE219" i="7"/>
  <c r="AE29" i="7"/>
  <c r="Z14" i="7"/>
  <c r="Y123" i="7"/>
  <c r="AC210" i="7"/>
  <c r="AD102" i="7"/>
  <c r="AC31" i="7"/>
  <c r="Y201" i="7"/>
  <c r="Y203" i="7"/>
  <c r="Y144" i="7"/>
  <c r="AB144" i="7"/>
  <c r="AD63" i="7"/>
  <c r="AE87" i="7"/>
  <c r="Z198" i="7"/>
  <c r="Z115" i="7"/>
  <c r="X252" i="7"/>
  <c r="Y56" i="7"/>
  <c r="Y250" i="7"/>
  <c r="Z113" i="7"/>
  <c r="Y206" i="7"/>
  <c r="X83" i="7"/>
  <c r="Y13" i="7"/>
  <c r="Z9" i="7"/>
  <c r="Y164" i="7"/>
  <c r="AC296" i="7"/>
  <c r="Y198" i="7"/>
  <c r="X272" i="7"/>
  <c r="X245" i="7"/>
  <c r="Y271" i="7"/>
  <c r="Y31" i="7"/>
  <c r="AE302" i="7"/>
  <c r="Y291" i="7"/>
  <c r="X296" i="7"/>
  <c r="Z199" i="7"/>
  <c r="Z65" i="7"/>
  <c r="Y12" i="7"/>
  <c r="AC214" i="7"/>
  <c r="Z54" i="7"/>
  <c r="Y280" i="7"/>
  <c r="Y197" i="7"/>
  <c r="Z239" i="7"/>
  <c r="Y279" i="7"/>
  <c r="Z209" i="7"/>
  <c r="X33" i="7"/>
  <c r="AE55" i="7"/>
  <c r="X270" i="7"/>
  <c r="Y96" i="7"/>
  <c r="Y85" i="7"/>
  <c r="Z127" i="7"/>
  <c r="Y44" i="7"/>
  <c r="Y196" i="7"/>
  <c r="AE112" i="7"/>
  <c r="Z275" i="7"/>
  <c r="X227" i="7"/>
  <c r="X168" i="7"/>
  <c r="Y210" i="7"/>
  <c r="Y191" i="7"/>
  <c r="X186" i="7"/>
  <c r="Y108" i="7"/>
  <c r="AC231" i="7"/>
  <c r="AB133" i="7"/>
  <c r="AD202" i="7"/>
  <c r="AE278" i="7"/>
  <c r="AB38" i="7"/>
  <c r="AD179" i="7"/>
  <c r="AB211" i="7"/>
  <c r="AB216" i="7"/>
  <c r="AD116" i="7"/>
  <c r="AD188" i="7"/>
  <c r="AD257" i="7"/>
  <c r="AC99" i="7"/>
  <c r="AB294" i="7"/>
  <c r="AD212" i="7"/>
  <c r="AE72" i="7"/>
  <c r="AE249" i="7"/>
  <c r="AC113" i="7"/>
  <c r="AC218" i="7"/>
  <c r="AD264" i="7"/>
  <c r="AD222" i="7"/>
  <c r="AE243" i="7"/>
  <c r="AC171" i="7"/>
  <c r="AC212" i="7"/>
  <c r="AB85" i="7"/>
  <c r="AE205" i="7"/>
  <c r="AE225" i="7"/>
  <c r="AC89" i="7"/>
  <c r="AC280" i="7"/>
  <c r="AB61" i="7"/>
  <c r="AC27" i="7"/>
  <c r="AB304" i="7"/>
  <c r="AB100" i="7"/>
  <c r="AC15" i="7"/>
  <c r="Z22" i="7"/>
  <c r="Y255" i="7"/>
  <c r="AD203" i="7"/>
  <c r="AE28" i="7"/>
  <c r="AD60" i="7"/>
  <c r="Y244" i="7"/>
  <c r="Y214" i="7"/>
  <c r="Y240" i="7"/>
  <c r="AC255" i="7"/>
  <c r="AE214" i="7"/>
  <c r="AD25" i="7"/>
  <c r="AE229" i="7"/>
  <c r="AB160" i="7"/>
  <c r="AD166" i="7"/>
  <c r="AD74" i="7"/>
  <c r="Y294" i="7"/>
  <c r="Z80" i="7"/>
  <c r="AB274" i="7"/>
  <c r="AC50" i="7"/>
  <c r="AC37" i="7"/>
  <c r="X180" i="7"/>
  <c r="X182" i="7"/>
  <c r="X123" i="7"/>
  <c r="AE288" i="7"/>
  <c r="AB30" i="7"/>
  <c r="AB70" i="7"/>
  <c r="Y177" i="7"/>
  <c r="X286" i="7"/>
  <c r="Y25" i="7"/>
  <c r="X304" i="7"/>
  <c r="X229" i="7"/>
  <c r="Y7" i="7"/>
  <c r="AB156" i="7"/>
  <c r="Z147" i="7"/>
  <c r="Z53" i="7"/>
  <c r="Y226" i="7"/>
  <c r="X159" i="7"/>
  <c r="Z83" i="7"/>
  <c r="AB112" i="7"/>
  <c r="Z184" i="7"/>
  <c r="Y245" i="7"/>
  <c r="Z223" i="7"/>
  <c r="X71" i="7"/>
  <c r="X194" i="7"/>
  <c r="AE147" i="7"/>
  <c r="Z232" i="7"/>
  <c r="X200" i="7"/>
  <c r="Y178" i="7"/>
  <c r="X9" i="7"/>
  <c r="Y183" i="7"/>
  <c r="AB101" i="7"/>
  <c r="X297" i="7"/>
  <c r="Z237" i="7"/>
  <c r="X176" i="7"/>
  <c r="Y218" i="7"/>
  <c r="Z236" i="7"/>
  <c r="X226" i="7"/>
  <c r="Y172" i="7"/>
  <c r="AE67" i="7"/>
  <c r="Y211" i="7"/>
  <c r="Z61" i="7"/>
  <c r="AC215" i="7"/>
  <c r="AB298" i="7"/>
  <c r="AD42" i="7"/>
  <c r="AE253" i="7"/>
  <c r="AB195" i="7"/>
  <c r="AD96" i="7"/>
  <c r="AD108" i="7"/>
  <c r="AC259" i="7"/>
  <c r="AB278" i="7"/>
  <c r="AD20" i="7"/>
  <c r="AD255" i="7"/>
  <c r="AB175" i="7"/>
  <c r="AE206" i="7"/>
  <c r="AD210" i="7"/>
  <c r="AC91" i="7"/>
  <c r="AB174" i="7"/>
  <c r="AE162" i="7"/>
  <c r="AD119" i="7"/>
  <c r="AB224" i="7"/>
  <c r="AD274" i="7"/>
  <c r="AB258" i="7"/>
  <c r="AD13" i="7"/>
  <c r="X217" i="7"/>
  <c r="Y72" i="7"/>
  <c r="AD10" i="7"/>
  <c r="AE71" i="7"/>
  <c r="Z107" i="7"/>
  <c r="X11" i="7"/>
  <c r="AD190" i="7"/>
  <c r="AE23" i="7"/>
  <c r="AB62" i="7"/>
  <c r="AC118" i="7"/>
  <c r="X273" i="7"/>
  <c r="AD235" i="7"/>
  <c r="AE130" i="7"/>
  <c r="Y276" i="7"/>
  <c r="Z160" i="7"/>
  <c r="AB285" i="7"/>
  <c r="AD268" i="7"/>
  <c r="AB23" i="7"/>
  <c r="Z264" i="7"/>
  <c r="Y147" i="7"/>
  <c r="Y186" i="7"/>
  <c r="X175" i="7"/>
  <c r="AD69" i="7"/>
  <c r="Y301" i="7"/>
  <c r="Z119" i="7"/>
  <c r="X26" i="7"/>
  <c r="AB57" i="7"/>
  <c r="X291" i="7"/>
  <c r="Y202" i="7"/>
  <c r="Z20" i="7"/>
  <c r="Z176" i="7"/>
  <c r="Y93" i="7"/>
  <c r="Z49" i="7"/>
  <c r="M7" i="7"/>
  <c r="AB25" i="7"/>
  <c r="Z205" i="7"/>
  <c r="Y69" i="7"/>
  <c r="X138" i="7"/>
  <c r="Y132" i="7"/>
  <c r="Y228" i="7"/>
  <c r="Y8" i="7"/>
  <c r="X64" i="7"/>
  <c r="Y42" i="7"/>
  <c r="Y78" i="7"/>
  <c r="Z219" i="7"/>
  <c r="Y88" i="7"/>
  <c r="Z18" i="7"/>
  <c r="X81" i="7"/>
  <c r="Z185" i="7"/>
  <c r="Y64" i="7"/>
  <c r="X55" i="7"/>
  <c r="X121" i="7"/>
  <c r="X45" i="7"/>
  <c r="AD6" i="3"/>
  <c r="AD48" i="7"/>
  <c r="AC199" i="7"/>
  <c r="AB282" i="7"/>
  <c r="AE193" i="7"/>
  <c r="AE237" i="7"/>
  <c r="AB179" i="7"/>
  <c r="AC78" i="7"/>
  <c r="AD88" i="7"/>
  <c r="AC243" i="7"/>
  <c r="AB262" i="7"/>
  <c r="AE138" i="7"/>
  <c r="AD239" i="7"/>
  <c r="AB159" i="7"/>
  <c r="AD164" i="7"/>
  <c r="AE167" i="7"/>
  <c r="AC75" i="7"/>
  <c r="AB158" i="7"/>
  <c r="AC128" i="7"/>
  <c r="AC297" i="7"/>
  <c r="AB178" i="7"/>
  <c r="AE213" i="7"/>
  <c r="AB220" i="7"/>
  <c r="AD266" i="7"/>
  <c r="Z195" i="7"/>
  <c r="X51" i="7"/>
  <c r="AE93" i="7"/>
  <c r="AB15" i="7"/>
  <c r="Y299" i="7"/>
  <c r="X264" i="7"/>
  <c r="AB64" i="7"/>
  <c r="AE15" i="7"/>
  <c r="AE22" i="7"/>
  <c r="AD94" i="7"/>
  <c r="Z251" i="7"/>
  <c r="AC301" i="7"/>
  <c r="AE208" i="7"/>
  <c r="X255" i="7"/>
  <c r="Y139" i="7"/>
  <c r="AB221" i="7"/>
  <c r="AE274" i="7"/>
  <c r="AC11" i="7"/>
  <c r="Y243" i="7"/>
  <c r="Z104" i="7"/>
  <c r="Z143" i="7"/>
  <c r="X90" i="7"/>
  <c r="AE39" i="7"/>
  <c r="Z274" i="7"/>
  <c r="Y98" i="7"/>
  <c r="Z52" i="7"/>
  <c r="AE260" i="7"/>
  <c r="Y248" i="7"/>
  <c r="X181" i="7"/>
  <c r="X17" i="7"/>
  <c r="X134" i="7"/>
  <c r="X72" i="7"/>
  <c r="Z188" i="7"/>
  <c r="Z257" i="7"/>
  <c r="X171" i="7"/>
  <c r="X48" i="7"/>
  <c r="Z212" i="7"/>
  <c r="Y62" i="7"/>
  <c r="X268" i="7"/>
  <c r="Z269" i="7"/>
  <c r="Z42" i="7"/>
  <c r="X21" i="7"/>
  <c r="Z196" i="7"/>
  <c r="Z163" i="7"/>
  <c r="X59" i="7"/>
  <c r="Z295" i="7"/>
  <c r="Y180" i="7"/>
  <c r="Y100" i="7"/>
  <c r="X152" i="7"/>
  <c r="L7" i="7"/>
  <c r="X275" i="7"/>
  <c r="Z51" i="7"/>
  <c r="Y161" i="7"/>
  <c r="AC183" i="7"/>
  <c r="AB266" i="7"/>
  <c r="AD246" i="7"/>
  <c r="AE221" i="7"/>
  <c r="AB163" i="7"/>
  <c r="AB60" i="7"/>
  <c r="AC70" i="7"/>
  <c r="AC227" i="7"/>
  <c r="AB246" i="7"/>
  <c r="AE262" i="7"/>
  <c r="AD223" i="7"/>
  <c r="AB143" i="7"/>
  <c r="AE128" i="7"/>
  <c r="AE131" i="7"/>
  <c r="AC59" i="7"/>
  <c r="AB142" i="7"/>
  <c r="AC100" i="7"/>
  <c r="AC281" i="7"/>
  <c r="AB140" i="7"/>
  <c r="AE170" i="7"/>
  <c r="AB176" i="7"/>
  <c r="AD208" i="7"/>
  <c r="Y174" i="7"/>
  <c r="Y16" i="7"/>
  <c r="AD270" i="7"/>
  <c r="AC29" i="7"/>
  <c r="X278" i="7"/>
  <c r="AE295" i="7"/>
  <c r="AC132" i="7"/>
  <c r="AE35" i="7"/>
  <c r="AC66" i="7"/>
  <c r="AE45" i="7"/>
  <c r="Y230" i="7"/>
  <c r="AC237" i="7"/>
  <c r="AE155" i="7"/>
  <c r="Z233" i="7"/>
  <c r="X118" i="7"/>
  <c r="AB125" i="7"/>
  <c r="AE85" i="7"/>
  <c r="X295" i="7"/>
  <c r="AD237" i="7"/>
  <c r="X62" i="7"/>
  <c r="Y58" i="7"/>
  <c r="Z33" i="7"/>
  <c r="Z302" i="7"/>
  <c r="X184" i="7"/>
  <c r="X77" i="7"/>
  <c r="Y204" i="7"/>
  <c r="Y300" i="7"/>
  <c r="Z213" i="7"/>
  <c r="Z95" i="7"/>
  <c r="X154" i="7"/>
  <c r="Y288" i="7"/>
  <c r="Z50" i="7"/>
  <c r="Z44" i="7"/>
  <c r="Y281" i="7"/>
  <c r="X139" i="7"/>
  <c r="Z26" i="7"/>
  <c r="X127" i="7"/>
  <c r="X218" i="7"/>
  <c r="Y209" i="7"/>
  <c r="Y232" i="7"/>
  <c r="Y21" i="7"/>
  <c r="X298" i="7"/>
  <c r="Y111" i="7"/>
  <c r="AD301" i="7"/>
  <c r="X105" i="7"/>
  <c r="Y24" i="7"/>
  <c r="Y274" i="7"/>
  <c r="X95" i="7"/>
  <c r="X41" i="7"/>
  <c r="Z279" i="7"/>
  <c r="AC111" i="7"/>
  <c r="Z290" i="7"/>
  <c r="Y207" i="7"/>
  <c r="Y219" i="7"/>
  <c r="AC167" i="7"/>
  <c r="AB250" i="7"/>
  <c r="AE194" i="7"/>
  <c r="AD291" i="7"/>
  <c r="AB147" i="7"/>
  <c r="AB43" i="7"/>
  <c r="AB52" i="7"/>
  <c r="AC211" i="7"/>
  <c r="AB230" i="7"/>
  <c r="AD206" i="7"/>
  <c r="AD207" i="7"/>
  <c r="AB127" i="7"/>
  <c r="AE100" i="7"/>
  <c r="AC102" i="7"/>
  <c r="AB297" i="7"/>
  <c r="AB126" i="7"/>
  <c r="AB82" i="7"/>
  <c r="AC265" i="7"/>
  <c r="AE280" i="7"/>
  <c r="AC134" i="7"/>
  <c r="AB130" i="7"/>
  <c r="AE165" i="7"/>
  <c r="X153" i="7"/>
  <c r="X288" i="7"/>
  <c r="AC136" i="7"/>
  <c r="AC47" i="7"/>
  <c r="Z256" i="7"/>
  <c r="AE231" i="7"/>
  <c r="AC28" i="7"/>
  <c r="AE7" i="7"/>
  <c r="AE114" i="7"/>
  <c r="AB95" i="7"/>
  <c r="X209" i="7"/>
  <c r="AC173" i="7"/>
  <c r="AE107" i="7"/>
  <c r="Y212" i="7"/>
  <c r="Z96" i="7"/>
  <c r="AC246" i="7"/>
  <c r="AD49" i="7"/>
  <c r="Z273" i="7"/>
  <c r="AB183" i="7"/>
  <c r="Y19" i="7"/>
  <c r="X37" i="7"/>
  <c r="X74" i="7"/>
  <c r="Z246" i="7"/>
  <c r="Z162" i="7"/>
  <c r="Z55" i="7"/>
  <c r="Z81" i="7"/>
  <c r="Z294" i="7"/>
  <c r="Z181" i="7"/>
  <c r="Y74" i="7"/>
  <c r="Z76" i="7"/>
  <c r="Z245" i="7"/>
  <c r="Y29" i="7"/>
  <c r="Y247" i="7"/>
  <c r="Y225" i="7"/>
  <c r="Y104" i="7"/>
  <c r="Z303" i="7"/>
  <c r="X58" i="7"/>
  <c r="X106" i="7"/>
  <c r="Y153" i="7"/>
  <c r="X195" i="7"/>
  <c r="Y298" i="7"/>
  <c r="Z268" i="7"/>
  <c r="X111" i="7"/>
  <c r="AE105" i="7"/>
  <c r="X262" i="7"/>
  <c r="X280" i="7"/>
  <c r="X189" i="7"/>
  <c r="Z36" i="7"/>
  <c r="Z97" i="7"/>
  <c r="X109" i="7"/>
  <c r="AB7" i="3"/>
  <c r="Y236" i="7"/>
  <c r="Y109" i="7"/>
  <c r="X66" i="7"/>
  <c r="X203" i="7"/>
  <c r="AB293" i="7"/>
  <c r="AD89" i="7"/>
  <c r="AC293" i="7"/>
  <c r="AB136" i="7"/>
  <c r="AD172" i="7"/>
  <c r="AB161" i="7"/>
  <c r="AD54" i="7"/>
  <c r="AC97" i="7"/>
  <c r="AD44" i="7"/>
  <c r="AD137" i="7"/>
  <c r="AE190" i="7"/>
  <c r="AD231" i="7"/>
  <c r="AE158" i="7"/>
  <c r="AD269" i="7"/>
  <c r="AE33" i="7"/>
  <c r="Z285" i="7"/>
  <c r="AE97" i="7"/>
  <c r="Y105" i="7"/>
  <c r="AB107" i="7"/>
  <c r="AC122" i="7"/>
  <c r="AE179" i="7"/>
  <c r="Z270" i="7"/>
  <c r="AB236" i="7"/>
  <c r="AC60" i="7"/>
  <c r="Y272" i="7"/>
  <c r="AE6" i="7"/>
  <c r="X156" i="7"/>
  <c r="Z211" i="7"/>
  <c r="Z15" i="7"/>
  <c r="Z304" i="7"/>
  <c r="X205" i="7"/>
  <c r="M6" i="7"/>
  <c r="X224" i="7"/>
  <c r="Y199" i="7"/>
  <c r="Y289" i="7"/>
  <c r="X157" i="7"/>
  <c r="X98" i="7"/>
  <c r="Y227" i="7"/>
  <c r="X197" i="7"/>
  <c r="Z132" i="7"/>
  <c r="AB301" i="7"/>
  <c r="Z29" i="7"/>
  <c r="Z191" i="7"/>
  <c r="Y47" i="7"/>
  <c r="AE198" i="7"/>
  <c r="Y27" i="7"/>
  <c r="Z167" i="7"/>
  <c r="X15" i="7"/>
  <c r="X151" i="7"/>
  <c r="Z177" i="7"/>
  <c r="AC7" i="3"/>
  <c r="AE53" i="7"/>
  <c r="X301" i="7"/>
  <c r="AE6" i="3"/>
  <c r="X173" i="7"/>
  <c r="Y6" i="3"/>
  <c r="AB217" i="7"/>
  <c r="X192" i="7"/>
  <c r="Y55" i="7"/>
  <c r="AC42" i="7"/>
  <c r="AD209" i="7"/>
  <c r="AB260" i="7"/>
  <c r="AB201" i="7"/>
  <c r="AE222" i="7"/>
  <c r="AE80" i="7"/>
  <c r="AD39" i="7"/>
  <c r="AC159" i="7"/>
  <c r="Y229" i="7"/>
  <c r="Y216" i="7"/>
  <c r="X124" i="7"/>
  <c r="AB72" i="7"/>
  <c r="Z283" i="7"/>
  <c r="Z39" i="7"/>
  <c r="Y217" i="7"/>
  <c r="AC26" i="7"/>
  <c r="AE61" i="7"/>
  <c r="X172" i="7"/>
  <c r="AC253" i="7"/>
  <c r="AC95" i="7"/>
  <c r="Y60" i="7"/>
  <c r="AC114" i="7"/>
  <c r="Z227" i="7"/>
  <c r="Z130" i="7"/>
  <c r="AB277" i="7"/>
  <c r="AB71" i="7"/>
  <c r="AC277" i="7"/>
  <c r="AB120" i="7"/>
  <c r="AE290" i="7"/>
  <c r="AB145" i="7"/>
  <c r="AC38" i="7"/>
  <c r="AC81" i="7"/>
  <c r="AD16" i="7"/>
  <c r="AD121" i="7"/>
  <c r="AE148" i="7"/>
  <c r="AD215" i="7"/>
  <c r="AE91" i="7"/>
  <c r="AD205" i="7"/>
  <c r="AB67" i="7"/>
  <c r="Y264" i="7"/>
  <c r="AD56" i="7"/>
  <c r="X84" i="7"/>
  <c r="AC264" i="7"/>
  <c r="AE96" i="7"/>
  <c r="AD59" i="7"/>
  <c r="Y249" i="7"/>
  <c r="AB192" i="7"/>
  <c r="AD65" i="7"/>
  <c r="X251" i="7"/>
  <c r="AD18" i="7"/>
  <c r="Z134" i="7"/>
  <c r="Z99" i="7"/>
  <c r="Z292" i="7"/>
  <c r="Z248" i="7"/>
  <c r="Z183" i="7"/>
  <c r="Z202" i="7"/>
  <c r="X114" i="7"/>
  <c r="X60" i="7"/>
  <c r="Z135" i="7"/>
  <c r="Y39" i="7"/>
  <c r="Z168" i="7"/>
  <c r="Z175" i="7"/>
  <c r="X63" i="7"/>
  <c r="AB284" i="7"/>
  <c r="Z282" i="7"/>
  <c r="Y106" i="7"/>
  <c r="X119" i="7"/>
  <c r="AD21" i="7"/>
  <c r="Y192" i="7"/>
  <c r="Y146" i="7"/>
  <c r="Z100" i="7"/>
  <c r="AB33" i="7"/>
  <c r="X122" i="7"/>
  <c r="Z46" i="7"/>
  <c r="Y130" i="7"/>
  <c r="AC256" i="7"/>
  <c r="AE24" i="7"/>
  <c r="X236" i="7"/>
  <c r="AD160" i="7"/>
  <c r="AB290" i="7"/>
  <c r="AD92" i="7"/>
  <c r="AB55" i="7"/>
  <c r="AC287" i="7"/>
  <c r="Y277" i="7"/>
  <c r="Z108" i="7"/>
  <c r="Z71" i="7"/>
  <c r="X67" i="7"/>
  <c r="Z75" i="7"/>
  <c r="Y253" i="7"/>
  <c r="Y95" i="7"/>
  <c r="X207" i="7"/>
  <c r="AC165" i="7"/>
  <c r="AE240" i="7"/>
  <c r="AC52" i="7"/>
  <c r="AD252" i="7"/>
  <c r="AB99" i="7"/>
  <c r="AD187" i="7"/>
  <c r="X52" i="7"/>
  <c r="Z243" i="7"/>
  <c r="Z182" i="7"/>
  <c r="K6" i="7"/>
  <c r="X19" i="7"/>
  <c r="Y163" i="7"/>
  <c r="AC149" i="7"/>
  <c r="AB34" i="7"/>
  <c r="AD91" i="7"/>
  <c r="Y193" i="7"/>
  <c r="X150" i="7"/>
  <c r="X230" i="7"/>
  <c r="AE218" i="7"/>
  <c r="X32" i="7"/>
  <c r="Y156" i="7"/>
  <c r="X204" i="7"/>
  <c r="AE150" i="7"/>
  <c r="AE149" i="7"/>
  <c r="AC20" i="7"/>
  <c r="AE102" i="7"/>
  <c r="Z128" i="7"/>
  <c r="AD148" i="7"/>
  <c r="X208" i="7"/>
  <c r="X107" i="7"/>
  <c r="Y261" i="7"/>
  <c r="Y149" i="7"/>
  <c r="Y125" i="7"/>
  <c r="AB261" i="7"/>
  <c r="AE52" i="7"/>
  <c r="AC261" i="7"/>
  <c r="AB104" i="7"/>
  <c r="AE226" i="7"/>
  <c r="AB129" i="7"/>
  <c r="AC22" i="7"/>
  <c r="AC65" i="7"/>
  <c r="AE126" i="7"/>
  <c r="AC299" i="7"/>
  <c r="AE116" i="7"/>
  <c r="AD199" i="7"/>
  <c r="AE42" i="7"/>
  <c r="AD141" i="7"/>
  <c r="AE11" i="7"/>
  <c r="X243" i="7"/>
  <c r="AD228" i="7"/>
  <c r="Z62" i="7"/>
  <c r="AC226" i="7"/>
  <c r="AB54" i="7"/>
  <c r="AC124" i="7"/>
  <c r="X228" i="7"/>
  <c r="AB146" i="7"/>
  <c r="AC19" i="7"/>
  <c r="Z229" i="7"/>
  <c r="AE173" i="7"/>
  <c r="Y113" i="7"/>
  <c r="X254" i="7"/>
  <c r="Y263" i="7"/>
  <c r="X190" i="7"/>
  <c r="Y162" i="7"/>
  <c r="Y181" i="7"/>
  <c r="X50" i="7"/>
  <c r="X305" i="7"/>
  <c r="Y114" i="7"/>
  <c r="X183" i="7"/>
  <c r="X126" i="7"/>
  <c r="Y154" i="7"/>
  <c r="Y6" i="7"/>
  <c r="AE201" i="7"/>
  <c r="X256" i="7"/>
  <c r="X85" i="7"/>
  <c r="Y23" i="7"/>
  <c r="AE37" i="7"/>
  <c r="Y160" i="7"/>
  <c r="X125" i="7"/>
  <c r="Z41" i="7"/>
  <c r="X233" i="7"/>
  <c r="X162" i="7"/>
  <c r="Z120" i="7"/>
  <c r="Y215" i="7"/>
  <c r="X216" i="7"/>
  <c r="Y45" i="7"/>
  <c r="Z102" i="7"/>
  <c r="AC181" i="7"/>
  <c r="AB80" i="7"/>
  <c r="AD241" i="7"/>
  <c r="AE304" i="7"/>
  <c r="AB68" i="7"/>
  <c r="AB292" i="7"/>
  <c r="AD70" i="7"/>
  <c r="AB233" i="7"/>
  <c r="AC73" i="7"/>
  <c r="AB28" i="7"/>
  <c r="AB96" i="7"/>
  <c r="AB203" i="7"/>
  <c r="X214" i="7"/>
  <c r="AD251" i="7"/>
  <c r="Z272" i="7"/>
  <c r="Y73" i="7"/>
  <c r="AD17" i="7"/>
  <c r="Y63" i="7"/>
  <c r="Y99" i="7"/>
  <c r="Y79" i="7"/>
  <c r="Z138" i="7"/>
  <c r="X25" i="7"/>
  <c r="Y213" i="7"/>
  <c r="Y220" i="7"/>
  <c r="X242" i="7"/>
  <c r="X177" i="7"/>
  <c r="AB6" i="3"/>
  <c r="AC240" i="7"/>
  <c r="AB276" i="7"/>
  <c r="AC57" i="7"/>
  <c r="Z214" i="7"/>
  <c r="AB252" i="7"/>
  <c r="AD40" i="7"/>
  <c r="AD282" i="7"/>
  <c r="Z35" i="7"/>
  <c r="X23" i="7"/>
  <c r="Y53" i="7"/>
  <c r="X282" i="7"/>
  <c r="Z37" i="7"/>
  <c r="Y87" i="7"/>
  <c r="X260" i="7"/>
  <c r="X61" i="7"/>
  <c r="AB51" i="7"/>
  <c r="AD24" i="7"/>
  <c r="AE266" i="7"/>
  <c r="AB208" i="7"/>
  <c r="AE286" i="7"/>
  <c r="Y222" i="7"/>
  <c r="Z141" i="7"/>
  <c r="X69" i="7"/>
  <c r="Z170" i="7"/>
  <c r="Z146" i="7"/>
  <c r="Z151" i="7"/>
  <c r="X82" i="7"/>
  <c r="AD193" i="7"/>
  <c r="AB244" i="7"/>
  <c r="AD198" i="7"/>
  <c r="AB162" i="7"/>
  <c r="Z267" i="7"/>
  <c r="Z17" i="7"/>
  <c r="X68" i="7"/>
  <c r="Z148" i="7"/>
  <c r="Y145" i="7"/>
  <c r="Y273" i="7"/>
  <c r="AB245" i="7"/>
  <c r="AE36" i="7"/>
  <c r="AC245" i="7"/>
  <c r="AE248" i="7"/>
  <c r="AD182" i="7"/>
  <c r="AB113" i="7"/>
  <c r="AC6" i="7"/>
  <c r="AB303" i="7"/>
  <c r="AE254" i="7"/>
  <c r="AC283" i="7"/>
  <c r="AB94" i="7"/>
  <c r="AD183" i="7"/>
  <c r="AD100" i="7"/>
  <c r="AC271" i="7"/>
  <c r="AC39" i="7"/>
  <c r="Z221" i="7"/>
  <c r="AE176" i="7"/>
  <c r="Y41" i="7"/>
  <c r="AC182" i="7"/>
  <c r="AC9" i="7"/>
  <c r="AC18" i="7"/>
  <c r="Z206" i="7"/>
  <c r="AB108" i="7"/>
  <c r="AD58" i="7"/>
  <c r="Y208" i="7"/>
  <c r="AB98" i="7"/>
  <c r="Z70" i="7"/>
  <c r="X198" i="7"/>
  <c r="Y52" i="7"/>
  <c r="X142" i="7"/>
  <c r="X141" i="7"/>
  <c r="X160" i="7"/>
  <c r="X199" i="7"/>
  <c r="X249" i="7"/>
  <c r="X93" i="7"/>
  <c r="Y46" i="7"/>
  <c r="Y83" i="7"/>
  <c r="X133" i="7"/>
  <c r="Y223" i="7"/>
  <c r="AE210" i="7"/>
  <c r="Z234" i="7"/>
  <c r="Z63" i="7"/>
  <c r="Y151" i="7"/>
  <c r="AB13" i="7"/>
  <c r="Z125" i="7"/>
  <c r="Z103" i="7"/>
  <c r="X39" i="7"/>
  <c r="Y35" i="7"/>
  <c r="X131" i="7"/>
  <c r="Y86" i="7"/>
  <c r="AC6" i="3"/>
  <c r="AD77" i="7"/>
  <c r="X28" i="7"/>
  <c r="Z238" i="7"/>
  <c r="X211" i="7"/>
  <c r="AE152" i="7"/>
  <c r="Z111" i="7"/>
  <c r="Y97" i="7"/>
  <c r="X202" i="7"/>
  <c r="Y82" i="7"/>
  <c r="AD7" i="3"/>
  <c r="Z194" i="7"/>
  <c r="Y168" i="7"/>
  <c r="AB59" i="7"/>
  <c r="AD50" i="7"/>
  <c r="AD225" i="7"/>
  <c r="AB50" i="7"/>
  <c r="AE8" i="7"/>
  <c r="AD14" i="7"/>
  <c r="AB155" i="7"/>
  <c r="Y171" i="7"/>
  <c r="AB56" i="7"/>
  <c r="Y251" i="7"/>
  <c r="AC223" i="7"/>
  <c r="Z250" i="7"/>
  <c r="Z253" i="7"/>
  <c r="X47" i="7"/>
  <c r="Z173" i="7"/>
  <c r="AD79" i="7"/>
  <c r="Y90" i="7"/>
  <c r="Z38" i="7"/>
  <c r="X18" i="7"/>
  <c r="X232" i="7"/>
  <c r="Z140" i="7"/>
  <c r="Z28" i="7"/>
  <c r="X24" i="7"/>
  <c r="Z161" i="7"/>
  <c r="AC224" i="7"/>
  <c r="AE191" i="7"/>
  <c r="AC36" i="7"/>
  <c r="AB295" i="7"/>
  <c r="AB109" i="7"/>
  <c r="AD123" i="7"/>
  <c r="Y9" i="7"/>
  <c r="Z91" i="7"/>
  <c r="Y92" i="7"/>
  <c r="Z193" i="7"/>
  <c r="X274" i="7"/>
  <c r="Y293" i="7"/>
  <c r="Y140" i="7"/>
  <c r="X31" i="7"/>
  <c r="X35" i="7"/>
  <c r="AC168" i="7"/>
  <c r="AC133" i="7"/>
  <c r="AB185" i="7"/>
  <c r="AC274" i="7"/>
  <c r="AD23" i="7"/>
  <c r="AD176" i="7"/>
  <c r="Y184" i="7"/>
  <c r="Z10" i="7"/>
  <c r="Z73" i="7"/>
  <c r="K7" i="7"/>
  <c r="Y275" i="7"/>
  <c r="AC208" i="7"/>
  <c r="AB18" i="7"/>
  <c r="AB279" i="7"/>
  <c r="AB63" i="7"/>
  <c r="Z208" i="7"/>
  <c r="X201" i="7"/>
  <c r="X210" i="7"/>
  <c r="Z47" i="7"/>
  <c r="Z59" i="7"/>
  <c r="Y18" i="7"/>
  <c r="AE159" i="7"/>
  <c r="AD238" i="7"/>
  <c r="AD143" i="7"/>
  <c r="AC196" i="7"/>
  <c r="AC76" i="7"/>
  <c r="AC230" i="7"/>
  <c r="AB14" i="7"/>
  <c r="X299" i="7"/>
  <c r="AE164" i="7"/>
  <c r="Z186" i="7"/>
  <c r="Y141" i="7"/>
  <c r="Z136" i="7"/>
  <c r="AC90" i="7"/>
  <c r="Z228" i="7"/>
  <c r="X158" i="7"/>
  <c r="X104" i="7"/>
  <c r="X235" i="7"/>
  <c r="AB42" i="7"/>
  <c r="AD194" i="7"/>
  <c r="AB103" i="7"/>
  <c r="Z178" i="7"/>
  <c r="X277" i="7"/>
  <c r="AB257" i="7"/>
  <c r="AC262" i="7"/>
  <c r="X7" i="7"/>
  <c r="X185" i="7"/>
  <c r="Z252" i="7"/>
  <c r="AE119" i="7"/>
  <c r="AD99" i="7"/>
  <c r="AE49" i="7"/>
  <c r="X136" i="7"/>
  <c r="Z201" i="7"/>
  <c r="Z25" i="7"/>
  <c r="AB225" i="7"/>
  <c r="Z254" i="7"/>
  <c r="Z114" i="7"/>
  <c r="X135" i="7"/>
  <c r="Z23" i="7"/>
  <c r="L6" i="3"/>
  <c r="AE227" i="7"/>
  <c r="Y246" i="7"/>
  <c r="L6" i="7"/>
  <c r="X237" i="7"/>
  <c r="X99" i="7"/>
  <c r="AD155" i="7"/>
  <c r="Y259" i="7"/>
  <c r="AD61" i="7"/>
  <c r="X79" i="7"/>
  <c r="Y66" i="7"/>
  <c r="AD281" i="7"/>
  <c r="Y176" i="7"/>
  <c r="AD298" i="7"/>
  <c r="Y22" i="7"/>
  <c r="AE16" i="7"/>
  <c r="X292" i="7"/>
  <c r="X70" i="7"/>
  <c r="Z6" i="3"/>
  <c r="AE125" i="7"/>
  <c r="AE189" i="7"/>
  <c r="AD127" i="7"/>
  <c r="AC180" i="7"/>
  <c r="AC17" i="7"/>
  <c r="AC184" i="7"/>
  <c r="AE134" i="7"/>
  <c r="Z277" i="7"/>
  <c r="AB37" i="7"/>
  <c r="Z58" i="7"/>
  <c r="X120" i="7"/>
  <c r="X94" i="7"/>
  <c r="AC146" i="7"/>
  <c r="Y28" i="7"/>
  <c r="Y115" i="7"/>
  <c r="Z82" i="7"/>
  <c r="Z258" i="7"/>
  <c r="Y14" i="7"/>
  <c r="Z300" i="7"/>
  <c r="AB273" i="7"/>
  <c r="Z145" i="7"/>
  <c r="Y237" i="7"/>
  <c r="J6" i="3"/>
  <c r="M6" i="3"/>
  <c r="AE151" i="7"/>
  <c r="Y297" i="7"/>
  <c r="AE69" i="7"/>
  <c r="Y157" i="7"/>
  <c r="Z87" i="7"/>
  <c r="Z129" i="7"/>
  <c r="AC92" i="7"/>
  <c r="AB241" i="7"/>
  <c r="AC216" i="7"/>
  <c r="Z164" i="7"/>
  <c r="Z291" i="7"/>
  <c r="AD95" i="7"/>
  <c r="AC178" i="7"/>
  <c r="Y84" i="7"/>
  <c r="Y71" i="7"/>
  <c r="X78" i="7"/>
  <c r="AC222" i="7"/>
  <c r="Z280" i="7"/>
  <c r="AE12" i="7"/>
  <c r="Z154" i="7"/>
  <c r="AE48" i="7"/>
  <c r="X225" i="7"/>
  <c r="Y70" i="7"/>
  <c r="Y155" i="7"/>
  <c r="AC285" i="7"/>
  <c r="Z203" i="7"/>
  <c r="X112" i="7"/>
  <c r="AC174" i="7"/>
  <c r="Z216" i="7"/>
  <c r="AC45" i="7"/>
  <c r="Z244" i="7"/>
  <c r="X103" i="7"/>
  <c r="Y124" i="7"/>
  <c r="AE98" i="7"/>
  <c r="AC148" i="7"/>
  <c r="AC305" i="7"/>
  <c r="AC164" i="7"/>
  <c r="AB74" i="7"/>
  <c r="AB256" i="7"/>
  <c r="AE242" i="7"/>
  <c r="Y256" i="7"/>
  <c r="AC96" i="7"/>
  <c r="Y37" i="7"/>
  <c r="Z98" i="7"/>
  <c r="Y51" i="7"/>
  <c r="AD97" i="7"/>
  <c r="X178" i="7"/>
  <c r="Z72" i="7"/>
  <c r="Y61" i="7"/>
  <c r="X88" i="7"/>
  <c r="AB22" i="7"/>
  <c r="AE192" i="7"/>
  <c r="X223" i="7"/>
  <c r="AE13" i="7"/>
  <c r="X53" i="7"/>
  <c r="AB6" i="7"/>
  <c r="Z255" i="7"/>
  <c r="Z66" i="7"/>
  <c r="AB148" i="7"/>
  <c r="AD51" i="7"/>
  <c r="Y10" i="7"/>
  <c r="Y234" i="7"/>
  <c r="X146" i="7"/>
  <c r="AE298" i="7"/>
  <c r="AD90" i="7"/>
  <c r="Y283" i="7"/>
  <c r="R6" i="5"/>
  <c r="AD66" i="7"/>
  <c r="Z281" i="7"/>
  <c r="Z156" i="7"/>
  <c r="AC206" i="7"/>
  <c r="Z197" i="7"/>
  <c r="AC16" i="7"/>
  <c r="Y133" i="7"/>
  <c r="AE32" i="7"/>
  <c r="Z217" i="7"/>
  <c r="Y116" i="7"/>
  <c r="AC221" i="7"/>
  <c r="Y182" i="7"/>
  <c r="AE279" i="7"/>
  <c r="AD80" i="7"/>
  <c r="AC116" i="7"/>
  <c r="AC289" i="7"/>
  <c r="AB302" i="7"/>
  <c r="Y292" i="7"/>
  <c r="AB172" i="7"/>
  <c r="AE171" i="7"/>
  <c r="AE277" i="7"/>
  <c r="AE44" i="7"/>
  <c r="X16" i="7"/>
  <c r="Y77" i="7"/>
  <c r="Z8" i="7"/>
  <c r="X279" i="7"/>
  <c r="Z92" i="7"/>
  <c r="X30" i="7"/>
  <c r="X40" i="7"/>
  <c r="Z215" i="7"/>
  <c r="Z276" i="7"/>
  <c r="K6" i="3"/>
  <c r="AB180" i="7"/>
  <c r="AB88" i="7"/>
  <c r="Z124" i="7"/>
  <c r="X241" i="7"/>
  <c r="Y258" i="7"/>
  <c r="Y167" i="7"/>
  <c r="AB164" i="7"/>
  <c r="AD134" i="7"/>
  <c r="AB86" i="7"/>
  <c r="Z31" i="7"/>
  <c r="AE182" i="7"/>
  <c r="X276" i="7"/>
  <c r="Y126" i="7"/>
  <c r="Y194" i="7"/>
  <c r="AB132" i="7"/>
  <c r="AB81" i="7"/>
  <c r="AD35" i="7"/>
  <c r="Y287" i="7"/>
  <c r="X213" i="7"/>
  <c r="AD219" i="7"/>
  <c r="X219" i="7"/>
  <c r="AB194" i="7"/>
  <c r="Y143" i="7"/>
  <c r="X206" i="7"/>
  <c r="AD297" i="7"/>
  <c r="X239" i="7"/>
  <c r="Y173" i="7"/>
  <c r="AC190" i="7"/>
  <c r="X238" i="7"/>
  <c r="AE160" i="7"/>
  <c r="Z12" i="7"/>
  <c r="Z112" i="7"/>
  <c r="AD265" i="7"/>
  <c r="X155" i="7"/>
  <c r="AD234" i="7"/>
  <c r="Z90" i="7"/>
  <c r="K8" i="7"/>
  <c r="Y7" i="3"/>
  <c r="X6" i="3"/>
  <c r="M7" i="3"/>
  <c r="Z7" i="3"/>
  <c r="M8" i="7"/>
  <c r="J8" i="7"/>
  <c r="L7" i="3"/>
  <c r="K7" i="3"/>
  <c r="X7" i="3"/>
  <c r="L8" i="7"/>
  <c r="J7" i="3"/>
  <c r="I8" i="7" l="1"/>
  <c r="H9" i="7"/>
  <c r="O6" i="5"/>
  <c r="N7" i="5"/>
  <c r="L8" i="5"/>
  <c r="T7" i="5"/>
  <c r="Q7" i="5"/>
  <c r="I7" i="3"/>
  <c r="H8" i="3"/>
  <c r="AC8" i="3"/>
  <c r="AE8" i="3"/>
  <c r="AB8" i="3"/>
  <c r="AD8" i="3"/>
  <c r="R7" i="5"/>
  <c r="X8" i="3"/>
  <c r="J8" i="3"/>
  <c r="J9" i="7"/>
  <c r="L9" i="7"/>
  <c r="Y8" i="3"/>
  <c r="Z8" i="3"/>
  <c r="K9" i="7"/>
  <c r="M8" i="3"/>
  <c r="K8" i="3"/>
  <c r="L8" i="3"/>
  <c r="M9" i="7"/>
  <c r="H9" i="3" l="1"/>
  <c r="H10" i="7"/>
  <c r="I9" i="7"/>
  <c r="M8" i="5"/>
  <c r="T8" i="5" s="1"/>
  <c r="O7" i="5"/>
  <c r="I8" i="3"/>
  <c r="AD9" i="3"/>
  <c r="AC9" i="3"/>
  <c r="AB9" i="3"/>
  <c r="AE9" i="3"/>
  <c r="J10" i="7"/>
  <c r="K9" i="3"/>
  <c r="Y9" i="3"/>
  <c r="Z9" i="3"/>
  <c r="K10" i="7"/>
  <c r="M10" i="7"/>
  <c r="J9" i="3"/>
  <c r="L9" i="3"/>
  <c r="M9" i="3"/>
  <c r="X9" i="3"/>
  <c r="L10" i="7"/>
  <c r="I10" i="7" l="1"/>
  <c r="H11" i="7"/>
  <c r="N8" i="5"/>
  <c r="L9" i="5"/>
  <c r="Q8" i="5"/>
  <c r="H10" i="3"/>
  <c r="I9" i="3"/>
  <c r="K10" i="3"/>
  <c r="J11" i="7"/>
  <c r="K11" i="7"/>
  <c r="X10" i="3"/>
  <c r="Z10" i="3"/>
  <c r="L10" i="3"/>
  <c r="R8" i="5"/>
  <c r="M10" i="3"/>
  <c r="M11" i="7"/>
  <c r="Y10" i="3"/>
  <c r="J10" i="3"/>
  <c r="L11" i="7"/>
  <c r="AB10" i="3"/>
  <c r="AE10" i="3"/>
  <c r="AD10" i="3"/>
  <c r="AC10" i="3"/>
  <c r="H12" i="7" l="1"/>
  <c r="I11" i="7"/>
  <c r="M9" i="5"/>
  <c r="T9" i="5" s="1"/>
  <c r="O8" i="5"/>
  <c r="H11" i="3"/>
  <c r="I10" i="3"/>
  <c r="K12" i="7"/>
  <c r="Z11" i="3"/>
  <c r="X11" i="3"/>
  <c r="J11" i="3"/>
  <c r="K11" i="3"/>
  <c r="Y11" i="3"/>
  <c r="J12" i="7"/>
  <c r="M11" i="3"/>
  <c r="M12" i="7"/>
  <c r="L12" i="7"/>
  <c r="L11" i="3"/>
  <c r="AB11" i="3"/>
  <c r="AC11" i="3"/>
  <c r="AD11" i="3"/>
  <c r="AE11" i="3"/>
  <c r="I12" i="7" l="1"/>
  <c r="H13" i="7"/>
  <c r="Q9" i="5"/>
  <c r="N9" i="5"/>
  <c r="L10" i="5"/>
  <c r="H12" i="3"/>
  <c r="I11" i="3"/>
  <c r="L13" i="7"/>
  <c r="M13" i="7"/>
  <c r="Y12" i="3"/>
  <c r="K13" i="7"/>
  <c r="Z12" i="3"/>
  <c r="X12" i="3"/>
  <c r="J12" i="3"/>
  <c r="K12" i="3"/>
  <c r="L12" i="3"/>
  <c r="M12" i="3"/>
  <c r="R9" i="5"/>
  <c r="J13" i="7"/>
  <c r="AC12" i="3"/>
  <c r="AE12" i="3"/>
  <c r="AD12" i="3"/>
  <c r="AB12" i="3"/>
  <c r="H14" i="7" l="1"/>
  <c r="I13" i="7"/>
  <c r="O9" i="5"/>
  <c r="M10" i="5"/>
  <c r="T10" i="5" s="1"/>
  <c r="Q10" i="5"/>
  <c r="H13" i="3"/>
  <c r="I12" i="3"/>
  <c r="J13" i="3"/>
  <c r="K13" i="3"/>
  <c r="R10" i="5"/>
  <c r="J14" i="7"/>
  <c r="M13" i="3"/>
  <c r="L13" i="3"/>
  <c r="Y13" i="3"/>
  <c r="M14" i="7"/>
  <c r="L14" i="7"/>
  <c r="X13" i="3"/>
  <c r="K14" i="7"/>
  <c r="Z13" i="3"/>
  <c r="AB13" i="3"/>
  <c r="AE13" i="3"/>
  <c r="AC13" i="3"/>
  <c r="AD13" i="3"/>
  <c r="I14" i="7" l="1"/>
  <c r="H15" i="7"/>
  <c r="N10" i="5"/>
  <c r="L11" i="5"/>
  <c r="H14" i="3"/>
  <c r="I13" i="3"/>
  <c r="Z14" i="3"/>
  <c r="J14" i="3"/>
  <c r="K14" i="3"/>
  <c r="Y14" i="3"/>
  <c r="J15" i="7"/>
  <c r="L15" i="7"/>
  <c r="M15" i="7"/>
  <c r="X14" i="3"/>
  <c r="L14" i="3"/>
  <c r="K15" i="7"/>
  <c r="M14" i="3"/>
  <c r="AC14" i="3"/>
  <c r="AB14" i="3"/>
  <c r="AD14" i="3"/>
  <c r="AE14" i="3"/>
  <c r="H16" i="7" l="1"/>
  <c r="I15" i="7"/>
  <c r="O10" i="5"/>
  <c r="M11" i="5"/>
  <c r="T11" i="5" s="1"/>
  <c r="H15" i="3"/>
  <c r="I14" i="3"/>
  <c r="Z15" i="3"/>
  <c r="M15" i="3"/>
  <c r="J15" i="3"/>
  <c r="K16" i="7"/>
  <c r="J16" i="7"/>
  <c r="L16" i="7"/>
  <c r="M16" i="7"/>
  <c r="K15" i="3"/>
  <c r="X15" i="3"/>
  <c r="Y15" i="3"/>
  <c r="L15" i="3"/>
  <c r="R11" i="5"/>
  <c r="AE15" i="3"/>
  <c r="AB15" i="3"/>
  <c r="AD15" i="3"/>
  <c r="AC15" i="3"/>
  <c r="I16" i="7" l="1"/>
  <c r="H17" i="7"/>
  <c r="Q11" i="5"/>
  <c r="L12" i="5"/>
  <c r="N11" i="5"/>
  <c r="H16" i="3"/>
  <c r="I15" i="3"/>
  <c r="L16" i="3"/>
  <c r="J17" i="7"/>
  <c r="M16" i="3"/>
  <c r="Y16" i="3"/>
  <c r="K17" i="7"/>
  <c r="L17" i="7"/>
  <c r="X16" i="3"/>
  <c r="J16" i="3"/>
  <c r="K16" i="3"/>
  <c r="Z16" i="3"/>
  <c r="M17" i="7"/>
  <c r="AD16" i="3"/>
  <c r="AE16" i="3"/>
  <c r="AC16" i="3"/>
  <c r="AB16" i="3"/>
  <c r="I17" i="7" l="1"/>
  <c r="H18" i="7"/>
  <c r="M12" i="5"/>
  <c r="O11" i="5"/>
  <c r="H17" i="3"/>
  <c r="I16" i="3"/>
  <c r="L17" i="3"/>
  <c r="Y17" i="3"/>
  <c r="Z17" i="3"/>
  <c r="X17" i="3"/>
  <c r="K17" i="3"/>
  <c r="M17" i="3"/>
  <c r="K18" i="7"/>
  <c r="J17" i="3"/>
  <c r="L18" i="7"/>
  <c r="M18" i="7"/>
  <c r="R12" i="5"/>
  <c r="J18" i="7"/>
  <c r="AC17" i="3"/>
  <c r="AD17" i="3"/>
  <c r="AE17" i="3"/>
  <c r="AB17" i="3"/>
  <c r="I18" i="7" l="1"/>
  <c r="H19" i="7"/>
  <c r="Q12" i="5"/>
  <c r="L13" i="5"/>
  <c r="N12" i="5"/>
  <c r="T12" i="5"/>
  <c r="H18" i="3"/>
  <c r="I17" i="3"/>
  <c r="AD18" i="3"/>
  <c r="M18" i="3"/>
  <c r="L19" i="7"/>
  <c r="K19" i="7"/>
  <c r="K18" i="3"/>
  <c r="Z18" i="3"/>
  <c r="M19" i="7"/>
  <c r="J18" i="3"/>
  <c r="Y18" i="3"/>
  <c r="L18" i="3"/>
  <c r="J19" i="7"/>
  <c r="X18" i="3"/>
  <c r="AE18" i="3"/>
  <c r="AB18" i="3"/>
  <c r="AC18" i="3"/>
  <c r="H20" i="7" l="1"/>
  <c r="I19" i="7"/>
  <c r="O12" i="5"/>
  <c r="M13" i="5"/>
  <c r="T13" i="5" s="1"/>
  <c r="H19" i="3"/>
  <c r="I18" i="3"/>
  <c r="K20" i="7"/>
  <c r="L20" i="7"/>
  <c r="X19" i="3"/>
  <c r="K19" i="3"/>
  <c r="Y19" i="3"/>
  <c r="M20" i="7"/>
  <c r="M19" i="3"/>
  <c r="J20" i="7"/>
  <c r="J19" i="3"/>
  <c r="L19" i="3"/>
  <c r="Z19" i="3"/>
  <c r="AC19" i="3"/>
  <c r="AE19" i="3"/>
  <c r="AD19" i="3"/>
  <c r="AB19" i="3"/>
  <c r="I20" i="7" l="1"/>
  <c r="H21" i="7"/>
  <c r="Q13" i="5"/>
  <c r="N13" i="5"/>
  <c r="L14" i="5"/>
  <c r="H20" i="3"/>
  <c r="I19" i="3"/>
  <c r="AD20" i="3"/>
  <c r="J21" i="7"/>
  <c r="M20" i="3"/>
  <c r="X20" i="3"/>
  <c r="J20" i="3"/>
  <c r="K21" i="7"/>
  <c r="L20" i="3"/>
  <c r="L21" i="7"/>
  <c r="M21" i="7"/>
  <c r="Y20" i="3"/>
  <c r="Z20" i="3"/>
  <c r="R13" i="5"/>
  <c r="K20" i="3"/>
  <c r="AB20" i="3"/>
  <c r="AE20" i="3"/>
  <c r="AC20" i="3"/>
  <c r="I21" i="7" l="1"/>
  <c r="H22" i="7"/>
  <c r="M14" i="5"/>
  <c r="O13" i="5"/>
  <c r="H21" i="3"/>
  <c r="I20" i="3"/>
  <c r="AE21" i="3"/>
  <c r="J22" i="7"/>
  <c r="Y21" i="3"/>
  <c r="L22" i="7"/>
  <c r="K21" i="3"/>
  <c r="M22" i="7"/>
  <c r="M21" i="3"/>
  <c r="Z21" i="3"/>
  <c r="X21" i="3"/>
  <c r="J21" i="3"/>
  <c r="L21" i="3"/>
  <c r="K22" i="7"/>
  <c r="AD21" i="3"/>
  <c r="AB21" i="3"/>
  <c r="AC21" i="3"/>
  <c r="I22" i="7" l="1"/>
  <c r="H23" i="7"/>
  <c r="N14" i="5"/>
  <c r="L15" i="5"/>
  <c r="T14" i="5"/>
  <c r="Q14" i="5"/>
  <c r="H22" i="3"/>
  <c r="I21" i="3"/>
  <c r="AB22" i="3"/>
  <c r="K22" i="3"/>
  <c r="L22" i="3"/>
  <c r="L23" i="7"/>
  <c r="M22" i="3"/>
  <c r="K23" i="7"/>
  <c r="Y22" i="3"/>
  <c r="X22" i="3"/>
  <c r="Z22" i="3"/>
  <c r="R14" i="5"/>
  <c r="J23" i="7"/>
  <c r="M23" i="7"/>
  <c r="J22" i="3"/>
  <c r="AD22" i="3"/>
  <c r="AC22" i="3"/>
  <c r="AE22" i="3"/>
  <c r="H24" i="7" l="1"/>
  <c r="I23" i="7"/>
  <c r="M15" i="5"/>
  <c r="T15" i="5"/>
  <c r="O14" i="5"/>
  <c r="H23" i="3"/>
  <c r="I22" i="3"/>
  <c r="AC23" i="3"/>
  <c r="L24" i="7"/>
  <c r="K24" i="7"/>
  <c r="L23" i="3"/>
  <c r="J24" i="7"/>
  <c r="X23" i="3"/>
  <c r="J23" i="3"/>
  <c r="K23" i="3"/>
  <c r="M23" i="3"/>
  <c r="Z23" i="3"/>
  <c r="M24" i="7"/>
  <c r="Y23" i="3"/>
  <c r="AB23" i="3"/>
  <c r="AD23" i="3"/>
  <c r="AE23" i="3"/>
  <c r="I24" i="7" l="1"/>
  <c r="H25" i="7"/>
  <c r="N15" i="5"/>
  <c r="L16" i="5"/>
  <c r="Q15" i="5"/>
  <c r="H24" i="3"/>
  <c r="I23" i="3"/>
  <c r="AD24" i="3"/>
  <c r="AB24" i="3"/>
  <c r="J24" i="3"/>
  <c r="K24" i="3"/>
  <c r="L24" i="3"/>
  <c r="M24" i="3"/>
  <c r="R15" i="5"/>
  <c r="J25" i="7"/>
  <c r="L25" i="7"/>
  <c r="K25" i="7"/>
  <c r="X24" i="3"/>
  <c r="Y24" i="3"/>
  <c r="Z24" i="3"/>
  <c r="M25" i="7"/>
  <c r="AC24" i="3"/>
  <c r="AE24" i="3"/>
  <c r="I25" i="7" l="1"/>
  <c r="H26" i="7"/>
  <c r="M16" i="5"/>
  <c r="T16" i="5"/>
  <c r="O15" i="5"/>
  <c r="H25" i="3"/>
  <c r="I24" i="3"/>
  <c r="X25" i="3"/>
  <c r="L25" i="3"/>
  <c r="M26" i="7"/>
  <c r="K25" i="3"/>
  <c r="L26" i="7"/>
  <c r="Y25" i="3"/>
  <c r="J26" i="7"/>
  <c r="M25" i="3"/>
  <c r="Z25" i="3"/>
  <c r="R16" i="5"/>
  <c r="J25" i="3"/>
  <c r="K26" i="7"/>
  <c r="AD25" i="3"/>
  <c r="AC25" i="3"/>
  <c r="AB25" i="3"/>
  <c r="AE25" i="3"/>
  <c r="I26" i="7" l="1"/>
  <c r="H27" i="7"/>
  <c r="N16" i="5"/>
  <c r="L17" i="5"/>
  <c r="Q16" i="5"/>
  <c r="H26" i="3"/>
  <c r="I25" i="3"/>
  <c r="AD26" i="3"/>
  <c r="AC26" i="3"/>
  <c r="L27" i="7"/>
  <c r="X26" i="3"/>
  <c r="K26" i="3"/>
  <c r="Y26" i="3"/>
  <c r="L26" i="3"/>
  <c r="J27" i="7"/>
  <c r="K27" i="7"/>
  <c r="Z26" i="3"/>
  <c r="M27" i="7"/>
  <c r="J26" i="3"/>
  <c r="M26" i="3"/>
  <c r="AB26" i="3"/>
  <c r="AE26" i="3"/>
  <c r="H28" i="7" l="1"/>
  <c r="I27" i="7"/>
  <c r="O16" i="5"/>
  <c r="M17" i="5"/>
  <c r="T17" i="5" s="1"/>
  <c r="H27" i="3"/>
  <c r="I26" i="3"/>
  <c r="L28" i="7"/>
  <c r="K28" i="7"/>
  <c r="J27" i="3"/>
  <c r="L27" i="3"/>
  <c r="M28" i="7"/>
  <c r="M27" i="3"/>
  <c r="J28" i="7"/>
  <c r="X27" i="3"/>
  <c r="K27" i="3"/>
  <c r="Y27" i="3"/>
  <c r="Z27" i="3"/>
  <c r="AD27" i="3"/>
  <c r="AE27" i="3"/>
  <c r="AC27" i="3"/>
  <c r="AB27" i="3"/>
  <c r="I28" i="7" l="1"/>
  <c r="H29" i="7"/>
  <c r="Q17" i="5"/>
  <c r="N17" i="5"/>
  <c r="L18" i="5"/>
  <c r="H28" i="3"/>
  <c r="I27" i="3"/>
  <c r="K28" i="3"/>
  <c r="R17" i="5"/>
  <c r="J29" i="7"/>
  <c r="J28" i="3"/>
  <c r="M28" i="3"/>
  <c r="X28" i="3"/>
  <c r="L28" i="3"/>
  <c r="Z28" i="3"/>
  <c r="M29" i="7"/>
  <c r="Y28" i="3"/>
  <c r="L29" i="7"/>
  <c r="K29" i="7"/>
  <c r="AB28" i="3"/>
  <c r="AE28" i="3"/>
  <c r="AC28" i="3"/>
  <c r="AD28" i="3"/>
  <c r="I29" i="7" l="1"/>
  <c r="H30" i="7"/>
  <c r="M18" i="5"/>
  <c r="T18" i="5" s="1"/>
  <c r="O17" i="5"/>
  <c r="H29" i="3"/>
  <c r="I28" i="3"/>
  <c r="J30" i="7"/>
  <c r="M29" i="3"/>
  <c r="J29" i="3"/>
  <c r="L29" i="3"/>
  <c r="Y29" i="3"/>
  <c r="Z29" i="3"/>
  <c r="M30" i="7"/>
  <c r="X29" i="3"/>
  <c r="K29" i="3"/>
  <c r="K30" i="7"/>
  <c r="L30" i="7"/>
  <c r="AB29" i="3"/>
  <c r="AE29" i="3"/>
  <c r="AD29" i="3"/>
  <c r="AC29" i="3"/>
  <c r="I30" i="7" l="1"/>
  <c r="H31" i="7"/>
  <c r="Q18" i="5"/>
  <c r="N18" i="5"/>
  <c r="L19" i="5"/>
  <c r="H30" i="3"/>
  <c r="I29" i="3"/>
  <c r="L30" i="3"/>
  <c r="L31" i="7"/>
  <c r="K31" i="7"/>
  <c r="Y30" i="3"/>
  <c r="M31" i="7"/>
  <c r="X30" i="3"/>
  <c r="J30" i="3"/>
  <c r="Z30" i="3"/>
  <c r="K30" i="3"/>
  <c r="J31" i="7"/>
  <c r="M30" i="3"/>
  <c r="R18" i="5"/>
  <c r="AE30" i="3"/>
  <c r="AB30" i="3"/>
  <c r="AD30" i="3"/>
  <c r="AC30" i="3"/>
  <c r="H32" i="7" l="1"/>
  <c r="I31" i="7"/>
  <c r="M19" i="5"/>
  <c r="O18" i="5"/>
  <c r="H31" i="3"/>
  <c r="I30" i="3"/>
  <c r="AC31" i="3"/>
  <c r="K32" i="7"/>
  <c r="M32" i="7"/>
  <c r="J31" i="3"/>
  <c r="R19" i="5"/>
  <c r="Z31" i="3"/>
  <c r="L32" i="7"/>
  <c r="X31" i="3"/>
  <c r="K31" i="3"/>
  <c r="L31" i="3"/>
  <c r="M31" i="3"/>
  <c r="J32" i="7"/>
  <c r="Y31" i="3"/>
  <c r="AB31" i="3"/>
  <c r="AE31" i="3"/>
  <c r="AD31" i="3"/>
  <c r="I32" i="7" l="1"/>
  <c r="H33" i="7"/>
  <c r="L20" i="5"/>
  <c r="N19" i="5"/>
  <c r="Q19" i="5"/>
  <c r="T19" i="5"/>
  <c r="H32" i="3"/>
  <c r="I31" i="3"/>
  <c r="L32" i="3"/>
  <c r="K33" i="7"/>
  <c r="J33" i="7"/>
  <c r="M32" i="3"/>
  <c r="J32" i="3"/>
  <c r="L33" i="7"/>
  <c r="Z32" i="3"/>
  <c r="Y32" i="3"/>
  <c r="M33" i="7"/>
  <c r="X32" i="3"/>
  <c r="K32" i="3"/>
  <c r="AB32" i="3"/>
  <c r="AC32" i="3"/>
  <c r="AD32" i="3"/>
  <c r="AE32" i="3"/>
  <c r="I33" i="7" l="1"/>
  <c r="H34" i="7"/>
  <c r="T20" i="5"/>
  <c r="M20" i="5"/>
  <c r="N20" i="5" s="1"/>
  <c r="O19" i="5"/>
  <c r="H33" i="3"/>
  <c r="I32" i="3"/>
  <c r="K34" i="7"/>
  <c r="Y33" i="3"/>
  <c r="X33" i="3"/>
  <c r="J34" i="7"/>
  <c r="M34" i="7"/>
  <c r="M33" i="3"/>
  <c r="L33" i="3"/>
  <c r="Z33" i="3"/>
  <c r="J33" i="3"/>
  <c r="L34" i="7"/>
  <c r="K33" i="3"/>
  <c r="AC33" i="3"/>
  <c r="AB33" i="3"/>
  <c r="AD33" i="3"/>
  <c r="AE33" i="3"/>
  <c r="I34" i="7" l="1"/>
  <c r="H35" i="7"/>
  <c r="Q20" i="5"/>
  <c r="O20" i="5"/>
  <c r="H34" i="3"/>
  <c r="I33" i="3"/>
  <c r="L35" i="7"/>
  <c r="Y34" i="3"/>
  <c r="R20" i="5"/>
  <c r="M34" i="3"/>
  <c r="M35" i="7"/>
  <c r="Z34" i="3"/>
  <c r="X34" i="3"/>
  <c r="J34" i="3"/>
  <c r="K34" i="3"/>
  <c r="K35" i="7"/>
  <c r="J35" i="7"/>
  <c r="L34" i="3"/>
  <c r="AC34" i="3"/>
  <c r="AD34" i="3"/>
  <c r="AB34" i="3"/>
  <c r="AE34" i="3"/>
  <c r="H36" i="7" l="1"/>
  <c r="I35" i="7"/>
  <c r="H35" i="3"/>
  <c r="I34" i="3"/>
  <c r="AE35" i="3"/>
  <c r="X35" i="3"/>
  <c r="J35" i="3"/>
  <c r="L35" i="3"/>
  <c r="M35" i="3"/>
  <c r="J36" i="7"/>
  <c r="Y35" i="3"/>
  <c r="M36" i="7"/>
  <c r="K35" i="3"/>
  <c r="L36" i="7"/>
  <c r="K36" i="7"/>
  <c r="Z35" i="3"/>
  <c r="AD35" i="3"/>
  <c r="AC35" i="3"/>
  <c r="AB35" i="3"/>
  <c r="I36" i="7" l="1"/>
  <c r="H37" i="7"/>
  <c r="H36" i="3"/>
  <c r="I35" i="3"/>
  <c r="J36" i="3"/>
  <c r="L37" i="7"/>
  <c r="Y36" i="3"/>
  <c r="Z36" i="3"/>
  <c r="X36" i="3"/>
  <c r="K36" i="3"/>
  <c r="L36" i="3"/>
  <c r="M36" i="3"/>
  <c r="J37" i="7"/>
  <c r="M37" i="7"/>
  <c r="K37" i="7"/>
  <c r="AD36" i="3"/>
  <c r="AE36" i="3"/>
  <c r="AB36" i="3"/>
  <c r="AC36" i="3"/>
  <c r="I37" i="7" l="1"/>
  <c r="H38" i="7"/>
  <c r="H37" i="3"/>
  <c r="I36" i="3"/>
  <c r="AC37" i="3"/>
  <c r="M38" i="7"/>
  <c r="Z37" i="3"/>
  <c r="X37" i="3"/>
  <c r="L38" i="7"/>
  <c r="J37" i="3"/>
  <c r="L37" i="3"/>
  <c r="K38" i="7"/>
  <c r="M37" i="3"/>
  <c r="Y37" i="3"/>
  <c r="J38" i="7"/>
  <c r="K37" i="3"/>
  <c r="AD37" i="3"/>
  <c r="AE37" i="3"/>
  <c r="AB37" i="3"/>
  <c r="I38" i="7" l="1"/>
  <c r="H39" i="7"/>
  <c r="H38" i="3"/>
  <c r="I37" i="3"/>
  <c r="AE38" i="3"/>
  <c r="M39" i="7"/>
  <c r="X38" i="3"/>
  <c r="J38" i="3"/>
  <c r="L39" i="7"/>
  <c r="M38" i="3"/>
  <c r="J39" i="7"/>
  <c r="Y38" i="3"/>
  <c r="K38" i="3"/>
  <c r="K39" i="7"/>
  <c r="Z38" i="3"/>
  <c r="L38" i="3"/>
  <c r="AD38" i="3"/>
  <c r="AB38" i="3"/>
  <c r="AC38" i="3"/>
  <c r="I39" i="7" l="1"/>
  <c r="H40" i="7"/>
  <c r="H39" i="3"/>
  <c r="I38" i="3"/>
  <c r="M40" i="7"/>
  <c r="X39" i="3"/>
  <c r="K39" i="3"/>
  <c r="Y39" i="3"/>
  <c r="J40" i="7"/>
  <c r="K40" i="7"/>
  <c r="L39" i="3"/>
  <c r="J39" i="3"/>
  <c r="L40" i="7"/>
  <c r="M39" i="3"/>
  <c r="Z39" i="3"/>
  <c r="AD39" i="3"/>
  <c r="AE39" i="3"/>
  <c r="AC39" i="3"/>
  <c r="AB39" i="3"/>
  <c r="I40" i="7" l="1"/>
  <c r="H41" i="7"/>
  <c r="H40" i="3"/>
  <c r="I39" i="3"/>
  <c r="J41" i="7"/>
  <c r="X40" i="3"/>
  <c r="Z40" i="3"/>
  <c r="J40" i="3"/>
  <c r="K40" i="3"/>
  <c r="L40" i="3"/>
  <c r="M41" i="7"/>
  <c r="K41" i="7"/>
  <c r="L41" i="7"/>
  <c r="M40" i="3"/>
  <c r="Y40" i="3"/>
  <c r="AC40" i="3"/>
  <c r="AE40" i="3"/>
  <c r="AD40" i="3"/>
  <c r="AB40" i="3"/>
  <c r="I41" i="7" l="1"/>
  <c r="H42" i="7"/>
  <c r="H41" i="3"/>
  <c r="I40" i="3"/>
  <c r="AB41" i="3"/>
  <c r="M42" i="7"/>
  <c r="K41" i="3"/>
  <c r="L41" i="3"/>
  <c r="M41" i="3"/>
  <c r="L42" i="7"/>
  <c r="J42" i="7"/>
  <c r="Y41" i="3"/>
  <c r="K42" i="7"/>
  <c r="Z41" i="3"/>
  <c r="X41" i="3"/>
  <c r="J41" i="3"/>
  <c r="AC41" i="3"/>
  <c r="AD41" i="3"/>
  <c r="AE41" i="3"/>
  <c r="I42" i="7" l="1"/>
  <c r="H43" i="7"/>
  <c r="H42" i="3"/>
  <c r="I41" i="3"/>
  <c r="AC42" i="3"/>
  <c r="J42" i="3"/>
  <c r="K43" i="7"/>
  <c r="K42" i="3"/>
  <c r="L43" i="7"/>
  <c r="J43" i="7"/>
  <c r="M43" i="7"/>
  <c r="X42" i="3"/>
  <c r="Y42" i="3"/>
  <c r="L42" i="3"/>
  <c r="M42" i="3"/>
  <c r="Z42" i="3"/>
  <c r="AE42" i="3"/>
  <c r="AB42" i="3"/>
  <c r="AD42" i="3"/>
  <c r="I43" i="7" l="1"/>
  <c r="H44" i="7"/>
  <c r="H43" i="3"/>
  <c r="I42" i="3"/>
  <c r="AC43" i="3"/>
  <c r="AB43" i="3"/>
  <c r="X43" i="3"/>
  <c r="K43" i="3"/>
  <c r="Z43" i="3"/>
  <c r="L43" i="3"/>
  <c r="K44" i="7"/>
  <c r="J44" i="7"/>
  <c r="L44" i="7"/>
  <c r="J43" i="3"/>
  <c r="Y43" i="3"/>
  <c r="M44" i="7"/>
  <c r="M43" i="3"/>
  <c r="AE43" i="3"/>
  <c r="AD43" i="3"/>
  <c r="I44" i="7" l="1"/>
  <c r="H45" i="7"/>
  <c r="H44" i="3"/>
  <c r="I43" i="3"/>
  <c r="K44" i="3"/>
  <c r="Z44" i="3"/>
  <c r="M44" i="3"/>
  <c r="Y44" i="3"/>
  <c r="L44" i="3"/>
  <c r="M45" i="7"/>
  <c r="L45" i="7"/>
  <c r="K45" i="7"/>
  <c r="J44" i="3"/>
  <c r="J45" i="7"/>
  <c r="X44" i="3"/>
  <c r="AD44" i="3"/>
  <c r="AC44" i="3"/>
  <c r="AB44" i="3"/>
  <c r="AE44" i="3"/>
  <c r="I45" i="7" l="1"/>
  <c r="H46" i="7"/>
  <c r="H45" i="3"/>
  <c r="I44" i="3"/>
  <c r="X45" i="3"/>
  <c r="J46" i="7"/>
  <c r="L46" i="7"/>
  <c r="L45" i="3"/>
  <c r="Z45" i="3"/>
  <c r="J45" i="3"/>
  <c r="K45" i="3"/>
  <c r="M45" i="3"/>
  <c r="Y45" i="3"/>
  <c r="K46" i="7"/>
  <c r="M46" i="7"/>
  <c r="AD45" i="3"/>
  <c r="AE45" i="3"/>
  <c r="AC45" i="3"/>
  <c r="AB45" i="3"/>
  <c r="I46" i="7" l="1"/>
  <c r="H47" i="7"/>
  <c r="H46" i="3"/>
  <c r="I45" i="3"/>
  <c r="AC46" i="3"/>
  <c r="J46" i="3"/>
  <c r="Y46" i="3"/>
  <c r="K46" i="3"/>
  <c r="L46" i="3"/>
  <c r="J47" i="7"/>
  <c r="M47" i="7"/>
  <c r="L47" i="7"/>
  <c r="M46" i="3"/>
  <c r="K47" i="7"/>
  <c r="Z46" i="3"/>
  <c r="X46" i="3"/>
  <c r="AD46" i="3"/>
  <c r="AB46" i="3"/>
  <c r="AE46" i="3"/>
  <c r="I47" i="7" l="1"/>
  <c r="H48" i="7"/>
  <c r="H47" i="3"/>
  <c r="I46" i="3"/>
  <c r="M48" i="7"/>
  <c r="L47" i="3"/>
  <c r="K47" i="3"/>
  <c r="Z47" i="3"/>
  <c r="J48" i="7"/>
  <c r="L48" i="7"/>
  <c r="M47" i="3"/>
  <c r="X47" i="3"/>
  <c r="J47" i="3"/>
  <c r="Y47" i="3"/>
  <c r="K48" i="7"/>
  <c r="AB47" i="3"/>
  <c r="AE47" i="3"/>
  <c r="AD47" i="3"/>
  <c r="AC47" i="3"/>
  <c r="I48" i="7" l="1"/>
  <c r="H49" i="7"/>
  <c r="H48" i="3"/>
  <c r="I47" i="3"/>
  <c r="AC48" i="3"/>
  <c r="AB48" i="3"/>
  <c r="M48" i="3"/>
  <c r="J49" i="7"/>
  <c r="Y48" i="3"/>
  <c r="X48" i="3"/>
  <c r="K48" i="3"/>
  <c r="M49" i="7"/>
  <c r="Z48" i="3"/>
  <c r="L48" i="3"/>
  <c r="L49" i="7"/>
  <c r="K49" i="7"/>
  <c r="J48" i="3"/>
  <c r="AD48" i="3"/>
  <c r="AE48" i="3"/>
  <c r="I49" i="7" l="1"/>
  <c r="H50" i="7"/>
  <c r="H49" i="3"/>
  <c r="I48" i="3"/>
  <c r="AB49" i="3"/>
  <c r="K49" i="3"/>
  <c r="K50" i="7"/>
  <c r="M50" i="7"/>
  <c r="L49" i="3"/>
  <c r="M49" i="3"/>
  <c r="L50" i="7"/>
  <c r="Y49" i="3"/>
  <c r="Z49" i="3"/>
  <c r="X49" i="3"/>
  <c r="J49" i="3"/>
  <c r="J50" i="7"/>
  <c r="AD49" i="3"/>
  <c r="AE49" i="3"/>
  <c r="AC49" i="3"/>
  <c r="I50" i="7" l="1"/>
  <c r="H51" i="7"/>
  <c r="H50" i="3"/>
  <c r="I49" i="3"/>
  <c r="AB50" i="3"/>
  <c r="M50" i="3"/>
  <c r="L50" i="3"/>
  <c r="Z50" i="3"/>
  <c r="X50" i="3"/>
  <c r="L51" i="7"/>
  <c r="K51" i="7"/>
  <c r="M51" i="7"/>
  <c r="K50" i="3"/>
  <c r="Y50" i="3"/>
  <c r="J51" i="7"/>
  <c r="J50" i="3"/>
  <c r="AC50" i="3"/>
  <c r="AD50" i="3"/>
  <c r="AE50" i="3"/>
  <c r="H52" i="7" l="1"/>
  <c r="I51" i="7"/>
  <c r="H51" i="3"/>
  <c r="I50" i="3"/>
  <c r="J51" i="3"/>
  <c r="K51" i="3"/>
  <c r="K52" i="7"/>
  <c r="J52" i="7"/>
  <c r="M51" i="3"/>
  <c r="Y51" i="3"/>
  <c r="L52" i="7"/>
  <c r="Z51" i="3"/>
  <c r="M52" i="7"/>
  <c r="L51" i="3"/>
  <c r="X51" i="3"/>
  <c r="AB51" i="3"/>
  <c r="AC51" i="3"/>
  <c r="AD51" i="3"/>
  <c r="AE51" i="3"/>
  <c r="I52" i="7" l="1"/>
  <c r="H53" i="7"/>
  <c r="H52" i="3"/>
  <c r="I51" i="3"/>
  <c r="AD52" i="3"/>
  <c r="K53" i="7"/>
  <c r="L52" i="3"/>
  <c r="J52" i="3"/>
  <c r="M53" i="7"/>
  <c r="X52" i="3"/>
  <c r="M52" i="3"/>
  <c r="L53" i="7"/>
  <c r="K52" i="3"/>
  <c r="J53" i="7"/>
  <c r="Y52" i="3"/>
  <c r="Z52" i="3"/>
  <c r="AC52" i="3"/>
  <c r="AB52" i="3"/>
  <c r="AE52" i="3"/>
  <c r="I53" i="7" l="1"/>
  <c r="H54" i="7"/>
  <c r="H53" i="3"/>
  <c r="I52" i="3"/>
  <c r="AE53" i="3"/>
  <c r="Y53" i="3"/>
  <c r="X53" i="3"/>
  <c r="L53" i="3"/>
  <c r="M53" i="3"/>
  <c r="J54" i="7"/>
  <c r="M54" i="7"/>
  <c r="L54" i="7"/>
  <c r="K54" i="7"/>
  <c r="K53" i="3"/>
  <c r="Z53" i="3"/>
  <c r="J53" i="3"/>
  <c r="AB53" i="3"/>
  <c r="AC53" i="3"/>
  <c r="AD53" i="3"/>
  <c r="I54" i="7" l="1"/>
  <c r="H55" i="7"/>
  <c r="H54" i="3"/>
  <c r="I53" i="3"/>
  <c r="AC54" i="3"/>
  <c r="AB54" i="3"/>
  <c r="J54" i="3"/>
  <c r="L54" i="3"/>
  <c r="J55" i="7"/>
  <c r="M54" i="3"/>
  <c r="K55" i="7"/>
  <c r="M55" i="7"/>
  <c r="K54" i="3"/>
  <c r="L55" i="7"/>
  <c r="Y54" i="3"/>
  <c r="Z54" i="3"/>
  <c r="X54" i="3"/>
  <c r="AE54" i="3"/>
  <c r="AD54" i="3"/>
  <c r="H56" i="7" l="1"/>
  <c r="I55" i="7"/>
  <c r="H55" i="3"/>
  <c r="I54" i="3"/>
  <c r="X55" i="3"/>
  <c r="Y55" i="3"/>
  <c r="Z55" i="3"/>
  <c r="L55" i="3"/>
  <c r="M56" i="7"/>
  <c r="J55" i="3"/>
  <c r="L56" i="7"/>
  <c r="K55" i="3"/>
  <c r="K56" i="7"/>
  <c r="J56" i="7"/>
  <c r="M55" i="3"/>
  <c r="AC55" i="3"/>
  <c r="AE55" i="3"/>
  <c r="AB55" i="3"/>
  <c r="AD55" i="3"/>
  <c r="I56" i="7" l="1"/>
  <c r="H57" i="7"/>
  <c r="H56" i="3"/>
  <c r="I55" i="3"/>
  <c r="L57" i="7"/>
  <c r="M57" i="7"/>
  <c r="X56" i="3"/>
  <c r="J56" i="3"/>
  <c r="K56" i="3"/>
  <c r="L56" i="3"/>
  <c r="M56" i="3"/>
  <c r="Z56" i="3"/>
  <c r="K57" i="7"/>
  <c r="Y56" i="3"/>
  <c r="J57" i="7"/>
  <c r="AB56" i="3"/>
  <c r="AD56" i="3"/>
  <c r="AE56" i="3"/>
  <c r="AC56" i="3"/>
  <c r="I57" i="7" l="1"/>
  <c r="H58" i="7"/>
  <c r="H57" i="3"/>
  <c r="I56" i="3"/>
  <c r="X57" i="3"/>
  <c r="K57" i="3"/>
  <c r="L57" i="3"/>
  <c r="M57" i="3"/>
  <c r="J58" i="7"/>
  <c r="L58" i="7"/>
  <c r="Y57" i="3"/>
  <c r="K58" i="7"/>
  <c r="M58" i="7"/>
  <c r="J57" i="3"/>
  <c r="Z57" i="3"/>
  <c r="AC57" i="3"/>
  <c r="AB57" i="3"/>
  <c r="AD57" i="3"/>
  <c r="AE57" i="3"/>
  <c r="I58" i="7" l="1"/>
  <c r="H59" i="7"/>
  <c r="H58" i="3"/>
  <c r="I57" i="3"/>
  <c r="AB58" i="3"/>
  <c r="X58" i="3"/>
  <c r="M59" i="7"/>
  <c r="L58" i="3"/>
  <c r="J59" i="7"/>
  <c r="L59" i="7"/>
  <c r="Y58" i="3"/>
  <c r="J58" i="3"/>
  <c r="M58" i="3"/>
  <c r="Z58" i="3"/>
  <c r="K58" i="3"/>
  <c r="K59" i="7"/>
  <c r="AD58" i="3"/>
  <c r="AC58" i="3"/>
  <c r="AE58" i="3"/>
  <c r="H60" i="7" l="1"/>
  <c r="I59" i="7"/>
  <c r="H59" i="3"/>
  <c r="I58" i="3"/>
  <c r="AC59" i="3"/>
  <c r="M60" i="7"/>
  <c r="K59" i="3"/>
  <c r="J59" i="3"/>
  <c r="L60" i="7"/>
  <c r="K60" i="7"/>
  <c r="Z59" i="3"/>
  <c r="Y59" i="3"/>
  <c r="X59" i="3"/>
  <c r="L59" i="3"/>
  <c r="M59" i="3"/>
  <c r="J60" i="7"/>
  <c r="AB59" i="3"/>
  <c r="AD59" i="3"/>
  <c r="AE59" i="3"/>
  <c r="I60" i="7" l="1"/>
  <c r="H61" i="7"/>
  <c r="H60" i="3"/>
  <c r="I59" i="3"/>
  <c r="M61" i="7"/>
  <c r="K61" i="7"/>
  <c r="X60" i="3"/>
  <c r="J60" i="3"/>
  <c r="K60" i="3"/>
  <c r="L60" i="3"/>
  <c r="M60" i="3"/>
  <c r="L61" i="7"/>
  <c r="J61" i="7"/>
  <c r="Y60" i="3"/>
  <c r="Z60" i="3"/>
  <c r="AC60" i="3"/>
  <c r="AE60" i="3"/>
  <c r="AD60" i="3"/>
  <c r="AB60" i="3"/>
  <c r="I61" i="7" l="1"/>
  <c r="H62" i="7"/>
  <c r="H61" i="3"/>
  <c r="I60" i="3"/>
  <c r="AC61" i="3"/>
  <c r="K62" i="7"/>
  <c r="M62" i="7"/>
  <c r="J61" i="3"/>
  <c r="X61" i="3"/>
  <c r="L61" i="3"/>
  <c r="Y61" i="3"/>
  <c r="Z61" i="3"/>
  <c r="J62" i="7"/>
  <c r="M61" i="3"/>
  <c r="L62" i="7"/>
  <c r="K61" i="3"/>
  <c r="AB61" i="3"/>
  <c r="AD61" i="3"/>
  <c r="AE61" i="3"/>
  <c r="I62" i="7" l="1"/>
  <c r="H63" i="7"/>
  <c r="H62" i="3"/>
  <c r="I61" i="3"/>
  <c r="Z62" i="3"/>
  <c r="X62" i="3"/>
  <c r="J62" i="3"/>
  <c r="K62" i="3"/>
  <c r="Y62" i="3"/>
  <c r="L62" i="3"/>
  <c r="M62" i="3"/>
  <c r="L63" i="7"/>
  <c r="J63" i="7"/>
  <c r="K63" i="7"/>
  <c r="M63" i="7"/>
  <c r="AC62" i="3"/>
  <c r="AE62" i="3"/>
  <c r="AD62" i="3"/>
  <c r="AB62" i="3"/>
  <c r="H64" i="7" l="1"/>
  <c r="I63" i="7"/>
  <c r="H63" i="3"/>
  <c r="I62" i="3"/>
  <c r="X63" i="3"/>
  <c r="L63" i="3"/>
  <c r="K63" i="3"/>
  <c r="J64" i="7"/>
  <c r="L64" i="7"/>
  <c r="J63" i="3"/>
  <c r="K64" i="7"/>
  <c r="Y63" i="3"/>
  <c r="Z63" i="3"/>
  <c r="M63" i="3"/>
  <c r="M64" i="7"/>
  <c r="AD63" i="3"/>
  <c r="AC63" i="3"/>
  <c r="AE63" i="3"/>
  <c r="AB63" i="3"/>
  <c r="I64" i="7" l="1"/>
  <c r="H65" i="7"/>
  <c r="H64" i="3"/>
  <c r="I63" i="3"/>
  <c r="M65" i="7"/>
  <c r="K65" i="7"/>
  <c r="L64" i="3"/>
  <c r="J65" i="7"/>
  <c r="Z64" i="3"/>
  <c r="J64" i="3"/>
  <c r="M64" i="3"/>
  <c r="X64" i="3"/>
  <c r="K64" i="3"/>
  <c r="Y64" i="3"/>
  <c r="L65" i="7"/>
  <c r="AB64" i="3"/>
  <c r="AC64" i="3"/>
  <c r="AE64" i="3"/>
  <c r="AD64" i="3"/>
  <c r="I65" i="7" l="1"/>
  <c r="H66" i="7"/>
  <c r="H65" i="3"/>
  <c r="I64" i="3"/>
  <c r="AE65" i="3"/>
  <c r="X65" i="3"/>
  <c r="K65" i="3"/>
  <c r="Y65" i="3"/>
  <c r="J65" i="3"/>
  <c r="M65" i="3"/>
  <c r="J66" i="7"/>
  <c r="L66" i="7"/>
  <c r="K66" i="7"/>
  <c r="M66" i="7"/>
  <c r="L65" i="3"/>
  <c r="Z65" i="3"/>
  <c r="AC65" i="3"/>
  <c r="AB65" i="3"/>
  <c r="AD65" i="3"/>
  <c r="I66" i="7" l="1"/>
  <c r="H67" i="7"/>
  <c r="H66" i="3"/>
  <c r="I65" i="3"/>
  <c r="M67" i="7"/>
  <c r="M66" i="3"/>
  <c r="Y66" i="3"/>
  <c r="X66" i="3"/>
  <c r="K66" i="3"/>
  <c r="L67" i="7"/>
  <c r="L66" i="3"/>
  <c r="J67" i="7"/>
  <c r="K67" i="7"/>
  <c r="Z66" i="3"/>
  <c r="J66" i="3"/>
  <c r="AD66" i="3"/>
  <c r="AC66" i="3"/>
  <c r="AB66" i="3"/>
  <c r="AE66" i="3"/>
  <c r="H68" i="7" l="1"/>
  <c r="I67" i="7"/>
  <c r="H67" i="3"/>
  <c r="I66" i="3"/>
  <c r="J67" i="3"/>
  <c r="M67" i="3"/>
  <c r="J68" i="7"/>
  <c r="Y67" i="3"/>
  <c r="Z67" i="3"/>
  <c r="X67" i="3"/>
  <c r="K68" i="7"/>
  <c r="K67" i="3"/>
  <c r="L68" i="7"/>
  <c r="M68" i="7"/>
  <c r="L67" i="3"/>
  <c r="AE67" i="3"/>
  <c r="AD67" i="3"/>
  <c r="AB67" i="3"/>
  <c r="AC67" i="3"/>
  <c r="I68" i="7" l="1"/>
  <c r="H69" i="7"/>
  <c r="H68" i="3"/>
  <c r="I67" i="3"/>
  <c r="AE68" i="3"/>
  <c r="J68" i="3"/>
  <c r="J69" i="7"/>
  <c r="L68" i="3"/>
  <c r="M69" i="7"/>
  <c r="K69" i="7"/>
  <c r="K68" i="3"/>
  <c r="L69" i="7"/>
  <c r="Y68" i="3"/>
  <c r="M68" i="3"/>
  <c r="Z68" i="3"/>
  <c r="X68" i="3"/>
  <c r="AD68" i="3"/>
  <c r="AB68" i="3"/>
  <c r="AC68" i="3"/>
  <c r="I69" i="7" l="1"/>
  <c r="H70" i="7"/>
  <c r="H69" i="3"/>
  <c r="I68" i="3"/>
  <c r="AD69" i="3"/>
  <c r="J69" i="3"/>
  <c r="K69" i="3"/>
  <c r="L69" i="3"/>
  <c r="L70" i="7"/>
  <c r="J70" i="7"/>
  <c r="M69" i="3"/>
  <c r="Y69" i="3"/>
  <c r="K70" i="7"/>
  <c r="Z69" i="3"/>
  <c r="M70" i="7"/>
  <c r="X69" i="3"/>
  <c r="AB69" i="3"/>
  <c r="AC69" i="3"/>
  <c r="AE69" i="3"/>
  <c r="I70" i="7" l="1"/>
  <c r="H71" i="7"/>
  <c r="H70" i="3"/>
  <c r="I69" i="3"/>
  <c r="M71" i="7"/>
  <c r="X70" i="3"/>
  <c r="K71" i="7"/>
  <c r="K70" i="3"/>
  <c r="Y70" i="3"/>
  <c r="M70" i="3"/>
  <c r="J71" i="7"/>
  <c r="L70" i="3"/>
  <c r="L71" i="7"/>
  <c r="J70" i="3"/>
  <c r="Z70" i="3"/>
  <c r="AD70" i="3"/>
  <c r="AB70" i="3"/>
  <c r="AC70" i="3"/>
  <c r="AE70" i="3"/>
  <c r="I71" i="7" l="1"/>
  <c r="H72" i="7"/>
  <c r="H71" i="3"/>
  <c r="I70" i="3"/>
  <c r="AB71" i="3"/>
  <c r="K72" i="7"/>
  <c r="Y71" i="3"/>
  <c r="J72" i="7"/>
  <c r="M72" i="7"/>
  <c r="K71" i="3"/>
  <c r="Z71" i="3"/>
  <c r="L71" i="3"/>
  <c r="L72" i="7"/>
  <c r="M71" i="3"/>
  <c r="X71" i="3"/>
  <c r="J71" i="3"/>
  <c r="AC71" i="3"/>
  <c r="AD71" i="3"/>
  <c r="AE71" i="3"/>
  <c r="I72" i="7" l="1"/>
  <c r="H73" i="7"/>
  <c r="H72" i="3"/>
  <c r="I71" i="3"/>
  <c r="Y72" i="3"/>
  <c r="X72" i="3"/>
  <c r="L72" i="3"/>
  <c r="K73" i="7"/>
  <c r="K72" i="3"/>
  <c r="L73" i="7"/>
  <c r="M73" i="7"/>
  <c r="J73" i="7"/>
  <c r="Z72" i="3"/>
  <c r="J72" i="3"/>
  <c r="M72" i="3"/>
  <c r="AC72" i="3"/>
  <c r="AB72" i="3"/>
  <c r="AD72" i="3"/>
  <c r="AE72" i="3"/>
  <c r="H74" i="7" l="1"/>
  <c r="I73" i="7"/>
  <c r="H73" i="3"/>
  <c r="I72" i="3"/>
  <c r="J74" i="7"/>
  <c r="Z73" i="3"/>
  <c r="L74" i="7"/>
  <c r="M73" i="3"/>
  <c r="M74" i="7"/>
  <c r="J73" i="3"/>
  <c r="X73" i="3"/>
  <c r="K74" i="7"/>
  <c r="K73" i="3"/>
  <c r="L73" i="3"/>
  <c r="Y73" i="3"/>
  <c r="AD73" i="3"/>
  <c r="AB73" i="3"/>
  <c r="AC73" i="3"/>
  <c r="AE73" i="3"/>
  <c r="H75" i="7" l="1"/>
  <c r="I74" i="7"/>
  <c r="H74" i="3"/>
  <c r="I73" i="3"/>
  <c r="Y74" i="3"/>
  <c r="M75" i="7"/>
  <c r="X74" i="3"/>
  <c r="J75" i="7"/>
  <c r="K75" i="7"/>
  <c r="J74" i="3"/>
  <c r="L75" i="7"/>
  <c r="K74" i="3"/>
  <c r="Z74" i="3"/>
  <c r="M74" i="3"/>
  <c r="L74" i="3"/>
  <c r="AC74" i="3"/>
  <c r="AE74" i="3"/>
  <c r="AD74" i="3"/>
  <c r="AB74" i="3"/>
  <c r="I75" i="7" l="1"/>
  <c r="H76" i="7"/>
  <c r="H75" i="3"/>
  <c r="I74" i="3"/>
  <c r="AC75" i="3"/>
  <c r="K75" i="3"/>
  <c r="L75" i="3"/>
  <c r="J75" i="3"/>
  <c r="Y75" i="3"/>
  <c r="J76" i="7"/>
  <c r="L76" i="7"/>
  <c r="Z75" i="3"/>
  <c r="X75" i="3"/>
  <c r="K76" i="7"/>
  <c r="M75" i="3"/>
  <c r="M76" i="7"/>
  <c r="AB75" i="3"/>
  <c r="AD75" i="3"/>
  <c r="AE75" i="3"/>
  <c r="I76" i="7" l="1"/>
  <c r="H77" i="7"/>
  <c r="H76" i="3"/>
  <c r="I75" i="3"/>
  <c r="K76" i="3"/>
  <c r="J77" i="7"/>
  <c r="J76" i="3"/>
  <c r="L76" i="3"/>
  <c r="Z76" i="3"/>
  <c r="M76" i="3"/>
  <c r="Y76" i="3"/>
  <c r="K77" i="7"/>
  <c r="M77" i="7"/>
  <c r="L77" i="7"/>
  <c r="X76" i="3"/>
  <c r="AE76" i="3"/>
  <c r="AC76" i="3"/>
  <c r="AD76" i="3"/>
  <c r="AB76" i="3"/>
  <c r="H78" i="7" l="1"/>
  <c r="I77" i="7"/>
  <c r="H77" i="3"/>
  <c r="I76" i="3"/>
  <c r="AB77" i="3"/>
  <c r="J77" i="3"/>
  <c r="L77" i="3"/>
  <c r="M77" i="3"/>
  <c r="J78" i="7"/>
  <c r="K77" i="3"/>
  <c r="L78" i="7"/>
  <c r="Y77" i="3"/>
  <c r="K78" i="7"/>
  <c r="M78" i="7"/>
  <c r="Z77" i="3"/>
  <c r="X77" i="3"/>
  <c r="AD77" i="3"/>
  <c r="AC77" i="3"/>
  <c r="AE77" i="3"/>
  <c r="I78" i="7" l="1"/>
  <c r="H79" i="7"/>
  <c r="H78" i="3"/>
  <c r="I77" i="3"/>
  <c r="AC78" i="3"/>
  <c r="L79" i="7"/>
  <c r="K79" i="7"/>
  <c r="X78" i="3"/>
  <c r="M78" i="3"/>
  <c r="Z78" i="3"/>
  <c r="J79" i="7"/>
  <c r="J78" i="3"/>
  <c r="K78" i="3"/>
  <c r="L78" i="3"/>
  <c r="M79" i="7"/>
  <c r="Y78" i="3"/>
  <c r="AB78" i="3"/>
  <c r="AE78" i="3"/>
  <c r="AD78" i="3"/>
  <c r="I79" i="7" l="1"/>
  <c r="H80" i="7"/>
  <c r="H79" i="3"/>
  <c r="I78" i="3"/>
  <c r="M80" i="7"/>
  <c r="X79" i="3"/>
  <c r="K79" i="3"/>
  <c r="Y79" i="3"/>
  <c r="Z79" i="3"/>
  <c r="J80" i="7"/>
  <c r="K80" i="7"/>
  <c r="L80" i="7"/>
  <c r="J79" i="3"/>
  <c r="L79" i="3"/>
  <c r="M79" i="3"/>
  <c r="AE79" i="3"/>
  <c r="AB79" i="3"/>
  <c r="AD79" i="3"/>
  <c r="AC79" i="3"/>
  <c r="H81" i="7" l="1"/>
  <c r="I80" i="7"/>
  <c r="H80" i="3"/>
  <c r="I79" i="3"/>
  <c r="L81" i="7"/>
  <c r="X80" i="3"/>
  <c r="Y80" i="3"/>
  <c r="J80" i="3"/>
  <c r="K81" i="7"/>
  <c r="J81" i="7"/>
  <c r="M80" i="3"/>
  <c r="K80" i="3"/>
  <c r="M81" i="7"/>
  <c r="L80" i="3"/>
  <c r="Z80" i="3"/>
  <c r="AB80" i="3"/>
  <c r="AE80" i="3"/>
  <c r="AD80" i="3"/>
  <c r="AC80" i="3"/>
  <c r="H82" i="7" l="1"/>
  <c r="I81" i="7"/>
  <c r="H81" i="3"/>
  <c r="I80" i="3"/>
  <c r="AD81" i="3"/>
  <c r="AE81" i="3"/>
  <c r="L81" i="3"/>
  <c r="J82" i="7"/>
  <c r="L82" i="7"/>
  <c r="Y81" i="3"/>
  <c r="K82" i="7"/>
  <c r="Z81" i="3"/>
  <c r="M82" i="7"/>
  <c r="X81" i="3"/>
  <c r="J81" i="3"/>
  <c r="M81" i="3"/>
  <c r="K81" i="3"/>
  <c r="AC81" i="3"/>
  <c r="AB81" i="3"/>
  <c r="I82" i="7" l="1"/>
  <c r="H83" i="7"/>
  <c r="H82" i="3"/>
  <c r="I81" i="3"/>
  <c r="X82" i="3"/>
  <c r="K82" i="3"/>
  <c r="M83" i="7"/>
  <c r="Y82" i="3"/>
  <c r="Z82" i="3"/>
  <c r="L82" i="3"/>
  <c r="M82" i="3"/>
  <c r="L83" i="7"/>
  <c r="J82" i="3"/>
  <c r="J83" i="7"/>
  <c r="K83" i="7"/>
  <c r="AB82" i="3"/>
  <c r="AE82" i="3"/>
  <c r="AD82" i="3"/>
  <c r="AC82" i="3"/>
  <c r="H84" i="7" l="1"/>
  <c r="I83" i="7"/>
  <c r="H83" i="3"/>
  <c r="I82" i="3"/>
  <c r="AD83" i="3"/>
  <c r="Z83" i="3"/>
  <c r="M84" i="7"/>
  <c r="K83" i="3"/>
  <c r="L83" i="3"/>
  <c r="J84" i="7"/>
  <c r="K84" i="7"/>
  <c r="X83" i="3"/>
  <c r="J83" i="3"/>
  <c r="Y83" i="3"/>
  <c r="M83" i="3"/>
  <c r="L84" i="7"/>
  <c r="AE83" i="3"/>
  <c r="AB83" i="3"/>
  <c r="AC83" i="3"/>
  <c r="H85" i="7" l="1"/>
  <c r="I84" i="7"/>
  <c r="H84" i="3"/>
  <c r="I83" i="3"/>
  <c r="AD84" i="3"/>
  <c r="AB84" i="3"/>
  <c r="K85" i="7"/>
  <c r="L85" i="7"/>
  <c r="J84" i="3"/>
  <c r="K84" i="3"/>
  <c r="L84" i="3"/>
  <c r="M84" i="3"/>
  <c r="X84" i="3"/>
  <c r="J85" i="7"/>
  <c r="Y84" i="3"/>
  <c r="Z84" i="3"/>
  <c r="M85" i="7"/>
  <c r="AC84" i="3"/>
  <c r="AE84" i="3"/>
  <c r="H86" i="7" l="1"/>
  <c r="I85" i="7"/>
  <c r="H85" i="3"/>
  <c r="I84" i="3"/>
  <c r="J85" i="3"/>
  <c r="M85" i="3"/>
  <c r="L85" i="3"/>
  <c r="M86" i="7"/>
  <c r="Z85" i="3"/>
  <c r="L86" i="7"/>
  <c r="Y85" i="3"/>
  <c r="X85" i="3"/>
  <c r="K85" i="3"/>
  <c r="K86" i="7"/>
  <c r="J86" i="7"/>
  <c r="AC85" i="3"/>
  <c r="AE85" i="3"/>
  <c r="AD85" i="3"/>
  <c r="AB85" i="3"/>
  <c r="I86" i="7" l="1"/>
  <c r="H87" i="7"/>
  <c r="H86" i="3"/>
  <c r="I85" i="3"/>
  <c r="AB86" i="3"/>
  <c r="J86" i="3"/>
  <c r="K86" i="3"/>
  <c r="L86" i="3"/>
  <c r="M86" i="3"/>
  <c r="M87" i="7"/>
  <c r="Y86" i="3"/>
  <c r="Z86" i="3"/>
  <c r="X86" i="3"/>
  <c r="L87" i="7"/>
  <c r="J87" i="7"/>
  <c r="K87" i="7"/>
  <c r="AD86" i="3"/>
  <c r="AC86" i="3"/>
  <c r="AE86" i="3"/>
  <c r="I87" i="7" l="1"/>
  <c r="H88" i="7"/>
  <c r="H87" i="3"/>
  <c r="I86" i="3"/>
  <c r="AB87" i="3"/>
  <c r="Z87" i="3"/>
  <c r="J88" i="7"/>
  <c r="K87" i="3"/>
  <c r="M87" i="3"/>
  <c r="X87" i="3"/>
  <c r="K88" i="7"/>
  <c r="L87" i="3"/>
  <c r="J87" i="3"/>
  <c r="Y87" i="3"/>
  <c r="L88" i="7"/>
  <c r="M88" i="7"/>
  <c r="AC87" i="3"/>
  <c r="AD87" i="3"/>
  <c r="AE87" i="3"/>
  <c r="H89" i="7" l="1"/>
  <c r="I88" i="7"/>
  <c r="H88" i="3"/>
  <c r="I87" i="3"/>
  <c r="X88" i="3"/>
  <c r="M88" i="3"/>
  <c r="M89" i="7"/>
  <c r="J88" i="3"/>
  <c r="K88" i="3"/>
  <c r="K89" i="7"/>
  <c r="L88" i="3"/>
  <c r="J89" i="7"/>
  <c r="Z88" i="3"/>
  <c r="L89" i="7"/>
  <c r="Y88" i="3"/>
  <c r="AC88" i="3"/>
  <c r="AE88" i="3"/>
  <c r="AD88" i="3"/>
  <c r="AB88" i="3"/>
  <c r="H90" i="7" l="1"/>
  <c r="I89" i="7"/>
  <c r="H89" i="3"/>
  <c r="I88" i="3"/>
  <c r="AD89" i="3"/>
  <c r="Z89" i="3"/>
  <c r="J89" i="3"/>
  <c r="Y89" i="3"/>
  <c r="M89" i="3"/>
  <c r="J90" i="7"/>
  <c r="M90" i="7"/>
  <c r="X89" i="3"/>
  <c r="K89" i="3"/>
  <c r="L89" i="3"/>
  <c r="K90" i="7"/>
  <c r="L90" i="7"/>
  <c r="AB89" i="3"/>
  <c r="AC89" i="3"/>
  <c r="AE89" i="3"/>
  <c r="I90" i="7" l="1"/>
  <c r="H91" i="7"/>
  <c r="H90" i="3"/>
  <c r="I89" i="3"/>
  <c r="AD90" i="3"/>
  <c r="K90" i="3"/>
  <c r="M90" i="3"/>
  <c r="K91" i="7"/>
  <c r="J90" i="3"/>
  <c r="L90" i="3"/>
  <c r="M91" i="7"/>
  <c r="L91" i="7"/>
  <c r="Y90" i="3"/>
  <c r="J91" i="7"/>
  <c r="Z90" i="3"/>
  <c r="X90" i="3"/>
  <c r="AC90" i="3"/>
  <c r="AB90" i="3"/>
  <c r="AE90" i="3"/>
  <c r="H92" i="7" l="1"/>
  <c r="I91" i="7"/>
  <c r="H91" i="3"/>
  <c r="I90" i="3"/>
  <c r="AC91" i="3"/>
  <c r="L91" i="3"/>
  <c r="L92" i="7"/>
  <c r="K92" i="7"/>
  <c r="M91" i="3"/>
  <c r="J92" i="7"/>
  <c r="Y91" i="3"/>
  <c r="Z91" i="3"/>
  <c r="X91" i="3"/>
  <c r="J91" i="3"/>
  <c r="K91" i="3"/>
  <c r="M92" i="7"/>
  <c r="AB91" i="3"/>
  <c r="AD91" i="3"/>
  <c r="AE91" i="3"/>
  <c r="H93" i="7" l="1"/>
  <c r="I92" i="7"/>
  <c r="H92" i="3"/>
  <c r="I91" i="3"/>
  <c r="AB92" i="3"/>
  <c r="AC92" i="3"/>
  <c r="J92" i="3"/>
  <c r="X92" i="3"/>
  <c r="M92" i="3"/>
  <c r="Y92" i="3"/>
  <c r="Z92" i="3"/>
  <c r="K92" i="3"/>
  <c r="L92" i="3"/>
  <c r="J93" i="7"/>
  <c r="M93" i="7"/>
  <c r="K93" i="7"/>
  <c r="L93" i="7"/>
  <c r="AD92" i="3"/>
  <c r="AE92" i="3"/>
  <c r="H94" i="7" l="1"/>
  <c r="I93" i="7"/>
  <c r="H93" i="3"/>
  <c r="I92" i="3"/>
  <c r="AD93" i="3"/>
  <c r="J93" i="3"/>
  <c r="K93" i="3"/>
  <c r="K94" i="7"/>
  <c r="M93" i="3"/>
  <c r="Z93" i="3"/>
  <c r="Y93" i="3"/>
  <c r="X93" i="3"/>
  <c r="L93" i="3"/>
  <c r="L94" i="7"/>
  <c r="M94" i="7"/>
  <c r="J94" i="7"/>
  <c r="AC93" i="3"/>
  <c r="AB93" i="3"/>
  <c r="AE93" i="3"/>
  <c r="I94" i="7" l="1"/>
  <c r="H95" i="7"/>
  <c r="H94" i="3"/>
  <c r="I93" i="3"/>
  <c r="X94" i="3"/>
  <c r="K94" i="3"/>
  <c r="L94" i="3"/>
  <c r="L95" i="7"/>
  <c r="M95" i="7"/>
  <c r="Y94" i="3"/>
  <c r="J95" i="7"/>
  <c r="K95" i="7"/>
  <c r="J94" i="3"/>
  <c r="M94" i="3"/>
  <c r="Z94" i="3"/>
  <c r="AD94" i="3"/>
  <c r="AC94" i="3"/>
  <c r="AE94" i="3"/>
  <c r="AB94" i="3"/>
  <c r="I95" i="7" l="1"/>
  <c r="H96" i="7"/>
  <c r="H95" i="3"/>
  <c r="I94" i="3"/>
  <c r="AC95" i="3"/>
  <c r="L96" i="7"/>
  <c r="J95" i="3"/>
  <c r="Y95" i="3"/>
  <c r="L95" i="3"/>
  <c r="K96" i="7"/>
  <c r="M95" i="3"/>
  <c r="M96" i="7"/>
  <c r="K95" i="3"/>
  <c r="Z95" i="3"/>
  <c r="X95" i="3"/>
  <c r="J96" i="7"/>
  <c r="AB95" i="3"/>
  <c r="AE95" i="3"/>
  <c r="AD95" i="3"/>
  <c r="I96" i="7" l="1"/>
  <c r="H97" i="7"/>
  <c r="H96" i="3"/>
  <c r="I95" i="3"/>
  <c r="Z96" i="3"/>
  <c r="K97" i="7"/>
  <c r="K96" i="3"/>
  <c r="M96" i="3"/>
  <c r="J97" i="7"/>
  <c r="L97" i="7"/>
  <c r="J96" i="3"/>
  <c r="X96" i="3"/>
  <c r="Y96" i="3"/>
  <c r="M97" i="7"/>
  <c r="L96" i="3"/>
  <c r="AD96" i="3"/>
  <c r="AC96" i="3"/>
  <c r="AB96" i="3"/>
  <c r="AE96" i="3"/>
  <c r="H98" i="7" l="1"/>
  <c r="I97" i="7"/>
  <c r="H97" i="3"/>
  <c r="I96" i="3"/>
  <c r="M97" i="3"/>
  <c r="Y97" i="3"/>
  <c r="L97" i="3"/>
  <c r="J98" i="7"/>
  <c r="Z97" i="3"/>
  <c r="X97" i="3"/>
  <c r="K97" i="3"/>
  <c r="L98" i="7"/>
  <c r="M98" i="7"/>
  <c r="K98" i="7"/>
  <c r="J97" i="3"/>
  <c r="AB97" i="3"/>
  <c r="AE97" i="3"/>
  <c r="AC97" i="3"/>
  <c r="AD97" i="3"/>
  <c r="I98" i="7" l="1"/>
  <c r="H99" i="7"/>
  <c r="H98" i="3"/>
  <c r="I97" i="3"/>
  <c r="AC98" i="3"/>
  <c r="J98" i="3"/>
  <c r="K98" i="3"/>
  <c r="L98" i="3"/>
  <c r="M99" i="7"/>
  <c r="M98" i="3"/>
  <c r="L99" i="7"/>
  <c r="Y98" i="3"/>
  <c r="J99" i="7"/>
  <c r="Z98" i="3"/>
  <c r="K99" i="7"/>
  <c r="X98" i="3"/>
  <c r="AB98" i="3"/>
  <c r="AD98" i="3"/>
  <c r="AE98" i="3"/>
  <c r="H100" i="7" l="1"/>
  <c r="I99" i="7"/>
  <c r="H99" i="3"/>
  <c r="I98" i="3"/>
  <c r="AE99" i="3"/>
  <c r="J99" i="3"/>
  <c r="Y99" i="3"/>
  <c r="Z99" i="3"/>
  <c r="M100" i="7"/>
  <c r="K99" i="3"/>
  <c r="J100" i="7"/>
  <c r="X99" i="3"/>
  <c r="K100" i="7"/>
  <c r="L99" i="3"/>
  <c r="M99" i="3"/>
  <c r="L100" i="7"/>
  <c r="AD99" i="3"/>
  <c r="AC99" i="3"/>
  <c r="AB99" i="3"/>
  <c r="H101" i="7" l="1"/>
  <c r="I100" i="7"/>
  <c r="H100" i="3"/>
  <c r="I99" i="3"/>
  <c r="L101" i="7"/>
  <c r="J101" i="7"/>
  <c r="K101" i="7"/>
  <c r="X100" i="3"/>
  <c r="M100" i="3"/>
  <c r="M101" i="7"/>
  <c r="L100" i="3"/>
  <c r="Z100" i="3"/>
  <c r="K100" i="3"/>
  <c r="J100" i="3"/>
  <c r="Y100" i="3"/>
  <c r="AB100" i="3"/>
  <c r="AE100" i="3"/>
  <c r="AC100" i="3"/>
  <c r="AD100" i="3"/>
  <c r="H102" i="7" l="1"/>
  <c r="I101" i="7"/>
  <c r="H101" i="3"/>
  <c r="I100" i="3"/>
  <c r="X101" i="3"/>
  <c r="K101" i="3"/>
  <c r="K102" i="7"/>
  <c r="Z101" i="3"/>
  <c r="L102" i="7"/>
  <c r="J101" i="3"/>
  <c r="L101" i="3"/>
  <c r="M101" i="3"/>
  <c r="M102" i="7"/>
  <c r="Y101" i="3"/>
  <c r="J102" i="7"/>
  <c r="AC101" i="3"/>
  <c r="AE101" i="3"/>
  <c r="AD101" i="3"/>
  <c r="AB101" i="3"/>
  <c r="I102" i="7" l="1"/>
  <c r="H103" i="7"/>
  <c r="H102" i="3"/>
  <c r="I101" i="3"/>
  <c r="J102" i="3"/>
  <c r="K102" i="3"/>
  <c r="Y102" i="3"/>
  <c r="L102" i="3"/>
  <c r="L103" i="7"/>
  <c r="M102" i="3"/>
  <c r="M103" i="7"/>
  <c r="J103" i="7"/>
  <c r="Z102" i="3"/>
  <c r="K103" i="7"/>
  <c r="X102" i="3"/>
  <c r="AC102" i="3"/>
  <c r="AE102" i="3"/>
  <c r="AD102" i="3"/>
  <c r="AB102" i="3"/>
  <c r="I103" i="7" l="1"/>
  <c r="H104" i="7"/>
  <c r="H103" i="3"/>
  <c r="I102" i="3"/>
  <c r="M103" i="3"/>
  <c r="K103" i="3"/>
  <c r="J103" i="3"/>
  <c r="L103" i="3"/>
  <c r="J104" i="7"/>
  <c r="L104" i="7"/>
  <c r="M104" i="7"/>
  <c r="X103" i="3"/>
  <c r="Y103" i="3"/>
  <c r="Z103" i="3"/>
  <c r="K104" i="7"/>
  <c r="AD103" i="3"/>
  <c r="AC103" i="3"/>
  <c r="AB103" i="3"/>
  <c r="AE103" i="3"/>
  <c r="H105" i="7" l="1"/>
  <c r="I104" i="7"/>
  <c r="H104" i="3"/>
  <c r="I103" i="3"/>
  <c r="AB104" i="3"/>
  <c r="AD104" i="3"/>
  <c r="Z104" i="3"/>
  <c r="L105" i="7"/>
  <c r="J104" i="3"/>
  <c r="K104" i="3"/>
  <c r="L104" i="3"/>
  <c r="K105" i="7"/>
  <c r="J105" i="7"/>
  <c r="M104" i="3"/>
  <c r="Y104" i="3"/>
  <c r="M105" i="7"/>
  <c r="X104" i="3"/>
  <c r="AC104" i="3"/>
  <c r="AE104" i="3"/>
  <c r="H106" i="7" l="1"/>
  <c r="I105" i="7"/>
  <c r="H105" i="3"/>
  <c r="I104" i="3"/>
  <c r="AC105" i="3"/>
  <c r="K106" i="7"/>
  <c r="J105" i="3"/>
  <c r="J106" i="7"/>
  <c r="X105" i="3"/>
  <c r="K105" i="3"/>
  <c r="L105" i="3"/>
  <c r="M105" i="3"/>
  <c r="L106" i="7"/>
  <c r="M106" i="7"/>
  <c r="Z105" i="3"/>
  <c r="Y105" i="3"/>
  <c r="AD105" i="3"/>
  <c r="AB105" i="3"/>
  <c r="AE105" i="3"/>
  <c r="I106" i="7" l="1"/>
  <c r="H107" i="7"/>
  <c r="H106" i="3"/>
  <c r="I105" i="3"/>
  <c r="X106" i="3"/>
  <c r="J106" i="3"/>
  <c r="K106" i="3"/>
  <c r="M106" i="3"/>
  <c r="M107" i="7"/>
  <c r="Y106" i="3"/>
  <c r="L107" i="7"/>
  <c r="J107" i="7"/>
  <c r="Z106" i="3"/>
  <c r="K107" i="7"/>
  <c r="L106" i="3"/>
  <c r="AC106" i="3"/>
  <c r="AE106" i="3"/>
  <c r="AB106" i="3"/>
  <c r="AD106" i="3"/>
  <c r="H108" i="7" l="1"/>
  <c r="I107" i="7"/>
  <c r="H107" i="3"/>
  <c r="I106" i="3"/>
  <c r="L108" i="7"/>
  <c r="K107" i="3"/>
  <c r="L107" i="3"/>
  <c r="M107" i="3"/>
  <c r="J108" i="7"/>
  <c r="Z107" i="3"/>
  <c r="J107" i="3"/>
  <c r="X107" i="3"/>
  <c r="K108" i="7"/>
  <c r="Y107" i="3"/>
  <c r="M108" i="7"/>
  <c r="AD107" i="3"/>
  <c r="AE107" i="3"/>
  <c r="AC107" i="3"/>
  <c r="AB107" i="3"/>
  <c r="H109" i="7" l="1"/>
  <c r="I108" i="7"/>
  <c r="H108" i="3"/>
  <c r="I107" i="3"/>
  <c r="J108" i="3"/>
  <c r="K108" i="3"/>
  <c r="M108" i="3"/>
  <c r="J109" i="7"/>
  <c r="L109" i="7"/>
  <c r="Y108" i="3"/>
  <c r="Z108" i="3"/>
  <c r="L108" i="3"/>
  <c r="K109" i="7"/>
  <c r="M109" i="7"/>
  <c r="X108" i="3"/>
  <c r="AC108" i="3"/>
  <c r="AB108" i="3"/>
  <c r="AD108" i="3"/>
  <c r="AE108" i="3"/>
  <c r="H110" i="7" l="1"/>
  <c r="I109" i="7"/>
  <c r="H109" i="3"/>
  <c r="I108" i="3"/>
  <c r="AC109" i="3"/>
  <c r="J109" i="3"/>
  <c r="L109" i="3"/>
  <c r="K110" i="7"/>
  <c r="M110" i="7"/>
  <c r="Y109" i="3"/>
  <c r="Z109" i="3"/>
  <c r="L110" i="7"/>
  <c r="X109" i="3"/>
  <c r="K109" i="3"/>
  <c r="M109" i="3"/>
  <c r="J110" i="7"/>
  <c r="AB109" i="3"/>
  <c r="AD109" i="3"/>
  <c r="AE109" i="3"/>
  <c r="I110" i="7" l="1"/>
  <c r="H111" i="7"/>
  <c r="H110" i="3"/>
  <c r="I109" i="3"/>
  <c r="X110" i="3"/>
  <c r="J110" i="3"/>
  <c r="K110" i="3"/>
  <c r="L110" i="3"/>
  <c r="L111" i="7"/>
  <c r="Y110" i="3"/>
  <c r="M110" i="3"/>
  <c r="J111" i="7"/>
  <c r="Z110" i="3"/>
  <c r="M111" i="7"/>
  <c r="K111" i="7"/>
  <c r="AB110" i="3"/>
  <c r="AE110" i="3"/>
  <c r="AC110" i="3"/>
  <c r="AD110" i="3"/>
  <c r="I111" i="7" l="1"/>
  <c r="H112" i="7"/>
  <c r="H111" i="3"/>
  <c r="I110" i="3"/>
  <c r="AB111" i="3"/>
  <c r="Z111" i="3"/>
  <c r="M112" i="7"/>
  <c r="K112" i="7"/>
  <c r="J112" i="7"/>
  <c r="L112" i="7"/>
  <c r="K111" i="3"/>
  <c r="X111" i="3"/>
  <c r="J111" i="3"/>
  <c r="L111" i="3"/>
  <c r="M111" i="3"/>
  <c r="Y111" i="3"/>
  <c r="AC111" i="3"/>
  <c r="AD111" i="3"/>
  <c r="AE111" i="3"/>
  <c r="H113" i="7" l="1"/>
  <c r="I112" i="7"/>
  <c r="H112" i="3"/>
  <c r="I111" i="3"/>
  <c r="K113" i="7"/>
  <c r="M112" i="3"/>
  <c r="Y112" i="3"/>
  <c r="X112" i="3"/>
  <c r="J113" i="7"/>
  <c r="Z112" i="3"/>
  <c r="J112" i="3"/>
  <c r="K112" i="3"/>
  <c r="L113" i="7"/>
  <c r="M113" i="7"/>
  <c r="L112" i="3"/>
  <c r="AB112" i="3"/>
  <c r="AC112" i="3"/>
  <c r="AD112" i="3"/>
  <c r="AE112" i="3"/>
  <c r="H114" i="7" l="1"/>
  <c r="I113" i="7"/>
  <c r="H113" i="3"/>
  <c r="I112" i="3"/>
  <c r="AD113" i="3"/>
  <c r="Y113" i="3"/>
  <c r="Z113" i="3"/>
  <c r="J113" i="3"/>
  <c r="J114" i="7"/>
  <c r="K113" i="3"/>
  <c r="L114" i="7"/>
  <c r="X113" i="3"/>
  <c r="L113" i="3"/>
  <c r="K114" i="7"/>
  <c r="M113" i="3"/>
  <c r="M114" i="7"/>
  <c r="AE113" i="3"/>
  <c r="AB113" i="3"/>
  <c r="AC113" i="3"/>
  <c r="I114" i="7" l="1"/>
  <c r="H115" i="7"/>
  <c r="H114" i="3"/>
  <c r="I113" i="3"/>
  <c r="M114" i="3"/>
  <c r="L114" i="3"/>
  <c r="Y114" i="3"/>
  <c r="Z114" i="3"/>
  <c r="J114" i="3"/>
  <c r="L115" i="7"/>
  <c r="M115" i="7"/>
  <c r="K114" i="3"/>
  <c r="K115" i="7"/>
  <c r="X114" i="3"/>
  <c r="J115" i="7"/>
  <c r="AD114" i="3"/>
  <c r="AE114" i="3"/>
  <c r="AB114" i="3"/>
  <c r="AC114" i="3"/>
  <c r="H116" i="7" l="1"/>
  <c r="I115" i="7"/>
  <c r="H115" i="3"/>
  <c r="I114" i="3"/>
  <c r="AD115" i="3"/>
  <c r="X115" i="3"/>
  <c r="J116" i="7"/>
  <c r="J115" i="3"/>
  <c r="K116" i="7"/>
  <c r="L116" i="7"/>
  <c r="M116" i="7"/>
  <c r="Z115" i="3"/>
  <c r="K115" i="3"/>
  <c r="L115" i="3"/>
  <c r="M115" i="3"/>
  <c r="Y115" i="3"/>
  <c r="AB115" i="3"/>
  <c r="AC115" i="3"/>
  <c r="AE115" i="3"/>
  <c r="H117" i="7" l="1"/>
  <c r="I116" i="7"/>
  <c r="H116" i="3"/>
  <c r="I115" i="3"/>
  <c r="Y116" i="3"/>
  <c r="K117" i="7"/>
  <c r="X116" i="3"/>
  <c r="M116" i="3"/>
  <c r="Z116" i="3"/>
  <c r="J116" i="3"/>
  <c r="L116" i="3"/>
  <c r="L117" i="7"/>
  <c r="J117" i="7"/>
  <c r="K116" i="3"/>
  <c r="M117" i="7"/>
  <c r="AC116" i="3"/>
  <c r="AB116" i="3"/>
  <c r="AD116" i="3"/>
  <c r="AE116" i="3"/>
  <c r="H118" i="7" l="1"/>
  <c r="I117" i="7"/>
  <c r="H117" i="3"/>
  <c r="I116" i="3"/>
  <c r="Z117" i="3"/>
  <c r="Y117" i="3"/>
  <c r="M118" i="7"/>
  <c r="X117" i="3"/>
  <c r="J117" i="3"/>
  <c r="J118" i="7"/>
  <c r="L118" i="7"/>
  <c r="L117" i="3"/>
  <c r="K117" i="3"/>
  <c r="M117" i="3"/>
  <c r="K118" i="7"/>
  <c r="AE117" i="3"/>
  <c r="AB117" i="3"/>
  <c r="AC117" i="3"/>
  <c r="AD117" i="3"/>
  <c r="I118" i="7" l="1"/>
  <c r="H119" i="7"/>
  <c r="H118" i="3"/>
  <c r="I117" i="3"/>
  <c r="AB118" i="3"/>
  <c r="J119" i="7"/>
  <c r="Z118" i="3"/>
  <c r="L119" i="7"/>
  <c r="K118" i="3"/>
  <c r="M118" i="3"/>
  <c r="X118" i="3"/>
  <c r="L118" i="3"/>
  <c r="Y118" i="3"/>
  <c r="J118" i="3"/>
  <c r="K119" i="7"/>
  <c r="M119" i="7"/>
  <c r="AD118" i="3"/>
  <c r="AC118" i="3"/>
  <c r="AE118" i="3"/>
  <c r="H120" i="7" l="1"/>
  <c r="I119" i="7"/>
  <c r="H119" i="3"/>
  <c r="I118" i="3"/>
  <c r="AB119" i="3"/>
  <c r="AD119" i="3"/>
  <c r="Z119" i="3"/>
  <c r="X119" i="3"/>
  <c r="K120" i="7"/>
  <c r="M119" i="3"/>
  <c r="Y119" i="3"/>
  <c r="K119" i="3"/>
  <c r="J120" i="7"/>
  <c r="J119" i="3"/>
  <c r="L119" i="3"/>
  <c r="L120" i="7"/>
  <c r="M120" i="7"/>
  <c r="AC119" i="3"/>
  <c r="AE119" i="3"/>
  <c r="H121" i="7" l="1"/>
  <c r="I120" i="7"/>
  <c r="H120" i="3"/>
  <c r="I119" i="3"/>
  <c r="X120" i="3"/>
  <c r="J120" i="3"/>
  <c r="J121" i="7"/>
  <c r="K121" i="7"/>
  <c r="M121" i="7"/>
  <c r="M120" i="3"/>
  <c r="L121" i="7"/>
  <c r="Z120" i="3"/>
  <c r="K120" i="3"/>
  <c r="Y120" i="3"/>
  <c r="L120" i="3"/>
  <c r="AB120" i="3"/>
  <c r="AD120" i="3"/>
  <c r="AE120" i="3"/>
  <c r="AC120" i="3"/>
  <c r="H122" i="7" l="1"/>
  <c r="I121" i="7"/>
  <c r="H121" i="3"/>
  <c r="I120" i="3"/>
  <c r="J122" i="7"/>
  <c r="K122" i="7"/>
  <c r="Y121" i="3"/>
  <c r="M122" i="7"/>
  <c r="X121" i="3"/>
  <c r="J121" i="3"/>
  <c r="M121" i="3"/>
  <c r="L122" i="7"/>
  <c r="L121" i="3"/>
  <c r="Z121" i="3"/>
  <c r="K121" i="3"/>
  <c r="AD121" i="3"/>
  <c r="AE121" i="3"/>
  <c r="AB121" i="3"/>
  <c r="AC121" i="3"/>
  <c r="I122" i="7" l="1"/>
  <c r="H123" i="7"/>
  <c r="H122" i="3"/>
  <c r="I121" i="3"/>
  <c r="AB122" i="3"/>
  <c r="Z122" i="3"/>
  <c r="X122" i="3"/>
  <c r="M123" i="7"/>
  <c r="J122" i="3"/>
  <c r="L123" i="7"/>
  <c r="K122" i="3"/>
  <c r="L122" i="3"/>
  <c r="J123" i="7"/>
  <c r="M122" i="3"/>
  <c r="K123" i="7"/>
  <c r="Y122" i="3"/>
  <c r="AC122" i="3"/>
  <c r="AD122" i="3"/>
  <c r="AE122" i="3"/>
  <c r="H124" i="7" l="1"/>
  <c r="I123" i="7"/>
  <c r="H123" i="3"/>
  <c r="I122" i="3"/>
  <c r="X123" i="3"/>
  <c r="J124" i="7"/>
  <c r="J123" i="3"/>
  <c r="K124" i="7"/>
  <c r="K123" i="3"/>
  <c r="L123" i="3"/>
  <c r="L124" i="7"/>
  <c r="M123" i="3"/>
  <c r="M124" i="7"/>
  <c r="Y123" i="3"/>
  <c r="Z123" i="3"/>
  <c r="AC123" i="3"/>
  <c r="AD123" i="3"/>
  <c r="AB123" i="3"/>
  <c r="AE123" i="3"/>
  <c r="I124" i="7" l="1"/>
  <c r="H125" i="7"/>
  <c r="H124" i="3"/>
  <c r="I123" i="3"/>
  <c r="Y124" i="3"/>
  <c r="L124" i="3"/>
  <c r="J125" i="7"/>
  <c r="Z124" i="3"/>
  <c r="J124" i="3"/>
  <c r="K124" i="3"/>
  <c r="K125" i="7"/>
  <c r="X124" i="3"/>
  <c r="M125" i="7"/>
  <c r="L125" i="7"/>
  <c r="M124" i="3"/>
  <c r="AB124" i="3"/>
  <c r="AE124" i="3"/>
  <c r="AC124" i="3"/>
  <c r="AD124" i="3"/>
  <c r="H126" i="7" l="1"/>
  <c r="I125" i="7"/>
  <c r="H125" i="3"/>
  <c r="I124" i="3"/>
  <c r="Z125" i="3"/>
  <c r="J125" i="3"/>
  <c r="K125" i="3"/>
  <c r="J126" i="7"/>
  <c r="M125" i="3"/>
  <c r="X125" i="3"/>
  <c r="L125" i="3"/>
  <c r="Y125" i="3"/>
  <c r="M126" i="7"/>
  <c r="K126" i="7"/>
  <c r="L126" i="7"/>
  <c r="AC125" i="3"/>
  <c r="AE125" i="3"/>
  <c r="AB125" i="3"/>
  <c r="AD125" i="3"/>
  <c r="I126" i="7" l="1"/>
  <c r="H127" i="7"/>
  <c r="H126" i="3"/>
  <c r="I125" i="3"/>
  <c r="J127" i="7"/>
  <c r="K127" i="7"/>
  <c r="Y126" i="3"/>
  <c r="Z126" i="3"/>
  <c r="K126" i="3"/>
  <c r="J126" i="3"/>
  <c r="M127" i="7"/>
  <c r="M126" i="3"/>
  <c r="X126" i="3"/>
  <c r="L126" i="3"/>
  <c r="L127" i="7"/>
  <c r="AE126" i="3"/>
  <c r="AD126" i="3"/>
  <c r="AB126" i="3"/>
  <c r="AC126" i="3"/>
  <c r="H128" i="7" l="1"/>
  <c r="I127" i="7"/>
  <c r="H127" i="3"/>
  <c r="I126" i="3"/>
  <c r="M127" i="3"/>
  <c r="M128" i="7"/>
  <c r="J127" i="3"/>
  <c r="Z127" i="3"/>
  <c r="X127" i="3"/>
  <c r="K128" i="7"/>
  <c r="K127" i="3"/>
  <c r="L127" i="3"/>
  <c r="L128" i="7"/>
  <c r="Y127" i="3"/>
  <c r="J128" i="7"/>
  <c r="AE127" i="3"/>
  <c r="AB127" i="3"/>
  <c r="AD127" i="3"/>
  <c r="AC127" i="3"/>
  <c r="H129" i="7" l="1"/>
  <c r="I128" i="7"/>
  <c r="H128" i="3"/>
  <c r="I127" i="3"/>
  <c r="AC128" i="3"/>
  <c r="Z128" i="3"/>
  <c r="K129" i="7"/>
  <c r="L128" i="3"/>
  <c r="M129" i="7"/>
  <c r="L129" i="7"/>
  <c r="X128" i="3"/>
  <c r="J129" i="7"/>
  <c r="J128" i="3"/>
  <c r="K128" i="3"/>
  <c r="M128" i="3"/>
  <c r="Y128" i="3"/>
  <c r="AB128" i="3"/>
  <c r="AD128" i="3"/>
  <c r="AE128" i="3"/>
  <c r="H130" i="7" l="1"/>
  <c r="I129" i="7"/>
  <c r="H129" i="3"/>
  <c r="I128" i="3"/>
  <c r="X129" i="3"/>
  <c r="J129" i="3"/>
  <c r="K130" i="7"/>
  <c r="M129" i="3"/>
  <c r="Y129" i="3"/>
  <c r="K129" i="3"/>
  <c r="L129" i="3"/>
  <c r="J130" i="7"/>
  <c r="L130" i="7"/>
  <c r="M130" i="7"/>
  <c r="Z129" i="3"/>
  <c r="AB129" i="3"/>
  <c r="AD129" i="3"/>
  <c r="AC129" i="3"/>
  <c r="AE129" i="3"/>
  <c r="I130" i="7" l="1"/>
  <c r="H131" i="7"/>
  <c r="H130" i="3"/>
  <c r="I129" i="3"/>
  <c r="AB130" i="3"/>
  <c r="M130" i="3"/>
  <c r="Y130" i="3"/>
  <c r="J130" i="3"/>
  <c r="L131" i="7"/>
  <c r="K131" i="7"/>
  <c r="L130" i="3"/>
  <c r="Z130" i="3"/>
  <c r="X130" i="3"/>
  <c r="K130" i="3"/>
  <c r="M131" i="7"/>
  <c r="J131" i="7"/>
  <c r="AD130" i="3"/>
  <c r="AE130" i="3"/>
  <c r="AC130" i="3"/>
  <c r="H132" i="7" l="1"/>
  <c r="I131" i="7"/>
  <c r="H131" i="3"/>
  <c r="I130" i="3"/>
  <c r="AB131" i="3"/>
  <c r="X131" i="3"/>
  <c r="J131" i="3"/>
  <c r="K132" i="7"/>
  <c r="L131" i="3"/>
  <c r="K131" i="3"/>
  <c r="L132" i="7"/>
  <c r="M131" i="3"/>
  <c r="M132" i="7"/>
  <c r="Y131" i="3"/>
  <c r="J132" i="7"/>
  <c r="Z131" i="3"/>
  <c r="AD131" i="3"/>
  <c r="AC131" i="3"/>
  <c r="AE131" i="3"/>
  <c r="H133" i="7" l="1"/>
  <c r="I132" i="7"/>
  <c r="H132" i="3"/>
  <c r="I131" i="3"/>
  <c r="J132" i="3"/>
  <c r="J133" i="7"/>
  <c r="M133" i="7"/>
  <c r="M132" i="3"/>
  <c r="Z132" i="3"/>
  <c r="L132" i="3"/>
  <c r="K132" i="3"/>
  <c r="K133" i="7"/>
  <c r="Y132" i="3"/>
  <c r="L133" i="7"/>
  <c r="X132" i="3"/>
  <c r="AB132" i="3"/>
  <c r="AC132" i="3"/>
  <c r="AD132" i="3"/>
  <c r="AE132" i="3"/>
  <c r="H134" i="7" l="1"/>
  <c r="I133" i="7"/>
  <c r="H133" i="3"/>
  <c r="I132" i="3"/>
  <c r="M134" i="7"/>
  <c r="Y133" i="3"/>
  <c r="X133" i="3"/>
  <c r="J133" i="3"/>
  <c r="J134" i="7"/>
  <c r="K133" i="3"/>
  <c r="K134" i="7"/>
  <c r="L133" i="3"/>
  <c r="Z133" i="3"/>
  <c r="L134" i="7"/>
  <c r="M133" i="3"/>
  <c r="AC133" i="3"/>
  <c r="AE133" i="3"/>
  <c r="AD133" i="3"/>
  <c r="AB133" i="3"/>
  <c r="I134" i="7" l="1"/>
  <c r="H135" i="7"/>
  <c r="H134" i="3"/>
  <c r="I133" i="3"/>
  <c r="AC134" i="3"/>
  <c r="Z134" i="3"/>
  <c r="X134" i="3"/>
  <c r="L134" i="3"/>
  <c r="J134" i="3"/>
  <c r="K134" i="3"/>
  <c r="M135" i="7"/>
  <c r="J135" i="7"/>
  <c r="M134" i="3"/>
  <c r="K135" i="7"/>
  <c r="Y134" i="3"/>
  <c r="L135" i="7"/>
  <c r="AD134" i="3"/>
  <c r="AB134" i="3"/>
  <c r="AE134" i="3"/>
  <c r="I135" i="7" l="1"/>
  <c r="H136" i="7"/>
  <c r="H135" i="3"/>
  <c r="I134" i="3"/>
  <c r="M136" i="7"/>
  <c r="J135" i="3"/>
  <c r="X135" i="3"/>
  <c r="Y135" i="3"/>
  <c r="K136" i="7"/>
  <c r="L135" i="3"/>
  <c r="L136" i="7"/>
  <c r="Z135" i="3"/>
  <c r="K135" i="3"/>
  <c r="J136" i="7"/>
  <c r="M135" i="3"/>
  <c r="AD135" i="3"/>
  <c r="AE135" i="3"/>
  <c r="AB135" i="3"/>
  <c r="AC135" i="3"/>
  <c r="H137" i="7" l="1"/>
  <c r="I136" i="7"/>
  <c r="H136" i="3"/>
  <c r="I135" i="3"/>
  <c r="Z136" i="3"/>
  <c r="X136" i="3"/>
  <c r="K136" i="3"/>
  <c r="L136" i="3"/>
  <c r="M136" i="3"/>
  <c r="M137" i="7"/>
  <c r="J136" i="3"/>
  <c r="K137" i="7"/>
  <c r="J137" i="7"/>
  <c r="L137" i="7"/>
  <c r="Y136" i="3"/>
  <c r="AC136" i="3"/>
  <c r="AE136" i="3"/>
  <c r="AB136" i="3"/>
  <c r="AD136" i="3"/>
  <c r="H138" i="7" l="1"/>
  <c r="I137" i="7"/>
  <c r="H137" i="3"/>
  <c r="I136" i="3"/>
  <c r="AB137" i="3"/>
  <c r="M137" i="3"/>
  <c r="M138" i="7"/>
  <c r="X137" i="3"/>
  <c r="K138" i="7"/>
  <c r="J137" i="3"/>
  <c r="K137" i="3"/>
  <c r="L137" i="3"/>
  <c r="Y137" i="3"/>
  <c r="J138" i="7"/>
  <c r="L138" i="7"/>
  <c r="Z137" i="3"/>
  <c r="AD137" i="3"/>
  <c r="AC137" i="3"/>
  <c r="AE137" i="3"/>
  <c r="I138" i="7" l="1"/>
  <c r="H139" i="7"/>
  <c r="H138" i="3"/>
  <c r="I137" i="3"/>
  <c r="AC138" i="3"/>
  <c r="J139" i="7"/>
  <c r="M139" i="7"/>
  <c r="M138" i="3"/>
  <c r="J138" i="3"/>
  <c r="L138" i="3"/>
  <c r="Y138" i="3"/>
  <c r="X138" i="3"/>
  <c r="K138" i="3"/>
  <c r="K139" i="7"/>
  <c r="Z138" i="3"/>
  <c r="L139" i="7"/>
  <c r="AB138" i="3"/>
  <c r="AD138" i="3"/>
  <c r="AE138" i="3"/>
  <c r="I139" i="7" l="1"/>
  <c r="H140" i="7"/>
  <c r="H139" i="3"/>
  <c r="I138" i="3"/>
  <c r="M139" i="3"/>
  <c r="Y139" i="3"/>
  <c r="X139" i="3"/>
  <c r="J139" i="3"/>
  <c r="K140" i="7"/>
  <c r="M140" i="7"/>
  <c r="Z139" i="3"/>
  <c r="K139" i="3"/>
  <c r="L139" i="3"/>
  <c r="L140" i="7"/>
  <c r="J140" i="7"/>
  <c r="AE139" i="3"/>
  <c r="AC139" i="3"/>
  <c r="AB139" i="3"/>
  <c r="AD139" i="3"/>
  <c r="H141" i="7" l="1"/>
  <c r="I140" i="7"/>
  <c r="H140" i="3"/>
  <c r="I139" i="3"/>
  <c r="AC140" i="3"/>
  <c r="M140" i="3"/>
  <c r="L141" i="7"/>
  <c r="M141" i="7"/>
  <c r="Z140" i="3"/>
  <c r="J140" i="3"/>
  <c r="L140" i="3"/>
  <c r="K140" i="3"/>
  <c r="J141" i="7"/>
  <c r="K141" i="7"/>
  <c r="Y140" i="3"/>
  <c r="X140" i="3"/>
  <c r="AB140" i="3"/>
  <c r="AD140" i="3"/>
  <c r="AE140" i="3"/>
  <c r="H142" i="7" l="1"/>
  <c r="I141" i="7"/>
  <c r="H141" i="3"/>
  <c r="I140" i="3"/>
  <c r="AD141" i="3"/>
  <c r="AB141" i="3"/>
  <c r="Z141" i="3"/>
  <c r="J141" i="3"/>
  <c r="J142" i="7"/>
  <c r="K141" i="3"/>
  <c r="L141" i="3"/>
  <c r="L142" i="7"/>
  <c r="M141" i="3"/>
  <c r="M142" i="7"/>
  <c r="Y141" i="3"/>
  <c r="X141" i="3"/>
  <c r="K142" i="7"/>
  <c r="AC141" i="3"/>
  <c r="AE141" i="3"/>
  <c r="I142" i="7" l="1"/>
  <c r="H143" i="7"/>
  <c r="H142" i="3"/>
  <c r="I141" i="3"/>
  <c r="AE142" i="3"/>
  <c r="AB142" i="3"/>
  <c r="X142" i="3"/>
  <c r="L143" i="7"/>
  <c r="J142" i="3"/>
  <c r="M143" i="7"/>
  <c r="J143" i="7"/>
  <c r="L142" i="3"/>
  <c r="K143" i="7"/>
  <c r="Y142" i="3"/>
  <c r="Z142" i="3"/>
  <c r="K142" i="3"/>
  <c r="M142" i="3"/>
  <c r="AC142" i="3"/>
  <c r="AD142" i="3"/>
  <c r="I143" i="7" l="1"/>
  <c r="H144" i="7"/>
  <c r="H143" i="3"/>
  <c r="I142" i="3"/>
  <c r="J143" i="3"/>
  <c r="J144" i="7"/>
  <c r="X143" i="3"/>
  <c r="K144" i="7"/>
  <c r="L144" i="7"/>
  <c r="M143" i="3"/>
  <c r="Y143" i="3"/>
  <c r="Z143" i="3"/>
  <c r="K143" i="3"/>
  <c r="L143" i="3"/>
  <c r="M144" i="7"/>
  <c r="AD143" i="3"/>
  <c r="AB143" i="3"/>
  <c r="AE143" i="3"/>
  <c r="AC143" i="3"/>
  <c r="H145" i="7" l="1"/>
  <c r="I144" i="7"/>
  <c r="H144" i="3"/>
  <c r="I143" i="3"/>
  <c r="AC144" i="3"/>
  <c r="M144" i="3"/>
  <c r="Y144" i="3"/>
  <c r="X144" i="3"/>
  <c r="J144" i="3"/>
  <c r="K145" i="7"/>
  <c r="L144" i="3"/>
  <c r="L145" i="7"/>
  <c r="Z144" i="3"/>
  <c r="J145" i="7"/>
  <c r="K144" i="3"/>
  <c r="M145" i="7"/>
  <c r="AD144" i="3"/>
  <c r="AB144" i="3"/>
  <c r="AE144" i="3"/>
  <c r="H146" i="7" l="1"/>
  <c r="I145" i="7"/>
  <c r="H145" i="3"/>
  <c r="I144" i="3"/>
  <c r="AE145" i="3"/>
  <c r="X145" i="3"/>
  <c r="J145" i="3"/>
  <c r="K146" i="7"/>
  <c r="L146" i="7"/>
  <c r="Y145" i="3"/>
  <c r="K145" i="3"/>
  <c r="L145" i="3"/>
  <c r="J146" i="7"/>
  <c r="M145" i="3"/>
  <c r="M146" i="7"/>
  <c r="Z145" i="3"/>
  <c r="AC145" i="3"/>
  <c r="AD145" i="3"/>
  <c r="AB145" i="3"/>
  <c r="I146" i="7" l="1"/>
  <c r="H147" i="7"/>
  <c r="H146" i="3"/>
  <c r="I145" i="3"/>
  <c r="AD146" i="3"/>
  <c r="Z146" i="3"/>
  <c r="J146" i="3"/>
  <c r="L147" i="7"/>
  <c r="K146" i="3"/>
  <c r="M147" i="7"/>
  <c r="L146" i="3"/>
  <c r="J147" i="7"/>
  <c r="M146" i="3"/>
  <c r="Y146" i="3"/>
  <c r="X146" i="3"/>
  <c r="K147" i="7"/>
  <c r="AB146" i="3"/>
  <c r="AC146" i="3"/>
  <c r="AE146" i="3"/>
  <c r="H148" i="7" l="1"/>
  <c r="I147" i="7"/>
  <c r="H147" i="3"/>
  <c r="I146" i="3"/>
  <c r="AD147" i="3"/>
  <c r="K147" i="3"/>
  <c r="X147" i="3"/>
  <c r="L148" i="7"/>
  <c r="M148" i="7"/>
  <c r="Z147" i="3"/>
  <c r="J148" i="7"/>
  <c r="L147" i="3"/>
  <c r="J147" i="3"/>
  <c r="K148" i="7"/>
  <c r="M147" i="3"/>
  <c r="Y147" i="3"/>
  <c r="AB147" i="3"/>
  <c r="AC147" i="3"/>
  <c r="AE147" i="3"/>
  <c r="H149" i="7" l="1"/>
  <c r="I148" i="7"/>
  <c r="H148" i="3"/>
  <c r="I147" i="3"/>
  <c r="Y148" i="3"/>
  <c r="J148" i="3"/>
  <c r="J149" i="7"/>
  <c r="L148" i="3"/>
  <c r="M149" i="7"/>
  <c r="Z148" i="3"/>
  <c r="K148" i="3"/>
  <c r="K149" i="7"/>
  <c r="X148" i="3"/>
  <c r="M148" i="3"/>
  <c r="L149" i="7"/>
  <c r="AC148" i="3"/>
  <c r="AD148" i="3"/>
  <c r="AB148" i="3"/>
  <c r="AE148" i="3"/>
  <c r="H150" i="7" l="1"/>
  <c r="I149" i="7"/>
  <c r="H149" i="3"/>
  <c r="I148" i="3"/>
  <c r="Z149" i="3"/>
  <c r="L149" i="3"/>
  <c r="J149" i="3"/>
  <c r="K150" i="7"/>
  <c r="K149" i="3"/>
  <c r="L150" i="7"/>
  <c r="M149" i="3"/>
  <c r="J150" i="7"/>
  <c r="Y149" i="3"/>
  <c r="X149" i="3"/>
  <c r="M150" i="7"/>
  <c r="AC149" i="3"/>
  <c r="AE149" i="3"/>
  <c r="AD149" i="3"/>
  <c r="AB149" i="3"/>
  <c r="I150" i="7" l="1"/>
  <c r="H151" i="7"/>
  <c r="H150" i="3"/>
  <c r="I149" i="3"/>
  <c r="AB150" i="3"/>
  <c r="Y150" i="3"/>
  <c r="Z150" i="3"/>
  <c r="J150" i="3"/>
  <c r="L151" i="7"/>
  <c r="M151" i="7"/>
  <c r="L150" i="3"/>
  <c r="X150" i="3"/>
  <c r="M150" i="3"/>
  <c r="K150" i="3"/>
  <c r="J151" i="7"/>
  <c r="K151" i="7"/>
  <c r="AC150" i="3"/>
  <c r="AD150" i="3"/>
  <c r="AE150" i="3"/>
  <c r="H152" i="7" l="1"/>
  <c r="I151" i="7"/>
  <c r="H151" i="3"/>
  <c r="I150" i="3"/>
  <c r="Y151" i="3"/>
  <c r="X151" i="3"/>
  <c r="K151" i="3"/>
  <c r="M152" i="7"/>
  <c r="Z151" i="3"/>
  <c r="J151" i="3"/>
  <c r="J152" i="7"/>
  <c r="L151" i="3"/>
  <c r="K152" i="7"/>
  <c r="L152" i="7"/>
  <c r="M151" i="3"/>
  <c r="AB151" i="3"/>
  <c r="AC151" i="3"/>
  <c r="AD151" i="3"/>
  <c r="AE151" i="3"/>
  <c r="I152" i="7" l="1"/>
  <c r="H153" i="7"/>
  <c r="H152" i="3"/>
  <c r="I151" i="3"/>
  <c r="AC152" i="3"/>
  <c r="Z152" i="3"/>
  <c r="J152" i="3"/>
  <c r="J153" i="7"/>
  <c r="K153" i="7"/>
  <c r="M153" i="7"/>
  <c r="M152" i="3"/>
  <c r="Y152" i="3"/>
  <c r="X152" i="3"/>
  <c r="L152" i="3"/>
  <c r="K152" i="3"/>
  <c r="L153" i="7"/>
  <c r="AB152" i="3"/>
  <c r="AD152" i="3"/>
  <c r="AE152" i="3"/>
  <c r="H154" i="7" l="1"/>
  <c r="I153" i="7"/>
  <c r="H153" i="3"/>
  <c r="I152" i="3"/>
  <c r="X153" i="3"/>
  <c r="L153" i="3"/>
  <c r="L154" i="7"/>
  <c r="K153" i="3"/>
  <c r="M154" i="7"/>
  <c r="J154" i="7"/>
  <c r="M153" i="3"/>
  <c r="K154" i="7"/>
  <c r="Y153" i="3"/>
  <c r="Z153" i="3"/>
  <c r="J153" i="3"/>
  <c r="AC153" i="3"/>
  <c r="AD153" i="3"/>
  <c r="AB153" i="3"/>
  <c r="AE153" i="3"/>
  <c r="I154" i="7" l="1"/>
  <c r="H155" i="7"/>
  <c r="H154" i="3"/>
  <c r="I153" i="3"/>
  <c r="AD154" i="3"/>
  <c r="Z154" i="3"/>
  <c r="J154" i="3"/>
  <c r="K154" i="3"/>
  <c r="M155" i="7"/>
  <c r="J155" i="7"/>
  <c r="K155" i="7"/>
  <c r="X154" i="3"/>
  <c r="L155" i="7"/>
  <c r="L154" i="3"/>
  <c r="M154" i="3"/>
  <c r="Y154" i="3"/>
  <c r="AC154" i="3"/>
  <c r="AB154" i="3"/>
  <c r="AE154" i="3"/>
  <c r="H156" i="7" l="1"/>
  <c r="I155" i="7"/>
  <c r="H155" i="3"/>
  <c r="I154" i="3"/>
  <c r="X155" i="3"/>
  <c r="L156" i="7"/>
  <c r="Z155" i="3"/>
  <c r="K155" i="3"/>
  <c r="J155" i="3"/>
  <c r="K156" i="7"/>
  <c r="Y155" i="3"/>
  <c r="J156" i="7"/>
  <c r="L155" i="3"/>
  <c r="M155" i="3"/>
  <c r="M156" i="7"/>
  <c r="AC155" i="3"/>
  <c r="AD155" i="3"/>
  <c r="AB155" i="3"/>
  <c r="AE155" i="3"/>
  <c r="I156" i="7" l="1"/>
  <c r="H157" i="7"/>
  <c r="H156" i="3"/>
  <c r="I155" i="3"/>
  <c r="Y156" i="3"/>
  <c r="J157" i="7"/>
  <c r="K157" i="7"/>
  <c r="Z156" i="3"/>
  <c r="K156" i="3"/>
  <c r="M157" i="7"/>
  <c r="L157" i="7"/>
  <c r="X156" i="3"/>
  <c r="L156" i="3"/>
  <c r="J156" i="3"/>
  <c r="M156" i="3"/>
  <c r="AE156" i="3"/>
  <c r="AD156" i="3"/>
  <c r="AB156" i="3"/>
  <c r="AC156" i="3"/>
  <c r="H158" i="7" l="1"/>
  <c r="I157" i="7"/>
  <c r="H157" i="3"/>
  <c r="I156" i="3"/>
  <c r="K158" i="7"/>
  <c r="L158" i="7"/>
  <c r="Z157" i="3"/>
  <c r="X157" i="3"/>
  <c r="J157" i="3"/>
  <c r="M158" i="7"/>
  <c r="K157" i="3"/>
  <c r="L157" i="3"/>
  <c r="Y157" i="3"/>
  <c r="M157" i="3"/>
  <c r="J158" i="7"/>
  <c r="AC157" i="3"/>
  <c r="AE157" i="3"/>
  <c r="AD157" i="3"/>
  <c r="AB157" i="3"/>
  <c r="I158" i="7" l="1"/>
  <c r="H159" i="7"/>
  <c r="H158" i="3"/>
  <c r="I157" i="3"/>
  <c r="X158" i="3"/>
  <c r="K158" i="3"/>
  <c r="L159" i="7"/>
  <c r="M158" i="3"/>
  <c r="Y158" i="3"/>
  <c r="J159" i="7"/>
  <c r="L158" i="3"/>
  <c r="J158" i="3"/>
  <c r="M159" i="7"/>
  <c r="K159" i="7"/>
  <c r="Z158" i="3"/>
  <c r="AB158" i="3"/>
  <c r="AC158" i="3"/>
  <c r="AD158" i="3"/>
  <c r="AE158" i="3"/>
  <c r="H160" i="7" l="1"/>
  <c r="I159" i="7"/>
  <c r="H159" i="3"/>
  <c r="I158" i="3"/>
  <c r="AB159" i="3"/>
  <c r="Y159" i="3"/>
  <c r="Z159" i="3"/>
  <c r="J159" i="3"/>
  <c r="K160" i="7"/>
  <c r="J160" i="7"/>
  <c r="L159" i="3"/>
  <c r="X159" i="3"/>
  <c r="L160" i="7"/>
  <c r="M159" i="3"/>
  <c r="M160" i="7"/>
  <c r="K159" i="3"/>
  <c r="AC159" i="3"/>
  <c r="AE159" i="3"/>
  <c r="AD159" i="3"/>
  <c r="H161" i="7" l="1"/>
  <c r="I160" i="7"/>
  <c r="H160" i="3"/>
  <c r="I159" i="3"/>
  <c r="X160" i="3"/>
  <c r="J160" i="3"/>
  <c r="L160" i="3"/>
  <c r="K160" i="3"/>
  <c r="L161" i="7"/>
  <c r="M161" i="7"/>
  <c r="M160" i="3"/>
  <c r="J161" i="7"/>
  <c r="Y160" i="3"/>
  <c r="Z160" i="3"/>
  <c r="K161" i="7"/>
  <c r="AC160" i="3"/>
  <c r="AD160" i="3"/>
  <c r="AB160" i="3"/>
  <c r="AE160" i="3"/>
  <c r="H162" i="7" l="1"/>
  <c r="I161" i="7"/>
  <c r="H161" i="3"/>
  <c r="I160" i="3"/>
  <c r="AE161" i="3"/>
  <c r="Y161" i="3"/>
  <c r="X161" i="3"/>
  <c r="J161" i="3"/>
  <c r="K161" i="3"/>
  <c r="K162" i="7"/>
  <c r="L161" i="3"/>
  <c r="J162" i="7"/>
  <c r="M162" i="7"/>
  <c r="M161" i="3"/>
  <c r="Z161" i="3"/>
  <c r="L162" i="7"/>
  <c r="AC161" i="3"/>
  <c r="AB161" i="3"/>
  <c r="AD161" i="3"/>
  <c r="I162" i="7" l="1"/>
  <c r="H163" i="7"/>
  <c r="H162" i="3"/>
  <c r="I161" i="3"/>
  <c r="AC162" i="3"/>
  <c r="Z162" i="3"/>
  <c r="L163" i="7"/>
  <c r="X162" i="3"/>
  <c r="K162" i="3"/>
  <c r="M162" i="3"/>
  <c r="Y162" i="3"/>
  <c r="L162" i="3"/>
  <c r="J162" i="3"/>
  <c r="M163" i="7"/>
  <c r="K163" i="7"/>
  <c r="J163" i="7"/>
  <c r="AB162" i="3"/>
  <c r="AD162" i="3"/>
  <c r="AE162" i="3"/>
  <c r="H164" i="7" l="1"/>
  <c r="I163" i="7"/>
  <c r="H163" i="3"/>
  <c r="I162" i="3"/>
  <c r="M163" i="3"/>
  <c r="L164" i="7"/>
  <c r="M164" i="7"/>
  <c r="K163" i="3"/>
  <c r="K164" i="7"/>
  <c r="Z163" i="3"/>
  <c r="L163" i="3"/>
  <c r="Y163" i="3"/>
  <c r="J163" i="3"/>
  <c r="J164" i="7"/>
  <c r="X163" i="3"/>
  <c r="AB163" i="3"/>
  <c r="AE163" i="3"/>
  <c r="AC163" i="3"/>
  <c r="AD163" i="3"/>
  <c r="H165" i="7" l="1"/>
  <c r="I164" i="7"/>
  <c r="H164" i="3"/>
  <c r="I163" i="3"/>
  <c r="J165" i="7"/>
  <c r="Y164" i="3"/>
  <c r="L164" i="3"/>
  <c r="M164" i="3"/>
  <c r="X164" i="3"/>
  <c r="K164" i="3"/>
  <c r="M165" i="7"/>
  <c r="L165" i="7"/>
  <c r="J164" i="3"/>
  <c r="K165" i="7"/>
  <c r="Z164" i="3"/>
  <c r="AE164" i="3"/>
  <c r="AC164" i="3"/>
  <c r="AD164" i="3"/>
  <c r="AB164" i="3"/>
  <c r="H166" i="7" l="1"/>
  <c r="I165" i="7"/>
  <c r="H165" i="3"/>
  <c r="I164" i="3"/>
  <c r="AC165" i="3"/>
  <c r="AE165" i="3"/>
  <c r="L166" i="7"/>
  <c r="K166" i="7"/>
  <c r="L165" i="3"/>
  <c r="J166" i="7"/>
  <c r="X165" i="3"/>
  <c r="K165" i="3"/>
  <c r="Z165" i="3"/>
  <c r="M166" i="7"/>
  <c r="Y165" i="3"/>
  <c r="J165" i="3"/>
  <c r="M165" i="3"/>
  <c r="AB165" i="3"/>
  <c r="AD165" i="3"/>
  <c r="I166" i="7" l="1"/>
  <c r="H167" i="7"/>
  <c r="H166" i="3"/>
  <c r="I165" i="3"/>
  <c r="J167" i="7"/>
  <c r="L166" i="3"/>
  <c r="K167" i="7"/>
  <c r="Z166" i="3"/>
  <c r="X166" i="3"/>
  <c r="M166" i="3"/>
  <c r="J166" i="3"/>
  <c r="K166" i="3"/>
  <c r="M167" i="7"/>
  <c r="L167" i="7"/>
  <c r="Y166" i="3"/>
  <c r="AD166" i="3"/>
  <c r="AE166" i="3"/>
  <c r="AB166" i="3"/>
  <c r="AC166" i="3"/>
  <c r="H168" i="7" l="1"/>
  <c r="I167" i="7"/>
  <c r="H167" i="3"/>
  <c r="I166" i="3"/>
  <c r="J168" i="7"/>
  <c r="L168" i="7"/>
  <c r="Y167" i="3"/>
  <c r="Z167" i="3"/>
  <c r="L167" i="3"/>
  <c r="X167" i="3"/>
  <c r="J167" i="3"/>
  <c r="M167" i="3"/>
  <c r="M168" i="7"/>
  <c r="K168" i="7"/>
  <c r="K167" i="3"/>
  <c r="AE167" i="3"/>
  <c r="AD167" i="3"/>
  <c r="AB167" i="3"/>
  <c r="AC167" i="3"/>
  <c r="I168" i="7" l="1"/>
  <c r="H169" i="7"/>
  <c r="H168" i="3"/>
  <c r="I167" i="3"/>
  <c r="J168" i="3"/>
  <c r="L168" i="3"/>
  <c r="K168" i="3"/>
  <c r="L169" i="7"/>
  <c r="M169" i="7"/>
  <c r="M168" i="3"/>
  <c r="Y168" i="3"/>
  <c r="Z168" i="3"/>
  <c r="X168" i="3"/>
  <c r="K169" i="7"/>
  <c r="J169" i="7"/>
  <c r="AD168" i="3"/>
  <c r="AE168" i="3"/>
  <c r="AB168" i="3"/>
  <c r="AC168" i="3"/>
  <c r="I169" i="7" l="1"/>
  <c r="H170" i="7"/>
  <c r="H169" i="3"/>
  <c r="I168" i="3"/>
  <c r="AC169" i="3"/>
  <c r="X169" i="3"/>
  <c r="K169" i="3"/>
  <c r="K170" i="7"/>
  <c r="J169" i="3"/>
  <c r="M170" i="7"/>
  <c r="L170" i="7"/>
  <c r="Z169" i="3"/>
  <c r="J170" i="7"/>
  <c r="L169" i="3"/>
  <c r="M169" i="3"/>
  <c r="Y169" i="3"/>
  <c r="AD169" i="3"/>
  <c r="AB169" i="3"/>
  <c r="AE169" i="3"/>
  <c r="I170" i="7" l="1"/>
  <c r="H171" i="7"/>
  <c r="H170" i="3"/>
  <c r="I169" i="3"/>
  <c r="AB170" i="3"/>
  <c r="X170" i="3"/>
  <c r="L170" i="3"/>
  <c r="K171" i="7"/>
  <c r="K170" i="3"/>
  <c r="J171" i="7"/>
  <c r="M171" i="7"/>
  <c r="M170" i="3"/>
  <c r="Z170" i="3"/>
  <c r="J170" i="3"/>
  <c r="L171" i="7"/>
  <c r="Y170" i="3"/>
  <c r="AC170" i="3"/>
  <c r="AD170" i="3"/>
  <c r="AE170" i="3"/>
  <c r="H172" i="7" l="1"/>
  <c r="I171" i="7"/>
  <c r="H171" i="3"/>
  <c r="I170" i="3"/>
  <c r="AC171" i="3"/>
  <c r="AB171" i="3"/>
  <c r="Y171" i="3"/>
  <c r="X171" i="3"/>
  <c r="L171" i="3"/>
  <c r="Z171" i="3"/>
  <c r="K172" i="7"/>
  <c r="M172" i="7"/>
  <c r="K171" i="3"/>
  <c r="J172" i="7"/>
  <c r="L172" i="7"/>
  <c r="M171" i="3"/>
  <c r="J171" i="3"/>
  <c r="AD171" i="3"/>
  <c r="AE171" i="3"/>
  <c r="I172" i="7" l="1"/>
  <c r="H173" i="7"/>
  <c r="H172" i="3"/>
  <c r="I171" i="3"/>
  <c r="AB172" i="3"/>
  <c r="Z172" i="3"/>
  <c r="K173" i="7"/>
  <c r="X172" i="3"/>
  <c r="J172" i="3"/>
  <c r="M173" i="7"/>
  <c r="K172" i="3"/>
  <c r="L173" i="7"/>
  <c r="M172" i="3"/>
  <c r="J173" i="7"/>
  <c r="Y172" i="3"/>
  <c r="L172" i="3"/>
  <c r="AD172" i="3"/>
  <c r="AC172" i="3"/>
  <c r="AE172" i="3"/>
  <c r="I173" i="7" l="1"/>
  <c r="H174" i="7"/>
  <c r="H173" i="3"/>
  <c r="I172" i="3"/>
  <c r="X173" i="3"/>
  <c r="Z173" i="3"/>
  <c r="L174" i="7"/>
  <c r="Y173" i="3"/>
  <c r="K173" i="3"/>
  <c r="L173" i="3"/>
  <c r="K174" i="7"/>
  <c r="J173" i="3"/>
  <c r="J174" i="7"/>
  <c r="M174" i="7"/>
  <c r="M173" i="3"/>
  <c r="AB173" i="3"/>
  <c r="AE173" i="3"/>
  <c r="AC173" i="3"/>
  <c r="AD173" i="3"/>
  <c r="I174" i="7" l="1"/>
  <c r="H175" i="7"/>
  <c r="H174" i="3"/>
  <c r="I173" i="3"/>
  <c r="AD174" i="3"/>
  <c r="Z174" i="3"/>
  <c r="L175" i="7"/>
  <c r="J175" i="7"/>
  <c r="L174" i="3"/>
  <c r="M174" i="3"/>
  <c r="M175" i="7"/>
  <c r="Y174" i="3"/>
  <c r="X174" i="3"/>
  <c r="J174" i="3"/>
  <c r="K174" i="3"/>
  <c r="K175" i="7"/>
  <c r="AB174" i="3"/>
  <c r="AC174" i="3"/>
  <c r="AE174" i="3"/>
  <c r="H176" i="7" l="1"/>
  <c r="I175" i="7"/>
  <c r="H175" i="3"/>
  <c r="I174" i="3"/>
  <c r="X175" i="3"/>
  <c r="J176" i="7"/>
  <c r="L176" i="7"/>
  <c r="M176" i="7"/>
  <c r="J175" i="3"/>
  <c r="Z175" i="3"/>
  <c r="L175" i="3"/>
  <c r="K175" i="3"/>
  <c r="K176" i="7"/>
  <c r="M175" i="3"/>
  <c r="Y175" i="3"/>
  <c r="AB175" i="3"/>
  <c r="AE175" i="3"/>
  <c r="AD175" i="3"/>
  <c r="AC175" i="3"/>
  <c r="H177" i="7" l="1"/>
  <c r="I176" i="7"/>
  <c r="H176" i="3"/>
  <c r="I175" i="3"/>
  <c r="AD176" i="3"/>
  <c r="J177" i="7"/>
  <c r="L176" i="3"/>
  <c r="X176" i="3"/>
  <c r="K176" i="3"/>
  <c r="K177" i="7"/>
  <c r="M177" i="7"/>
  <c r="M176" i="3"/>
  <c r="Z176" i="3"/>
  <c r="Y176" i="3"/>
  <c r="J176" i="3"/>
  <c r="L177" i="7"/>
  <c r="AB176" i="3"/>
  <c r="AC176" i="3"/>
  <c r="AE176" i="3"/>
  <c r="I177" i="7" l="1"/>
  <c r="H178" i="7"/>
  <c r="H177" i="3"/>
  <c r="I176" i="3"/>
  <c r="Z177" i="3"/>
  <c r="J177" i="3"/>
  <c r="K177" i="3"/>
  <c r="M177" i="3"/>
  <c r="L178" i="7"/>
  <c r="X177" i="3"/>
  <c r="M178" i="7"/>
  <c r="L177" i="3"/>
  <c r="J178" i="7"/>
  <c r="K178" i="7"/>
  <c r="Y177" i="3"/>
  <c r="AE177" i="3"/>
  <c r="AB177" i="3"/>
  <c r="AC177" i="3"/>
  <c r="AD177" i="3"/>
  <c r="I178" i="7" l="1"/>
  <c r="H179" i="7"/>
  <c r="H178" i="3"/>
  <c r="I177" i="3"/>
  <c r="AC178" i="3"/>
  <c r="Z178" i="3"/>
  <c r="L178" i="3"/>
  <c r="J178" i="3"/>
  <c r="J179" i="7"/>
  <c r="L179" i="7"/>
  <c r="M178" i="3"/>
  <c r="Y178" i="3"/>
  <c r="X178" i="3"/>
  <c r="K178" i="3"/>
  <c r="K179" i="7"/>
  <c r="M179" i="7"/>
  <c r="AB178" i="3"/>
  <c r="AD178" i="3"/>
  <c r="AE178" i="3"/>
  <c r="H180" i="7" l="1"/>
  <c r="I179" i="7"/>
  <c r="H179" i="3"/>
  <c r="I178" i="3"/>
  <c r="AB179" i="3"/>
  <c r="Z179" i="3"/>
  <c r="L179" i="3"/>
  <c r="J179" i="3"/>
  <c r="K180" i="7"/>
  <c r="X179" i="3"/>
  <c r="J180" i="7"/>
  <c r="K179" i="3"/>
  <c r="L180" i="7"/>
  <c r="M179" i="3"/>
  <c r="M180" i="7"/>
  <c r="Y179" i="3"/>
  <c r="AD179" i="3"/>
  <c r="AC179" i="3"/>
  <c r="AE179" i="3"/>
  <c r="I180" i="7" l="1"/>
  <c r="H181" i="7"/>
  <c r="H180" i="3"/>
  <c r="I179" i="3"/>
  <c r="K180" i="3"/>
  <c r="J180" i="3"/>
  <c r="M181" i="7"/>
  <c r="Y180" i="3"/>
  <c r="K181" i="7"/>
  <c r="J181" i="7"/>
  <c r="X180" i="3"/>
  <c r="L180" i="3"/>
  <c r="L181" i="7"/>
  <c r="M180" i="3"/>
  <c r="Z180" i="3"/>
  <c r="AE180" i="3"/>
  <c r="AD180" i="3"/>
  <c r="AC180" i="3"/>
  <c r="AB180" i="3"/>
  <c r="I181" i="7" l="1"/>
  <c r="H182" i="7"/>
  <c r="H181" i="3"/>
  <c r="I180" i="3"/>
  <c r="X181" i="3"/>
  <c r="M182" i="7"/>
  <c r="J182" i="7"/>
  <c r="K182" i="7"/>
  <c r="L182" i="7"/>
  <c r="K181" i="3"/>
  <c r="J181" i="3"/>
  <c r="L181" i="3"/>
  <c r="M181" i="3"/>
  <c r="Y181" i="3"/>
  <c r="Z181" i="3"/>
  <c r="AE181" i="3"/>
  <c r="AB181" i="3"/>
  <c r="AC181" i="3"/>
  <c r="AD181" i="3"/>
  <c r="I182" i="7" l="1"/>
  <c r="H183" i="7"/>
  <c r="H182" i="3"/>
  <c r="I181" i="3"/>
  <c r="K183" i="7"/>
  <c r="Z182" i="3"/>
  <c r="L183" i="7"/>
  <c r="J183" i="7"/>
  <c r="M182" i="3"/>
  <c r="Y182" i="3"/>
  <c r="M183" i="7"/>
  <c r="J182" i="3"/>
  <c r="X182" i="3"/>
  <c r="K182" i="3"/>
  <c r="L182" i="3"/>
  <c r="AD182" i="3"/>
  <c r="AC182" i="3"/>
  <c r="AB182" i="3"/>
  <c r="AE182" i="3"/>
  <c r="H184" i="7" l="1"/>
  <c r="I183" i="7"/>
  <c r="H183" i="3"/>
  <c r="I182" i="3"/>
  <c r="AD183" i="3"/>
  <c r="AC183" i="3"/>
  <c r="X183" i="3"/>
  <c r="J183" i="3"/>
  <c r="L184" i="7"/>
  <c r="M183" i="3"/>
  <c r="Y183" i="3"/>
  <c r="K183" i="3"/>
  <c r="K184" i="7"/>
  <c r="J184" i="7"/>
  <c r="M184" i="7"/>
  <c r="Z183" i="3"/>
  <c r="L183" i="3"/>
  <c r="AB183" i="3"/>
  <c r="AE183" i="3"/>
  <c r="I184" i="7" l="1"/>
  <c r="H185" i="7"/>
  <c r="H184" i="3"/>
  <c r="I183" i="3"/>
  <c r="X184" i="3"/>
  <c r="M185" i="7"/>
  <c r="L185" i="7"/>
  <c r="M184" i="3"/>
  <c r="Y184" i="3"/>
  <c r="K184" i="3"/>
  <c r="J184" i="3"/>
  <c r="K185" i="7"/>
  <c r="L184" i="3"/>
  <c r="J185" i="7"/>
  <c r="Z184" i="3"/>
  <c r="AB184" i="3"/>
  <c r="AD184" i="3"/>
  <c r="AE184" i="3"/>
  <c r="AC184" i="3"/>
  <c r="I185" i="7" l="1"/>
  <c r="H186" i="7"/>
  <c r="H185" i="3"/>
  <c r="I184" i="3"/>
  <c r="J186" i="7"/>
  <c r="L185" i="3"/>
  <c r="M186" i="7"/>
  <c r="K186" i="7"/>
  <c r="M185" i="3"/>
  <c r="Y185" i="3"/>
  <c r="Z185" i="3"/>
  <c r="X185" i="3"/>
  <c r="J185" i="3"/>
  <c r="K185" i="3"/>
  <c r="L186" i="7"/>
  <c r="AE185" i="3"/>
  <c r="AC185" i="3"/>
  <c r="AB185" i="3"/>
  <c r="AD185" i="3"/>
  <c r="I186" i="7" l="1"/>
  <c r="H187" i="7"/>
  <c r="H186" i="3"/>
  <c r="I185" i="3"/>
  <c r="Z186" i="3"/>
  <c r="L186" i="3"/>
  <c r="Y186" i="3"/>
  <c r="M187" i="7"/>
  <c r="J186" i="3"/>
  <c r="K187" i="7"/>
  <c r="K186" i="3"/>
  <c r="J187" i="7"/>
  <c r="L187" i="7"/>
  <c r="X186" i="3"/>
  <c r="M186" i="3"/>
  <c r="AD186" i="3"/>
  <c r="AE186" i="3"/>
  <c r="AB186" i="3"/>
  <c r="AC186" i="3"/>
  <c r="H188" i="7" l="1"/>
  <c r="I187" i="7"/>
  <c r="H187" i="3"/>
  <c r="I186" i="3"/>
  <c r="K188" i="7"/>
  <c r="M188" i="7"/>
  <c r="M187" i="3"/>
  <c r="L188" i="7"/>
  <c r="L187" i="3"/>
  <c r="Y187" i="3"/>
  <c r="Z187" i="3"/>
  <c r="X187" i="3"/>
  <c r="J187" i="3"/>
  <c r="K187" i="3"/>
  <c r="J188" i="7"/>
  <c r="AB187" i="3"/>
  <c r="AE187" i="3"/>
  <c r="AD187" i="3"/>
  <c r="AC187" i="3"/>
  <c r="H189" i="7" l="1"/>
  <c r="I188" i="7"/>
  <c r="H188" i="3"/>
  <c r="I187" i="3"/>
  <c r="AC188" i="3"/>
  <c r="X188" i="3"/>
  <c r="M188" i="3"/>
  <c r="Z188" i="3"/>
  <c r="K188" i="3"/>
  <c r="J188" i="3"/>
  <c r="L188" i="3"/>
  <c r="J189" i="7"/>
  <c r="Y188" i="3"/>
  <c r="K189" i="7"/>
  <c r="M189" i="7"/>
  <c r="L189" i="7"/>
  <c r="AE188" i="3"/>
  <c r="AD188" i="3"/>
  <c r="AB188" i="3"/>
  <c r="I189" i="7" l="1"/>
  <c r="H190" i="7"/>
  <c r="H189" i="3"/>
  <c r="I188" i="3"/>
  <c r="AE189" i="3"/>
  <c r="Z189" i="3"/>
  <c r="J189" i="3"/>
  <c r="X189" i="3"/>
  <c r="J190" i="7"/>
  <c r="M189" i="3"/>
  <c r="K189" i="3"/>
  <c r="K190" i="7"/>
  <c r="M190" i="7"/>
  <c r="Y189" i="3"/>
  <c r="L190" i="7"/>
  <c r="L189" i="3"/>
  <c r="AD189" i="3"/>
  <c r="AC189" i="3"/>
  <c r="AB189" i="3"/>
  <c r="I190" i="7" l="1"/>
  <c r="H191" i="7"/>
  <c r="H190" i="3"/>
  <c r="I189" i="3"/>
  <c r="K191" i="7"/>
  <c r="Z190" i="3"/>
  <c r="L190" i="3"/>
  <c r="J191" i="7"/>
  <c r="Y190" i="3"/>
  <c r="M190" i="3"/>
  <c r="M191" i="7"/>
  <c r="L191" i="7"/>
  <c r="X190" i="3"/>
  <c r="J190" i="3"/>
  <c r="K190" i="3"/>
  <c r="AE190" i="3"/>
  <c r="AB190" i="3"/>
  <c r="AC190" i="3"/>
  <c r="AD190" i="3"/>
  <c r="H192" i="7" l="1"/>
  <c r="I191" i="7"/>
  <c r="H191" i="3"/>
  <c r="I190" i="3"/>
  <c r="K191" i="3"/>
  <c r="L192" i="7"/>
  <c r="L191" i="3"/>
  <c r="X191" i="3"/>
  <c r="J191" i="3"/>
  <c r="J192" i="7"/>
  <c r="K192" i="7"/>
  <c r="M191" i="3"/>
  <c r="M192" i="7"/>
  <c r="Y191" i="3"/>
  <c r="Z191" i="3"/>
  <c r="AE191" i="3"/>
  <c r="AB191" i="3"/>
  <c r="AD191" i="3"/>
  <c r="AC191" i="3"/>
  <c r="I192" i="7" l="1"/>
  <c r="H193" i="7"/>
  <c r="H192" i="3"/>
  <c r="I191" i="3"/>
  <c r="AC192" i="3"/>
  <c r="X192" i="3"/>
  <c r="L192" i="3"/>
  <c r="M192" i="3"/>
  <c r="J192" i="3"/>
  <c r="K192" i="3"/>
  <c r="L193" i="7"/>
  <c r="J193" i="7"/>
  <c r="K193" i="7"/>
  <c r="Y192" i="3"/>
  <c r="Z192" i="3"/>
  <c r="M193" i="7"/>
  <c r="AB192" i="3"/>
  <c r="AD192" i="3"/>
  <c r="AE192" i="3"/>
  <c r="I193" i="7" l="1"/>
  <c r="H194" i="7"/>
  <c r="H193" i="3"/>
  <c r="I192" i="3"/>
  <c r="AB193" i="3"/>
  <c r="Z193" i="3"/>
  <c r="J193" i="3"/>
  <c r="J194" i="7"/>
  <c r="K193" i="3"/>
  <c r="K194" i="7"/>
  <c r="L193" i="3"/>
  <c r="L194" i="7"/>
  <c r="Y193" i="3"/>
  <c r="X193" i="3"/>
  <c r="M193" i="3"/>
  <c r="M194" i="7"/>
  <c r="AD193" i="3"/>
  <c r="AC193" i="3"/>
  <c r="AE193" i="3"/>
  <c r="I194" i="7" l="1"/>
  <c r="H195" i="7"/>
  <c r="H194" i="3"/>
  <c r="I193" i="3"/>
  <c r="Y194" i="3"/>
  <c r="L194" i="3"/>
  <c r="X194" i="3"/>
  <c r="K194" i="3"/>
  <c r="Z194" i="3"/>
  <c r="J194" i="3"/>
  <c r="J195" i="7"/>
  <c r="L195" i="7"/>
  <c r="K195" i="7"/>
  <c r="M194" i="3"/>
  <c r="M195" i="7"/>
  <c r="AB194" i="3"/>
  <c r="AC194" i="3"/>
  <c r="AE194" i="3"/>
  <c r="AD194" i="3"/>
  <c r="H196" i="7" l="1"/>
  <c r="I195" i="7"/>
  <c r="H195" i="3"/>
  <c r="I194" i="3"/>
  <c r="M196" i="7"/>
  <c r="J195" i="3"/>
  <c r="X195" i="3"/>
  <c r="K195" i="3"/>
  <c r="L196" i="7"/>
  <c r="Z195" i="3"/>
  <c r="M195" i="3"/>
  <c r="Y195" i="3"/>
  <c r="K196" i="7"/>
  <c r="L195" i="3"/>
  <c r="J196" i="7"/>
  <c r="AB195" i="3"/>
  <c r="AE195" i="3"/>
  <c r="AC195" i="3"/>
  <c r="AD195" i="3"/>
  <c r="I196" i="7" l="1"/>
  <c r="H197" i="7"/>
  <c r="H196" i="3"/>
  <c r="I195" i="3"/>
  <c r="K197" i="7"/>
  <c r="Z196" i="3"/>
  <c r="K196" i="3"/>
  <c r="Y196" i="3"/>
  <c r="M197" i="7"/>
  <c r="J197" i="7"/>
  <c r="J196" i="3"/>
  <c r="M196" i="3"/>
  <c r="X196" i="3"/>
  <c r="L196" i="3"/>
  <c r="L197" i="7"/>
  <c r="AB196" i="3"/>
  <c r="AC196" i="3"/>
  <c r="AE196" i="3"/>
  <c r="AD196" i="3"/>
  <c r="I197" i="7" l="1"/>
  <c r="H198" i="7"/>
  <c r="H197" i="3"/>
  <c r="I196" i="3"/>
  <c r="Z197" i="3"/>
  <c r="K198" i="7"/>
  <c r="L197" i="3"/>
  <c r="K197" i="3"/>
  <c r="L198" i="7"/>
  <c r="M198" i="7"/>
  <c r="J197" i="3"/>
  <c r="J198" i="7"/>
  <c r="X197" i="3"/>
  <c r="M197" i="3"/>
  <c r="Y197" i="3"/>
  <c r="AC197" i="3"/>
  <c r="AD197" i="3"/>
  <c r="AB197" i="3"/>
  <c r="AE197" i="3"/>
  <c r="I198" i="7" l="1"/>
  <c r="H199" i="7"/>
  <c r="H198" i="3"/>
  <c r="I197" i="3"/>
  <c r="AC198" i="3"/>
  <c r="K199" i="7"/>
  <c r="Y198" i="3"/>
  <c r="J198" i="3"/>
  <c r="L198" i="3"/>
  <c r="L199" i="7"/>
  <c r="M198" i="3"/>
  <c r="J199" i="7"/>
  <c r="M199" i="7"/>
  <c r="Z198" i="3"/>
  <c r="X198" i="3"/>
  <c r="K198" i="3"/>
  <c r="AB198" i="3"/>
  <c r="AD198" i="3"/>
  <c r="AE198" i="3"/>
  <c r="H200" i="7" l="1"/>
  <c r="I199" i="7"/>
  <c r="H199" i="3"/>
  <c r="I198" i="3"/>
  <c r="M200" i="7"/>
  <c r="Y199" i="3"/>
  <c r="Z199" i="3"/>
  <c r="L199" i="3"/>
  <c r="K200" i="7"/>
  <c r="X199" i="3"/>
  <c r="K199" i="3"/>
  <c r="L200" i="7"/>
  <c r="J199" i="3"/>
  <c r="J200" i="7"/>
  <c r="M199" i="3"/>
  <c r="AB199" i="3"/>
  <c r="AD199" i="3"/>
  <c r="AE199" i="3"/>
  <c r="AC199" i="3"/>
  <c r="I200" i="7" l="1"/>
  <c r="H201" i="7"/>
  <c r="H200" i="3"/>
  <c r="I199" i="3"/>
  <c r="X200" i="3"/>
  <c r="L201" i="7"/>
  <c r="J200" i="3"/>
  <c r="J201" i="7"/>
  <c r="M200" i="3"/>
  <c r="Z200" i="3"/>
  <c r="K200" i="3"/>
  <c r="L200" i="3"/>
  <c r="M201" i="7"/>
  <c r="Y200" i="3"/>
  <c r="K201" i="7"/>
  <c r="AC200" i="3"/>
  <c r="AE200" i="3"/>
  <c r="AD200" i="3"/>
  <c r="AB200" i="3"/>
  <c r="I201" i="7" l="1"/>
  <c r="H202" i="7"/>
  <c r="H201" i="3"/>
  <c r="I200" i="3"/>
  <c r="M202" i="7"/>
  <c r="K201" i="3"/>
  <c r="J201" i="3"/>
  <c r="M201" i="3"/>
  <c r="K202" i="7"/>
  <c r="L202" i="7"/>
  <c r="Y201" i="3"/>
  <c r="Z201" i="3"/>
  <c r="J202" i="7"/>
  <c r="X201" i="3"/>
  <c r="L201" i="3"/>
  <c r="AD201" i="3"/>
  <c r="AE201" i="3"/>
  <c r="AB201" i="3"/>
  <c r="AC201" i="3"/>
  <c r="I202" i="7" l="1"/>
  <c r="H203" i="7"/>
  <c r="H202" i="3"/>
  <c r="I201" i="3"/>
  <c r="K203" i="7"/>
  <c r="M203" i="7"/>
  <c r="Y202" i="3"/>
  <c r="X202" i="3"/>
  <c r="K202" i="3"/>
  <c r="J203" i="7"/>
  <c r="M202" i="3"/>
  <c r="Z202" i="3"/>
  <c r="J202" i="3"/>
  <c r="L202" i="3"/>
  <c r="L203" i="7"/>
  <c r="AB202" i="3"/>
  <c r="AC202" i="3"/>
  <c r="AE202" i="3"/>
  <c r="AD202" i="3"/>
  <c r="H204" i="7" l="1"/>
  <c r="I203" i="7"/>
  <c r="H203" i="3"/>
  <c r="I202" i="3"/>
  <c r="AD203" i="3"/>
  <c r="M203" i="3"/>
  <c r="M204" i="7"/>
  <c r="L203" i="3"/>
  <c r="K203" i="3"/>
  <c r="L204" i="7"/>
  <c r="Y203" i="3"/>
  <c r="Z203" i="3"/>
  <c r="X203" i="3"/>
  <c r="J203" i="3"/>
  <c r="J204" i="7"/>
  <c r="K204" i="7"/>
  <c r="AC203" i="3"/>
  <c r="AB203" i="3"/>
  <c r="AE203" i="3"/>
  <c r="I204" i="7" l="1"/>
  <c r="H205" i="7"/>
  <c r="H204" i="3"/>
  <c r="I203" i="3"/>
  <c r="AC204" i="3"/>
  <c r="M204" i="3"/>
  <c r="K205" i="7"/>
  <c r="Y204" i="3"/>
  <c r="Z204" i="3"/>
  <c r="J204" i="3"/>
  <c r="L204" i="3"/>
  <c r="X204" i="3"/>
  <c r="K204" i="3"/>
  <c r="L205" i="7"/>
  <c r="J205" i="7"/>
  <c r="M205" i="7"/>
  <c r="AB204" i="3"/>
  <c r="AD204" i="3"/>
  <c r="AE204" i="3"/>
  <c r="I205" i="7" l="1"/>
  <c r="H206" i="7"/>
  <c r="H205" i="3"/>
  <c r="I204" i="3"/>
  <c r="AD205" i="3"/>
  <c r="Z205" i="3"/>
  <c r="X205" i="3"/>
  <c r="J205" i="3"/>
  <c r="J206" i="7"/>
  <c r="K205" i="3"/>
  <c r="K206" i="7"/>
  <c r="L205" i="3"/>
  <c r="L206" i="7"/>
  <c r="M205" i="3"/>
  <c r="M206" i="7"/>
  <c r="Y205" i="3"/>
  <c r="AC205" i="3"/>
  <c r="AB205" i="3"/>
  <c r="AE205" i="3"/>
  <c r="I206" i="7" l="1"/>
  <c r="H207" i="7"/>
  <c r="H206" i="3"/>
  <c r="I205" i="3"/>
  <c r="AC206" i="3"/>
  <c r="AD206" i="3"/>
  <c r="L207" i="7"/>
  <c r="L206" i="3"/>
  <c r="J206" i="3"/>
  <c r="J207" i="7"/>
  <c r="K207" i="7"/>
  <c r="M206" i="3"/>
  <c r="M207" i="7"/>
  <c r="Z206" i="3"/>
  <c r="X206" i="3"/>
  <c r="K206" i="3"/>
  <c r="Y206" i="3"/>
  <c r="AB206" i="3"/>
  <c r="AE206" i="3"/>
  <c r="H208" i="7" l="1"/>
  <c r="I207" i="7"/>
  <c r="H207" i="3"/>
  <c r="I206" i="3"/>
  <c r="AD207" i="3"/>
  <c r="X207" i="3"/>
  <c r="J208" i="7"/>
  <c r="K208" i="7"/>
  <c r="M208" i="7"/>
  <c r="Z207" i="3"/>
  <c r="L208" i="7"/>
  <c r="J207" i="3"/>
  <c r="K207" i="3"/>
  <c r="L207" i="3"/>
  <c r="M207" i="3"/>
  <c r="Y207" i="3"/>
  <c r="AC207" i="3"/>
  <c r="AB207" i="3"/>
  <c r="AE207" i="3"/>
  <c r="I208" i="7" l="1"/>
  <c r="H209" i="7"/>
  <c r="H208" i="3"/>
  <c r="I207" i="3"/>
  <c r="Z208" i="3"/>
  <c r="X208" i="3"/>
  <c r="M209" i="7"/>
  <c r="J208" i="3"/>
  <c r="L208" i="3"/>
  <c r="K208" i="3"/>
  <c r="J209" i="7"/>
  <c r="M208" i="3"/>
  <c r="L209" i="7"/>
  <c r="K209" i="7"/>
  <c r="Y208" i="3"/>
  <c r="AC208" i="3"/>
  <c r="AE208" i="3"/>
  <c r="AB208" i="3"/>
  <c r="AD208" i="3"/>
  <c r="I209" i="7" l="1"/>
  <c r="H210" i="7"/>
  <c r="H209" i="3"/>
  <c r="I208" i="3"/>
  <c r="L209" i="3"/>
  <c r="L210" i="7"/>
  <c r="M209" i="3"/>
  <c r="Y209" i="3"/>
  <c r="M210" i="7"/>
  <c r="Z209" i="3"/>
  <c r="X209" i="3"/>
  <c r="K209" i="3"/>
  <c r="J209" i="3"/>
  <c r="J210" i="7"/>
  <c r="K210" i="7"/>
  <c r="AD209" i="3"/>
  <c r="AB209" i="3"/>
  <c r="AE209" i="3"/>
  <c r="AC209" i="3"/>
  <c r="I210" i="7" l="1"/>
  <c r="H211" i="7"/>
  <c r="H210" i="3"/>
  <c r="I209" i="3"/>
  <c r="X210" i="3"/>
  <c r="L210" i="3"/>
  <c r="J211" i="7"/>
  <c r="K211" i="7"/>
  <c r="M211" i="7"/>
  <c r="Z210" i="3"/>
  <c r="K210" i="3"/>
  <c r="J210" i="3"/>
  <c r="L211" i="7"/>
  <c r="M210" i="3"/>
  <c r="Y210" i="3"/>
  <c r="AC210" i="3"/>
  <c r="AE210" i="3"/>
  <c r="AD210" i="3"/>
  <c r="AB210" i="3"/>
  <c r="H212" i="7" l="1"/>
  <c r="I211" i="7"/>
  <c r="H211" i="3"/>
  <c r="I210" i="3"/>
  <c r="X211" i="3"/>
  <c r="K211" i="3"/>
  <c r="L211" i="3"/>
  <c r="J211" i="3"/>
  <c r="L212" i="7"/>
  <c r="J212" i="7"/>
  <c r="K212" i="7"/>
  <c r="M211" i="3"/>
  <c r="M212" i="7"/>
  <c r="Y211" i="3"/>
  <c r="Z211" i="3"/>
  <c r="AD211" i="3"/>
  <c r="AE211" i="3"/>
  <c r="AC211" i="3"/>
  <c r="AB211" i="3"/>
  <c r="I212" i="7" l="1"/>
  <c r="H213" i="7"/>
  <c r="H212" i="3"/>
  <c r="I211" i="3"/>
  <c r="AB212" i="3"/>
  <c r="AC212" i="3"/>
  <c r="X212" i="3"/>
  <c r="M213" i="7"/>
  <c r="L212" i="3"/>
  <c r="M212" i="3"/>
  <c r="Y212" i="3"/>
  <c r="K212" i="3"/>
  <c r="J212" i="3"/>
  <c r="L213" i="7"/>
  <c r="J213" i="7"/>
  <c r="K213" i="7"/>
  <c r="Z212" i="3"/>
  <c r="AD212" i="3"/>
  <c r="AE212" i="3"/>
  <c r="I213" i="7" l="1"/>
  <c r="H214" i="7"/>
  <c r="H213" i="3"/>
  <c r="I212" i="3"/>
  <c r="K214" i="7"/>
  <c r="Z213" i="3"/>
  <c r="L213" i="3"/>
  <c r="J213" i="3"/>
  <c r="J214" i="7"/>
  <c r="M213" i="3"/>
  <c r="M214" i="7"/>
  <c r="X213" i="3"/>
  <c r="L214" i="7"/>
  <c r="Y213" i="3"/>
  <c r="K213" i="3"/>
  <c r="AC213" i="3"/>
  <c r="AB213" i="3"/>
  <c r="AE213" i="3"/>
  <c r="AD213" i="3"/>
  <c r="I214" i="7" l="1"/>
  <c r="H215" i="7"/>
  <c r="H214" i="3"/>
  <c r="I213" i="3"/>
  <c r="K214" i="3"/>
  <c r="L214" i="3"/>
  <c r="Z214" i="3"/>
  <c r="J214" i="3"/>
  <c r="K215" i="7"/>
  <c r="L215" i="7"/>
  <c r="Y214" i="3"/>
  <c r="X214" i="3"/>
  <c r="J215" i="7"/>
  <c r="M214" i="3"/>
  <c r="M215" i="7"/>
  <c r="AB214" i="3"/>
  <c r="AC214" i="3"/>
  <c r="AE214" i="3"/>
  <c r="AD214" i="3"/>
  <c r="H216" i="7" l="1"/>
  <c r="I215" i="7"/>
  <c r="H215" i="3"/>
  <c r="I214" i="3"/>
  <c r="K215" i="3"/>
  <c r="L216" i="7"/>
  <c r="J216" i="7"/>
  <c r="M215" i="3"/>
  <c r="M216" i="7"/>
  <c r="Z215" i="3"/>
  <c r="L215" i="3"/>
  <c r="J215" i="3"/>
  <c r="K216" i="7"/>
  <c r="Y215" i="3"/>
  <c r="X215" i="3"/>
  <c r="AC215" i="3"/>
  <c r="AE215" i="3"/>
  <c r="AB215" i="3"/>
  <c r="AD215" i="3"/>
  <c r="I216" i="7" l="1"/>
  <c r="H217" i="7"/>
  <c r="H216" i="3"/>
  <c r="I215" i="3"/>
  <c r="AB216" i="3"/>
  <c r="AC216" i="3"/>
  <c r="X216" i="3"/>
  <c r="K216" i="3"/>
  <c r="M217" i="7"/>
  <c r="L217" i="7"/>
  <c r="J217" i="7"/>
  <c r="Z216" i="3"/>
  <c r="J216" i="3"/>
  <c r="M216" i="3"/>
  <c r="Y216" i="3"/>
  <c r="L216" i="3"/>
  <c r="K217" i="7"/>
  <c r="AD216" i="3"/>
  <c r="AE216" i="3"/>
  <c r="I217" i="7" l="1"/>
  <c r="H218" i="7"/>
  <c r="H217" i="3"/>
  <c r="I216" i="3"/>
  <c r="L218" i="7"/>
  <c r="M218" i="7"/>
  <c r="Z217" i="3"/>
  <c r="K218" i="7"/>
  <c r="X217" i="3"/>
  <c r="J217" i="3"/>
  <c r="L217" i="3"/>
  <c r="Y217" i="3"/>
  <c r="J218" i="7"/>
  <c r="M217" i="3"/>
  <c r="K217" i="3"/>
  <c r="AE217" i="3"/>
  <c r="AC217" i="3"/>
  <c r="AB217" i="3"/>
  <c r="AD217" i="3"/>
  <c r="I218" i="7" l="1"/>
  <c r="H219" i="7"/>
  <c r="H218" i="3"/>
  <c r="I217" i="3"/>
  <c r="M219" i="7"/>
  <c r="J218" i="3"/>
  <c r="K219" i="7"/>
  <c r="Z218" i="3"/>
  <c r="J219" i="7"/>
  <c r="M218" i="3"/>
  <c r="Y218" i="3"/>
  <c r="K218" i="3"/>
  <c r="L219" i="7"/>
  <c r="X218" i="3"/>
  <c r="L218" i="3"/>
  <c r="AC218" i="3"/>
  <c r="AD218" i="3"/>
  <c r="AB218" i="3"/>
  <c r="AE218" i="3"/>
  <c r="H220" i="7" l="1"/>
  <c r="I219" i="7"/>
  <c r="H219" i="3"/>
  <c r="I218" i="3"/>
  <c r="AC219" i="3"/>
  <c r="AD219" i="3"/>
  <c r="Z219" i="3"/>
  <c r="X219" i="3"/>
  <c r="L220" i="7"/>
  <c r="M219" i="3"/>
  <c r="K219" i="3"/>
  <c r="M220" i="7"/>
  <c r="L219" i="3"/>
  <c r="J219" i="3"/>
  <c r="J220" i="7"/>
  <c r="K220" i="7"/>
  <c r="Y219" i="3"/>
  <c r="AE219" i="3"/>
  <c r="AB219" i="3"/>
  <c r="I220" i="7" l="1"/>
  <c r="H221" i="7"/>
  <c r="H220" i="3"/>
  <c r="I219" i="3"/>
  <c r="AC220" i="3"/>
  <c r="X220" i="3"/>
  <c r="L220" i="3"/>
  <c r="J220" i="3"/>
  <c r="L221" i="7"/>
  <c r="M221" i="7"/>
  <c r="J221" i="7"/>
  <c r="M220" i="3"/>
  <c r="K221" i="7"/>
  <c r="Y220" i="3"/>
  <c r="K220" i="3"/>
  <c r="Z220" i="3"/>
  <c r="AB220" i="3"/>
  <c r="AD220" i="3"/>
  <c r="AE220" i="3"/>
  <c r="I221" i="7" l="1"/>
  <c r="H222" i="7"/>
  <c r="H221" i="3"/>
  <c r="I220" i="3"/>
  <c r="AE221" i="3"/>
  <c r="K221" i="3"/>
  <c r="L221" i="3"/>
  <c r="J221" i="3"/>
  <c r="J222" i="7"/>
  <c r="L222" i="7"/>
  <c r="M221" i="3"/>
  <c r="M222" i="7"/>
  <c r="Y221" i="3"/>
  <c r="Z221" i="3"/>
  <c r="X221" i="3"/>
  <c r="K222" i="7"/>
  <c r="AD221" i="3"/>
  <c r="AB221" i="3"/>
  <c r="AC221" i="3"/>
  <c r="I222" i="7" l="1"/>
  <c r="H223" i="7"/>
  <c r="H222" i="3"/>
  <c r="I221" i="3"/>
  <c r="K223" i="7"/>
  <c r="M223" i="7"/>
  <c r="X222" i="3"/>
  <c r="J222" i="3"/>
  <c r="L223" i="7"/>
  <c r="J223" i="7"/>
  <c r="K222" i="3"/>
  <c r="L222" i="3"/>
  <c r="M222" i="3"/>
  <c r="Z222" i="3"/>
  <c r="Y222" i="3"/>
  <c r="AE222" i="3"/>
  <c r="AB222" i="3"/>
  <c r="AC222" i="3"/>
  <c r="AD222" i="3"/>
  <c r="H224" i="7" l="1"/>
  <c r="I223" i="7"/>
  <c r="H223" i="3"/>
  <c r="I222" i="3"/>
  <c r="K224" i="7"/>
  <c r="M224" i="7"/>
  <c r="Y223" i="3"/>
  <c r="M223" i="3"/>
  <c r="Z223" i="3"/>
  <c r="X223" i="3"/>
  <c r="K223" i="3"/>
  <c r="J223" i="3"/>
  <c r="L223" i="3"/>
  <c r="J224" i="7"/>
  <c r="L224" i="7"/>
  <c r="AD223" i="3"/>
  <c r="AE223" i="3"/>
  <c r="AB223" i="3"/>
  <c r="AC223" i="3"/>
  <c r="I224" i="7" l="1"/>
  <c r="H225" i="7"/>
  <c r="H224" i="3"/>
  <c r="I223" i="3"/>
  <c r="K224" i="3"/>
  <c r="L225" i="7"/>
  <c r="J225" i="7"/>
  <c r="K225" i="7"/>
  <c r="Z224" i="3"/>
  <c r="L224" i="3"/>
  <c r="J224" i="3"/>
  <c r="M225" i="7"/>
  <c r="M224" i="3"/>
  <c r="Y224" i="3"/>
  <c r="X224" i="3"/>
  <c r="AE224" i="3"/>
  <c r="AD224" i="3"/>
  <c r="AB224" i="3"/>
  <c r="AC224" i="3"/>
  <c r="I225" i="7" l="1"/>
  <c r="H226" i="7"/>
  <c r="H225" i="3"/>
  <c r="I224" i="3"/>
  <c r="L226" i="7"/>
  <c r="Y225" i="3"/>
  <c r="K226" i="7"/>
  <c r="Z225" i="3"/>
  <c r="X225" i="3"/>
  <c r="M225" i="3"/>
  <c r="M226" i="7"/>
  <c r="J225" i="3"/>
  <c r="J226" i="7"/>
  <c r="K225" i="3"/>
  <c r="L225" i="3"/>
  <c r="AD225" i="3"/>
  <c r="AC225" i="3"/>
  <c r="AB225" i="3"/>
  <c r="AE225" i="3"/>
  <c r="I226" i="7" l="1"/>
  <c r="H227" i="7"/>
  <c r="H226" i="3"/>
  <c r="I225" i="3"/>
  <c r="Z226" i="3"/>
  <c r="K226" i="3"/>
  <c r="L227" i="7"/>
  <c r="X226" i="3"/>
  <c r="J227" i="7"/>
  <c r="L226" i="3"/>
  <c r="K227" i="7"/>
  <c r="M226" i="3"/>
  <c r="M227" i="7"/>
  <c r="Y226" i="3"/>
  <c r="J226" i="3"/>
  <c r="AD226" i="3"/>
  <c r="AB226" i="3"/>
  <c r="AC226" i="3"/>
  <c r="AE226" i="3"/>
  <c r="H228" i="7" l="1"/>
  <c r="I227" i="7"/>
  <c r="H227" i="3"/>
  <c r="I226" i="3"/>
  <c r="M228" i="7"/>
  <c r="J227" i="3"/>
  <c r="K227" i="3"/>
  <c r="J228" i="7"/>
  <c r="L227" i="3"/>
  <c r="X227" i="3"/>
  <c r="M227" i="3"/>
  <c r="Y227" i="3"/>
  <c r="L228" i="7"/>
  <c r="Z227" i="3"/>
  <c r="K228" i="7"/>
  <c r="AB227" i="3"/>
  <c r="AC227" i="3"/>
  <c r="AD227" i="3"/>
  <c r="AE227" i="3"/>
  <c r="I228" i="7" l="1"/>
  <c r="H229" i="7"/>
  <c r="H228" i="3"/>
  <c r="I227" i="3"/>
  <c r="Z228" i="3"/>
  <c r="L229" i="7"/>
  <c r="K228" i="3"/>
  <c r="M228" i="3"/>
  <c r="Y228" i="3"/>
  <c r="X228" i="3"/>
  <c r="M229" i="7"/>
  <c r="J228" i="3"/>
  <c r="L228" i="3"/>
  <c r="J229" i="7"/>
  <c r="K229" i="7"/>
  <c r="AC228" i="3"/>
  <c r="AE228" i="3"/>
  <c r="AB228" i="3"/>
  <c r="AD228" i="3"/>
  <c r="I229" i="7" l="1"/>
  <c r="H230" i="7"/>
  <c r="H229" i="3"/>
  <c r="I228" i="3"/>
  <c r="L229" i="3"/>
  <c r="M230" i="7"/>
  <c r="M229" i="3"/>
  <c r="X229" i="3"/>
  <c r="J229" i="3"/>
  <c r="K230" i="7"/>
  <c r="J230" i="7"/>
  <c r="K229" i="3"/>
  <c r="Y229" i="3"/>
  <c r="Z229" i="3"/>
  <c r="L230" i="7"/>
  <c r="AE229" i="3"/>
  <c r="AC229" i="3"/>
  <c r="AB229" i="3"/>
  <c r="AD229" i="3"/>
  <c r="I230" i="7" l="1"/>
  <c r="H231" i="7"/>
  <c r="H230" i="3"/>
  <c r="I229" i="3"/>
  <c r="AC230" i="3"/>
  <c r="M230" i="3"/>
  <c r="M231" i="7"/>
  <c r="Y230" i="3"/>
  <c r="J230" i="3"/>
  <c r="L230" i="3"/>
  <c r="X230" i="3"/>
  <c r="J231" i="7"/>
  <c r="K230" i="3"/>
  <c r="L231" i="7"/>
  <c r="Z230" i="3"/>
  <c r="K231" i="7"/>
  <c r="AB230" i="3"/>
  <c r="AE230" i="3"/>
  <c r="AD230" i="3"/>
  <c r="H232" i="7" l="1"/>
  <c r="I231" i="7"/>
  <c r="H231" i="3"/>
  <c r="I230" i="3"/>
  <c r="AE231" i="3"/>
  <c r="Z231" i="3"/>
  <c r="X231" i="3"/>
  <c r="L231" i="3"/>
  <c r="K231" i="3"/>
  <c r="L232" i="7"/>
  <c r="J232" i="7"/>
  <c r="K232" i="7"/>
  <c r="M231" i="3"/>
  <c r="M232" i="7"/>
  <c r="Y231" i="3"/>
  <c r="J231" i="3"/>
  <c r="AD231" i="3"/>
  <c r="AB231" i="3"/>
  <c r="AC231" i="3"/>
  <c r="I232" i="7" l="1"/>
  <c r="H233" i="7"/>
  <c r="H232" i="3"/>
  <c r="I231" i="3"/>
  <c r="K233" i="7"/>
  <c r="Z232" i="3"/>
  <c r="L233" i="7"/>
  <c r="J233" i="7"/>
  <c r="M232" i="3"/>
  <c r="K232" i="3"/>
  <c r="Y232" i="3"/>
  <c r="X232" i="3"/>
  <c r="J232" i="3"/>
  <c r="M233" i="7"/>
  <c r="L232" i="3"/>
  <c r="AD232" i="3"/>
  <c r="AE232" i="3"/>
  <c r="AB232" i="3"/>
  <c r="AC232" i="3"/>
  <c r="I233" i="7" l="1"/>
  <c r="H234" i="7"/>
  <c r="H233" i="3"/>
  <c r="I232" i="3"/>
  <c r="AC233" i="3"/>
  <c r="Z233" i="3"/>
  <c r="J234" i="7"/>
  <c r="M233" i="3"/>
  <c r="Y233" i="3"/>
  <c r="X233" i="3"/>
  <c r="K233" i="3"/>
  <c r="L234" i="7"/>
  <c r="L233" i="3"/>
  <c r="J233" i="3"/>
  <c r="K234" i="7"/>
  <c r="M234" i="7"/>
  <c r="AD233" i="3"/>
  <c r="AE233" i="3"/>
  <c r="AB233" i="3"/>
  <c r="I234" i="7" l="1"/>
  <c r="H235" i="7"/>
  <c r="H234" i="3"/>
  <c r="I233" i="3"/>
  <c r="AB234" i="3"/>
  <c r="M235" i="7"/>
  <c r="J234" i="3"/>
  <c r="X234" i="3"/>
  <c r="J235" i="7"/>
  <c r="K234" i="3"/>
  <c r="L235" i="7"/>
  <c r="L234" i="3"/>
  <c r="Z234" i="3"/>
  <c r="M234" i="3"/>
  <c r="Y234" i="3"/>
  <c r="K235" i="7"/>
  <c r="AC234" i="3"/>
  <c r="AD234" i="3"/>
  <c r="AE234" i="3"/>
  <c r="H236" i="7" l="1"/>
  <c r="I235" i="7"/>
  <c r="H235" i="3"/>
  <c r="I234" i="3"/>
  <c r="AB235" i="3"/>
  <c r="AD235" i="3"/>
  <c r="X235" i="3"/>
  <c r="J236" i="7"/>
  <c r="Y235" i="3"/>
  <c r="K235" i="3"/>
  <c r="M236" i="7"/>
  <c r="J235" i="3"/>
  <c r="L235" i="3"/>
  <c r="Z235" i="3"/>
  <c r="L236" i="7"/>
  <c r="K236" i="7"/>
  <c r="M235" i="3"/>
  <c r="AC235" i="3"/>
  <c r="AE235" i="3"/>
  <c r="I236" i="7" l="1"/>
  <c r="H237" i="7"/>
  <c r="H236" i="3"/>
  <c r="I235" i="3"/>
  <c r="AB236" i="3"/>
  <c r="L237" i="7"/>
  <c r="K237" i="7"/>
  <c r="J237" i="7"/>
  <c r="Z236" i="3"/>
  <c r="X236" i="3"/>
  <c r="K236" i="3"/>
  <c r="M237" i="7"/>
  <c r="M236" i="3"/>
  <c r="Y236" i="3"/>
  <c r="J236" i="3"/>
  <c r="L236" i="3"/>
  <c r="AD236" i="3"/>
  <c r="AC236" i="3"/>
  <c r="AE236" i="3"/>
  <c r="I237" i="7" l="1"/>
  <c r="H238" i="7"/>
  <c r="H237" i="3"/>
  <c r="I236" i="3"/>
  <c r="L238" i="7"/>
  <c r="M237" i="3"/>
  <c r="Y237" i="3"/>
  <c r="Z237" i="3"/>
  <c r="X237" i="3"/>
  <c r="L237" i="3"/>
  <c r="J237" i="3"/>
  <c r="K237" i="3"/>
  <c r="J238" i="7"/>
  <c r="M238" i="7"/>
  <c r="K238" i="7"/>
  <c r="AC237" i="3"/>
  <c r="AB237" i="3"/>
  <c r="AD237" i="3"/>
  <c r="AE237" i="3"/>
  <c r="I238" i="7" l="1"/>
  <c r="H239" i="7"/>
  <c r="H238" i="3"/>
  <c r="I237" i="3"/>
  <c r="J239" i="7"/>
  <c r="K238" i="3"/>
  <c r="L238" i="3"/>
  <c r="M239" i="7"/>
  <c r="Z238" i="3"/>
  <c r="K239" i="7"/>
  <c r="J238" i="3"/>
  <c r="L239" i="7"/>
  <c r="M238" i="3"/>
  <c r="Y238" i="3"/>
  <c r="X238" i="3"/>
  <c r="AE238" i="3"/>
  <c r="AD238" i="3"/>
  <c r="AB238" i="3"/>
  <c r="AC238" i="3"/>
  <c r="H240" i="7" l="1"/>
  <c r="I239" i="7"/>
  <c r="H239" i="3"/>
  <c r="I238" i="3"/>
  <c r="Z239" i="3"/>
  <c r="X239" i="3"/>
  <c r="L240" i="7"/>
  <c r="J239" i="3"/>
  <c r="J240" i="7"/>
  <c r="K239" i="3"/>
  <c r="K240" i="7"/>
  <c r="L239" i="3"/>
  <c r="M239" i="3"/>
  <c r="Y239" i="3"/>
  <c r="M240" i="7"/>
  <c r="AE239" i="3"/>
  <c r="AC239" i="3"/>
  <c r="AB239" i="3"/>
  <c r="AD239" i="3"/>
  <c r="I240" i="7" l="1"/>
  <c r="H241" i="7"/>
  <c r="H240" i="3"/>
  <c r="I239" i="3"/>
  <c r="AB240" i="3"/>
  <c r="AD240" i="3"/>
  <c r="Y240" i="3"/>
  <c r="Z240" i="3"/>
  <c r="X240" i="3"/>
  <c r="J240" i="3"/>
  <c r="M241" i="7"/>
  <c r="K240" i="3"/>
  <c r="L240" i="3"/>
  <c r="J241" i="7"/>
  <c r="M240" i="3"/>
  <c r="L241" i="7"/>
  <c r="K241" i="7"/>
  <c r="AC240" i="3"/>
  <c r="AE240" i="3"/>
  <c r="I241" i="7" l="1"/>
  <c r="H242" i="7"/>
  <c r="H241" i="3"/>
  <c r="I240" i="3"/>
  <c r="Y241" i="3"/>
  <c r="Z241" i="3"/>
  <c r="X241" i="3"/>
  <c r="J241" i="3"/>
  <c r="J242" i="7"/>
  <c r="L241" i="3"/>
  <c r="K241" i="3"/>
  <c r="L242" i="7"/>
  <c r="M241" i="3"/>
  <c r="M242" i="7"/>
  <c r="K242" i="7"/>
  <c r="AE241" i="3"/>
  <c r="AB241" i="3"/>
  <c r="AC241" i="3"/>
  <c r="AD241" i="3"/>
  <c r="H243" i="7" l="1"/>
  <c r="I242" i="7"/>
  <c r="H242" i="3"/>
  <c r="I241" i="3"/>
  <c r="AC242" i="3"/>
  <c r="J243" i="7"/>
  <c r="L242" i="3"/>
  <c r="L243" i="7"/>
  <c r="Y242" i="3"/>
  <c r="Z242" i="3"/>
  <c r="X242" i="3"/>
  <c r="J242" i="3"/>
  <c r="K242" i="3"/>
  <c r="K243" i="7"/>
  <c r="M242" i="3"/>
  <c r="M243" i="7"/>
  <c r="AB242" i="3"/>
  <c r="AD242" i="3"/>
  <c r="AE242" i="3"/>
  <c r="H244" i="7" l="1"/>
  <c r="I243" i="7"/>
  <c r="H243" i="3"/>
  <c r="I242" i="3"/>
  <c r="AD243" i="3"/>
  <c r="M243" i="3"/>
  <c r="J244" i="7"/>
  <c r="K243" i="3"/>
  <c r="L243" i="3"/>
  <c r="M244" i="7"/>
  <c r="K244" i="7"/>
  <c r="Y243" i="3"/>
  <c r="Z243" i="3"/>
  <c r="X243" i="3"/>
  <c r="J243" i="3"/>
  <c r="L244" i="7"/>
  <c r="AB243" i="3"/>
  <c r="AE243" i="3"/>
  <c r="AC243" i="3"/>
  <c r="I244" i="7" l="1"/>
  <c r="H245" i="7"/>
  <c r="H244" i="3"/>
  <c r="I243" i="3"/>
  <c r="AC244" i="3"/>
  <c r="AD244" i="3"/>
  <c r="Y244" i="3"/>
  <c r="X244" i="3"/>
  <c r="J244" i="3"/>
  <c r="M245" i="7"/>
  <c r="K244" i="3"/>
  <c r="J245" i="7"/>
  <c r="L244" i="3"/>
  <c r="Z244" i="3"/>
  <c r="M244" i="3"/>
  <c r="K245" i="7"/>
  <c r="L245" i="7"/>
  <c r="AB244" i="3"/>
  <c r="AE244" i="3"/>
  <c r="I245" i="7" l="1"/>
  <c r="H246" i="7"/>
  <c r="H245" i="3"/>
  <c r="I244" i="3"/>
  <c r="AB245" i="3"/>
  <c r="M245" i="3"/>
  <c r="M246" i="7"/>
  <c r="Y245" i="3"/>
  <c r="Z245" i="3"/>
  <c r="X245" i="3"/>
  <c r="K245" i="3"/>
  <c r="J246" i="7"/>
  <c r="L245" i="3"/>
  <c r="K246" i="7"/>
  <c r="L246" i="7"/>
  <c r="J245" i="3"/>
  <c r="AC245" i="3"/>
  <c r="AE245" i="3"/>
  <c r="AD245" i="3"/>
  <c r="H247" i="7" l="1"/>
  <c r="I246" i="7"/>
  <c r="H246" i="3"/>
  <c r="I245" i="3"/>
  <c r="AB246" i="3"/>
  <c r="Z246" i="3"/>
  <c r="K247" i="7"/>
  <c r="J247" i="7"/>
  <c r="L246" i="3"/>
  <c r="M246" i="3"/>
  <c r="M247" i="7"/>
  <c r="X246" i="3"/>
  <c r="J246" i="3"/>
  <c r="K246" i="3"/>
  <c r="L247" i="7"/>
  <c r="Y246" i="3"/>
  <c r="AC246" i="3"/>
  <c r="AD246" i="3"/>
  <c r="AE246" i="3"/>
  <c r="H248" i="7" l="1"/>
  <c r="I247" i="7"/>
  <c r="H247" i="3"/>
  <c r="I246" i="3"/>
  <c r="AD247" i="3"/>
  <c r="AC247" i="3"/>
  <c r="J248" i="7"/>
  <c r="Z247" i="3"/>
  <c r="Y247" i="3"/>
  <c r="L247" i="3"/>
  <c r="X247" i="3"/>
  <c r="J247" i="3"/>
  <c r="L248" i="7"/>
  <c r="K248" i="7"/>
  <c r="M248" i="7"/>
  <c r="M247" i="3"/>
  <c r="K247" i="3"/>
  <c r="AB247" i="3"/>
  <c r="AE247" i="3"/>
  <c r="I248" i="7" l="1"/>
  <c r="H249" i="7"/>
  <c r="H248" i="3"/>
  <c r="I247" i="3"/>
  <c r="L249" i="7"/>
  <c r="Y248" i="3"/>
  <c r="X248" i="3"/>
  <c r="J248" i="3"/>
  <c r="K248" i="3"/>
  <c r="J249" i="7"/>
  <c r="M249" i="7"/>
  <c r="L248" i="3"/>
  <c r="Z248" i="3"/>
  <c r="K249" i="7"/>
  <c r="M248" i="3"/>
  <c r="AE248" i="3"/>
  <c r="AC248" i="3"/>
  <c r="AB248" i="3"/>
  <c r="AD248" i="3"/>
  <c r="I249" i="7" l="1"/>
  <c r="H250" i="7"/>
  <c r="H249" i="3"/>
  <c r="I248" i="3"/>
  <c r="M250" i="7"/>
  <c r="L250" i="7"/>
  <c r="K249" i="3"/>
  <c r="K250" i="7"/>
  <c r="L249" i="3"/>
  <c r="Y249" i="3"/>
  <c r="Z249" i="3"/>
  <c r="X249" i="3"/>
  <c r="J249" i="3"/>
  <c r="J250" i="7"/>
  <c r="M249" i="3"/>
  <c r="AC249" i="3"/>
  <c r="AD249" i="3"/>
  <c r="AE249" i="3"/>
  <c r="AB249" i="3"/>
  <c r="H251" i="7" l="1"/>
  <c r="I250" i="7"/>
  <c r="H250" i="3"/>
  <c r="I249" i="3"/>
  <c r="M251" i="7"/>
  <c r="Y250" i="3"/>
  <c r="X250" i="3"/>
  <c r="J250" i="3"/>
  <c r="K251" i="7"/>
  <c r="J251" i="7"/>
  <c r="K250" i="3"/>
  <c r="L250" i="3"/>
  <c r="Z250" i="3"/>
  <c r="L251" i="7"/>
  <c r="M250" i="3"/>
  <c r="AC250" i="3"/>
  <c r="AE250" i="3"/>
  <c r="AD250" i="3"/>
  <c r="AB250" i="3"/>
  <c r="H252" i="7" l="1"/>
  <c r="I251" i="7"/>
  <c r="H251" i="3"/>
  <c r="I250" i="3"/>
  <c r="AD251" i="3"/>
  <c r="K252" i="7"/>
  <c r="L251" i="3"/>
  <c r="Y251" i="3"/>
  <c r="Z251" i="3"/>
  <c r="X251" i="3"/>
  <c r="K251" i="3"/>
  <c r="L252" i="7"/>
  <c r="J251" i="3"/>
  <c r="M251" i="3"/>
  <c r="J252" i="7"/>
  <c r="M252" i="7"/>
  <c r="AB251" i="3"/>
  <c r="AE251" i="3"/>
  <c r="AC251" i="3"/>
  <c r="I252" i="7" l="1"/>
  <c r="H253" i="7"/>
  <c r="H252" i="3"/>
  <c r="I251" i="3"/>
  <c r="Y252" i="3"/>
  <c r="K252" i="3"/>
  <c r="J253" i="7"/>
  <c r="Z252" i="3"/>
  <c r="X252" i="3"/>
  <c r="J252" i="3"/>
  <c r="M253" i="7"/>
  <c r="L252" i="3"/>
  <c r="K253" i="7"/>
  <c r="M252" i="3"/>
  <c r="L253" i="7"/>
  <c r="AD252" i="3"/>
  <c r="AC252" i="3"/>
  <c r="AB252" i="3"/>
  <c r="AE252" i="3"/>
  <c r="I253" i="7" l="1"/>
  <c r="H254" i="7"/>
  <c r="H253" i="3"/>
  <c r="I252" i="3"/>
  <c r="AB253" i="3"/>
  <c r="Y253" i="3"/>
  <c r="Z253" i="3"/>
  <c r="M254" i="7"/>
  <c r="J253" i="3"/>
  <c r="J254" i="7"/>
  <c r="K254" i="7"/>
  <c r="K253" i="3"/>
  <c r="X253" i="3"/>
  <c r="L254" i="7"/>
  <c r="L253" i="3"/>
  <c r="M253" i="3"/>
  <c r="AE253" i="3"/>
  <c r="AC253" i="3"/>
  <c r="AD253" i="3"/>
  <c r="H255" i="7" l="1"/>
  <c r="I254" i="7"/>
  <c r="H254" i="3"/>
  <c r="I253" i="3"/>
  <c r="M254" i="3"/>
  <c r="M255" i="7"/>
  <c r="Y254" i="3"/>
  <c r="X254" i="3"/>
  <c r="J254" i="3"/>
  <c r="K254" i="3"/>
  <c r="Z254" i="3"/>
  <c r="J255" i="7"/>
  <c r="K255" i="7"/>
  <c r="L255" i="7"/>
  <c r="L254" i="3"/>
  <c r="AD254" i="3"/>
  <c r="AB254" i="3"/>
  <c r="AE254" i="3"/>
  <c r="AC254" i="3"/>
  <c r="H256" i="7" l="1"/>
  <c r="I255" i="7"/>
  <c r="H255" i="3"/>
  <c r="I254" i="3"/>
  <c r="AE255" i="3"/>
  <c r="X255" i="3"/>
  <c r="K255" i="3"/>
  <c r="L256" i="7"/>
  <c r="J255" i="3"/>
  <c r="K256" i="7"/>
  <c r="L255" i="3"/>
  <c r="M256" i="7"/>
  <c r="M255" i="3"/>
  <c r="Y255" i="3"/>
  <c r="Z255" i="3"/>
  <c r="J256" i="7"/>
  <c r="AB255" i="3"/>
  <c r="AC255" i="3"/>
  <c r="AD255" i="3"/>
  <c r="I256" i="7" l="1"/>
  <c r="H257" i="7"/>
  <c r="H256" i="3"/>
  <c r="I255" i="3"/>
  <c r="K256" i="3"/>
  <c r="J257" i="7"/>
  <c r="M257" i="7"/>
  <c r="M256" i="3"/>
  <c r="Z256" i="3"/>
  <c r="L256" i="3"/>
  <c r="Y256" i="3"/>
  <c r="J256" i="3"/>
  <c r="K257" i="7"/>
  <c r="L257" i="7"/>
  <c r="X256" i="3"/>
  <c r="AB256" i="3"/>
  <c r="AE256" i="3"/>
  <c r="AD256" i="3"/>
  <c r="AC256" i="3"/>
  <c r="I257" i="7" l="1"/>
  <c r="H258" i="7"/>
  <c r="H257" i="3"/>
  <c r="I256" i="3"/>
  <c r="AB257" i="3"/>
  <c r="J258" i="7"/>
  <c r="M257" i="3"/>
  <c r="Y257" i="3"/>
  <c r="K258" i="7"/>
  <c r="Z257" i="3"/>
  <c r="X257" i="3"/>
  <c r="L257" i="3"/>
  <c r="M258" i="7"/>
  <c r="J257" i="3"/>
  <c r="L258" i="7"/>
  <c r="K257" i="3"/>
  <c r="AD257" i="3"/>
  <c r="AC257" i="3"/>
  <c r="AE257" i="3"/>
  <c r="H259" i="7" l="1"/>
  <c r="I258" i="7"/>
  <c r="H258" i="3"/>
  <c r="I257" i="3"/>
  <c r="Z258" i="3"/>
  <c r="X258" i="3"/>
  <c r="L258" i="3"/>
  <c r="J258" i="3"/>
  <c r="J259" i="7"/>
  <c r="K259" i="7"/>
  <c r="K258" i="3"/>
  <c r="L259" i="7"/>
  <c r="M258" i="3"/>
  <c r="M259" i="7"/>
  <c r="Y258" i="3"/>
  <c r="AE258" i="3"/>
  <c r="AB258" i="3"/>
  <c r="AD258" i="3"/>
  <c r="AC258" i="3"/>
  <c r="H260" i="7" l="1"/>
  <c r="I259" i="7"/>
  <c r="H259" i="3"/>
  <c r="I258" i="3"/>
  <c r="AE259" i="3"/>
  <c r="M260" i="7"/>
  <c r="M259" i="3"/>
  <c r="J260" i="7"/>
  <c r="Y259" i="3"/>
  <c r="Z259" i="3"/>
  <c r="X259" i="3"/>
  <c r="J259" i="3"/>
  <c r="K260" i="7"/>
  <c r="K259" i="3"/>
  <c r="L260" i="7"/>
  <c r="L259" i="3"/>
  <c r="AC259" i="3"/>
  <c r="AD259" i="3"/>
  <c r="AB259" i="3"/>
  <c r="I260" i="7" l="1"/>
  <c r="H261" i="7"/>
  <c r="H260" i="3"/>
  <c r="I259" i="3"/>
  <c r="L261" i="7"/>
  <c r="Y260" i="3"/>
  <c r="L260" i="3"/>
  <c r="Z260" i="3"/>
  <c r="X260" i="3"/>
  <c r="K260" i="3"/>
  <c r="J261" i="7"/>
  <c r="J260" i="3"/>
  <c r="M261" i="7"/>
  <c r="K261" i="7"/>
  <c r="M260" i="3"/>
  <c r="AC260" i="3"/>
  <c r="AD260" i="3"/>
  <c r="AE260" i="3"/>
  <c r="AB260" i="3"/>
  <c r="I261" i="7" l="1"/>
  <c r="H262" i="7"/>
  <c r="H261" i="3"/>
  <c r="I260" i="3"/>
  <c r="K261" i="3"/>
  <c r="K262" i="7"/>
  <c r="L261" i="3"/>
  <c r="J261" i="3"/>
  <c r="L262" i="7"/>
  <c r="M261" i="3"/>
  <c r="M262" i="7"/>
  <c r="Z261" i="3"/>
  <c r="X261" i="3"/>
  <c r="J262" i="7"/>
  <c r="Y261" i="3"/>
  <c r="AB261" i="3"/>
  <c r="AC261" i="3"/>
  <c r="AE261" i="3"/>
  <c r="AD261" i="3"/>
  <c r="H263" i="7" l="1"/>
  <c r="I262" i="7"/>
  <c r="H262" i="3"/>
  <c r="I261" i="3"/>
  <c r="J263" i="7"/>
  <c r="L263" i="7"/>
  <c r="Z262" i="3"/>
  <c r="L262" i="3"/>
  <c r="M263" i="7"/>
  <c r="X262" i="3"/>
  <c r="K263" i="7"/>
  <c r="J262" i="3"/>
  <c r="K262" i="3"/>
  <c r="M262" i="3"/>
  <c r="Y262" i="3"/>
  <c r="AE262" i="3"/>
  <c r="AD262" i="3"/>
  <c r="AB262" i="3"/>
  <c r="AC262" i="3"/>
  <c r="H264" i="7" l="1"/>
  <c r="I263" i="7"/>
  <c r="H263" i="3"/>
  <c r="I262" i="3"/>
  <c r="Z263" i="3"/>
  <c r="X263" i="3"/>
  <c r="J263" i="3"/>
  <c r="K264" i="7"/>
  <c r="K263" i="3"/>
  <c r="M264" i="7"/>
  <c r="J264" i="7"/>
  <c r="L264" i="7"/>
  <c r="L263" i="3"/>
  <c r="M263" i="3"/>
  <c r="Y263" i="3"/>
  <c r="AE263" i="3"/>
  <c r="AB263" i="3"/>
  <c r="AC263" i="3"/>
  <c r="AD263" i="3"/>
  <c r="I264" i="7" l="1"/>
  <c r="H265" i="7"/>
  <c r="H264" i="3"/>
  <c r="I263" i="3"/>
  <c r="AB264" i="3"/>
  <c r="Z264" i="3"/>
  <c r="J265" i="7"/>
  <c r="J264" i="3"/>
  <c r="M265" i="7"/>
  <c r="K264" i="3"/>
  <c r="L264" i="3"/>
  <c r="K265" i="7"/>
  <c r="M264" i="3"/>
  <c r="L265" i="7"/>
  <c r="Y264" i="3"/>
  <c r="X264" i="3"/>
  <c r="AC264" i="3"/>
  <c r="AD264" i="3"/>
  <c r="AE264" i="3"/>
  <c r="I265" i="7" l="1"/>
  <c r="H266" i="7"/>
  <c r="H265" i="3"/>
  <c r="I264" i="3"/>
  <c r="L266" i="7"/>
  <c r="M265" i="3"/>
  <c r="Y265" i="3"/>
  <c r="Z265" i="3"/>
  <c r="J266" i="7"/>
  <c r="J265" i="3"/>
  <c r="K265" i="3"/>
  <c r="L265" i="3"/>
  <c r="M266" i="7"/>
  <c r="K266" i="7"/>
  <c r="X265" i="3"/>
  <c r="AB265" i="3"/>
  <c r="AD265" i="3"/>
  <c r="AC265" i="3"/>
  <c r="AE265" i="3"/>
  <c r="H267" i="7" l="1"/>
  <c r="I266" i="7"/>
  <c r="H266" i="3"/>
  <c r="I265" i="3"/>
  <c r="AB266" i="3"/>
  <c r="Z266" i="3"/>
  <c r="X266" i="3"/>
  <c r="L266" i="3"/>
  <c r="J266" i="3"/>
  <c r="J267" i="7"/>
  <c r="K266" i="3"/>
  <c r="L267" i="7"/>
  <c r="M266" i="3"/>
  <c r="M267" i="7"/>
  <c r="Y266" i="3"/>
  <c r="K267" i="7"/>
  <c r="AE266" i="3"/>
  <c r="AD266" i="3"/>
  <c r="AC266" i="3"/>
  <c r="H268" i="7" l="1"/>
  <c r="I267" i="7"/>
  <c r="H267" i="3"/>
  <c r="I266" i="3"/>
  <c r="Z267" i="3"/>
  <c r="L267" i="3"/>
  <c r="Y267" i="3"/>
  <c r="J267" i="3"/>
  <c r="K267" i="3"/>
  <c r="L268" i="7"/>
  <c r="J268" i="7"/>
  <c r="X267" i="3"/>
  <c r="K268" i="7"/>
  <c r="M268" i="7"/>
  <c r="M267" i="3"/>
  <c r="AD267" i="3"/>
  <c r="AE267" i="3"/>
  <c r="AC267" i="3"/>
  <c r="AB267" i="3"/>
  <c r="I268" i="7" l="1"/>
  <c r="H269" i="7"/>
  <c r="H268" i="3"/>
  <c r="I267" i="3"/>
  <c r="AE268" i="3"/>
  <c r="Z268" i="3"/>
  <c r="J269" i="7"/>
  <c r="Y268" i="3"/>
  <c r="M269" i="7"/>
  <c r="M268" i="3"/>
  <c r="J268" i="3"/>
  <c r="K268" i="3"/>
  <c r="L268" i="3"/>
  <c r="X268" i="3"/>
  <c r="K269" i="7"/>
  <c r="L269" i="7"/>
  <c r="AB268" i="3"/>
  <c r="AD268" i="3"/>
  <c r="AC268" i="3"/>
  <c r="I269" i="7" l="1"/>
  <c r="H270" i="7"/>
  <c r="H269" i="3"/>
  <c r="I268" i="3"/>
  <c r="AD269" i="3"/>
  <c r="AC269" i="3"/>
  <c r="Z269" i="3"/>
  <c r="J269" i="3"/>
  <c r="K270" i="7"/>
  <c r="X269" i="3"/>
  <c r="J270" i="7"/>
  <c r="K269" i="3"/>
  <c r="L270" i="7"/>
  <c r="L269" i="3"/>
  <c r="M270" i="7"/>
  <c r="M269" i="3"/>
  <c r="Y269" i="3"/>
  <c r="AB269" i="3"/>
  <c r="AE269" i="3"/>
  <c r="H271" i="7" l="1"/>
  <c r="I270" i="7"/>
  <c r="H270" i="3"/>
  <c r="I269" i="3"/>
  <c r="AB270" i="3"/>
  <c r="M270" i="3"/>
  <c r="M271" i="7"/>
  <c r="Y270" i="3"/>
  <c r="Z270" i="3"/>
  <c r="X270" i="3"/>
  <c r="K271" i="7"/>
  <c r="J270" i="3"/>
  <c r="J271" i="7"/>
  <c r="L270" i="3"/>
  <c r="L271" i="7"/>
  <c r="K270" i="3"/>
  <c r="AC270" i="3"/>
  <c r="AD270" i="3"/>
  <c r="AE270" i="3"/>
  <c r="H272" i="7" l="1"/>
  <c r="I271" i="7"/>
  <c r="H271" i="3"/>
  <c r="I270" i="3"/>
  <c r="AC271" i="3"/>
  <c r="M272" i="7"/>
  <c r="J272" i="7"/>
  <c r="Y271" i="3"/>
  <c r="Z271" i="3"/>
  <c r="X271" i="3"/>
  <c r="L271" i="3"/>
  <c r="M271" i="3"/>
  <c r="L272" i="7"/>
  <c r="K271" i="3"/>
  <c r="J271" i="3"/>
  <c r="K272" i="7"/>
  <c r="AB271" i="3"/>
  <c r="AD271" i="3"/>
  <c r="AE271" i="3"/>
  <c r="I272" i="7" l="1"/>
  <c r="H273" i="7"/>
  <c r="H272" i="3"/>
  <c r="I271" i="3"/>
  <c r="Y272" i="3"/>
  <c r="X272" i="3"/>
  <c r="K272" i="3"/>
  <c r="M273" i="7"/>
  <c r="K273" i="7"/>
  <c r="M272" i="3"/>
  <c r="Z272" i="3"/>
  <c r="J272" i="3"/>
  <c r="J273" i="7"/>
  <c r="L272" i="3"/>
  <c r="L273" i="7"/>
  <c r="AC272" i="3"/>
  <c r="AE272" i="3"/>
  <c r="AD272" i="3"/>
  <c r="AB272" i="3"/>
  <c r="I273" i="7" l="1"/>
  <c r="H274" i="7"/>
  <c r="H273" i="3"/>
  <c r="I272" i="3"/>
  <c r="AC273" i="3"/>
  <c r="Z273" i="3"/>
  <c r="K274" i="7"/>
  <c r="L273" i="3"/>
  <c r="L274" i="7"/>
  <c r="M274" i="7"/>
  <c r="K273" i="3"/>
  <c r="X273" i="3"/>
  <c r="J273" i="3"/>
  <c r="J274" i="7"/>
  <c r="M273" i="3"/>
  <c r="Y273" i="3"/>
  <c r="AD273" i="3"/>
  <c r="AB273" i="3"/>
  <c r="AE273" i="3"/>
  <c r="H275" i="7" l="1"/>
  <c r="I274" i="7"/>
  <c r="H274" i="3"/>
  <c r="I273" i="3"/>
  <c r="Y274" i="3"/>
  <c r="L275" i="7"/>
  <c r="Z274" i="3"/>
  <c r="X274" i="3"/>
  <c r="J274" i="3"/>
  <c r="J275" i="7"/>
  <c r="K275" i="7"/>
  <c r="L274" i="3"/>
  <c r="K274" i="3"/>
  <c r="M274" i="3"/>
  <c r="M275" i="7"/>
  <c r="AD274" i="3"/>
  <c r="AE274" i="3"/>
  <c r="AC274" i="3"/>
  <c r="AB274" i="3"/>
  <c r="H276" i="7" l="1"/>
  <c r="I275" i="7"/>
  <c r="H275" i="3"/>
  <c r="I274" i="3"/>
  <c r="M275" i="3"/>
  <c r="J276" i="7"/>
  <c r="Y275" i="3"/>
  <c r="Z275" i="3"/>
  <c r="L275" i="3"/>
  <c r="M276" i="7"/>
  <c r="X275" i="3"/>
  <c r="L276" i="7"/>
  <c r="J275" i="3"/>
  <c r="K276" i="7"/>
  <c r="K275" i="3"/>
  <c r="AD275" i="3"/>
  <c r="AC275" i="3"/>
  <c r="AB275" i="3"/>
  <c r="AE275" i="3"/>
  <c r="I276" i="7" l="1"/>
  <c r="H277" i="7"/>
  <c r="H276" i="3"/>
  <c r="I275" i="3"/>
  <c r="Y276" i="3"/>
  <c r="Z276" i="3"/>
  <c r="L276" i="3"/>
  <c r="X276" i="3"/>
  <c r="K276" i="3"/>
  <c r="J277" i="7"/>
  <c r="J276" i="3"/>
  <c r="M277" i="7"/>
  <c r="K277" i="7"/>
  <c r="M276" i="3"/>
  <c r="L277" i="7"/>
  <c r="AB276" i="3"/>
  <c r="AC276" i="3"/>
  <c r="AD276" i="3"/>
  <c r="AE276" i="3"/>
  <c r="I277" i="7" l="1"/>
  <c r="H278" i="7"/>
  <c r="H277" i="3"/>
  <c r="I276" i="3"/>
  <c r="Z277" i="3"/>
  <c r="K277" i="3"/>
  <c r="K278" i="7"/>
  <c r="X277" i="3"/>
  <c r="J278" i="7"/>
  <c r="L277" i="3"/>
  <c r="J277" i="3"/>
  <c r="L278" i="7"/>
  <c r="M277" i="3"/>
  <c r="M278" i="7"/>
  <c r="Y277" i="3"/>
  <c r="AD277" i="3"/>
  <c r="AE277" i="3"/>
  <c r="AC277" i="3"/>
  <c r="AB277" i="3"/>
  <c r="H279" i="7" l="1"/>
  <c r="I278" i="7"/>
  <c r="H278" i="3"/>
  <c r="I277" i="3"/>
  <c r="AE278" i="3"/>
  <c r="K278" i="3"/>
  <c r="K279" i="7"/>
  <c r="L278" i="3"/>
  <c r="J278" i="3"/>
  <c r="J279" i="7"/>
  <c r="L279" i="7"/>
  <c r="M278" i="3"/>
  <c r="M279" i="7"/>
  <c r="Y278" i="3"/>
  <c r="Z278" i="3"/>
  <c r="X278" i="3"/>
  <c r="AB278" i="3"/>
  <c r="AD278" i="3"/>
  <c r="AC278" i="3"/>
  <c r="H280" i="7" l="1"/>
  <c r="I279" i="7"/>
  <c r="H279" i="3"/>
  <c r="I278" i="3"/>
  <c r="AC279" i="3"/>
  <c r="J280" i="7"/>
  <c r="M280" i="7"/>
  <c r="J279" i="3"/>
  <c r="K280" i="7"/>
  <c r="K279" i="3"/>
  <c r="M279" i="3"/>
  <c r="Y279" i="3"/>
  <c r="X279" i="3"/>
  <c r="L280" i="7"/>
  <c r="L279" i="3"/>
  <c r="Z279" i="3"/>
  <c r="AE279" i="3"/>
  <c r="AB279" i="3"/>
  <c r="AD279" i="3"/>
  <c r="I280" i="7" l="1"/>
  <c r="H281" i="7"/>
  <c r="H280" i="3"/>
  <c r="I279" i="3"/>
  <c r="AC280" i="3"/>
  <c r="K280" i="3"/>
  <c r="J281" i="7"/>
  <c r="L280" i="3"/>
  <c r="J280" i="3"/>
  <c r="M281" i="7"/>
  <c r="K281" i="7"/>
  <c r="M280" i="3"/>
  <c r="Y280" i="3"/>
  <c r="Z280" i="3"/>
  <c r="X280" i="3"/>
  <c r="L281" i="7"/>
  <c r="AE280" i="3"/>
  <c r="AB280" i="3"/>
  <c r="AD280" i="3"/>
  <c r="I281" i="7" l="1"/>
  <c r="H282" i="7"/>
  <c r="H281" i="3"/>
  <c r="I280" i="3"/>
  <c r="K281" i="3"/>
  <c r="L281" i="3"/>
  <c r="J282" i="7"/>
  <c r="M282" i="7"/>
  <c r="Z281" i="3"/>
  <c r="K282" i="7"/>
  <c r="J281" i="3"/>
  <c r="M281" i="3"/>
  <c r="Y281" i="3"/>
  <c r="X281" i="3"/>
  <c r="L282" i="7"/>
  <c r="AE281" i="3"/>
  <c r="AD281" i="3"/>
  <c r="AB281" i="3"/>
  <c r="AC281" i="3"/>
  <c r="H283" i="7" l="1"/>
  <c r="I282" i="7"/>
  <c r="H282" i="3"/>
  <c r="I281" i="3"/>
  <c r="X282" i="3"/>
  <c r="K283" i="7"/>
  <c r="J282" i="3"/>
  <c r="J283" i="7"/>
  <c r="L282" i="3"/>
  <c r="L283" i="7"/>
  <c r="M283" i="7"/>
  <c r="Z282" i="3"/>
  <c r="K282" i="3"/>
  <c r="Y282" i="3"/>
  <c r="M282" i="3"/>
  <c r="AD282" i="3"/>
  <c r="AE282" i="3"/>
  <c r="AC282" i="3"/>
  <c r="AB282" i="3"/>
  <c r="H284" i="7" l="1"/>
  <c r="I283" i="7"/>
  <c r="H283" i="3"/>
  <c r="I282" i="3"/>
  <c r="AB283" i="3"/>
  <c r="X283" i="3"/>
  <c r="K283" i="3"/>
  <c r="L284" i="7"/>
  <c r="J283" i="3"/>
  <c r="K284" i="7"/>
  <c r="L283" i="3"/>
  <c r="M283" i="3"/>
  <c r="J284" i="7"/>
  <c r="Y283" i="3"/>
  <c r="M284" i="7"/>
  <c r="Z283" i="3"/>
  <c r="AD283" i="3"/>
  <c r="AC283" i="3"/>
  <c r="AE283" i="3"/>
  <c r="I284" i="7" l="1"/>
  <c r="H285" i="7"/>
  <c r="H284" i="3"/>
  <c r="I283" i="3"/>
  <c r="AC284" i="3"/>
  <c r="M284" i="3"/>
  <c r="K285" i="7"/>
  <c r="J284" i="3"/>
  <c r="K284" i="3"/>
  <c r="J285" i="7"/>
  <c r="L285" i="7"/>
  <c r="Y284" i="3"/>
  <c r="Z284" i="3"/>
  <c r="X284" i="3"/>
  <c r="M285" i="7"/>
  <c r="L284" i="3"/>
  <c r="AD284" i="3"/>
  <c r="AB284" i="3"/>
  <c r="AE284" i="3"/>
  <c r="I285" i="7" l="1"/>
  <c r="H286" i="7"/>
  <c r="H285" i="3"/>
  <c r="I284" i="3"/>
  <c r="AE285" i="3"/>
  <c r="X285" i="3"/>
  <c r="K285" i="3"/>
  <c r="K286" i="7"/>
  <c r="L285" i="3"/>
  <c r="J285" i="3"/>
  <c r="J286" i="7"/>
  <c r="L286" i="7"/>
  <c r="M285" i="3"/>
  <c r="Y285" i="3"/>
  <c r="Z285" i="3"/>
  <c r="M286" i="7"/>
  <c r="AC285" i="3"/>
  <c r="AB285" i="3"/>
  <c r="AD285" i="3"/>
  <c r="H287" i="7" l="1"/>
  <c r="I286" i="7"/>
  <c r="H286" i="3"/>
  <c r="I285" i="3"/>
  <c r="AC286" i="3"/>
  <c r="Z286" i="3"/>
  <c r="K286" i="3"/>
  <c r="J286" i="3"/>
  <c r="J287" i="7"/>
  <c r="K287" i="7"/>
  <c r="L286" i="3"/>
  <c r="Y286" i="3"/>
  <c r="X286" i="3"/>
  <c r="L287" i="7"/>
  <c r="M286" i="3"/>
  <c r="M287" i="7"/>
  <c r="AB286" i="3"/>
  <c r="AE286" i="3"/>
  <c r="AD286" i="3"/>
  <c r="H288" i="7" l="1"/>
  <c r="I287" i="7"/>
  <c r="H287" i="3"/>
  <c r="I286" i="3"/>
  <c r="J288" i="7"/>
  <c r="Z287" i="3"/>
  <c r="X287" i="3"/>
  <c r="L288" i="7"/>
  <c r="J287" i="3"/>
  <c r="K287" i="3"/>
  <c r="L287" i="3"/>
  <c r="M287" i="3"/>
  <c r="K288" i="7"/>
  <c r="M288" i="7"/>
  <c r="Y287" i="3"/>
  <c r="AD287" i="3"/>
  <c r="AE287" i="3"/>
  <c r="AB287" i="3"/>
  <c r="AC287" i="3"/>
  <c r="I288" i="7" l="1"/>
  <c r="H289" i="7"/>
  <c r="H288" i="3"/>
  <c r="I287" i="3"/>
  <c r="M289" i="7"/>
  <c r="Y288" i="3"/>
  <c r="X288" i="3"/>
  <c r="J289" i="7"/>
  <c r="K288" i="3"/>
  <c r="L288" i="3"/>
  <c r="J288" i="3"/>
  <c r="K289" i="7"/>
  <c r="L289" i="7"/>
  <c r="M288" i="3"/>
  <c r="Z288" i="3"/>
  <c r="AE288" i="3"/>
  <c r="AB288" i="3"/>
  <c r="AD288" i="3"/>
  <c r="AC288" i="3"/>
  <c r="I289" i="7" l="1"/>
  <c r="H290" i="7"/>
  <c r="H289" i="3"/>
  <c r="I288" i="3"/>
  <c r="Y289" i="3"/>
  <c r="X289" i="3"/>
  <c r="K289" i="3"/>
  <c r="Z289" i="3"/>
  <c r="J290" i="7"/>
  <c r="K290" i="7"/>
  <c r="L289" i="3"/>
  <c r="L290" i="7"/>
  <c r="M289" i="3"/>
  <c r="M290" i="7"/>
  <c r="J289" i="3"/>
  <c r="AC289" i="3"/>
  <c r="AB289" i="3"/>
  <c r="AD289" i="3"/>
  <c r="AE289" i="3"/>
  <c r="H291" i="7" l="1"/>
  <c r="I290" i="7"/>
  <c r="H290" i="3"/>
  <c r="I289" i="3"/>
  <c r="Y290" i="3"/>
  <c r="Z290" i="3"/>
  <c r="J290" i="3"/>
  <c r="J291" i="7"/>
  <c r="K290" i="3"/>
  <c r="K291" i="7"/>
  <c r="L290" i="3"/>
  <c r="X290" i="3"/>
  <c r="L291" i="7"/>
  <c r="M290" i="3"/>
  <c r="M291" i="7"/>
  <c r="AB290" i="3"/>
  <c r="AE290" i="3"/>
  <c r="AD290" i="3"/>
  <c r="AC290" i="3"/>
  <c r="I291" i="7" l="1"/>
  <c r="H292" i="7"/>
  <c r="H291" i="3"/>
  <c r="I290" i="3"/>
  <c r="K292" i="7"/>
  <c r="Y291" i="3"/>
  <c r="Z291" i="3"/>
  <c r="K291" i="3"/>
  <c r="J292" i="7"/>
  <c r="X291" i="3"/>
  <c r="J291" i="3"/>
  <c r="L292" i="7"/>
  <c r="M292" i="7"/>
  <c r="L291" i="3"/>
  <c r="M291" i="3"/>
  <c r="AB291" i="3"/>
  <c r="AC291" i="3"/>
  <c r="AD291" i="3"/>
  <c r="AE291" i="3"/>
  <c r="I292" i="7" l="1"/>
  <c r="H293" i="7"/>
  <c r="H292" i="3"/>
  <c r="I291" i="3"/>
  <c r="M293" i="7"/>
  <c r="Z292" i="3"/>
  <c r="L292" i="3"/>
  <c r="Y292" i="3"/>
  <c r="X292" i="3"/>
  <c r="J292" i="3"/>
  <c r="J293" i="7"/>
  <c r="K292" i="3"/>
  <c r="K293" i="7"/>
  <c r="L293" i="7"/>
  <c r="M292" i="3"/>
  <c r="AB292" i="3"/>
  <c r="AE292" i="3"/>
  <c r="AC292" i="3"/>
  <c r="AD292" i="3"/>
  <c r="I293" i="7" l="1"/>
  <c r="H294" i="7"/>
  <c r="H293" i="3"/>
  <c r="I292" i="3"/>
  <c r="Z293" i="3"/>
  <c r="J293" i="3"/>
  <c r="K293" i="3"/>
  <c r="K294" i="7"/>
  <c r="L293" i="3"/>
  <c r="Y293" i="3"/>
  <c r="X293" i="3"/>
  <c r="J294" i="7"/>
  <c r="L294" i="7"/>
  <c r="M293" i="3"/>
  <c r="M294" i="7"/>
  <c r="AE293" i="3"/>
  <c r="AB293" i="3"/>
  <c r="AC293" i="3"/>
  <c r="AD293" i="3"/>
  <c r="H295" i="7" l="1"/>
  <c r="I294" i="7"/>
  <c r="H294" i="3"/>
  <c r="I293" i="3"/>
  <c r="AD294" i="3"/>
  <c r="AE294" i="3"/>
  <c r="AB294" i="3"/>
  <c r="AC294" i="3"/>
  <c r="X294" i="3"/>
  <c r="K294" i="3"/>
  <c r="K295" i="7"/>
  <c r="J294" i="3"/>
  <c r="J295" i="7"/>
  <c r="L294" i="3"/>
  <c r="L295" i="7"/>
  <c r="M294" i="3"/>
  <c r="M295" i="7"/>
  <c r="Y294" i="3"/>
  <c r="Z294" i="3"/>
  <c r="I295" i="7" l="1"/>
  <c r="H296" i="7"/>
  <c r="H295" i="3"/>
  <c r="I294" i="3"/>
  <c r="J296" i="7"/>
  <c r="Y295" i="3"/>
  <c r="J295" i="3"/>
  <c r="K295" i="3"/>
  <c r="L295" i="3"/>
  <c r="M295" i="3"/>
  <c r="K296" i="7"/>
  <c r="Z295" i="3"/>
  <c r="X295" i="3"/>
  <c r="L296" i="7"/>
  <c r="M296" i="7"/>
  <c r="AD295" i="3"/>
  <c r="AE295" i="3"/>
  <c r="AB295" i="3"/>
  <c r="AC295" i="3"/>
  <c r="I296" i="7" l="1"/>
  <c r="H297" i="7"/>
  <c r="H296" i="3"/>
  <c r="I295" i="3"/>
  <c r="AD296" i="3"/>
  <c r="X296" i="3"/>
  <c r="J296" i="3"/>
  <c r="J297" i="7"/>
  <c r="K296" i="3"/>
  <c r="K297" i="7"/>
  <c r="L296" i="3"/>
  <c r="L297" i="7"/>
  <c r="M297" i="7"/>
  <c r="Y296" i="3"/>
  <c r="Z296" i="3"/>
  <c r="M296" i="3"/>
  <c r="AB296" i="3"/>
  <c r="AC296" i="3"/>
  <c r="AE296" i="3"/>
  <c r="I297" i="7" l="1"/>
  <c r="H298" i="7"/>
  <c r="H297" i="3"/>
  <c r="I296" i="3"/>
  <c r="K297" i="3"/>
  <c r="K298" i="7"/>
  <c r="L297" i="3"/>
  <c r="J297" i="3"/>
  <c r="J298" i="7"/>
  <c r="L298" i="7"/>
  <c r="M298" i="7"/>
  <c r="Y297" i="3"/>
  <c r="X297" i="3"/>
  <c r="M297" i="3"/>
  <c r="Z297" i="3"/>
  <c r="AE297" i="3"/>
  <c r="AC297" i="3"/>
  <c r="AB297" i="3"/>
  <c r="AD297" i="3"/>
  <c r="H299" i="7" l="1"/>
  <c r="I298" i="7"/>
  <c r="H298" i="3"/>
  <c r="I297" i="3"/>
  <c r="K299" i="7"/>
  <c r="L298" i="3"/>
  <c r="X298" i="3"/>
  <c r="J298" i="3"/>
  <c r="J299" i="7"/>
  <c r="L299" i="7"/>
  <c r="M298" i="3"/>
  <c r="M299" i="7"/>
  <c r="Y298" i="3"/>
  <c r="K298" i="3"/>
  <c r="Z298" i="3"/>
  <c r="AD298" i="3"/>
  <c r="AE298" i="3"/>
  <c r="AB298" i="3"/>
  <c r="AC298" i="3"/>
  <c r="I299" i="7" l="1"/>
  <c r="H300" i="7"/>
  <c r="H299" i="3"/>
  <c r="I298" i="3"/>
  <c r="AD299" i="3"/>
  <c r="Y299" i="3"/>
  <c r="Z299" i="3"/>
  <c r="X299" i="3"/>
  <c r="J299" i="3"/>
  <c r="K299" i="3"/>
  <c r="M300" i="7"/>
  <c r="L299" i="3"/>
  <c r="L300" i="7"/>
  <c r="J300" i="7"/>
  <c r="M299" i="3"/>
  <c r="K300" i="7"/>
  <c r="AC299" i="3"/>
  <c r="AB299" i="3"/>
  <c r="AE299" i="3"/>
  <c r="I300" i="7" l="1"/>
  <c r="H301" i="7"/>
  <c r="H300" i="3"/>
  <c r="I299" i="3"/>
  <c r="L301" i="7"/>
  <c r="M301" i="7"/>
  <c r="X300" i="3"/>
  <c r="Y300" i="3"/>
  <c r="Z300" i="3"/>
  <c r="L300" i="3"/>
  <c r="J300" i="3"/>
  <c r="K300" i="3"/>
  <c r="M300" i="3"/>
  <c r="J301" i="7"/>
  <c r="K301" i="7"/>
  <c r="AB300" i="3"/>
  <c r="AD300" i="3"/>
  <c r="AC300" i="3"/>
  <c r="AE300" i="3"/>
  <c r="I301" i="7" l="1"/>
  <c r="H302" i="7"/>
  <c r="H301" i="3"/>
  <c r="I300" i="3"/>
  <c r="Y301" i="3"/>
  <c r="J301" i="3"/>
  <c r="L301" i="3"/>
  <c r="M301" i="3"/>
  <c r="Z301" i="3"/>
  <c r="X301" i="3"/>
  <c r="J302" i="7"/>
  <c r="K302" i="7"/>
  <c r="K301" i="3"/>
  <c r="M302" i="7"/>
  <c r="L302" i="7"/>
  <c r="AE301" i="3"/>
  <c r="AB301" i="3"/>
  <c r="AD301" i="3"/>
  <c r="AC301" i="3"/>
  <c r="H303" i="7" l="1"/>
  <c r="I302" i="7"/>
  <c r="H302" i="3"/>
  <c r="I301" i="3"/>
  <c r="X302" i="3"/>
  <c r="K302" i="3"/>
  <c r="L302" i="3"/>
  <c r="J302" i="3"/>
  <c r="J303" i="7"/>
  <c r="K303" i="7"/>
  <c r="L303" i="7"/>
  <c r="M302" i="3"/>
  <c r="M303" i="7"/>
  <c r="Y302" i="3"/>
  <c r="Z302" i="3"/>
  <c r="AB302" i="3"/>
  <c r="AC302" i="3"/>
  <c r="AE302" i="3"/>
  <c r="AD302" i="3"/>
  <c r="I303" i="7" l="1"/>
  <c r="H304" i="7"/>
  <c r="H303" i="3"/>
  <c r="I302" i="3"/>
  <c r="AB303" i="3"/>
  <c r="J304" i="7"/>
  <c r="M303" i="3"/>
  <c r="L304" i="7"/>
  <c r="M304" i="7"/>
  <c r="Y303" i="3"/>
  <c r="K304" i="7"/>
  <c r="X303" i="3"/>
  <c r="J303" i="3"/>
  <c r="K303" i="3"/>
  <c r="L303" i="3"/>
  <c r="Z303" i="3"/>
  <c r="AC303" i="3"/>
  <c r="AD303" i="3"/>
  <c r="AE303" i="3"/>
  <c r="I304" i="7" l="1"/>
  <c r="H305" i="7"/>
  <c r="H304" i="3"/>
  <c r="I303" i="3"/>
  <c r="X304" i="3"/>
  <c r="K304" i="3"/>
  <c r="K305" i="7"/>
  <c r="J304" i="3"/>
  <c r="J305" i="7"/>
  <c r="L304" i="3"/>
  <c r="L305" i="7"/>
  <c r="M304" i="3"/>
  <c r="M305" i="7"/>
  <c r="Z304" i="3"/>
  <c r="Y304" i="3"/>
  <c r="AB304" i="3"/>
  <c r="AE304" i="3"/>
  <c r="AD304" i="3"/>
  <c r="AC304" i="3"/>
  <c r="I305" i="7" l="1"/>
  <c r="H305" i="3"/>
  <c r="I304" i="3"/>
  <c r="Y305" i="3"/>
  <c r="X305" i="3"/>
  <c r="J305" i="3"/>
  <c r="K305" i="3"/>
  <c r="L305" i="3"/>
  <c r="M305" i="3"/>
  <c r="Z305" i="3"/>
  <c r="AD305" i="3"/>
  <c r="AC305" i="3"/>
  <c r="AE305" i="3"/>
  <c r="AB305" i="3"/>
  <c r="I305" i="3" l="1"/>
  <c r="I11" i="1" l="1"/>
  <c r="I9" i="1" s="1"/>
  <c r="L6" i="1" s="1"/>
  <c r="M6" i="1" s="1"/>
  <c r="R6" i="1"/>
  <c r="N6" i="1" l="1"/>
  <c r="L7" i="1"/>
  <c r="I7" i="1"/>
  <c r="M7" i="1" l="1"/>
  <c r="S6" i="1"/>
  <c r="O6" i="1"/>
  <c r="P6" i="1" s="1"/>
  <c r="I6" i="1"/>
  <c r="I5" i="1"/>
  <c r="R7" i="1"/>
  <c r="T6" i="1" l="1"/>
  <c r="Q6" i="1"/>
  <c r="L8" i="1"/>
  <c r="N7" i="1"/>
  <c r="Q7" i="1"/>
  <c r="T7" i="1"/>
  <c r="S7" i="1" l="1"/>
  <c r="O7" i="1"/>
  <c r="P7" i="1" s="1"/>
  <c r="M8" i="1"/>
  <c r="R8" i="1"/>
  <c r="T8" i="1" l="1"/>
  <c r="Q8" i="1"/>
  <c r="L9" i="1"/>
  <c r="N8" i="1"/>
  <c r="S8" i="1" l="1"/>
  <c r="O8" i="1"/>
  <c r="P8" i="1" s="1"/>
  <c r="M9" i="1"/>
  <c r="R9" i="1"/>
  <c r="L10" i="1" l="1"/>
  <c r="N9" i="1"/>
  <c r="Q9" i="1"/>
  <c r="T9" i="1"/>
  <c r="S9" i="1" l="1"/>
  <c r="O9" i="1"/>
  <c r="P9" i="1" s="1"/>
  <c r="M10" i="1"/>
  <c r="T10" i="1" s="1"/>
  <c r="R10" i="1"/>
  <c r="L11" i="1" l="1"/>
  <c r="N10" i="1"/>
  <c r="Q10" i="1"/>
  <c r="O10" i="1" l="1"/>
  <c r="P10" i="1" s="1"/>
  <c r="S10" i="1"/>
  <c r="M11" i="1"/>
  <c r="T11" i="1" s="1"/>
  <c r="R11" i="1"/>
  <c r="L12" i="1" l="1"/>
  <c r="N11" i="1"/>
  <c r="Q11" i="1"/>
  <c r="S11" i="1" l="1"/>
  <c r="O11" i="1"/>
  <c r="P11" i="1" s="1"/>
  <c r="M12" i="1"/>
  <c r="R12" i="1"/>
  <c r="L13" i="1" l="1"/>
  <c r="N12" i="1"/>
  <c r="T12" i="1"/>
  <c r="Q12" i="1"/>
  <c r="S12" i="1" l="1"/>
  <c r="O12" i="1"/>
  <c r="P12" i="1" s="1"/>
  <c r="M13" i="1"/>
  <c r="T13" i="1" s="1"/>
  <c r="R13" i="1"/>
  <c r="L14" i="1" l="1"/>
  <c r="N13" i="1"/>
  <c r="Q13" i="1"/>
  <c r="M14" i="1" l="1"/>
  <c r="T14" i="1" s="1"/>
  <c r="O13" i="1"/>
  <c r="P13" i="1" s="1"/>
  <c r="S13" i="1"/>
  <c r="R14" i="1"/>
  <c r="Q14" i="1" l="1"/>
  <c r="L15" i="1"/>
  <c r="N14" i="1"/>
  <c r="O14" i="1" l="1"/>
  <c r="P14" i="1" s="1"/>
  <c r="S14" i="1"/>
  <c r="M15" i="1"/>
  <c r="Q15" i="1" s="1"/>
  <c r="R15" i="1"/>
  <c r="L16" i="1" l="1"/>
  <c r="N15" i="1"/>
  <c r="T15" i="1"/>
  <c r="O15" i="1" l="1"/>
  <c r="P15" i="1" s="1"/>
  <c r="S15" i="1"/>
  <c r="M16" i="1"/>
  <c r="R16" i="1"/>
  <c r="L17" i="1" l="1"/>
  <c r="N16" i="1"/>
  <c r="T16" i="1"/>
  <c r="Q16" i="1"/>
  <c r="S16" i="1" l="1"/>
  <c r="O16" i="1"/>
  <c r="P16" i="1" s="1"/>
  <c r="M17" i="1"/>
  <c r="T17" i="1" s="1"/>
  <c r="R17" i="1"/>
  <c r="Q17" i="1" l="1"/>
  <c r="L18" i="1"/>
  <c r="N17" i="1"/>
  <c r="S17" i="1" l="1"/>
  <c r="O17" i="1"/>
  <c r="P17" i="1" s="1"/>
  <c r="M18" i="1"/>
  <c r="T18" i="1" s="1"/>
  <c r="R18" i="1"/>
  <c r="L19" i="1" l="1"/>
  <c r="N18" i="1"/>
  <c r="Q18" i="1"/>
  <c r="O18" i="1" l="1"/>
  <c r="P18" i="1" s="1"/>
  <c r="S18" i="1"/>
  <c r="M19" i="1"/>
  <c r="Q19" i="1" s="1"/>
  <c r="R19" i="1"/>
  <c r="T19" i="1" l="1"/>
  <c r="L20" i="1"/>
  <c r="N19" i="1"/>
  <c r="M20" i="1" l="1"/>
  <c r="T20" i="1" s="1"/>
  <c r="S19" i="1"/>
  <c r="O19" i="1"/>
  <c r="P19" i="1" s="1"/>
  <c r="R20" i="1"/>
  <c r="Q20" i="1" l="1"/>
  <c r="L21" i="1"/>
  <c r="N20" i="1"/>
  <c r="M21" i="1" l="1"/>
  <c r="T21" i="1" s="1"/>
  <c r="S20" i="1"/>
  <c r="O20" i="1"/>
  <c r="P20" i="1" s="1"/>
  <c r="R21" i="1"/>
  <c r="Q21" i="1" l="1"/>
  <c r="L22" i="1"/>
  <c r="N21" i="1"/>
  <c r="O21" i="1" l="1"/>
  <c r="P21" i="1" s="1"/>
  <c r="S21" i="1"/>
  <c r="M22" i="1"/>
  <c r="T22" i="1" s="1"/>
  <c r="R22" i="1"/>
  <c r="L23" i="1" l="1"/>
  <c r="N22" i="1"/>
  <c r="Q22" i="1"/>
  <c r="M23" i="1" l="1"/>
  <c r="Q23" i="1" s="1"/>
  <c r="S22" i="1"/>
  <c r="O22" i="1"/>
  <c r="P22" i="1" s="1"/>
  <c r="R23" i="1"/>
  <c r="T23" i="1" l="1"/>
  <c r="L24" i="1"/>
  <c r="N23" i="1"/>
  <c r="S23" i="1" l="1"/>
  <c r="O23" i="1"/>
  <c r="P23" i="1" s="1"/>
  <c r="M24" i="1"/>
  <c r="T24" i="1" s="1"/>
  <c r="R24" i="1"/>
  <c r="Q24" i="1" l="1"/>
  <c r="L25" i="1"/>
  <c r="N24" i="1"/>
  <c r="S24" i="1" l="1"/>
  <c r="O24" i="1"/>
  <c r="P24" i="1" s="1"/>
  <c r="M25" i="1"/>
  <c r="T25" i="1" s="1"/>
  <c r="R25" i="1"/>
  <c r="L26" i="1" l="1"/>
  <c r="N25" i="1"/>
  <c r="Q25" i="1"/>
  <c r="M26" i="1" l="1"/>
  <c r="Q26" i="1" s="1"/>
  <c r="S25" i="1"/>
  <c r="O25" i="1"/>
  <c r="P25" i="1" s="1"/>
  <c r="R26" i="1"/>
  <c r="T26" i="1" l="1"/>
  <c r="L27" i="1"/>
  <c r="N26" i="1"/>
  <c r="S26" i="1" l="1"/>
  <c r="O26" i="1"/>
  <c r="P26" i="1" s="1"/>
  <c r="M27" i="1"/>
  <c r="Q27" i="1" s="1"/>
  <c r="R27" i="1"/>
  <c r="L28" i="1" l="1"/>
  <c r="N27" i="1"/>
  <c r="T27" i="1"/>
  <c r="O27" i="1" l="1"/>
  <c r="P27" i="1" s="1"/>
  <c r="S27" i="1"/>
  <c r="M28" i="1"/>
  <c r="T28" i="1" s="1"/>
  <c r="R28" i="1"/>
  <c r="L29" i="1" l="1"/>
  <c r="N28" i="1"/>
  <c r="Q28" i="1"/>
  <c r="O28" i="1" l="1"/>
  <c r="P28" i="1" s="1"/>
  <c r="S28" i="1"/>
  <c r="M29" i="1"/>
  <c r="Q29" i="1" s="1"/>
  <c r="R29" i="1"/>
  <c r="T29" i="1" l="1"/>
  <c r="L30" i="1"/>
  <c r="N29" i="1"/>
  <c r="M30" i="1" l="1"/>
  <c r="T30" i="1" s="1"/>
  <c r="O29" i="1"/>
  <c r="P29" i="1" s="1"/>
  <c r="S29" i="1"/>
  <c r="R30" i="1"/>
  <c r="Q30" i="1" l="1"/>
  <c r="L31" i="1"/>
  <c r="N30" i="1"/>
  <c r="O30" i="1" l="1"/>
  <c r="P30" i="1" s="1"/>
  <c r="S30" i="1"/>
  <c r="M31" i="1"/>
  <c r="R31" i="1"/>
  <c r="L32" i="1" l="1"/>
  <c r="N31" i="1"/>
  <c r="Q31" i="1"/>
  <c r="T31" i="1"/>
  <c r="M32" i="1" l="1"/>
  <c r="T32" i="1" s="1"/>
  <c r="S31" i="1"/>
  <c r="O31" i="1"/>
  <c r="P31" i="1" s="1"/>
  <c r="R32" i="1"/>
  <c r="Q32" i="1" l="1"/>
  <c r="L33" i="1"/>
  <c r="N32" i="1"/>
  <c r="M33" i="1" l="1"/>
  <c r="S32" i="1"/>
  <c r="O32" i="1"/>
  <c r="P32" i="1" s="1"/>
  <c r="R33" i="1"/>
  <c r="L34" i="1" l="1"/>
  <c r="N33" i="1"/>
  <c r="Q33" i="1"/>
  <c r="T33" i="1"/>
  <c r="S33" i="1" l="1"/>
  <c r="O33" i="1"/>
  <c r="P33" i="1" s="1"/>
  <c r="M34" i="1"/>
  <c r="T34" i="1" s="1"/>
  <c r="R34" i="1"/>
  <c r="Q34" i="1" l="1"/>
  <c r="L35" i="1"/>
  <c r="N34" i="1"/>
  <c r="S34" i="1" l="1"/>
  <c r="O34" i="1"/>
  <c r="P34" i="1" s="1"/>
  <c r="M35" i="1"/>
  <c r="T35" i="1" s="1"/>
  <c r="R35" i="1"/>
  <c r="Q35" i="1" l="1"/>
  <c r="N35" i="1"/>
  <c r="O35" i="1" l="1"/>
  <c r="P35" i="1" s="1"/>
  <c r="S35" i="1"/>
</calcChain>
</file>

<file path=xl/sharedStrings.xml><?xml version="1.0" encoding="utf-8"?>
<sst xmlns="http://schemas.openxmlformats.org/spreadsheetml/2006/main" count="284" uniqueCount="37">
  <si>
    <t>Długość działki kielicha</t>
  </si>
  <si>
    <t>Szerokość działki kielicha</t>
  </si>
  <si>
    <t>Długość płatka</t>
  </si>
  <si>
    <t>Szerokość płatka</t>
  </si>
  <si>
    <t>Gatunek</t>
  </si>
  <si>
    <t>Średnia</t>
  </si>
  <si>
    <t>Indeks</t>
  </si>
  <si>
    <t>setosa</t>
  </si>
  <si>
    <t>Odchylenie standardowe</t>
  </si>
  <si>
    <t>Liczba obserwacji:</t>
  </si>
  <si>
    <t>k</t>
  </si>
  <si>
    <t>h</t>
  </si>
  <si>
    <t>Minimum</t>
  </si>
  <si>
    <t>Maksimum</t>
  </si>
  <si>
    <t>versicolor</t>
  </si>
  <si>
    <t>virginica</t>
  </si>
  <si>
    <t>x_{i}</t>
  </si>
  <si>
    <t>G^(-1)(i/n)</t>
  </si>
  <si>
    <t>Estymacja Epanecznikowa:</t>
  </si>
  <si>
    <t>Estymacja dystrybuanty:</t>
  </si>
  <si>
    <t>Szerokość pasma</t>
  </si>
  <si>
    <t>Gaussowska</t>
  </si>
  <si>
    <t>x</t>
  </si>
  <si>
    <t>teor</t>
  </si>
  <si>
    <t>Numer</t>
  </si>
  <si>
    <t>y_i</t>
  </si>
  <si>
    <t>y_(i  - 1)</t>
  </si>
  <si>
    <t>s.n_i</t>
  </si>
  <si>
    <t>n_i</t>
  </si>
  <si>
    <t>p_i</t>
  </si>
  <si>
    <t>f_i</t>
  </si>
  <si>
    <t>g_i</t>
  </si>
  <si>
    <t>s.n_i/ n</t>
  </si>
  <si>
    <t>F(x_i)</t>
  </si>
  <si>
    <t>X</t>
  </si>
  <si>
    <t>Gatunek (wybrany)</t>
  </si>
  <si>
    <t>x_i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</si>
</sst>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i/>
      <sz val="11"/>
      <color theme="1"/>
      <name val="Arial Nova"/>
      <family val="2"/>
      <charset val="238"/>
    </font>
    <font>
      <sz val="11"/>
      <color theme="1"/>
      <name val="Arial Nova"/>
      <family val="2"/>
      <charset val="238"/>
    </font>
    <font>
      <b/>
      <sz val="11"/>
      <color theme="1"/>
      <name val="Arial Nova"/>
      <family val="2"/>
      <charset val="238"/>
    </font>
    <font>
      <sz val="11"/>
      <color theme="1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ED1B7F"/>
      <color rgb="FF654BFF"/>
      <color rgb="FF6699FF"/>
      <color rgb="FF4DA9B3"/>
      <color rgb="FF660066"/>
      <color rgb="FFC55A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>
                  <a:alpha val="87000"/>
                </a:schemeClr>
              </a:solidFill>
            </a:ln>
            <a:effectLst/>
          </c:spPr>
          <c:invertIfNegative val="0"/>
          <c:cat>
            <c:numRef>
              <c:f>Irysy!$L$6:$L$35</c:f>
              <c:numCache>
                <c:formatCode>0.000000</c:formatCode>
                <c:ptCount val="30"/>
                <c:pt idx="0">
                  <c:v>0.89827586206896548</c:v>
                </c:pt>
                <c:pt idx="1">
                  <c:v>1.1017241379310345</c:v>
                </c:pt>
                <c:pt idx="2">
                  <c:v>1.3051724137931036</c:v>
                </c:pt>
                <c:pt idx="3">
                  <c:v>1.5086206896551726</c:v>
                </c:pt>
                <c:pt idx="4">
                  <c:v>1.7120689655172416</c:v>
                </c:pt>
                <c:pt idx="5">
                  <c:v>1.9155172413793107</c:v>
                </c:pt>
                <c:pt idx="6">
                  <c:v>2.1189655172413797</c:v>
                </c:pt>
                <c:pt idx="7">
                  <c:v>2.3224137931034488</c:v>
                </c:pt>
                <c:pt idx="8">
                  <c:v>2.5258620689655178</c:v>
                </c:pt>
                <c:pt idx="9">
                  <c:v>2.7293103448275868</c:v>
                </c:pt>
                <c:pt idx="10">
                  <c:v>2.9327586206896559</c:v>
                </c:pt>
                <c:pt idx="11">
                  <c:v>3.1362068965517249</c:v>
                </c:pt>
                <c:pt idx="12">
                  <c:v>3.3396551724137939</c:v>
                </c:pt>
                <c:pt idx="13">
                  <c:v>3.543103448275863</c:v>
                </c:pt>
                <c:pt idx="14">
                  <c:v>3.746551724137932</c:v>
                </c:pt>
                <c:pt idx="15">
                  <c:v>3.9500000000000011</c:v>
                </c:pt>
                <c:pt idx="16">
                  <c:v>4.1534482758620701</c:v>
                </c:pt>
                <c:pt idx="17">
                  <c:v>4.3568965517241391</c:v>
                </c:pt>
                <c:pt idx="18">
                  <c:v>4.5603448275862082</c:v>
                </c:pt>
                <c:pt idx="19">
                  <c:v>4.7637931034482772</c:v>
                </c:pt>
                <c:pt idx="20">
                  <c:v>4.9672413793103463</c:v>
                </c:pt>
                <c:pt idx="21">
                  <c:v>5.1706896551724153</c:v>
                </c:pt>
                <c:pt idx="22">
                  <c:v>5.3741379310344843</c:v>
                </c:pt>
                <c:pt idx="23">
                  <c:v>5.5775862068965534</c:v>
                </c:pt>
                <c:pt idx="24">
                  <c:v>5.7810344827586224</c:v>
                </c:pt>
                <c:pt idx="25">
                  <c:v>5.9844827586206915</c:v>
                </c:pt>
                <c:pt idx="26">
                  <c:v>6.1879310344827605</c:v>
                </c:pt>
                <c:pt idx="27">
                  <c:v>6.3913793103448295</c:v>
                </c:pt>
                <c:pt idx="28">
                  <c:v>6.5948275862068986</c:v>
                </c:pt>
                <c:pt idx="29">
                  <c:v>6.7982758620689676</c:v>
                </c:pt>
              </c:numCache>
            </c:numRef>
          </c:cat>
          <c:val>
            <c:numRef>
              <c:f>Irysy!$P$6:$P$35</c:f>
              <c:numCache>
                <c:formatCode>0.000000</c:formatCode>
                <c:ptCount val="30"/>
                <c:pt idx="0">
                  <c:v>6.5536723163841806E-2</c:v>
                </c:pt>
                <c:pt idx="1">
                  <c:v>0.29491525423728809</c:v>
                </c:pt>
                <c:pt idx="2">
                  <c:v>0.85197740112994347</c:v>
                </c:pt>
                <c:pt idx="3">
                  <c:v>0.36045197740112989</c:v>
                </c:pt>
                <c:pt idx="4">
                  <c:v>6.5536723163841806E-2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3.2768361581920903E-2</c:v>
                </c:pt>
                <c:pt idx="11">
                  <c:v>6.5536723163841806E-2</c:v>
                </c:pt>
                <c:pt idx="12">
                  <c:v>6.5536723163841806E-2</c:v>
                </c:pt>
                <c:pt idx="13">
                  <c:v>6.5536723163841806E-2</c:v>
                </c:pt>
                <c:pt idx="14">
                  <c:v>0.13107344632768361</c:v>
                </c:pt>
                <c:pt idx="15">
                  <c:v>0.26214689265536723</c:v>
                </c:pt>
                <c:pt idx="16">
                  <c:v>0.19661016949152541</c:v>
                </c:pt>
                <c:pt idx="17">
                  <c:v>0.39322033898305081</c:v>
                </c:pt>
                <c:pt idx="18">
                  <c:v>0.26214689265536723</c:v>
                </c:pt>
                <c:pt idx="19">
                  <c:v>0.29491525423728809</c:v>
                </c:pt>
                <c:pt idx="20">
                  <c:v>0.39322033898305081</c:v>
                </c:pt>
                <c:pt idx="21">
                  <c:v>0.13107344632768361</c:v>
                </c:pt>
                <c:pt idx="22">
                  <c:v>0.16384180790960451</c:v>
                </c:pt>
                <c:pt idx="23">
                  <c:v>0.29491525423728809</c:v>
                </c:pt>
                <c:pt idx="24">
                  <c:v>0.16384180790960451</c:v>
                </c:pt>
                <c:pt idx="25">
                  <c:v>0.16384180790960451</c:v>
                </c:pt>
                <c:pt idx="26">
                  <c:v>3.2768361581920903E-2</c:v>
                </c:pt>
                <c:pt idx="27">
                  <c:v>3.2768361581920903E-2</c:v>
                </c:pt>
                <c:pt idx="28">
                  <c:v>9.8305084745762703E-2</c:v>
                </c:pt>
                <c:pt idx="29">
                  <c:v>3.2768361581920903E-2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8-4FEA-A7E4-49049A3F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02439600"/>
        <c:axId val="890966144"/>
      </c:barChart>
      <c:lineChart>
        <c:grouping val="standard"/>
        <c:varyColors val="0"/>
        <c:ser>
          <c:idx val="1"/>
          <c:order val="1"/>
          <c:tx>
            <c:v>Teoretyczna gęstość normalna</c:v>
          </c:tx>
          <c:spPr>
            <a:ln w="28575" cap="rnd">
              <a:solidFill>
                <a:srgbClr val="654BFF"/>
              </a:solidFill>
              <a:round/>
            </a:ln>
            <a:effectLst/>
          </c:spPr>
          <c:marker>
            <c:symbol val="none"/>
          </c:marker>
          <c:val>
            <c:numRef>
              <c:f>Irysy!$Q$6:$Q$35</c:f>
              <c:numCache>
                <c:formatCode>0.000000</c:formatCode>
                <c:ptCount val="30"/>
                <c:pt idx="0">
                  <c:v>6.6689029091961977E-2</c:v>
                </c:pt>
                <c:pt idx="1">
                  <c:v>7.931737406002394E-2</c:v>
                </c:pt>
                <c:pt idx="2">
                  <c:v>9.3092319229378898E-2</c:v>
                </c:pt>
                <c:pt idx="3">
                  <c:v>0.10781792314766429</c:v>
                </c:pt>
                <c:pt idx="4">
                  <c:v>0.12322523730078648</c:v>
                </c:pt>
                <c:pt idx="5">
                  <c:v>0.13897604676128952</c:v>
                </c:pt>
                <c:pt idx="6">
                  <c:v>0.15467204722770772</c:v>
                </c:pt>
                <c:pt idx="7">
                  <c:v>0.16986945886846291</c:v>
                </c:pt>
                <c:pt idx="8">
                  <c:v>0.18409854756427901</c:v>
                </c:pt>
                <c:pt idx="9">
                  <c:v>0.19688698587124326</c:v>
                </c:pt>
                <c:pt idx="10">
                  <c:v>0.20778550499191067</c:v>
                </c:pt>
                <c:pt idx="11">
                  <c:v>0.21639393043034447</c:v>
                </c:pt>
                <c:pt idx="12">
                  <c:v>0.22238551268685328</c:v>
                </c:pt>
                <c:pt idx="13">
                  <c:v>0.22552749578016168</c:v>
                </c:pt>
                <c:pt idx="14">
                  <c:v>0.22569611991396837</c:v>
                </c:pt>
                <c:pt idx="15">
                  <c:v>0.22288471048004041</c:v>
                </c:pt>
                <c:pt idx="16">
                  <c:v>0.21720411645392834</c:v>
                </c:pt>
                <c:pt idx="17">
                  <c:v>0.20887545804808244</c:v>
                </c:pt>
                <c:pt idx="18">
                  <c:v>0.1982158449993866</c:v>
                </c:pt>
                <c:pt idx="19">
                  <c:v>0.18561835117192865</c:v>
                </c:pt>
                <c:pt idx="20">
                  <c:v>0.17152800730743623</c:v>
                </c:pt>
                <c:pt idx="21">
                  <c:v>0.15641585158523014</c:v>
                </c:pt>
                <c:pt idx="22">
                  <c:v>0.14075313414275742</c:v>
                </c:pt>
                <c:pt idx="23">
                  <c:v>0.12498761299718594</c:v>
                </c:pt>
                <c:pt idx="24">
                  <c:v>0.10952353769576433</c:v>
                </c:pt>
                <c:pt idx="25">
                  <c:v>9.4706446615378512E-2</c:v>
                </c:pt>
                <c:pt idx="26">
                  <c:v>8.0813368646533462E-2</c:v>
                </c:pt>
                <c:pt idx="27">
                  <c:v>6.804848614126438E-2</c:v>
                </c:pt>
                <c:pt idx="28">
                  <c:v>5.6543842095060741E-2</c:v>
                </c:pt>
                <c:pt idx="29">
                  <c:v>4.6364304715173534E-2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28-4FEA-A7E4-49049A3FA1DE}"/>
            </c:ext>
          </c:extLst>
        </c:ser>
        <c:ser>
          <c:idx val="2"/>
          <c:order val="2"/>
          <c:tx>
            <c:v>Estymacja gęstości</c:v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Irysy!$R$6:$R$35</c:f>
              <c:numCache>
                <c:formatCode>General</c:formatCode>
                <c:ptCount val="30"/>
                <c:pt idx="0">
                  <c:v>0.15197430392932543</c:v>
                </c:pt>
                <c:pt idx="1">
                  <c:v>0.17604284421074076</c:v>
                </c:pt>
                <c:pt idx="2">
                  <c:v>0.18791413283096797</c:v>
                </c:pt>
                <c:pt idx="3">
                  <c:v>0.1850614480897407</c:v>
                </c:pt>
                <c:pt idx="4">
                  <c:v>0.16861424038725314</c:v>
                </c:pt>
                <c:pt idx="5">
                  <c:v>0.14305175875682727</c:v>
                </c:pt>
                <c:pt idx="6">
                  <c:v>0.1146984331545351</c:v>
                </c:pt>
                <c:pt idx="7">
                  <c:v>8.9777725963558416E-2</c:v>
                </c:pt>
                <c:pt idx="8">
                  <c:v>7.2886004812263899E-2</c:v>
                </c:pt>
                <c:pt idx="9">
                  <c:v>6.6364825758659943E-2</c:v>
                </c:pt>
                <c:pt idx="10">
                  <c:v>7.0503277058756808E-2</c:v>
                </c:pt>
                <c:pt idx="11">
                  <c:v>8.4152221702907065E-2</c:v>
                </c:pt>
                <c:pt idx="12">
                  <c:v>0.10532133933477385</c:v>
                </c:pt>
                <c:pt idx="13">
                  <c:v>0.1315500596885876</c:v>
                </c:pt>
                <c:pt idx="14">
                  <c:v>0.16008626471155066</c:v>
                </c:pt>
                <c:pt idx="15">
                  <c:v>0.18802500634149871</c:v>
                </c:pt>
                <c:pt idx="16">
                  <c:v>0.21253052953241247</c:v>
                </c:pt>
                <c:pt idx="17">
                  <c:v>0.23115536089253139</c:v>
                </c:pt>
                <c:pt idx="18">
                  <c:v>0.24216844212145125</c:v>
                </c:pt>
                <c:pt idx="19">
                  <c:v>0.24476954585285035</c:v>
                </c:pt>
                <c:pt idx="20">
                  <c:v>0.23911039146258706</c:v>
                </c:pt>
                <c:pt idx="21">
                  <c:v>0.22613065831463147</c:v>
                </c:pt>
                <c:pt idx="22">
                  <c:v>0.2072929544348755</c:v>
                </c:pt>
                <c:pt idx="23">
                  <c:v>0.18431896266127104</c:v>
                </c:pt>
                <c:pt idx="24">
                  <c:v>0.15898623481919558</c:v>
                </c:pt>
                <c:pt idx="25">
                  <c:v>0.13298367062360048</c:v>
                </c:pt>
                <c:pt idx="26">
                  <c:v>0.1077948132689204</c:v>
                </c:pt>
                <c:pt idx="27">
                  <c:v>8.4595844978729087E-2</c:v>
                </c:pt>
                <c:pt idx="28">
                  <c:v>6.4187555583544886E-2</c:v>
                </c:pt>
                <c:pt idx="29">
                  <c:v>4.6987187373193975E-2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28-4FEA-A7E4-49049A3F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439600"/>
        <c:axId val="890966144"/>
      </c:lineChart>
      <c:catAx>
        <c:axId val="902439600"/>
        <c:scaling>
          <c:orientation val="minMax"/>
        </c:scaling>
        <c:delete val="0"/>
        <c:axPos val="b"/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90966144"/>
        <c:crosses val="autoZero"/>
        <c:auto val="1"/>
        <c:lblAlgn val="ctr"/>
        <c:lblOffset val="100"/>
        <c:noMultiLvlLbl val="0"/>
      </c:catAx>
      <c:valAx>
        <c:axId val="89096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0243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 skumulowany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Skumulowana częstość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>
                  <a:alpha val="71000"/>
                </a:schemeClr>
              </a:solidFill>
            </a:ln>
            <a:effectLst/>
          </c:spPr>
          <c:invertIfNegative val="0"/>
          <c:cat>
            <c:numRef>
              <c:f>Irysy!$L$6:$L$35</c:f>
              <c:numCache>
                <c:formatCode>0.000000</c:formatCode>
                <c:ptCount val="30"/>
                <c:pt idx="0">
                  <c:v>0.89827586206896548</c:v>
                </c:pt>
                <c:pt idx="1">
                  <c:v>1.1017241379310345</c:v>
                </c:pt>
                <c:pt idx="2">
                  <c:v>1.3051724137931036</c:v>
                </c:pt>
                <c:pt idx="3">
                  <c:v>1.5086206896551726</c:v>
                </c:pt>
                <c:pt idx="4">
                  <c:v>1.7120689655172416</c:v>
                </c:pt>
                <c:pt idx="5">
                  <c:v>1.9155172413793107</c:v>
                </c:pt>
                <c:pt idx="6">
                  <c:v>2.1189655172413797</c:v>
                </c:pt>
                <c:pt idx="7">
                  <c:v>2.3224137931034488</c:v>
                </c:pt>
                <c:pt idx="8">
                  <c:v>2.5258620689655178</c:v>
                </c:pt>
                <c:pt idx="9">
                  <c:v>2.7293103448275868</c:v>
                </c:pt>
                <c:pt idx="10">
                  <c:v>2.9327586206896559</c:v>
                </c:pt>
                <c:pt idx="11">
                  <c:v>3.1362068965517249</c:v>
                </c:pt>
                <c:pt idx="12">
                  <c:v>3.3396551724137939</c:v>
                </c:pt>
                <c:pt idx="13">
                  <c:v>3.543103448275863</c:v>
                </c:pt>
                <c:pt idx="14">
                  <c:v>3.746551724137932</c:v>
                </c:pt>
                <c:pt idx="15">
                  <c:v>3.9500000000000011</c:v>
                </c:pt>
                <c:pt idx="16">
                  <c:v>4.1534482758620701</c:v>
                </c:pt>
                <c:pt idx="17">
                  <c:v>4.3568965517241391</c:v>
                </c:pt>
                <c:pt idx="18">
                  <c:v>4.5603448275862082</c:v>
                </c:pt>
                <c:pt idx="19">
                  <c:v>4.7637931034482772</c:v>
                </c:pt>
                <c:pt idx="20">
                  <c:v>4.9672413793103463</c:v>
                </c:pt>
                <c:pt idx="21">
                  <c:v>5.1706896551724153</c:v>
                </c:pt>
                <c:pt idx="22">
                  <c:v>5.3741379310344843</c:v>
                </c:pt>
                <c:pt idx="23">
                  <c:v>5.5775862068965534</c:v>
                </c:pt>
                <c:pt idx="24">
                  <c:v>5.7810344827586224</c:v>
                </c:pt>
                <c:pt idx="25">
                  <c:v>5.9844827586206915</c:v>
                </c:pt>
                <c:pt idx="26">
                  <c:v>6.1879310344827605</c:v>
                </c:pt>
                <c:pt idx="27">
                  <c:v>6.3913793103448295</c:v>
                </c:pt>
                <c:pt idx="28">
                  <c:v>6.5948275862068986</c:v>
                </c:pt>
                <c:pt idx="29">
                  <c:v>6.7982758620689676</c:v>
                </c:pt>
              </c:numCache>
            </c:numRef>
          </c:cat>
          <c:val>
            <c:numRef>
              <c:f>Irysy!$S$6:$S$35</c:f>
              <c:numCache>
                <c:formatCode>General</c:formatCode>
                <c:ptCount val="30"/>
                <c:pt idx="0">
                  <c:v>1.3333333333333334E-2</c:v>
                </c:pt>
                <c:pt idx="1">
                  <c:v>7.3333333333333334E-2</c:v>
                </c:pt>
                <c:pt idx="2">
                  <c:v>0.24666666666666667</c:v>
                </c:pt>
                <c:pt idx="3">
                  <c:v>0.32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0.34</c:v>
                </c:pt>
                <c:pt idx="11">
                  <c:v>0.35333333333333333</c:v>
                </c:pt>
                <c:pt idx="12">
                  <c:v>0.36666666666666664</c:v>
                </c:pt>
                <c:pt idx="13">
                  <c:v>0.38</c:v>
                </c:pt>
                <c:pt idx="14">
                  <c:v>0.40666666666666668</c:v>
                </c:pt>
                <c:pt idx="15">
                  <c:v>0.46</c:v>
                </c:pt>
                <c:pt idx="16">
                  <c:v>0.5</c:v>
                </c:pt>
                <c:pt idx="17">
                  <c:v>0.57999999999999996</c:v>
                </c:pt>
                <c:pt idx="18">
                  <c:v>0.6333333333333333</c:v>
                </c:pt>
                <c:pt idx="19">
                  <c:v>0.69333333333333336</c:v>
                </c:pt>
                <c:pt idx="20">
                  <c:v>0.77333333333333332</c:v>
                </c:pt>
                <c:pt idx="21">
                  <c:v>0.8</c:v>
                </c:pt>
                <c:pt idx="22">
                  <c:v>0.83333333333333337</c:v>
                </c:pt>
                <c:pt idx="23">
                  <c:v>0.89333333333333331</c:v>
                </c:pt>
                <c:pt idx="24">
                  <c:v>0.92666666666666664</c:v>
                </c:pt>
                <c:pt idx="25">
                  <c:v>0.96</c:v>
                </c:pt>
                <c:pt idx="26">
                  <c:v>0.96666666666666667</c:v>
                </c:pt>
                <c:pt idx="27">
                  <c:v>0.97333333333333338</c:v>
                </c:pt>
                <c:pt idx="28">
                  <c:v>0.99333333333333329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FA-4982-8961-2A1068CA7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13899520"/>
        <c:axId val="813899936"/>
      </c:barChart>
      <c:lineChart>
        <c:grouping val="standard"/>
        <c:varyColors val="0"/>
        <c:ser>
          <c:idx val="1"/>
          <c:order val="1"/>
          <c:tx>
            <c:v>Dystrybuanta rozkładu normalnego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Irysy!$L$6:$L$35</c:f>
              <c:numCache>
                <c:formatCode>0.000000</c:formatCode>
                <c:ptCount val="30"/>
                <c:pt idx="0">
                  <c:v>0.89827586206896548</c:v>
                </c:pt>
                <c:pt idx="1">
                  <c:v>1.1017241379310345</c:v>
                </c:pt>
                <c:pt idx="2">
                  <c:v>1.3051724137931036</c:v>
                </c:pt>
                <c:pt idx="3">
                  <c:v>1.5086206896551726</c:v>
                </c:pt>
                <c:pt idx="4">
                  <c:v>1.7120689655172416</c:v>
                </c:pt>
                <c:pt idx="5">
                  <c:v>1.9155172413793107</c:v>
                </c:pt>
                <c:pt idx="6">
                  <c:v>2.1189655172413797</c:v>
                </c:pt>
                <c:pt idx="7">
                  <c:v>2.3224137931034488</c:v>
                </c:pt>
                <c:pt idx="8">
                  <c:v>2.5258620689655178</c:v>
                </c:pt>
                <c:pt idx="9">
                  <c:v>2.7293103448275868</c:v>
                </c:pt>
                <c:pt idx="10">
                  <c:v>2.9327586206896559</c:v>
                </c:pt>
                <c:pt idx="11">
                  <c:v>3.1362068965517249</c:v>
                </c:pt>
                <c:pt idx="12">
                  <c:v>3.3396551724137939</c:v>
                </c:pt>
                <c:pt idx="13">
                  <c:v>3.543103448275863</c:v>
                </c:pt>
                <c:pt idx="14">
                  <c:v>3.746551724137932</c:v>
                </c:pt>
                <c:pt idx="15">
                  <c:v>3.9500000000000011</c:v>
                </c:pt>
                <c:pt idx="16">
                  <c:v>4.1534482758620701</c:v>
                </c:pt>
                <c:pt idx="17">
                  <c:v>4.3568965517241391</c:v>
                </c:pt>
                <c:pt idx="18">
                  <c:v>4.5603448275862082</c:v>
                </c:pt>
                <c:pt idx="19">
                  <c:v>4.7637931034482772</c:v>
                </c:pt>
                <c:pt idx="20">
                  <c:v>4.9672413793103463</c:v>
                </c:pt>
                <c:pt idx="21">
                  <c:v>5.1706896551724153</c:v>
                </c:pt>
                <c:pt idx="22">
                  <c:v>5.3741379310344843</c:v>
                </c:pt>
                <c:pt idx="23">
                  <c:v>5.5775862068965534</c:v>
                </c:pt>
                <c:pt idx="24">
                  <c:v>5.7810344827586224</c:v>
                </c:pt>
                <c:pt idx="25">
                  <c:v>5.9844827586206915</c:v>
                </c:pt>
                <c:pt idx="26">
                  <c:v>6.1879310344827605</c:v>
                </c:pt>
                <c:pt idx="27">
                  <c:v>6.3913793103448295</c:v>
                </c:pt>
                <c:pt idx="28">
                  <c:v>6.5948275862068986</c:v>
                </c:pt>
                <c:pt idx="29">
                  <c:v>6.7982758620689676</c:v>
                </c:pt>
              </c:numCache>
            </c:numRef>
          </c:cat>
          <c:val>
            <c:numRef>
              <c:f>Irysy!$T$6:$T$35</c:f>
              <c:numCache>
                <c:formatCode>General</c:formatCode>
                <c:ptCount val="30"/>
                <c:pt idx="0">
                  <c:v>5.9103692836246752E-2</c:v>
                </c:pt>
                <c:pt idx="1">
                  <c:v>7.3935359205173218E-2</c:v>
                </c:pt>
                <c:pt idx="2">
                  <c:v>9.1455580156060853E-2</c:v>
                </c:pt>
                <c:pt idx="3">
                  <c:v>0.11187893924072326</c:v>
                </c:pt>
                <c:pt idx="4">
                  <c:v>0.13537271028457545</c:v>
                </c:pt>
                <c:pt idx="5">
                  <c:v>0.16204229521275762</c:v>
                </c:pt>
                <c:pt idx="6">
                  <c:v>0.19191797169463518</c:v>
                </c:pt>
                <c:pt idx="7">
                  <c:v>0.22494406525643032</c:v>
                </c:pt>
                <c:pt idx="8">
                  <c:v>0.26097160736762659</c:v>
                </c:pt>
                <c:pt idx="9">
                  <c:v>0.29975537814460251</c:v>
                </c:pt>
                <c:pt idx="10">
                  <c:v>0.34095596462516509</c:v>
                </c:pt>
                <c:pt idx="11">
                  <c:v>0.38414711141740687</c:v>
                </c:pt>
                <c:pt idx="12">
                  <c:v>0.42882823066068765</c:v>
                </c:pt>
                <c:pt idx="13">
                  <c:v>0.47444151272810547</c:v>
                </c:pt>
                <c:pt idx="14">
                  <c:v>0.52039268266446048</c:v>
                </c:pt>
                <c:pt idx="15">
                  <c:v>0.56607412366260668</c:v>
                </c:pt>
                <c:pt idx="16">
                  <c:v>0.61088887471457565</c:v>
                </c:pt>
                <c:pt idx="17">
                  <c:v>0.65427392973700149</c:v>
                </c:pt>
                <c:pt idx="18">
                  <c:v>0.6957213292968718</c:v>
                </c:pt>
                <c:pt idx="19">
                  <c:v>0.73479573608788729</c:v>
                </c:pt>
                <c:pt idx="20">
                  <c:v>0.77114749832753016</c:v>
                </c:pt>
                <c:pt idx="21">
                  <c:v>0.80452059559664191</c:v>
                </c:pt>
                <c:pt idx="22">
                  <c:v>0.83475528614539551</c:v>
                </c:pt>
                <c:pt idx="23">
                  <c:v>0.86178568844876935</c:v>
                </c:pt>
                <c:pt idx="24">
                  <c:v>0.88563289195684447</c:v>
                </c:pt>
                <c:pt idx="25">
                  <c:v>0.90639447056898381</c:v>
                </c:pt>
                <c:pt idx="26">
                  <c:v>0.92423144751398456</c:v>
                </c:pt>
                <c:pt idx="27">
                  <c:v>0.93935382564107139</c:v>
                </c:pt>
                <c:pt idx="28">
                  <c:v>0.95200575904675278</c:v>
                </c:pt>
                <c:pt idx="29">
                  <c:v>0.96245131745616397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FA-4982-8961-2A1068CA7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899520"/>
        <c:axId val="813899936"/>
      </c:lineChart>
      <c:catAx>
        <c:axId val="813899520"/>
        <c:scaling>
          <c:orientation val="minMax"/>
        </c:scaling>
        <c:delete val="0"/>
        <c:axPos val="b"/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13899936"/>
        <c:crosses val="autoZero"/>
        <c:auto val="1"/>
        <c:lblAlgn val="ctr"/>
        <c:lblOffset val="100"/>
        <c:noMultiLvlLbl val="0"/>
      </c:catAx>
      <c:valAx>
        <c:axId val="8138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138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normalności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7"/>
            <c:marker>
              <c:symbol val="circle"/>
              <c:size val="5"/>
              <c:spPr>
                <a:solidFill>
                  <a:srgbClr val="FFFF00"/>
                </a:solidFill>
                <a:ln w="12700">
                  <a:solidFill>
                    <a:schemeClr val="accent4">
                      <a:lumMod val="60000"/>
                      <a:lumOff val="4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206-48CA-8B99-C6EA3964F095}"/>
              </c:ext>
            </c:extLst>
          </c:dPt>
          <c:trendline>
            <c:spPr>
              <a:ln w="15875" cap="rnd">
                <a:solidFill>
                  <a:schemeClr val="tx1">
                    <a:lumMod val="95000"/>
                    <a:lumOff val="5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Irysy!$W$6:$W$155</c:f>
              <c:numCache>
                <c:formatCode>General</c:formatCode>
                <c:ptCount val="150"/>
                <c:pt idx="0">
                  <c:v>1</c:v>
                </c:pt>
                <c:pt idx="1">
                  <c:v>1.1000000000000001</c:v>
                </c:pt>
                <c:pt idx="2">
                  <c:v>1.2</c:v>
                </c:pt>
                <c:pt idx="3">
                  <c:v>1.2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1.6</c:v>
                </c:pt>
                <c:pt idx="38">
                  <c:v>1.6</c:v>
                </c:pt>
                <c:pt idx="39">
                  <c:v>1.6</c:v>
                </c:pt>
                <c:pt idx="40">
                  <c:v>1.6</c:v>
                </c:pt>
                <c:pt idx="41">
                  <c:v>1.6</c:v>
                </c:pt>
                <c:pt idx="42">
                  <c:v>1.6</c:v>
                </c:pt>
                <c:pt idx="43">
                  <c:v>1.6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1.7</c:v>
                </c:pt>
                <c:pt idx="48">
                  <c:v>1.9</c:v>
                </c:pt>
                <c:pt idx="49">
                  <c:v>1.9</c:v>
                </c:pt>
                <c:pt idx="50">
                  <c:v>3</c:v>
                </c:pt>
                <c:pt idx="51">
                  <c:v>3.3</c:v>
                </c:pt>
                <c:pt idx="52">
                  <c:v>3.3</c:v>
                </c:pt>
                <c:pt idx="53">
                  <c:v>3.5</c:v>
                </c:pt>
                <c:pt idx="54">
                  <c:v>3.5</c:v>
                </c:pt>
                <c:pt idx="55">
                  <c:v>3.6</c:v>
                </c:pt>
                <c:pt idx="56">
                  <c:v>3.7</c:v>
                </c:pt>
                <c:pt idx="57">
                  <c:v>3.8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4.0999999999999996</c:v>
                </c:pt>
                <c:pt idx="67">
                  <c:v>4.0999999999999996</c:v>
                </c:pt>
                <c:pt idx="68">
                  <c:v>4.0999999999999996</c:v>
                </c:pt>
                <c:pt idx="69">
                  <c:v>4.2</c:v>
                </c:pt>
                <c:pt idx="70">
                  <c:v>4.2</c:v>
                </c:pt>
                <c:pt idx="71">
                  <c:v>4.2</c:v>
                </c:pt>
                <c:pt idx="72">
                  <c:v>4.2</c:v>
                </c:pt>
                <c:pt idx="73">
                  <c:v>4.3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4.4000000000000004</c:v>
                </c:pt>
                <c:pt idx="77">
                  <c:v>4.4000000000000004</c:v>
                </c:pt>
                <c:pt idx="78">
                  <c:v>4.4000000000000004</c:v>
                </c:pt>
                <c:pt idx="79">
                  <c:v>4.5</c:v>
                </c:pt>
                <c:pt idx="80">
                  <c:v>4.5</c:v>
                </c:pt>
                <c:pt idx="81">
                  <c:v>4.5</c:v>
                </c:pt>
                <c:pt idx="82">
                  <c:v>4.5</c:v>
                </c:pt>
                <c:pt idx="83">
                  <c:v>4.5</c:v>
                </c:pt>
                <c:pt idx="84">
                  <c:v>4.5</c:v>
                </c:pt>
                <c:pt idx="85">
                  <c:v>4.5</c:v>
                </c:pt>
                <c:pt idx="86">
                  <c:v>4.5</c:v>
                </c:pt>
                <c:pt idx="87">
                  <c:v>4.5999999999999996</c:v>
                </c:pt>
                <c:pt idx="88">
                  <c:v>4.5999999999999996</c:v>
                </c:pt>
                <c:pt idx="89">
                  <c:v>4.5999999999999996</c:v>
                </c:pt>
                <c:pt idx="90">
                  <c:v>4.7</c:v>
                </c:pt>
                <c:pt idx="91">
                  <c:v>4.7</c:v>
                </c:pt>
                <c:pt idx="92">
                  <c:v>4.7</c:v>
                </c:pt>
                <c:pt idx="93">
                  <c:v>4.7</c:v>
                </c:pt>
                <c:pt idx="94">
                  <c:v>4.7</c:v>
                </c:pt>
                <c:pt idx="95">
                  <c:v>4.8</c:v>
                </c:pt>
                <c:pt idx="96">
                  <c:v>4.8</c:v>
                </c:pt>
                <c:pt idx="97">
                  <c:v>4.8</c:v>
                </c:pt>
                <c:pt idx="98">
                  <c:v>4.8</c:v>
                </c:pt>
                <c:pt idx="99">
                  <c:v>4.9000000000000004</c:v>
                </c:pt>
                <c:pt idx="100">
                  <c:v>4.9000000000000004</c:v>
                </c:pt>
                <c:pt idx="101">
                  <c:v>4.9000000000000004</c:v>
                </c:pt>
                <c:pt idx="102">
                  <c:v>4.9000000000000004</c:v>
                </c:pt>
                <c:pt idx="103">
                  <c:v>4.9000000000000004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5.0999999999999996</c:v>
                </c:pt>
                <c:pt idx="109">
                  <c:v>5.0999999999999996</c:v>
                </c:pt>
                <c:pt idx="110">
                  <c:v>5.0999999999999996</c:v>
                </c:pt>
                <c:pt idx="111">
                  <c:v>5.0999999999999996</c:v>
                </c:pt>
                <c:pt idx="112">
                  <c:v>5.0999999999999996</c:v>
                </c:pt>
                <c:pt idx="113">
                  <c:v>5.0999999999999996</c:v>
                </c:pt>
                <c:pt idx="114">
                  <c:v>5.0999999999999996</c:v>
                </c:pt>
                <c:pt idx="115">
                  <c:v>5.0999999999999996</c:v>
                </c:pt>
                <c:pt idx="116">
                  <c:v>5.2</c:v>
                </c:pt>
                <c:pt idx="117">
                  <c:v>5.2</c:v>
                </c:pt>
                <c:pt idx="118">
                  <c:v>5.3</c:v>
                </c:pt>
                <c:pt idx="119">
                  <c:v>5.3</c:v>
                </c:pt>
                <c:pt idx="120">
                  <c:v>5.4</c:v>
                </c:pt>
                <c:pt idx="121">
                  <c:v>5.4</c:v>
                </c:pt>
                <c:pt idx="122">
                  <c:v>5.5</c:v>
                </c:pt>
                <c:pt idx="123">
                  <c:v>5.5</c:v>
                </c:pt>
                <c:pt idx="124">
                  <c:v>5.5</c:v>
                </c:pt>
                <c:pt idx="125">
                  <c:v>5.6</c:v>
                </c:pt>
                <c:pt idx="126">
                  <c:v>5.6</c:v>
                </c:pt>
                <c:pt idx="127">
                  <c:v>5.6</c:v>
                </c:pt>
                <c:pt idx="128">
                  <c:v>5.6</c:v>
                </c:pt>
                <c:pt idx="129">
                  <c:v>5.6</c:v>
                </c:pt>
                <c:pt idx="130">
                  <c:v>5.6</c:v>
                </c:pt>
                <c:pt idx="131">
                  <c:v>5.7</c:v>
                </c:pt>
                <c:pt idx="132">
                  <c:v>5.7</c:v>
                </c:pt>
                <c:pt idx="133">
                  <c:v>5.7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5.9</c:v>
                </c:pt>
                <c:pt idx="138">
                  <c:v>5.9</c:v>
                </c:pt>
                <c:pt idx="139">
                  <c:v>6</c:v>
                </c:pt>
                <c:pt idx="140">
                  <c:v>6</c:v>
                </c:pt>
                <c:pt idx="141">
                  <c:v>6.1</c:v>
                </c:pt>
                <c:pt idx="142">
                  <c:v>6.1</c:v>
                </c:pt>
                <c:pt idx="143">
                  <c:v>6.1</c:v>
                </c:pt>
                <c:pt idx="144">
                  <c:v>6.3</c:v>
                </c:pt>
                <c:pt idx="145">
                  <c:v>6.4</c:v>
                </c:pt>
                <c:pt idx="146">
                  <c:v>6.6</c:v>
                </c:pt>
                <c:pt idx="147">
                  <c:v>6.7</c:v>
                </c:pt>
                <c:pt idx="148">
                  <c:v>6.7</c:v>
                </c:pt>
                <c:pt idx="149">
                  <c:v>6.9</c:v>
                </c:pt>
              </c:numCache>
            </c:numRef>
          </c:xVal>
          <c:yVal>
            <c:numRef>
              <c:f>Irysy!$X$6:$X$155</c:f>
              <c:numCache>
                <c:formatCode>General</c:formatCode>
                <c:ptCount val="150"/>
                <c:pt idx="0">
                  <c:v>-1.0313457054621331</c:v>
                </c:pt>
                <c:pt idx="1">
                  <c:v>-0.34869779199120021</c:v>
                </c:pt>
                <c:pt idx="2">
                  <c:v>1.3655077970313734E-3</c:v>
                </c:pt>
                <c:pt idx="3">
                  <c:v>0.24626929179357449</c:v>
                </c:pt>
                <c:pt idx="4">
                  <c:v>0.4378383664049097</c:v>
                </c:pt>
                <c:pt idx="5">
                  <c:v>0.59679121228072152</c:v>
                </c:pt>
                <c:pt idx="6">
                  <c:v>0.73360385817313523</c:v>
                </c:pt>
                <c:pt idx="7">
                  <c:v>0.85434279837214921</c:v>
                </c:pt>
                <c:pt idx="8">
                  <c:v>0.9628501072388751</c:v>
                </c:pt>
                <c:pt idx="9">
                  <c:v>1.0617196361989234</c:v>
                </c:pt>
                <c:pt idx="10">
                  <c:v>1.1527887052951482</c:v>
                </c:pt>
                <c:pt idx="11">
                  <c:v>1.2374084665879637</c:v>
                </c:pt>
                <c:pt idx="12">
                  <c:v>1.316602910821032</c:v>
                </c:pt>
                <c:pt idx="13">
                  <c:v>1.3911675077929333</c:v>
                </c:pt>
                <c:pt idx="14">
                  <c:v>1.4617331143759746</c:v>
                </c:pt>
                <c:pt idx="15">
                  <c:v>1.5288089009272441</c:v>
                </c:pt>
                <c:pt idx="16">
                  <c:v>1.5928120766563243</c:v>
                </c:pt>
                <c:pt idx="17">
                  <c:v>1.6540890177607808</c:v>
                </c:pt>
                <c:pt idx="18">
                  <c:v>1.712930628121049</c:v>
                </c:pt>
                <c:pt idx="19">
                  <c:v>1.7695837299486754</c:v>
                </c:pt>
                <c:pt idx="20">
                  <c:v>1.8242596591596529</c:v>
                </c:pt>
                <c:pt idx="21">
                  <c:v>1.8771408528647411</c:v>
                </c:pt>
                <c:pt idx="22">
                  <c:v>1.9283859686354992</c:v>
                </c:pt>
                <c:pt idx="23">
                  <c:v>1.9781339128598949</c:v>
                </c:pt>
                <c:pt idx="24">
                  <c:v>2.0265070467625348</c:v>
                </c:pt>
                <c:pt idx="25">
                  <c:v>2.073613764383456</c:v>
                </c:pt>
                <c:pt idx="26">
                  <c:v>2.1195505851550402</c:v>
                </c:pt>
                <c:pt idx="27">
                  <c:v>2.1644038672092414</c:v>
                </c:pt>
                <c:pt idx="28">
                  <c:v>2.2082512213610412</c:v>
                </c:pt>
                <c:pt idx="29">
                  <c:v>2.251162686673271</c:v>
                </c:pt>
                <c:pt idx="30">
                  <c:v>2.2932017144889603</c:v>
                </c:pt>
                <c:pt idx="31">
                  <c:v>2.3344259973758099</c:v>
                </c:pt>
                <c:pt idx="32">
                  <c:v>2.3748881715663082</c:v>
                </c:pt>
                <c:pt idx="33">
                  <c:v>2.4146364154996123</c:v>
                </c:pt>
                <c:pt idx="34">
                  <c:v>2.4537149624840238</c:v>
                </c:pt>
                <c:pt idx="35">
                  <c:v>2.4921645419474756</c:v>
                </c:pt>
                <c:pt idx="36">
                  <c:v>2.5300227609718364</c:v>
                </c:pt>
                <c:pt idx="37">
                  <c:v>2.5673244356272429</c:v>
                </c:pt>
                <c:pt idx="38">
                  <c:v>2.6041018798961963</c:v>
                </c:pt>
                <c:pt idx="39">
                  <c:v>2.6403851586005729</c:v>
                </c:pt>
                <c:pt idx="40">
                  <c:v>2.6762023096399039</c:v>
                </c:pt>
                <c:pt idx="41">
                  <c:v>2.7115795399573859</c:v>
                </c:pt>
                <c:pt idx="42">
                  <c:v>2.7465413989259551</c:v>
                </c:pt>
                <c:pt idx="43">
                  <c:v>2.78111093225559</c:v>
                </c:pt>
                <c:pt idx="44">
                  <c:v>2.8153098190380268</c:v>
                </c:pt>
                <c:pt idx="45">
                  <c:v>2.849158494145192</c:v>
                </c:pt>
                <c:pt idx="46">
                  <c:v>2.8826762578664522</c:v>
                </c:pt>
                <c:pt idx="47">
                  <c:v>2.9158813743942509</c:v>
                </c:pt>
                <c:pt idx="48">
                  <c:v>2.9487911605375521</c:v>
                </c:pt>
                <c:pt idx="49">
                  <c:v>2.9814220658494657</c:v>
                </c:pt>
                <c:pt idx="50">
                  <c:v>3.0137897451929239</c:v>
                </c:pt>
                <c:pt idx="51">
                  <c:v>3.0459091246309935</c:v>
                </c:pt>
                <c:pt idx="52">
                  <c:v>3.0777944614120112</c:v>
                </c:pt>
                <c:pt idx="53">
                  <c:v>3.1094593987207544</c:v>
                </c:pt>
                <c:pt idx="54">
                  <c:v>3.1409170157824042</c:v>
                </c:pt>
                <c:pt idx="55">
                  <c:v>3.17217987383385</c:v>
                </c:pt>
                <c:pt idx="56">
                  <c:v>3.2032600584148829</c:v>
                </c:pt>
                <c:pt idx="57">
                  <c:v>3.2341692183785726</c:v>
                </c:pt>
                <c:pt idx="58">
                  <c:v>3.2649186019741729</c:v>
                </c:pt>
                <c:pt idx="59">
                  <c:v>3.2955190903162555</c:v>
                </c:pt>
                <c:pt idx="60">
                  <c:v>3.3259812285194332</c:v>
                </c:pt>
                <c:pt idx="61">
                  <c:v>3.3563152547483157</c:v>
                </c:pt>
                <c:pt idx="62">
                  <c:v>3.3865311274065157</c:v>
                </c:pt>
                <c:pt idx="63">
                  <c:v>3.4166385506661405</c:v>
                </c:pt>
                <c:pt idx="64">
                  <c:v>3.4466469985197348</c:v>
                </c:pt>
                <c:pt idx="65">
                  <c:v>3.4765657375197243</c:v>
                </c:pt>
                <c:pt idx="66">
                  <c:v>3.5064038483557738</c:v>
                </c:pt>
                <c:pt idx="67">
                  <c:v>3.5361702464077358</c:v>
                </c:pt>
                <c:pt idx="68">
                  <c:v>3.565873701400923</c:v>
                </c:pt>
                <c:pt idx="69">
                  <c:v>3.5955228562809665</c:v>
                </c:pt>
                <c:pt idx="70">
                  <c:v>3.6251262454174897</c:v>
                </c:pt>
                <c:pt idx="71">
                  <c:v>3.654692312238971</c:v>
                </c:pt>
                <c:pt idx="72">
                  <c:v>3.6842294263954631</c:v>
                </c:pt>
                <c:pt idx="73">
                  <c:v>3.7137459005411566</c:v>
                </c:pt>
                <c:pt idx="74">
                  <c:v>3.7432500068250278</c:v>
                </c:pt>
                <c:pt idx="75">
                  <c:v>3.7727499931749775</c:v>
                </c:pt>
                <c:pt idx="76">
                  <c:v>3.8022540994588487</c:v>
                </c:pt>
                <c:pt idx="77">
                  <c:v>3.8317705736045422</c:v>
                </c:pt>
                <c:pt idx="78">
                  <c:v>3.8613076877610344</c:v>
                </c:pt>
                <c:pt idx="79">
                  <c:v>3.8908737545825156</c:v>
                </c:pt>
                <c:pt idx="80">
                  <c:v>3.9204771437190389</c:v>
                </c:pt>
                <c:pt idx="81">
                  <c:v>3.9501262985990824</c:v>
                </c:pt>
                <c:pt idx="82">
                  <c:v>3.9798297535922695</c:v>
                </c:pt>
                <c:pt idx="83">
                  <c:v>4.0095961516442316</c:v>
                </c:pt>
                <c:pt idx="84">
                  <c:v>4.039434262480281</c:v>
                </c:pt>
                <c:pt idx="85">
                  <c:v>4.0693530014802706</c:v>
                </c:pt>
                <c:pt idx="86">
                  <c:v>4.0993614493338644</c:v>
                </c:pt>
                <c:pt idx="87">
                  <c:v>4.12946887259349</c:v>
                </c:pt>
                <c:pt idx="88">
                  <c:v>4.1596847452516892</c:v>
                </c:pt>
                <c:pt idx="89">
                  <c:v>4.1900187714805721</c:v>
                </c:pt>
                <c:pt idx="90">
                  <c:v>4.2204809096837499</c:v>
                </c:pt>
                <c:pt idx="91">
                  <c:v>4.251081398025832</c:v>
                </c:pt>
                <c:pt idx="92">
                  <c:v>4.2818307816214327</c:v>
                </c:pt>
                <c:pt idx="93">
                  <c:v>4.3127399415851224</c:v>
                </c:pt>
                <c:pt idx="94">
                  <c:v>4.3438201261661558</c:v>
                </c:pt>
                <c:pt idx="95">
                  <c:v>4.3750829842176016</c:v>
                </c:pt>
                <c:pt idx="96">
                  <c:v>4.406540601279251</c:v>
                </c:pt>
                <c:pt idx="97">
                  <c:v>4.4382055385879946</c:v>
                </c:pt>
                <c:pt idx="98">
                  <c:v>4.4700908753690118</c:v>
                </c:pt>
                <c:pt idx="99">
                  <c:v>4.5022102548070819</c:v>
                </c:pt>
                <c:pt idx="100">
                  <c:v>4.5345779341505397</c:v>
                </c:pt>
                <c:pt idx="101">
                  <c:v>4.5672088394624524</c:v>
                </c:pt>
                <c:pt idx="102">
                  <c:v>4.600118625605754</c:v>
                </c:pt>
                <c:pt idx="103">
                  <c:v>4.6333237421335527</c:v>
                </c:pt>
                <c:pt idx="104">
                  <c:v>4.6668415058548129</c:v>
                </c:pt>
                <c:pt idx="105">
                  <c:v>4.7006901809619794</c:v>
                </c:pt>
                <c:pt idx="106">
                  <c:v>4.7348890677444144</c:v>
                </c:pt>
                <c:pt idx="107">
                  <c:v>4.7694586010740503</c:v>
                </c:pt>
                <c:pt idx="108">
                  <c:v>4.8044204600426195</c:v>
                </c:pt>
                <c:pt idx="109">
                  <c:v>4.8397976903601014</c:v>
                </c:pt>
                <c:pt idx="110">
                  <c:v>4.8756148413994325</c:v>
                </c:pt>
                <c:pt idx="111">
                  <c:v>4.9118981201038086</c:v>
                </c:pt>
                <c:pt idx="112">
                  <c:v>4.9486755643727625</c:v>
                </c:pt>
                <c:pt idx="113">
                  <c:v>4.9859772390281689</c:v>
                </c:pt>
                <c:pt idx="114">
                  <c:v>5.0238354580525293</c:v>
                </c:pt>
                <c:pt idx="115">
                  <c:v>5.0622850375159816</c:v>
                </c:pt>
                <c:pt idx="116">
                  <c:v>5.1013635845003931</c:v>
                </c:pt>
                <c:pt idx="117">
                  <c:v>5.1411118284336972</c:v>
                </c:pt>
                <c:pt idx="118">
                  <c:v>5.1815740026241954</c:v>
                </c:pt>
                <c:pt idx="119">
                  <c:v>5.2227982855110451</c:v>
                </c:pt>
                <c:pt idx="120">
                  <c:v>5.2648373133267343</c:v>
                </c:pt>
                <c:pt idx="121">
                  <c:v>5.3077487786389641</c:v>
                </c:pt>
                <c:pt idx="122">
                  <c:v>5.351596132790764</c:v>
                </c:pt>
                <c:pt idx="123">
                  <c:v>5.3964494148449651</c:v>
                </c:pt>
                <c:pt idx="124">
                  <c:v>5.4423862356165493</c:v>
                </c:pt>
                <c:pt idx="125">
                  <c:v>5.4894929532374706</c:v>
                </c:pt>
                <c:pt idx="126">
                  <c:v>5.5378660871401086</c:v>
                </c:pt>
                <c:pt idx="127">
                  <c:v>5.587614031364506</c:v>
                </c:pt>
                <c:pt idx="128">
                  <c:v>5.638859147135264</c:v>
                </c:pt>
                <c:pt idx="129">
                  <c:v>5.6917403408403526</c:v>
                </c:pt>
                <c:pt idx="130">
                  <c:v>5.7464162700513297</c:v>
                </c:pt>
                <c:pt idx="131">
                  <c:v>5.8030693718789568</c:v>
                </c:pt>
                <c:pt idx="132">
                  <c:v>5.861910982239225</c:v>
                </c:pt>
                <c:pt idx="133">
                  <c:v>5.923187923343681</c:v>
                </c:pt>
                <c:pt idx="134">
                  <c:v>5.987191099072759</c:v>
                </c:pt>
                <c:pt idx="135">
                  <c:v>6.0542668856240311</c:v>
                </c:pt>
                <c:pt idx="136">
                  <c:v>6.124832492207072</c:v>
                </c:pt>
                <c:pt idx="137">
                  <c:v>6.1993970891789694</c:v>
                </c:pt>
                <c:pt idx="138">
                  <c:v>6.2785915334120421</c:v>
                </c:pt>
                <c:pt idx="139">
                  <c:v>6.3632112947048594</c:v>
                </c:pt>
                <c:pt idx="140">
                  <c:v>6.4542803638010824</c:v>
                </c:pt>
                <c:pt idx="141">
                  <c:v>6.5531498927611302</c:v>
                </c:pt>
                <c:pt idx="142">
                  <c:v>6.6616572016278539</c:v>
                </c:pt>
                <c:pt idx="143">
                  <c:v>6.7823961418268706</c:v>
                </c:pt>
                <c:pt idx="144">
                  <c:v>6.9192087877192847</c:v>
                </c:pt>
                <c:pt idx="145">
                  <c:v>7.0781616335950943</c:v>
                </c:pt>
                <c:pt idx="146">
                  <c:v>7.2697307082064313</c:v>
                </c:pt>
                <c:pt idx="147">
                  <c:v>7.5146344922029744</c:v>
                </c:pt>
                <c:pt idx="148">
                  <c:v>7.8646977919912056</c:v>
                </c:pt>
                <c:pt idx="149">
                  <c:v>8.5473457054621438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6-48CA-8B99-C6EA3964F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389311"/>
        <c:axId val="1010286767"/>
      </c:scatterChart>
      <c:valAx>
        <c:axId val="1221389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10286767"/>
        <c:crosses val="autoZero"/>
        <c:crossBetween val="midCat"/>
      </c:valAx>
      <c:valAx>
        <c:axId val="101028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21389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Estymacja gęstości - wpływ szerokości pasma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Normalny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d.'!$I$6:$I$305</c:f>
              <c:numCache>
                <c:formatCode>General</c:formatCode>
                <c:ptCount val="300"/>
                <c:pt idx="0">
                  <c:v>6.6689029091961977E-2</c:v>
                </c:pt>
                <c:pt idx="1">
                  <c:v>6.7859662856187955E-2</c:v>
                </c:pt>
                <c:pt idx="2">
                  <c:v>6.904221832886101E-2</c:v>
                </c:pt>
                <c:pt idx="3">
                  <c:v>7.0236605193938123E-2</c:v>
                </c:pt>
                <c:pt idx="4">
                  <c:v>7.1442727094323963E-2</c:v>
                </c:pt>
                <c:pt idx="5">
                  <c:v>7.2660481575937852E-2</c:v>
                </c:pt>
                <c:pt idx="6">
                  <c:v>7.3889760034657886E-2</c:v>
                </c:pt>
                <c:pt idx="7">
                  <c:v>7.5130447666231712E-2</c:v>
                </c:pt>
                <c:pt idx="8">
                  <c:v>7.6382423419242923E-2</c:v>
                </c:pt>
                <c:pt idx="9">
                  <c:v>7.7645559951219675E-2</c:v>
                </c:pt>
                <c:pt idx="10">
                  <c:v>7.8919723587971752E-2</c:v>
                </c:pt>
                <c:pt idx="11">
                  <c:v>8.0204774286240427E-2</c:v>
                </c:pt>
                <c:pt idx="12">
                  <c:v>8.1500565599744501E-2</c:v>
                </c:pt>
                <c:pt idx="13">
                  <c:v>8.2806944648703737E-2</c:v>
                </c:pt>
                <c:pt idx="14">
                  <c:v>8.4123752092918891E-2</c:v>
                </c:pt>
                <c:pt idx="15">
                  <c:v>8.5450822108486826E-2</c:v>
                </c:pt>
                <c:pt idx="16">
                  <c:v>8.6787982368226144E-2</c:v>
                </c:pt>
                <c:pt idx="17">
                  <c:v>8.8135054025887463E-2</c:v>
                </c:pt>
                <c:pt idx="18">
                  <c:v>8.9491851704219416E-2</c:v>
                </c:pt>
                <c:pt idx="19">
                  <c:v>9.0858183486960217E-2</c:v>
                </c:pt>
                <c:pt idx="20">
                  <c:v>9.2233850914821544E-2</c:v>
                </c:pt>
                <c:pt idx="21">
                  <c:v>9.3618648985529546E-2</c:v>
                </c:pt>
                <c:pt idx="22">
                  <c:v>9.5012366157984307E-2</c:v>
                </c:pt>
                <c:pt idx="23">
                  <c:v>9.6414784360597264E-2</c:v>
                </c:pt>
                <c:pt idx="24">
                  <c:v>9.7825679003863381E-2</c:v>
                </c:pt>
                <c:pt idx="25">
                  <c:v>9.9244818997221124E-2</c:v>
                </c:pt>
                <c:pt idx="26">
                  <c:v>0.1006719667702507</c:v>
                </c:pt>
                <c:pt idx="27">
                  <c:v>0.10210687829825871</c:v>
                </c:pt>
                <c:pt idx="28">
                  <c:v>0.1035493031322927</c:v>
                </c:pt>
                <c:pt idx="29">
                  <c:v>0.10499898443362743</c:v>
                </c:pt>
                <c:pt idx="30">
                  <c:v>0.10645565901275997</c:v>
                </c:pt>
                <c:pt idx="31">
                  <c:v>0.10791905737294794</c:v>
                </c:pt>
                <c:pt idx="32">
                  <c:v>0.10938890375832212</c:v>
                </c:pt>
                <c:pt idx="33">
                  <c:v>0.11086491620660013</c:v>
                </c:pt>
                <c:pt idx="34">
                  <c:v>0.11234680660642457</c:v>
                </c:pt>
                <c:pt idx="35">
                  <c:v>0.11383428075934557</c:v>
                </c:pt>
                <c:pt idx="36">
                  <c:v>0.11532703844646371</c:v>
                </c:pt>
                <c:pt idx="37">
                  <c:v>0.11682477349974517</c:v>
                </c:pt>
                <c:pt idx="38">
                  <c:v>0.11832717387801696</c:v>
                </c:pt>
                <c:pt idx="39">
                  <c:v>0.11983392174764658</c:v>
                </c:pt>
                <c:pt idx="40">
                  <c:v>0.12134469356790603</c:v>
                </c:pt>
                <c:pt idx="41">
                  <c:v>0.12285916018101586</c:v>
                </c:pt>
                <c:pt idx="42">
                  <c:v>0.12437698690686111</c:v>
                </c:pt>
                <c:pt idx="43">
                  <c:v>0.12589783364236617</c:v>
                </c:pt>
                <c:pt idx="44">
                  <c:v>0.12742135496551252</c:v>
                </c:pt>
                <c:pt idx="45">
                  <c:v>0.12894720024397746</c:v>
                </c:pt>
                <c:pt idx="46">
                  <c:v>0.13047501374836898</c:v>
                </c:pt>
                <c:pt idx="47">
                  <c:v>0.13200443477002655</c:v>
                </c:pt>
                <c:pt idx="48">
                  <c:v>0.13353509774335393</c:v>
                </c:pt>
                <c:pt idx="49">
                  <c:v>0.13506663237264566</c:v>
                </c:pt>
                <c:pt idx="50">
                  <c:v>0.13659866376336349</c:v>
                </c:pt>
                <c:pt idx="51">
                  <c:v>0.13813081255781662</c:v>
                </c:pt>
                <c:pt idx="52">
                  <c:v>0.13966269507519247</c:v>
                </c:pt>
                <c:pt idx="53">
                  <c:v>0.14119392345588336</c:v>
                </c:pt>
                <c:pt idx="54">
                  <c:v>0.14272410581004683</c:v>
                </c:pt>
                <c:pt idx="55">
                  <c:v>0.14425284637033628</c:v>
                </c:pt>
                <c:pt idx="56">
                  <c:v>0.1457797456487312</c:v>
                </c:pt>
                <c:pt idx="57">
                  <c:v>0.1473044005973935</c:v>
                </c:pt>
                <c:pt idx="58">
                  <c:v>0.14882640477347284</c:v>
                </c:pt>
                <c:pt idx="59">
                  <c:v>0.15034534850777684</c:v>
                </c:pt>
                <c:pt idx="60">
                  <c:v>0.15186081907722129</c:v>
                </c:pt>
                <c:pt idx="61">
                  <c:v>0.15337240088096793</c:v>
                </c:pt>
                <c:pt idx="62">
                  <c:v>0.15487967562015595</c:v>
                </c:pt>
                <c:pt idx="63">
                  <c:v>0.15638222248112726</c:v>
                </c:pt>
                <c:pt idx="64">
                  <c:v>0.15787961832204256</c:v>
                </c:pt>
                <c:pt idx="65">
                  <c:v>0.1593714378627811</c:v>
                </c:pt>
                <c:pt idx="66">
                  <c:v>0.16085725387801245</c:v>
                </c:pt>
                <c:pt idx="67">
                  <c:v>0.16233663739332596</c:v>
                </c:pt>
                <c:pt idx="68">
                  <c:v>0.16380915788429851</c:v>
                </c:pt>
                <c:pt idx="69">
                  <c:v>0.16527438347837803</c:v>
                </c:pt>
                <c:pt idx="70">
                  <c:v>0.16673188115945753</c:v>
                </c:pt>
                <c:pt idx="71">
                  <c:v>0.16818121697500837</c:v>
                </c:pt>
                <c:pt idx="72">
                  <c:v>0.16962195624564144</c:v>
                </c:pt>
                <c:pt idx="73">
                  <c:v>0.17105366377695891</c:v>
                </c:pt>
                <c:pt idx="74">
                  <c:v>0.17247590407355692</c:v>
                </c:pt>
                <c:pt idx="75">
                  <c:v>0.17388824155503707</c:v>
                </c:pt>
                <c:pt idx="76">
                  <c:v>0.17529024077388078</c:v>
                </c:pt>
                <c:pt idx="77">
                  <c:v>0.17668146663503767</c:v>
                </c:pt>
                <c:pt idx="78">
                  <c:v>0.17806148461707771</c:v>
                </c:pt>
                <c:pt idx="79">
                  <c:v>0.17942986099475203</c:v>
                </c:pt>
                <c:pt idx="80">
                  <c:v>0.18078616306280695</c:v>
                </c:pt>
                <c:pt idx="81">
                  <c:v>0.18212995936089266</c:v>
                </c:pt>
                <c:pt idx="82">
                  <c:v>0.18346081989940494</c:v>
                </c:pt>
                <c:pt idx="83">
                  <c:v>0.18477831638609798</c:v>
                </c:pt>
                <c:pt idx="84">
                  <c:v>0.1860820224533028</c:v>
                </c:pt>
                <c:pt idx="85">
                  <c:v>0.18737151388558512</c:v>
                </c:pt>
                <c:pt idx="86">
                  <c:v>0.18864636884767472</c:v>
                </c:pt>
                <c:pt idx="87">
                  <c:v>0.18990616811249619</c:v>
                </c:pt>
                <c:pt idx="88">
                  <c:v>0.19115049528913103</c:v>
                </c:pt>
                <c:pt idx="89">
                  <c:v>0.19237893705053832</c:v>
                </c:pt>
                <c:pt idx="90">
                  <c:v>0.19359108336086178</c:v>
                </c:pt>
                <c:pt idx="91">
                  <c:v>0.19478652770214927</c:v>
                </c:pt>
                <c:pt idx="92">
                  <c:v>0.19596486730031054</c:v>
                </c:pt>
                <c:pt idx="93">
                  <c:v>0.19712570335013824</c:v>
                </c:pt>
                <c:pt idx="94">
                  <c:v>0.19826864123921784</c:v>
                </c:pt>
                <c:pt idx="95">
                  <c:v>0.19939329077055065</c:v>
                </c:pt>
                <c:pt idx="96">
                  <c:v>0.20049926638371562</c:v>
                </c:pt>
                <c:pt idx="97">
                  <c:v>0.20158618737439463</c:v>
                </c:pt>
                <c:pt idx="98">
                  <c:v>0.20265367811208726</c:v>
                </c:pt>
                <c:pt idx="99">
                  <c:v>0.20370136825584165</c:v>
                </c:pt>
                <c:pt idx="100">
                  <c:v>0.2047288929678277</c:v>
                </c:pt>
                <c:pt idx="101">
                  <c:v>0.2057358931245814</c:v>
                </c:pt>
                <c:pt idx="102">
                  <c:v>0.20672201552574951</c:v>
                </c:pt>
                <c:pt idx="103">
                  <c:v>0.20768691310016449</c:v>
                </c:pt>
                <c:pt idx="104">
                  <c:v>0.20863024510908254</c:v>
                </c:pt>
                <c:pt idx="105">
                  <c:v>0.20955167734641747</c:v>
                </c:pt>
                <c:pt idx="106">
                  <c:v>0.21045088233580697</c:v>
                </c:pt>
                <c:pt idx="107">
                  <c:v>0.21132753952434796</c:v>
                </c:pt>
                <c:pt idx="108">
                  <c:v>0.21218133547284151</c:v>
                </c:pt>
                <c:pt idx="109">
                  <c:v>0.21301196404238881</c:v>
                </c:pt>
                <c:pt idx="110">
                  <c:v>0.21381912657718322</c:v>
                </c:pt>
                <c:pt idx="111">
                  <c:v>0.21460253208334548</c:v>
                </c:pt>
                <c:pt idx="112">
                  <c:v>0.2153618974036528</c:v>
                </c:pt>
                <c:pt idx="113">
                  <c:v>0.2160969473880141</c:v>
                </c:pt>
                <c:pt idx="114">
                  <c:v>0.21680741505954898</c:v>
                </c:pt>
                <c:pt idx="115">
                  <c:v>0.21749304177612908</c:v>
                </c:pt>
                <c:pt idx="116">
                  <c:v>0.2181535773872457</c:v>
                </c:pt>
                <c:pt idx="117">
                  <c:v>0.21878878038607041</c:v>
                </c:pt>
                <c:pt idx="118">
                  <c:v>0.21939841805657898</c:v>
                </c:pt>
                <c:pt idx="119">
                  <c:v>0.21998226661561399</c:v>
                </c:pt>
                <c:pt idx="120">
                  <c:v>0.22054011134976337</c:v>
                </c:pt>
                <c:pt idx="121">
                  <c:v>0.22107174674693908</c:v>
                </c:pt>
                <c:pt idx="122">
                  <c:v>0.22157697662254275</c:v>
                </c:pt>
                <c:pt idx="123">
                  <c:v>0.22205561424010847</c:v>
                </c:pt>
                <c:pt idx="124">
                  <c:v>0.22250748242632135</c:v>
                </c:pt>
                <c:pt idx="125">
                  <c:v>0.2229324136803105</c:v>
                </c:pt>
                <c:pt idx="126">
                  <c:v>0.22333025027712314</c:v>
                </c:pt>
                <c:pt idx="127">
                  <c:v>0.2237008443652902</c:v>
                </c:pt>
                <c:pt idx="128">
                  <c:v>0.22404405805839844</c:v>
                </c:pt>
                <c:pt idx="129">
                  <c:v>0.22435976352059081</c:v>
                </c:pt>
                <c:pt idx="130">
                  <c:v>0.22464784304591942</c:v>
                </c:pt>
                <c:pt idx="131">
                  <c:v>0.22490818913148308</c:v>
                </c:pt>
                <c:pt idx="132">
                  <c:v>0.22514070454428567</c:v>
                </c:pt>
                <c:pt idx="133">
                  <c:v>0.22534530238175715</c:v>
                </c:pt>
                <c:pt idx="134">
                  <c:v>0.22552190612588383</c:v>
                </c:pt>
                <c:pt idx="135">
                  <c:v>0.22567044969090166</c:v>
                </c:pt>
                <c:pt idx="136">
                  <c:v>0.22579087746451051</c:v>
                </c:pt>
                <c:pt idx="137">
                  <c:v>0.22588314434257303</c:v>
                </c:pt>
                <c:pt idx="138">
                  <c:v>0.2259472157572687</c:v>
                </c:pt>
                <c:pt idx="139">
                  <c:v>0.22598306769867735</c:v>
                </c:pt>
                <c:pt idx="140">
                  <c:v>0.22599068672977446</c:v>
                </c:pt>
                <c:pt idx="141">
                  <c:v>0.22597006999482433</c:v>
                </c:pt>
                <c:pt idx="142">
                  <c:v>0.2259212252211637</c:v>
                </c:pt>
                <c:pt idx="143">
                  <c:v>0.22584417071437499</c:v>
                </c:pt>
                <c:pt idx="144">
                  <c:v>0.22573893534685288</c:v>
                </c:pt>
                <c:pt idx="145">
                  <c:v>0.22560555853977399</c:v>
                </c:pt>
                <c:pt idx="146">
                  <c:v>0.22544409023848616</c:v>
                </c:pt>
                <c:pt idx="147">
                  <c:v>0.22525459088133806</c:v>
                </c:pt>
                <c:pt idx="148">
                  <c:v>0.22503713136197689</c:v>
                </c:pt>
                <c:pt idx="149">
                  <c:v>0.22479179298514687</c:v>
                </c:pt>
                <c:pt idx="150">
                  <c:v>0.22451866741602722</c:v>
                </c:pt>
                <c:pt idx="151">
                  <c:v>0.22421785662315363</c:v>
                </c:pt>
                <c:pt idx="152">
                  <c:v>0.22388947281497326</c:v>
                </c:pt>
                <c:pt idx="153">
                  <c:v>0.22353363837008813</c:v>
                </c:pt>
                <c:pt idx="154">
                  <c:v>0.22315048576124816</c:v>
                </c:pt>
                <c:pt idx="155">
                  <c:v>0.22274015747315945</c:v>
                </c:pt>
                <c:pt idx="156">
                  <c:v>0.22230280591417936</c:v>
                </c:pt>
                <c:pt idx="157">
                  <c:v>0.22183859332197506</c:v>
                </c:pt>
                <c:pt idx="158">
                  <c:v>0.22134769166322743</c:v>
                </c:pt>
                <c:pt idx="159">
                  <c:v>0.22083028252746659</c:v>
                </c:pt>
                <c:pt idx="160">
                  <c:v>0.22028655701513136</c:v>
                </c:pt>
                <c:pt idx="161">
                  <c:v>0.21971671561994932</c:v>
                </c:pt>
                <c:pt idx="162">
                  <c:v>0.21912096810573778</c:v>
                </c:pt>
                <c:pt idx="163">
                  <c:v>0.21849953337773326</c:v>
                </c:pt>
                <c:pt idx="164">
                  <c:v>0.21785263934855839</c:v>
                </c:pt>
                <c:pt idx="165">
                  <c:v>0.21718052279894223</c:v>
                </c:pt>
                <c:pt idx="166">
                  <c:v>0.2164834292333124</c:v>
                </c:pt>
                <c:pt idx="167">
                  <c:v>0.21576161273038291</c:v>
                </c:pt>
                <c:pt idx="168">
                  <c:v>0.2150153357888642</c:v>
                </c:pt>
                <c:pt idx="169">
                  <c:v>0.21424486916842728</c:v>
                </c:pt>
                <c:pt idx="170">
                  <c:v>0.21345049172605662</c:v>
                </c:pt>
                <c:pt idx="171">
                  <c:v>0.21263249024792935</c:v>
                </c:pt>
                <c:pt idx="172">
                  <c:v>0.21179115927696393</c:v>
                </c:pt>
                <c:pt idx="173">
                  <c:v>0.21092680093618266</c:v>
                </c:pt>
                <c:pt idx="174">
                  <c:v>0.21003972474803589</c:v>
                </c:pt>
                <c:pt idx="175">
                  <c:v>0.20913024744983988</c:v>
                </c:pt>
                <c:pt idx="176">
                  <c:v>0.20819869280548162</c:v>
                </c:pt>
                <c:pt idx="177">
                  <c:v>0.20724539141354736</c:v>
                </c:pt>
                <c:pt idx="178">
                  <c:v>0.20627068051203393</c:v>
                </c:pt>
                <c:pt idx="179">
                  <c:v>0.20527490377980387</c:v>
                </c:pt>
                <c:pt idx="180">
                  <c:v>0.20425841113494814</c:v>
                </c:pt>
                <c:pt idx="181">
                  <c:v>0.20322155853022145</c:v>
                </c:pt>
                <c:pt idx="182">
                  <c:v>0.20216470774571718</c:v>
                </c:pt>
                <c:pt idx="183">
                  <c:v>0.20108822617895122</c:v>
                </c:pt>
                <c:pt idx="184">
                  <c:v>0.19999248663252395</c:v>
                </c:pt>
                <c:pt idx="185">
                  <c:v>0.19887786709953256</c:v>
                </c:pt>
                <c:pt idx="186">
                  <c:v>0.19774475054690527</c:v>
                </c:pt>
                <c:pt idx="187">
                  <c:v>0.19659352469683158</c:v>
                </c:pt>
                <c:pt idx="188">
                  <c:v>0.19542458180646191</c:v>
                </c:pt>
                <c:pt idx="189">
                  <c:v>0.19423831844605152</c:v>
                </c:pt>
                <c:pt idx="190">
                  <c:v>0.19303513527572308</c:v>
                </c:pt>
                <c:pt idx="191">
                  <c:v>0.19181543682102384</c:v>
                </c:pt>
                <c:pt idx="192">
                  <c:v>0.19057963124745139</c:v>
                </c:pt>
                <c:pt idx="193">
                  <c:v>0.18932813013412392</c:v>
                </c:pt>
                <c:pt idx="194">
                  <c:v>0.18806134824676815</c:v>
                </c:pt>
                <c:pt idx="195">
                  <c:v>0.18677970331020091</c:v>
                </c:pt>
                <c:pt idx="196">
                  <c:v>0.18548361578047537</c:v>
                </c:pt>
                <c:pt idx="197">
                  <c:v>0.18417350861686638</c:v>
                </c:pt>
                <c:pt idx="198">
                  <c:v>0.18284980705386519</c:v>
                </c:pt>
                <c:pt idx="199">
                  <c:v>0.18151293837335405</c:v>
                </c:pt>
                <c:pt idx="200">
                  <c:v>0.18016333167712983</c:v>
                </c:pt>
                <c:pt idx="201">
                  <c:v>0.17880141765994387</c:v>
                </c:pt>
                <c:pt idx="202">
                  <c:v>0.17742762838322362</c:v>
                </c:pt>
                <c:pt idx="203">
                  <c:v>0.17604239704964061</c:v>
                </c:pt>
                <c:pt idx="204">
                  <c:v>0.17464615777868553</c:v>
                </c:pt>
                <c:pt idx="205">
                  <c:v>0.17323934538341174</c:v>
                </c:pt>
                <c:pt idx="206">
                  <c:v>0.17182239514850345</c:v>
                </c:pt>
                <c:pt idx="207">
                  <c:v>0.17039574260982485</c:v>
                </c:pt>
                <c:pt idx="208">
                  <c:v>0.16895982333560164</c:v>
                </c:pt>
                <c:pt idx="209">
                  <c:v>0.16751507270938634</c:v>
                </c:pt>
                <c:pt idx="210">
                  <c:v>0.16606192571495354</c:v>
                </c:pt>
                <c:pt idx="211">
                  <c:v>0.16460081672326954</c:v>
                </c:pt>
                <c:pt idx="212">
                  <c:v>0.16313217928167834</c:v>
                </c:pt>
                <c:pt idx="213">
                  <c:v>0.16165644590544109</c:v>
                </c:pt>
                <c:pt idx="214">
                  <c:v>0.16017404787176465</c:v>
                </c:pt>
                <c:pt idx="215">
                  <c:v>0.15868541501645037</c:v>
                </c:pt>
                <c:pt idx="216">
                  <c:v>0.15719097553329103</c:v>
                </c:pt>
                <c:pt idx="217">
                  <c:v>0.15569115577634107</c:v>
                </c:pt>
                <c:pt idx="218">
                  <c:v>0.15418638006517985</c:v>
                </c:pt>
                <c:pt idx="219">
                  <c:v>0.15267707049328619</c:v>
                </c:pt>
                <c:pt idx="220">
                  <c:v>0.15116364673963667</c:v>
                </c:pt>
                <c:pt idx="221">
                  <c:v>0.14964652588363728</c:v>
                </c:pt>
                <c:pt idx="222">
                  <c:v>0.14812612222349394</c:v>
                </c:pt>
                <c:pt idx="223">
                  <c:v>0.1466028470981233</c:v>
                </c:pt>
                <c:pt idx="224">
                  <c:v>0.14507710871270088</c:v>
                </c:pt>
                <c:pt idx="225">
                  <c:v>0.14354931196793994</c:v>
                </c:pt>
                <c:pt idx="226">
                  <c:v>0.14201985829318986</c:v>
                </c:pt>
                <c:pt idx="227">
                  <c:v>0.14048914548343888</c:v>
                </c:pt>
                <c:pt idx="228">
                  <c:v>0.13895756754030139</c:v>
                </c:pt>
                <c:pt idx="229">
                  <c:v>0.13742551451706631</c:v>
                </c:pt>
                <c:pt idx="230">
                  <c:v>0.13589337236787774</c:v>
                </c:pt>
                <c:pt idx="231">
                  <c:v>0.13436152280111568</c:v>
                </c:pt>
                <c:pt idx="232">
                  <c:v>0.13283034313703981</c:v>
                </c:pt>
                <c:pt idx="233">
                  <c:v>0.13130020616975444</c:v>
                </c:pt>
                <c:pt idx="234">
                  <c:v>0.12977148003354974</c:v>
                </c:pt>
                <c:pt idx="235">
                  <c:v>0.1282445280736679</c:v>
                </c:pt>
                <c:pt idx="236">
                  <c:v>0.12671970872154026</c:v>
                </c:pt>
                <c:pt idx="237">
                  <c:v>0.12519737537453621</c:v>
                </c:pt>
                <c:pt idx="238">
                  <c:v>0.1236778762802604</c:v>
                </c:pt>
                <c:pt idx="239">
                  <c:v>0.12216155442543009</c:v>
                </c:pt>
                <c:pt idx="240">
                  <c:v>0.12064874742936081</c:v>
                </c:pt>
                <c:pt idx="241">
                  <c:v>0.11913978744208356</c:v>
                </c:pt>
                <c:pt idx="242">
                  <c:v>0.11763500104711279</c:v>
                </c:pt>
                <c:pt idx="243">
                  <c:v>0.11613470916887986</c:v>
                </c:pt>
                <c:pt idx="244">
                  <c:v>0.11463922698484244</c:v>
                </c:pt>
                <c:pt idx="245">
                  <c:v>0.11314886384227693</c:v>
                </c:pt>
                <c:pt idx="246">
                  <c:v>0.11166392317975507</c:v>
                </c:pt>
                <c:pt idx="247">
                  <c:v>0.11018470245330431</c:v>
                </c:pt>
                <c:pt idx="248">
                  <c:v>0.10871149306724434</c:v>
                </c:pt>
                <c:pt idx="249">
                  <c:v>0.10724458030969151</c:v>
                </c:pt>
                <c:pt idx="250">
                  <c:v>0.10578424329271631</c:v>
                </c:pt>
                <c:pt idx="251">
                  <c:v>0.10433075489713682</c:v>
                </c:pt>
                <c:pt idx="252">
                  <c:v>0.1028843817219262</c:v>
                </c:pt>
                <c:pt idx="253">
                  <c:v>0.10144538403820945</c:v>
                </c:pt>
                <c:pt idx="254">
                  <c:v>0.1000140157478205</c:v>
                </c:pt>
                <c:pt idx="255">
                  <c:v>9.8590524346387362E-2</c:v>
                </c:pt>
                <c:pt idx="256">
                  <c:v>9.7175150890908987E-2</c:v>
                </c:pt>
                <c:pt idx="257">
                  <c:v>9.5768129971785521E-2</c:v>
                </c:pt>
                <c:pt idx="258">
                  <c:v>9.4369689689258421E-2</c:v>
                </c:pt>
                <c:pt idx="259">
                  <c:v>9.2980051634215424E-2</c:v>
                </c:pt>
                <c:pt idx="260">
                  <c:v>9.159943087331085E-2</c:v>
                </c:pt>
                <c:pt idx="261">
                  <c:v>9.0228035938349785E-2</c:v>
                </c:pt>
                <c:pt idx="262">
                  <c:v>8.8866068819881044E-2</c:v>
                </c:pt>
                <c:pt idx="263">
                  <c:v>8.7513724964941003E-2</c:v>
                </c:pt>
                <c:pt idx="264">
                  <c:v>8.6171193278888267E-2</c:v>
                </c:pt>
                <c:pt idx="265">
                  <c:v>8.4838656131265719E-2</c:v>
                </c:pt>
                <c:pt idx="266">
                  <c:v>8.3516289365624524E-2</c:v>
                </c:pt>
                <c:pt idx="267">
                  <c:v>8.2204262313241669E-2</c:v>
                </c:pt>
                <c:pt idx="268">
                  <c:v>8.0902737810661138E-2</c:v>
                </c:pt>
                <c:pt idx="269">
                  <c:v>7.9611872220985605E-2</c:v>
                </c:pt>
                <c:pt idx="270">
                  <c:v>7.8331815458844253E-2</c:v>
                </c:pt>
                <c:pt idx="271">
                  <c:v>7.7062711018959618E-2</c:v>
                </c:pt>
                <c:pt idx="272">
                  <c:v>7.5804696008235112E-2</c:v>
                </c:pt>
                <c:pt idx="273">
                  <c:v>7.4557901181282485E-2</c:v>
                </c:pt>
                <c:pt idx="274">
                  <c:v>7.3322450979307563E-2</c:v>
                </c:pt>
                <c:pt idx="275">
                  <c:v>7.2098463572269567E-2</c:v>
                </c:pt>
                <c:pt idx="276">
                  <c:v>7.0886050904230127E-2</c:v>
                </c:pt>
                <c:pt idx="277">
                  <c:v>6.9685318741804225E-2</c:v>
                </c:pt>
                <c:pt idx="278">
                  <c:v>6.8496366725626215E-2</c:v>
                </c:pt>
                <c:pt idx="279">
                  <c:v>6.7319288424741261E-2</c:v>
                </c:pt>
                <c:pt idx="280">
                  <c:v>6.6154171393832645E-2</c:v>
                </c:pt>
                <c:pt idx="281">
                  <c:v>6.5001097233193944E-2</c:v>
                </c:pt>
                <c:pt idx="282">
                  <c:v>6.3860141651354271E-2</c:v>
                </c:pt>
                <c:pt idx="283">
                  <c:v>6.2731374530264075E-2</c:v>
                </c:pt>
                <c:pt idx="284">
                  <c:v>6.161485999294871E-2</c:v>
                </c:pt>
                <c:pt idx="285">
                  <c:v>6.0510656473535783E-2</c:v>
                </c:pt>
                <c:pt idx="286">
                  <c:v>5.941881678956281E-2</c:v>
                </c:pt>
                <c:pt idx="287">
                  <c:v>5.8339388216470278E-2</c:v>
                </c:pt>
                <c:pt idx="288">
                  <c:v>5.7272412564186276E-2</c:v>
                </c:pt>
                <c:pt idx="289">
                  <c:v>5.6217926255707366E-2</c:v>
                </c:pt>
                <c:pt idx="290">
                  <c:v>5.5175960407581784E-2</c:v>
                </c:pt>
                <c:pt idx="291">
                  <c:v>5.4146540912199781E-2</c:v>
                </c:pt>
                <c:pt idx="292">
                  <c:v>5.3129688521797065E-2</c:v>
                </c:pt>
                <c:pt idx="293">
                  <c:v>5.2125418934077253E-2</c:v>
                </c:pt>
                <c:pt idx="294">
                  <c:v>5.1133742879359352E-2</c:v>
                </c:pt>
                <c:pt idx="295">
                  <c:v>5.0154666209156859E-2</c:v>
                </c:pt>
                <c:pt idx="296">
                  <c:v>4.9188189986096024E-2</c:v>
                </c:pt>
                <c:pt idx="297">
                  <c:v>4.8234310575080756E-2</c:v>
                </c:pt>
                <c:pt idx="298">
                  <c:v>4.7293019735612639E-2</c:v>
                </c:pt>
                <c:pt idx="299">
                  <c:v>4.6364304715175199E-2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A5-4A66-BE39-E74D4D04CD5B}"/>
            </c:ext>
          </c:extLst>
        </c:ser>
        <c:ser>
          <c:idx val="1"/>
          <c:order val="1"/>
          <c:tx>
            <c:v>Domyślna szerokość pasma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d.'!$J$6:$J$305</c:f>
              <c:numCache>
                <c:formatCode>General</c:formatCode>
                <c:ptCount val="300"/>
                <c:pt idx="0">
                  <c:v>0.15197430392932543</c:v>
                </c:pt>
                <c:pt idx="1">
                  <c:v>0.15471246117398849</c:v>
                </c:pt>
                <c:pt idx="2">
                  <c:v>0.15737811095297358</c:v>
                </c:pt>
                <c:pt idx="3">
                  <c:v>0.15996589496650446</c:v>
                </c:pt>
                <c:pt idx="4">
                  <c:v>0.16247055403533858</c:v>
                </c:pt>
                <c:pt idx="5">
                  <c:v>0.1648869466219462</c:v>
                </c:pt>
                <c:pt idx="6">
                  <c:v>0.16721006720631976</c:v>
                </c:pt>
                <c:pt idx="7">
                  <c:v>0.16943506442829293</c:v>
                </c:pt>
                <c:pt idx="8">
                  <c:v>0.17155725890820728</c:v>
                </c:pt>
                <c:pt idx="9">
                  <c:v>0.17357216065825859</c:v>
                </c:pt>
                <c:pt idx="10">
                  <c:v>0.1754754859979176</c:v>
                </c:pt>
                <c:pt idx="11">
                  <c:v>0.17726317388842733</c:v>
                </c:pt>
                <c:pt idx="12">
                  <c:v>0.17893140160354795</c:v>
                </c:pt>
                <c:pt idx="13">
                  <c:v>0.18047659965643009</c:v>
                </c:pt>
                <c:pt idx="14">
                  <c:v>0.18189546590572059</c:v>
                </c:pt>
                <c:pt idx="15">
                  <c:v>0.18318497876777112</c:v>
                </c:pt>
                <c:pt idx="16">
                  <c:v>0.18434240946605079</c:v>
                </c:pt>
                <c:pt idx="17">
                  <c:v>0.18536533325355734</c:v>
                </c:pt>
                <c:pt idx="18">
                  <c:v>0.18625163954917784</c:v>
                </c:pt>
                <c:pt idx="19">
                  <c:v>0.1869995409344837</c:v>
                </c:pt>
                <c:pt idx="20">
                  <c:v>0.1876075809633386</c:v>
                </c:pt>
                <c:pt idx="21">
                  <c:v>0.18807464074295036</c:v>
                </c:pt>
                <c:pt idx="22">
                  <c:v>0.18839994425149281</c:v>
                </c:pt>
                <c:pt idx="23">
                  <c:v>0.18858306236419484</c:v>
                </c:pt>
                <c:pt idx="24">
                  <c:v>0.1886239155667179</c:v>
                </c:pt>
                <c:pt idx="25">
                  <c:v>0.18852277534175568</c:v>
                </c:pt>
                <c:pt idx="26">
                  <c:v>0.1882802642219491</c:v>
                </c:pt>
                <c:pt idx="27">
                  <c:v>0.18789735450945227</c:v>
                </c:pt>
                <c:pt idx="28">
                  <c:v>0.18737536566968926</c:v>
                </c:pt>
                <c:pt idx="29">
                  <c:v>0.18671596041401134</c:v>
                </c:pt>
                <c:pt idx="30">
                  <c:v>0.18592113949300748</c:v>
                </c:pt>
                <c:pt idx="31">
                  <c:v>0.18499323522912384</c:v>
                </c:pt>
                <c:pt idx="32">
                  <c:v>0.18393490382391167</c:v>
                </c:pt>
                <c:pt idx="33">
                  <c:v>0.18274911648170025</c:v>
                </c:pt>
                <c:pt idx="34">
                  <c:v>0.18143914939758532</c:v>
                </c:pt>
                <c:pt idx="35">
                  <c:v>0.18000857266345455</c:v>
                </c:pt>
                <c:pt idx="36">
                  <c:v>0.17846123815119785</c:v>
                </c:pt>
                <c:pt idx="37">
                  <c:v>0.17680126643725103</c:v>
                </c:pt>
                <c:pt idx="38">
                  <c:v>0.17503303283720223</c:v>
                </c:pt>
                <c:pt idx="39">
                  <c:v>0.17316115262330042</c:v>
                </c:pt>
                <c:pt idx="40">
                  <c:v>0.17119046550130107</c:v>
                </c:pt>
                <c:pt idx="41">
                  <c:v>0.16912601942616362</c:v>
                </c:pt>
                <c:pt idx="42">
                  <c:v>0.16697305383870623</c:v>
                </c:pt>
                <c:pt idx="43">
                  <c:v>0.16473698240730239</c:v>
                </c:pt>
                <c:pt idx="44">
                  <c:v>0.16242337536018706</c:v>
                </c:pt>
                <c:pt idx="45">
                  <c:v>0.16003794149485157</c:v>
                </c:pt>
                <c:pt idx="46">
                  <c:v>0.15758650995134427</c:v>
                </c:pt>
                <c:pt idx="47">
                  <c:v>0.15507501183613376</c:v>
                </c:pt>
                <c:pt idx="48">
                  <c:v>0.15250946178243824</c:v>
                </c:pt>
                <c:pt idx="49">
                  <c:v>0.1498959395316867</c:v>
                </c:pt>
                <c:pt idx="50">
                  <c:v>0.14724057161902501</c:v>
                </c:pt>
                <c:pt idx="51">
                  <c:v>0.14454951324353002</c:v>
                </c:pt>
                <c:pt idx="52">
                  <c:v>0.14182893040110225</c:v>
                </c:pt>
                <c:pt idx="53">
                  <c:v>0.13908498235487532</c:v>
                </c:pt>
                <c:pt idx="54">
                  <c:v>0.13632380451444123</c:v>
                </c:pt>
                <c:pt idx="55">
                  <c:v>0.1335514917912928</c:v>
                </c:pt>
                <c:pt idx="56">
                  <c:v>0.13077408249365013</c:v>
                </c:pt>
                <c:pt idx="57">
                  <c:v>0.12799754281930226</c:v>
                </c:pt>
                <c:pt idx="58">
                  <c:v>0.12522775200030398</c:v>
                </c:pt>
                <c:pt idx="59">
                  <c:v>0.12247048814836778</c:v>
                </c:pt>
                <c:pt idx="60">
                  <c:v>0.11973141484459411</c:v>
                </c:pt>
                <c:pt idx="61">
                  <c:v>0.11701606851186992</c:v>
                </c:pt>
                <c:pt idx="62">
                  <c:v>0.11432984660283303</c:v>
                </c:pt>
                <c:pt idx="63">
                  <c:v>0.11167799663084271</c:v>
                </c:pt>
                <c:pt idx="64">
                  <c:v>0.10906560606588311</c:v>
                </c:pt>
                <c:pt idx="65">
                  <c:v>0.10649759311187938</c:v>
                </c:pt>
                <c:pt idx="66">
                  <c:v>0.10397869837647965</c:v>
                </c:pt>
                <c:pt idx="67">
                  <c:v>0.10151347743906043</c:v>
                </c:pt>
                <c:pt idx="68">
                  <c:v>9.9106294317518315E-2</c:v>
                </c:pt>
                <c:pt idx="69">
                  <c:v>9.6761315829412886E-2</c:v>
                </c:pt>
                <c:pt idx="70">
                  <c:v>9.448250683818013E-2</c:v>
                </c:pt>
                <c:pt idx="71">
                  <c:v>9.2273626370559358E-2</c:v>
                </c:pt>
                <c:pt idx="72">
                  <c:v>9.0138224587000618E-2</c:v>
                </c:pt>
                <c:pt idx="73">
                  <c:v>8.8079640582753138E-2</c:v>
                </c:pt>
                <c:pt idx="74">
                  <c:v>8.6101000993522567E-2</c:v>
                </c:pt>
                <c:pt idx="75">
                  <c:v>8.4205219376108809E-2</c:v>
                </c:pt>
                <c:pt idx="76">
                  <c:v>8.2394996331256395E-2</c:v>
                </c:pt>
                <c:pt idx="77">
                  <c:v>8.0672820333116194E-2</c:v>
                </c:pt>
                <c:pt idx="78">
                  <c:v>7.9040969227211641E-2</c:v>
                </c:pt>
                <c:pt idx="79">
                  <c:v>7.7501512356650676E-2</c:v>
                </c:pt>
                <c:pt idx="80">
                  <c:v>7.6056313274516354E-2</c:v>
                </c:pt>
                <c:pt idx="81">
                  <c:v>7.4707032998900996E-2</c:v>
                </c:pt>
                <c:pt idx="82">
                  <c:v>7.3455133765939776E-2</c:v>
                </c:pt>
                <c:pt idx="83">
                  <c:v>7.2301883235410758E-2</c:v>
                </c:pt>
                <c:pt idx="84">
                  <c:v>7.1248359103026793E-2</c:v>
                </c:pt>
                <c:pt idx="85">
                  <c:v>7.0295454073415031E-2</c:v>
                </c:pt>
                <c:pt idx="86">
                  <c:v>6.9443881147960282E-2</c:v>
                </c:pt>
                <c:pt idx="87">
                  <c:v>6.8694179182167858E-2</c:v>
                </c:pt>
                <c:pt idx="88">
                  <c:v>6.8046718667960499E-2</c:v>
                </c:pt>
                <c:pt idx="89">
                  <c:v>6.7501707697342844E-2</c:v>
                </c:pt>
                <c:pt idx="90">
                  <c:v>6.7059198065133871E-2</c:v>
                </c:pt>
                <c:pt idx="91">
                  <c:v>6.6719091469962341E-2</c:v>
                </c:pt>
                <c:pt idx="92">
                  <c:v>6.6481145774416203E-2</c:v>
                </c:pt>
                <c:pt idx="93">
                  <c:v>6.6344981287122642E-2</c:v>
                </c:pt>
                <c:pt idx="94">
                  <c:v>6.6310087031581852E-2</c:v>
                </c:pt>
                <c:pt idx="95">
                  <c:v>6.6375826968769105E-2</c:v>
                </c:pt>
                <c:pt idx="96">
                  <c:v>6.6541446142828531E-2</c:v>
                </c:pt>
                <c:pt idx="97">
                  <c:v>6.6806076721595303E-2</c:v>
                </c:pt>
                <c:pt idx="98">
                  <c:v>6.7168743906165201E-2</c:v>
                </c:pt>
                <c:pt idx="99">
                  <c:v>6.7628371686282454E-2</c:v>
                </c:pt>
                <c:pt idx="100">
                  <c:v>6.8183788420889818E-2</c:v>
                </c:pt>
                <c:pt idx="101">
                  <c:v>6.8833732225787106E-2</c:v>
                </c:pt>
                <c:pt idx="102">
                  <c:v>6.9576856152936684E-2</c:v>
                </c:pt>
                <c:pt idx="103">
                  <c:v>7.041173314852664E-2</c:v>
                </c:pt>
                <c:pt idx="104">
                  <c:v>7.1336860779441708E-2</c:v>
                </c:pt>
                <c:pt idx="105">
                  <c:v>7.2350665720267271E-2</c:v>
                </c:pt>
                <c:pt idx="106">
                  <c:v>7.34515079953688E-2</c:v>
                </c:pt>
                <c:pt idx="107">
                  <c:v>7.4637684972914481E-2</c:v>
                </c:pt>
                <c:pt idx="108">
                  <c:v>7.5907435109943605E-2</c:v>
                </c:pt>
                <c:pt idx="109">
                  <c:v>7.7258941449705812E-2</c:v>
                </c:pt>
                <c:pt idx="110">
                  <c:v>7.8690334874511408E-2</c:v>
                </c:pt>
                <c:pt idx="111">
                  <c:v>8.0199697119205618E-2</c:v>
                </c:pt>
                <c:pt idx="112">
                  <c:v>8.1785063552139908E-2</c:v>
                </c:pt>
                <c:pt idx="113">
                  <c:v>8.34444257321139E-2</c:v>
                </c:pt>
                <c:pt idx="114">
                  <c:v>8.5175733751232538E-2</c:v>
                </c:pt>
                <c:pt idx="115">
                  <c:v>8.69768983749344E-2</c:v>
                </c:pt>
                <c:pt idx="116">
                  <c:v>8.8845792991617031E-2</c:v>
                </c:pt>
                <c:pt idx="117">
                  <c:v>9.078025538529659E-2</c:v>
                </c:pt>
                <c:pt idx="118">
                  <c:v>9.2778089345600043E-2</c:v>
                </c:pt>
                <c:pt idx="119">
                  <c:v>9.4837066130094475E-2</c:v>
                </c:pt>
                <c:pt idx="120">
                  <c:v>9.6954925794521557E-2</c:v>
                </c:pt>
                <c:pt idx="121">
                  <c:v>9.9129378406915228E-2</c:v>
                </c:pt>
                <c:pt idx="122">
                  <c:v>0.10135810516184154</c:v>
                </c:pt>
                <c:pt idx="123">
                  <c:v>0.10363875941113888</c:v>
                </c:pt>
                <c:pt idx="124">
                  <c:v>0.10596896762752023</c:v>
                </c:pt>
                <c:pt idx="125">
                  <c:v>0.10834633031726787</c:v>
                </c:pt>
                <c:pt idx="126">
                  <c:v>0.11076842289799252</c:v>
                </c:pt>
                <c:pt idx="127">
                  <c:v>0.11323279655705401</c:v>
                </c:pt>
                <c:pt idx="128">
                  <c:v>0.11573697910575764</c:v>
                </c:pt>
                <c:pt idx="129">
                  <c:v>0.11827847584385891</c:v>
                </c:pt>
                <c:pt idx="130">
                  <c:v>0.1208547704482283</c:v>
                </c:pt>
                <c:pt idx="131">
                  <c:v>0.12346332589877124</c:v>
                </c:pt>
                <c:pt idx="132">
                  <c:v>0.1261015854538558</c:v>
                </c:pt>
                <c:pt idx="133">
                  <c:v>0.12876697368659748</c:v>
                </c:pt>
                <c:pt idx="134">
                  <c:v>0.13145689759238025</c:v>
                </c:pt>
                <c:pt idx="135">
                  <c:v>0.13416874777698012</c:v>
                </c:pt>
                <c:pt idx="136">
                  <c:v>0.1368998997335949</c:v>
                </c:pt>
                <c:pt idx="137">
                  <c:v>0.13964771521598959</c:v>
                </c:pt>
                <c:pt idx="138">
                  <c:v>0.14240954371384831</c:v>
                </c:pt>
                <c:pt idx="139">
                  <c:v>0.14518272403528429</c:v>
                </c:pt>
                <c:pt idx="140">
                  <c:v>0.14796458600031068</c:v>
                </c:pt>
                <c:pt idx="141">
                  <c:v>0.15075245224792863</c:v>
                </c:pt>
                <c:pt idx="142">
                  <c:v>0.15354364015833866</c:v>
                </c:pt>
                <c:pt idx="143">
                  <c:v>0.15633546389065231</c:v>
                </c:pt>
                <c:pt idx="144">
                  <c:v>0.15912523653536573</c:v>
                </c:pt>
                <c:pt idx="145">
                  <c:v>0.16191027237976924</c:v>
                </c:pt>
                <c:pt idx="146">
                  <c:v>0.16468788928340827</c:v>
                </c:pt>
                <c:pt idx="147">
                  <c:v>0.16745541115969587</c:v>
                </c:pt>
                <c:pt idx="148">
                  <c:v>0.17021017055879328</c:v>
                </c:pt>
                <c:pt idx="149">
                  <c:v>0.17294951134595335</c:v>
                </c:pt>
                <c:pt idx="150">
                  <c:v>0.17567079146863837</c:v>
                </c:pt>
                <c:pt idx="151">
                  <c:v>0.17837138580490805</c:v>
                </c:pt>
                <c:pt idx="152">
                  <c:v>0.18104868908480914</c:v>
                </c:pt>
                <c:pt idx="153">
                  <c:v>0.18370011887580029</c:v>
                </c:pt>
                <c:pt idx="154">
                  <c:v>0.18632311862262063</c:v>
                </c:pt>
                <c:pt idx="155">
                  <c:v>0.18891516073143819</c:v>
                </c:pt>
                <c:pt idx="156">
                  <c:v>0.19147374968763586</c:v>
                </c:pt>
                <c:pt idx="157">
                  <c:v>0.19399642519615837</c:v>
                </c:pt>
                <c:pt idx="158">
                  <c:v>0.19648076533301398</c:v>
                </c:pt>
                <c:pt idx="159">
                  <c:v>0.19892438969624116</c:v>
                </c:pt>
                <c:pt idx="160">
                  <c:v>0.20132496254446255</c:v>
                </c:pt>
                <c:pt idx="161">
                  <c:v>0.20368019591103217</c:v>
                </c:pt>
                <c:pt idx="162">
                  <c:v>0.20598785268171993</c:v>
                </c:pt>
                <c:pt idx="163">
                  <c:v>0.20824574962392808</c:v>
                </c:pt>
                <c:pt idx="164">
                  <c:v>0.21045176035552327</c:v>
                </c:pt>
                <c:pt idx="165">
                  <c:v>0.21260381824154184</c:v>
                </c:pt>
                <c:pt idx="166">
                  <c:v>0.21469991920727793</c:v>
                </c:pt>
                <c:pt idx="167">
                  <c:v>0.21673812445656734</c:v>
                </c:pt>
                <c:pt idx="168">
                  <c:v>0.21871656308446463</c:v>
                </c:pt>
                <c:pt idx="169">
                  <c:v>0.22063343457394455</c:v>
                </c:pt>
                <c:pt idx="170">
                  <c:v>0.22248701116676445</c:v>
                </c:pt>
                <c:pt idx="171">
                  <c:v>0.22427564009917866</c:v>
                </c:pt>
                <c:pt idx="172">
                  <c:v>0.22599774569379605</c:v>
                </c:pt>
                <c:pt idx="173">
                  <c:v>0.22765183129954969</c:v>
                </c:pt>
                <c:pt idx="174">
                  <c:v>0.22923648107241917</c:v>
                </c:pt>
                <c:pt idx="175">
                  <c:v>0.23075036159032236</c:v>
                </c:pt>
                <c:pt idx="176">
                  <c:v>0.23219222329633632</c:v>
                </c:pt>
                <c:pt idx="177">
                  <c:v>0.23356090176524222</c:v>
                </c:pt>
                <c:pt idx="178">
                  <c:v>0.2348553187892066</c:v>
                </c:pt>
                <c:pt idx="179">
                  <c:v>0.23607448327926797</c:v>
                </c:pt>
                <c:pt idx="180">
                  <c:v>0.23721749198016789</c:v>
                </c:pt>
                <c:pt idx="181">
                  <c:v>0.23828352999694916</c:v>
                </c:pt>
                <c:pt idx="182">
                  <c:v>0.23927187113261086</c:v>
                </c:pt>
                <c:pt idx="183">
                  <c:v>0.24018187803701066</c:v>
                </c:pt>
                <c:pt idx="184">
                  <c:v>0.2410130021680639</c:v>
                </c:pt>
                <c:pt idx="185">
                  <c:v>0.24176478356716222</c:v>
                </c:pt>
                <c:pt idx="186">
                  <c:v>0.24243685045157093</c:v>
                </c:pt>
                <c:pt idx="187">
                  <c:v>0.24302891862739365</c:v>
                </c:pt>
                <c:pt idx="188">
                  <c:v>0.24354079072748125</c:v>
                </c:pt>
                <c:pt idx="189">
                  <c:v>0.24397235527942657</c:v>
                </c:pt>
                <c:pt idx="190">
                  <c:v>0.24432358560950848</c:v>
                </c:pt>
                <c:pt idx="191">
                  <c:v>0.24459453858912367</c:v>
                </c:pt>
                <c:pt idx="192">
                  <c:v>0.24478535323089221</c:v>
                </c:pt>
                <c:pt idx="193">
                  <c:v>0.24489624914218783</c:v>
                </c:pt>
                <c:pt idx="194">
                  <c:v>0.2449275248443859</c:v>
                </c:pt>
                <c:pt idx="195">
                  <c:v>0.24487955596659056</c:v>
                </c:pt>
                <c:pt idx="196">
                  <c:v>0.24475279332300284</c:v>
                </c:pt>
                <c:pt idx="197">
                  <c:v>0.24454776088345523</c:v>
                </c:pt>
                <c:pt idx="198">
                  <c:v>0.24426505364690621</c:v>
                </c:pt>
                <c:pt idx="199">
                  <c:v>0.24390533542791115</c:v>
                </c:pt>
                <c:pt idx="200">
                  <c:v>0.2434693365662349</c:v>
                </c:pt>
                <c:pt idx="201">
                  <c:v>0.24295785156984853</c:v>
                </c:pt>
                <c:pt idx="202">
                  <c:v>0.24237173670156781</c:v>
                </c:pt>
                <c:pt idx="203">
                  <c:v>0.24171190751953908</c:v>
                </c:pt>
                <c:pt idx="204">
                  <c:v>0.24097933638165145</c:v>
                </c:pt>
                <c:pt idx="205">
                  <c:v>0.24017504992377459</c:v>
                </c:pt>
                <c:pt idx="206">
                  <c:v>0.23930012652147617</c:v>
                </c:pt>
                <c:pt idx="207">
                  <c:v>0.23835569374455937</c:v>
                </c:pt>
                <c:pt idx="208">
                  <c:v>0.23734292581340241</c:v>
                </c:pt>
                <c:pt idx="209">
                  <c:v>0.23626304106566948</c:v>
                </c:pt>
                <c:pt idx="210">
                  <c:v>0.23511729944148943</c:v>
                </c:pt>
                <c:pt idx="211">
                  <c:v>0.23390699999469816</c:v>
                </c:pt>
                <c:pt idx="212">
                  <c:v>0.23263347843718879</c:v>
                </c:pt>
                <c:pt idx="213">
                  <c:v>0.23129810472283308</c:v>
                </c:pt>
                <c:pt idx="214">
                  <c:v>0.22990228067682131</c:v>
                </c:pt>
                <c:pt idx="215">
                  <c:v>0.22844743767564593</c:v>
                </c:pt>
                <c:pt idx="216">
                  <c:v>0.22693503438228996</c:v>
                </c:pt>
                <c:pt idx="217">
                  <c:v>0.22536655454052443</c:v>
                </c:pt>
                <c:pt idx="218">
                  <c:v>0.22374350483155514</c:v>
                </c:pt>
                <c:pt idx="219">
                  <c:v>0.22206741279558331</c:v>
                </c:pt>
                <c:pt idx="220">
                  <c:v>0.22033982482019393</c:v>
                </c:pt>
                <c:pt idx="221">
                  <c:v>0.21856230419683123</c:v>
                </c:pt>
                <c:pt idx="222">
                  <c:v>0.2167364292459944</c:v>
                </c:pt>
                <c:pt idx="223">
                  <c:v>0.21486379151118298</c:v>
                </c:pt>
                <c:pt idx="224">
                  <c:v>0.21294599402104206</c:v>
                </c:pt>
                <c:pt idx="225">
                  <c:v>0.21098464961861463</c:v>
                </c:pt>
                <c:pt idx="226">
                  <c:v>0.208981379356111</c:v>
                </c:pt>
                <c:pt idx="227">
                  <c:v>0.2069378109531336</c:v>
                </c:pt>
                <c:pt idx="228">
                  <c:v>0.20485557731588594</c:v>
                </c:pt>
                <c:pt idx="229">
                  <c:v>0.20273631511452833</c:v>
                </c:pt>
                <c:pt idx="230">
                  <c:v>0.20058166341552236</c:v>
                </c:pt>
                <c:pt idx="231">
                  <c:v>0.19839326236554955</c:v>
                </c:pt>
                <c:pt idx="232">
                  <c:v>0.19617275192337699</c:v>
                </c:pt>
                <c:pt idx="233">
                  <c:v>0.19392177063589816</c:v>
                </c:pt>
                <c:pt idx="234">
                  <c:v>0.19164195445447274</c:v>
                </c:pt>
                <c:pt idx="235">
                  <c:v>0.18933493558765577</c:v>
                </c:pt>
                <c:pt idx="236">
                  <c:v>0.18700234138641436</c:v>
                </c:pt>
                <c:pt idx="237">
                  <c:v>0.18464579325800243</c:v>
                </c:pt>
                <c:pt idx="238">
                  <c:v>0.18226690560477407</c:v>
                </c:pt>
                <c:pt idx="239">
                  <c:v>0.17986728478438704</c:v>
                </c:pt>
                <c:pt idx="240">
                  <c:v>0.17744852808805353</c:v>
                </c:pt>
                <c:pt idx="241">
                  <c:v>0.17501222273374775</c:v>
                </c:pt>
                <c:pt idx="242">
                  <c:v>0.17255994487156637</c:v>
                </c:pt>
                <c:pt idx="243">
                  <c:v>0.17009325859876134</c:v>
                </c:pt>
                <c:pt idx="244">
                  <c:v>0.16761371498230954</c:v>
                </c:pt>
                <c:pt idx="245">
                  <c:v>0.16512285108725852</c:v>
                </c:pt>
                <c:pt idx="246">
                  <c:v>0.16262218900947595</c:v>
                </c:pt>
                <c:pt idx="247">
                  <c:v>0.16011323491183524</c:v>
                </c:pt>
                <c:pt idx="248">
                  <c:v>0.15759747806327717</c:v>
                </c:pt>
                <c:pt idx="249">
                  <c:v>0.15507638988060377</c:v>
                </c:pt>
                <c:pt idx="250">
                  <c:v>0.15255142297326577</c:v>
                </c:pt>
                <c:pt idx="251">
                  <c:v>0.15002401019181139</c:v>
                </c:pt>
                <c:pt idx="252">
                  <c:v>0.14749556368104824</c:v>
                </c:pt>
                <c:pt idx="253">
                  <c:v>0.14496747393934298</c:v>
                </c:pt>
                <c:pt idx="254">
                  <c:v>0.14244110888583125</c:v>
                </c:pt>
                <c:pt idx="255">
                  <c:v>0.13991781293763031</c:v>
                </c:pt>
                <c:pt idx="256">
                  <c:v>0.13739890609944258</c:v>
                </c:pt>
                <c:pt idx="257">
                  <c:v>0.13488568306819076</c:v>
                </c:pt>
                <c:pt idx="258">
                  <c:v>0.1323794123555519</c:v>
                </c:pt>
                <c:pt idx="259">
                  <c:v>0.12988133543143957</c:v>
                </c:pt>
                <c:pt idx="260">
                  <c:v>0.1273926658916236</c:v>
                </c:pt>
                <c:pt idx="261">
                  <c:v>0.12491458865278095</c:v>
                </c:pt>
                <c:pt idx="262">
                  <c:v>0.12244825917832786</c:v>
                </c:pt>
                <c:pt idx="263">
                  <c:v>0.11999480273839661</c:v>
                </c:pt>
                <c:pt idx="264">
                  <c:v>0.1175553137072948</c:v>
                </c:pt>
                <c:pt idx="265">
                  <c:v>0.1151308549017139</c:v>
                </c:pt>
                <c:pt idx="266">
                  <c:v>0.11272245696284137</c:v>
                </c:pt>
                <c:pt idx="267">
                  <c:v>0.1103311177853827</c:v>
                </c:pt>
                <c:pt idx="268">
                  <c:v>0.10795780199631004</c:v>
                </c:pt>
                <c:pt idx="269">
                  <c:v>0.10560344048593427</c:v>
                </c:pt>
                <c:pt idx="270">
                  <c:v>0.10326892999364129</c:v>
                </c:pt>
                <c:pt idx="271">
                  <c:v>0.10095513275035416</c:v>
                </c:pt>
                <c:pt idx="272">
                  <c:v>9.866287617947285E-2</c:v>
                </c:pt>
                <c:pt idx="273">
                  <c:v>9.6392952657719397E-2</c:v>
                </c:pt>
                <c:pt idx="274">
                  <c:v>9.4146119336966969E-2</c:v>
                </c:pt>
                <c:pt idx="275">
                  <c:v>9.1923098027777206E-2</c:v>
                </c:pt>
                <c:pt idx="276">
                  <c:v>8.9724575145002414E-2</c:v>
                </c:pt>
                <c:pt idx="277">
                  <c:v>8.7551201715436427E-2</c:v>
                </c:pt>
                <c:pt idx="278">
                  <c:v>8.5403593447130305E-2</c:v>
                </c:pt>
                <c:pt idx="279">
                  <c:v>8.3282330859616824E-2</c:v>
                </c:pt>
                <c:pt idx="280">
                  <c:v>8.1187959473932383E-2</c:v>
                </c:pt>
                <c:pt idx="281">
                  <c:v>7.9120990060973409E-2</c:v>
                </c:pt>
                <c:pt idx="282">
                  <c:v>7.7081898946393806E-2</c:v>
                </c:pt>
                <c:pt idx="283">
                  <c:v>7.5071128369934986E-2</c:v>
                </c:pt>
                <c:pt idx="284">
                  <c:v>7.3089086896787864E-2</c:v>
                </c:pt>
                <c:pt idx="285">
                  <c:v>7.1136149878319538E-2</c:v>
                </c:pt>
                <c:pt idx="286">
                  <c:v>6.9212659959255268E-2</c:v>
                </c:pt>
                <c:pt idx="287">
                  <c:v>6.7318927628197217E-2</c:v>
                </c:pt>
                <c:pt idx="288">
                  <c:v>6.5455231808179248E-2</c:v>
                </c:pt>
                <c:pt idx="289">
                  <c:v>6.3621820483809849E-2</c:v>
                </c:pt>
                <c:pt idx="290">
                  <c:v>6.1818911361439577E-2</c:v>
                </c:pt>
                <c:pt idx="291">
                  <c:v>6.004669255870887E-2</c:v>
                </c:pt>
                <c:pt idx="292">
                  <c:v>5.830532331978338E-2</c:v>
                </c:pt>
                <c:pt idx="293">
                  <c:v>5.6594934752569735E-2</c:v>
                </c:pt>
                <c:pt idx="294">
                  <c:v>5.4915630584224023E-2</c:v>
                </c:pt>
                <c:pt idx="295">
                  <c:v>5.3267487931314639E-2</c:v>
                </c:pt>
                <c:pt idx="296">
                  <c:v>5.1650558081081412E-2</c:v>
                </c:pt>
                <c:pt idx="297">
                  <c:v>5.0064867280344441E-2</c:v>
                </c:pt>
                <c:pt idx="298">
                  <c:v>4.8510417528749065E-2</c:v>
                </c:pt>
                <c:pt idx="299">
                  <c:v>4.6987187373196654E-2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A5-4A66-BE39-E74D4D04CD5B}"/>
            </c:ext>
          </c:extLst>
        </c:ser>
        <c:ser>
          <c:idx val="2"/>
          <c:order val="2"/>
          <c:tx>
            <c:v>Mała szerokość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d.'!$K$6:$K$305</c:f>
              <c:numCache>
                <c:formatCode>General</c:formatCode>
                <c:ptCount val="300"/>
                <c:pt idx="0">
                  <c:v>5.2111802645791412E-2</c:v>
                </c:pt>
                <c:pt idx="1">
                  <c:v>5.9751008830328509E-2</c:v>
                </c:pt>
                <c:pt idx="2">
                  <c:v>6.8190034593182611E-2</c:v>
                </c:pt>
                <c:pt idx="3">
                  <c:v>7.7844435482014265E-2</c:v>
                </c:pt>
                <c:pt idx="4">
                  <c:v>8.9263872232943714E-2</c:v>
                </c:pt>
                <c:pt idx="5">
                  <c:v>0.10310060816253883</c:v>
                </c:pt>
                <c:pt idx="6">
                  <c:v>0.12006036675042273</c:v>
                </c:pt>
                <c:pt idx="7">
                  <c:v>0.14083914520863863</c:v>
                </c:pt>
                <c:pt idx="8">
                  <c:v>0.16605086147545847</c:v>
                </c:pt>
                <c:pt idx="9">
                  <c:v>0.19615186035230703</c:v>
                </c:pt>
                <c:pt idx="10">
                  <c:v>0.23136921498357818</c:v>
                </c:pt>
                <c:pt idx="11">
                  <c:v>0.27164008409697193</c:v>
                </c:pt>
                <c:pt idx="12">
                  <c:v>0.31656880206948473</c:v>
                </c:pt>
                <c:pt idx="13">
                  <c:v>0.36540688801921989</c:v>
                </c:pt>
                <c:pt idx="14">
                  <c:v>0.41705914501800678</c:v>
                </c:pt>
                <c:pt idx="15">
                  <c:v>0.47011699590210443</c:v>
                </c:pt>
                <c:pt idx="16">
                  <c:v>0.52291843594154352</c:v>
                </c:pt>
                <c:pt idx="17">
                  <c:v>0.5736323169048716</c:v>
                </c:pt>
                <c:pt idx="18">
                  <c:v>0.62036273533584507</c:v>
                </c:pt>
                <c:pt idx="19">
                  <c:v>0.66126693265261627</c:v>
                </c:pt>
                <c:pt idx="20">
                  <c:v>0.69467770531899686</c:v>
                </c:pt>
                <c:pt idx="21">
                  <c:v>0.71921962546963836</c:v>
                </c:pt>
                <c:pt idx="22">
                  <c:v>0.73390800970603032</c:v>
                </c:pt>
                <c:pt idx="23">
                  <c:v>0.73822061370185355</c:v>
                </c:pt>
                <c:pt idx="24">
                  <c:v>0.73213404951220751</c:v>
                </c:pt>
                <c:pt idx="25">
                  <c:v>0.716119530479702</c:v>
                </c:pt>
                <c:pt idx="26">
                  <c:v>0.69109587135292616</c:v>
                </c:pt>
                <c:pt idx="27">
                  <c:v>0.65834225820131953</c:v>
                </c:pt>
                <c:pt idx="28">
                  <c:v>0.61937939575892853</c:v>
                </c:pt>
                <c:pt idx="29">
                  <c:v>0.57583434993684712</c:v>
                </c:pt>
                <c:pt idx="30">
                  <c:v>0.52930954275740105</c:v>
                </c:pt>
                <c:pt idx="31">
                  <c:v>0.48127726215777256</c:v>
                </c:pt>
                <c:pt idx="32">
                  <c:v>0.43301601323955285</c:v>
                </c:pt>
                <c:pt idx="33">
                  <c:v>0.38559451031246517</c:v>
                </c:pt>
                <c:pt idx="34">
                  <c:v>0.33989593134177387</c:v>
                </c:pt>
                <c:pt idx="35">
                  <c:v>0.29666355693723639</c:v>
                </c:pt>
                <c:pt idx="36">
                  <c:v>0.25654328597120274</c:v>
                </c:pt>
                <c:pt idx="37">
                  <c:v>0.22010116548286432</c:v>
                </c:pt>
                <c:pt idx="38">
                  <c:v>0.18780457966400427</c:v>
                </c:pt>
                <c:pt idx="39">
                  <c:v>0.15997082318298345</c:v>
                </c:pt>
                <c:pt idx="40">
                  <c:v>0.13670125813633019</c:v>
                </c:pt>
                <c:pt idx="41">
                  <c:v>0.11782780842747924</c:v>
                </c:pt>
                <c:pt idx="42">
                  <c:v>0.10289770836306268</c:v>
                </c:pt>
                <c:pt idx="43">
                  <c:v>9.1212012312201607E-2</c:v>
                </c:pt>
                <c:pt idx="44">
                  <c:v>8.1916768065013204E-2</c:v>
                </c:pt>
                <c:pt idx="45">
                  <c:v>7.4128750860316672E-2</c:v>
                </c:pt>
                <c:pt idx="46">
                  <c:v>6.7066273074470217E-2</c:v>
                </c:pt>
                <c:pt idx="47">
                  <c:v>6.0153753685518119E-2</c:v>
                </c:pt>
                <c:pt idx="48">
                  <c:v>5.3076802908257309E-2</c:v>
                </c:pt>
                <c:pt idx="49">
                  <c:v>4.5779327554826311E-2</c:v>
                </c:pt>
                <c:pt idx="50">
                  <c:v>3.8410230159074098E-2</c:v>
                </c:pt>
                <c:pt idx="51">
                  <c:v>3.1239344503162396E-2</c:v>
                </c:pt>
                <c:pt idx="52">
                  <c:v>2.4567013108479543E-2</c:v>
                </c:pt>
                <c:pt idx="53">
                  <c:v>1.864881216760652E-2</c:v>
                </c:pt>
                <c:pt idx="54">
                  <c:v>1.3648633665768179E-2</c:v>
                </c:pt>
                <c:pt idx="55">
                  <c:v>9.623255472401001E-3</c:v>
                </c:pt>
                <c:pt idx="56">
                  <c:v>6.5330783419929872E-3</c:v>
                </c:pt>
                <c:pt idx="57">
                  <c:v>4.2689497524322972E-3</c:v>
                </c:pt>
                <c:pt idx="58">
                  <c:v>2.6842756397674459E-3</c:v>
                </c:pt>
                <c:pt idx="59">
                  <c:v>1.6239252562635672E-3</c:v>
                </c:pt>
                <c:pt idx="60">
                  <c:v>9.4512849365199476E-4</c:v>
                </c:pt>
                <c:pt idx="61">
                  <c:v>5.2913935521841445E-4</c:v>
                </c:pt>
                <c:pt idx="62">
                  <c:v>2.8495908796554283E-4</c:v>
                </c:pt>
                <c:pt idx="63">
                  <c:v>1.4760939561551397E-4</c:v>
                </c:pt>
                <c:pt idx="64">
                  <c:v>7.3545311919018976E-5</c:v>
                </c:pt>
                <c:pt idx="65">
                  <c:v>3.5245126904378965E-5</c:v>
                </c:pt>
                <c:pt idx="66">
                  <c:v>1.6245831986984218E-5</c:v>
                </c:pt>
                <c:pt idx="67">
                  <c:v>7.2024598803051684E-6</c:v>
                </c:pt>
                <c:pt idx="68">
                  <c:v>3.0712475447730823E-6</c:v>
                </c:pt>
                <c:pt idx="69">
                  <c:v>1.2596547801286459E-6</c:v>
                </c:pt>
                <c:pt idx="70">
                  <c:v>4.9701411127368747E-7</c:v>
                </c:pt>
                <c:pt idx="71">
                  <c:v>1.8895293804520572E-7</c:v>
                </c:pt>
                <c:pt idx="72">
                  <c:v>7.0171570852565359E-8</c:v>
                </c:pt>
                <c:pt idx="73">
                  <c:v>2.837758623905359E-8</c:v>
                </c:pt>
                <c:pt idx="74">
                  <c:v>2.0668684330628802E-8</c:v>
                </c:pt>
                <c:pt idx="75">
                  <c:v>3.8262810196111542E-8</c:v>
                </c:pt>
                <c:pt idx="76">
                  <c:v>9.8296970936067062E-8</c:v>
                </c:pt>
                <c:pt idx="77">
                  <c:v>2.568082927905632E-7</c:v>
                </c:pt>
                <c:pt idx="78">
                  <c:v>6.4959541685182968E-7</c:v>
                </c:pt>
                <c:pt idx="79">
                  <c:v>1.5815990093996485E-6</c:v>
                </c:pt>
                <c:pt idx="80">
                  <c:v>3.7040544656907076E-6</c:v>
                </c:pt>
                <c:pt idx="81">
                  <c:v>8.343582379068972E-6</c:v>
                </c:pt>
                <c:pt idx="82">
                  <c:v>1.8076659241156535E-5</c:v>
                </c:pt>
                <c:pt idx="83">
                  <c:v>3.7668106147129605E-5</c:v>
                </c:pt>
                <c:pt idx="84">
                  <c:v>7.5495207159424632E-5</c:v>
                </c:pt>
                <c:pt idx="85">
                  <c:v>1.4553082995250272E-4</c:v>
                </c:pt>
                <c:pt idx="86">
                  <c:v>2.6982411219813408E-4</c:v>
                </c:pt>
                <c:pt idx="87">
                  <c:v>4.811680792464187E-4</c:v>
                </c:pt>
                <c:pt idx="88">
                  <c:v>8.2528410024695735E-4</c:v>
                </c:pt>
                <c:pt idx="89">
                  <c:v>1.3614488794293125E-3</c:v>
                </c:pt>
                <c:pt idx="90">
                  <c:v>2.1601873873756759E-3</c:v>
                </c:pt>
                <c:pt idx="91">
                  <c:v>3.296671030563217E-3</c:v>
                </c:pt>
                <c:pt idx="92">
                  <c:v>4.8390184647274124E-3</c:v>
                </c:pt>
                <c:pt idx="93">
                  <c:v>6.8319164004775109E-3</c:v>
                </c:pt>
                <c:pt idx="94">
                  <c:v>9.2777454867545191E-3</c:v>
                </c:pt>
                <c:pt idx="95">
                  <c:v>1.211928443870533E-2</c:v>
                </c:pt>
                <c:pt idx="96">
                  <c:v>1.5229378411540508E-2</c:v>
                </c:pt>
                <c:pt idx="97">
                  <c:v>1.8412940494657738E-2</c:v>
                </c:pt>
                <c:pt idx="98">
                  <c:v>2.1424824310501314E-2</c:v>
                </c:pt>
                <c:pt idx="99">
                  <c:v>2.4003565144406363E-2</c:v>
                </c:pt>
                <c:pt idx="100">
                  <c:v>2.5916555537075392E-2</c:v>
                </c:pt>
                <c:pt idx="101">
                  <c:v>2.7008244628281972E-2</c:v>
                </c:pt>
                <c:pt idx="102">
                  <c:v>2.7240822280087378E-2</c:v>
                </c:pt>
                <c:pt idx="103">
                  <c:v>2.671743345880178E-2</c:v>
                </c:pt>
                <c:pt idx="104">
                  <c:v>2.5681211065975814E-2</c:v>
                </c:pt>
                <c:pt idx="105">
                  <c:v>2.4488360072156563E-2</c:v>
                </c:pt>
                <c:pt idx="106">
                  <c:v>2.3558748142314512E-2</c:v>
                </c:pt>
                <c:pt idx="107">
                  <c:v>2.3311688094532098E-2</c:v>
                </c:pt>
                <c:pt idx="108">
                  <c:v>2.4097183556922031E-2</c:v>
                </c:pt>
                <c:pt idx="109">
                  <c:v>2.6133865151695971E-2</c:v>
                </c:pt>
                <c:pt idx="110">
                  <c:v>2.946448833973624E-2</c:v>
                </c:pt>
                <c:pt idx="111">
                  <c:v>3.3938324722382021E-2</c:v>
                </c:pt>
                <c:pt idx="112">
                  <c:v>3.9226758493789815E-2</c:v>
                </c:pt>
                <c:pt idx="113">
                  <c:v>4.4873426164391376E-2</c:v>
                </c:pt>
                <c:pt idx="114">
                  <c:v>5.0373304355167577E-2</c:v>
                </c:pt>
                <c:pt idx="115">
                  <c:v>5.526733630849779E-2</c:v>
                </c:pt>
                <c:pt idx="116">
                  <c:v>5.9232759784193789E-2</c:v>
                </c:pt>
                <c:pt idx="117">
                  <c:v>6.2147043328026771E-2</c:v>
                </c:pt>
                <c:pt idx="118">
                  <c:v>6.4107307977334729E-2</c:v>
                </c:pt>
                <c:pt idx="119">
                  <c:v>6.5397383337428089E-2</c:v>
                </c:pt>
                <c:pt idx="120">
                  <c:v>6.6408777732599414E-2</c:v>
                </c:pt>
                <c:pt idx="121">
                  <c:v>6.753544702155774E-2</c:v>
                </c:pt>
                <c:pt idx="122">
                  <c:v>6.9070568895283374E-2</c:v>
                </c:pt>
                <c:pt idx="123">
                  <c:v>7.113335870419242E-2</c:v>
                </c:pt>
                <c:pt idx="124">
                  <c:v>7.3645039365376641E-2</c:v>
                </c:pt>
                <c:pt idx="125">
                  <c:v>7.6358322259846526E-2</c:v>
                </c:pt>
                <c:pt idx="126">
                  <c:v>7.8929189525919319E-2</c:v>
                </c:pt>
                <c:pt idx="127">
                  <c:v>8.1008579466680525E-2</c:v>
                </c:pt>
                <c:pt idx="128">
                  <c:v>8.2328163756111891E-2</c:v>
                </c:pt>
                <c:pt idx="129">
                  <c:v>8.275920782291718E-2</c:v>
                </c:pt>
                <c:pt idx="130">
                  <c:v>8.2334068795221038E-2</c:v>
                </c:pt>
                <c:pt idx="131">
                  <c:v>8.1232033973736101E-2</c:v>
                </c:pt>
                <c:pt idx="132">
                  <c:v>7.9740754458624274E-2</c:v>
                </c:pt>
                <c:pt idx="133">
                  <c:v>7.8208795387110369E-2</c:v>
                </c:pt>
                <c:pt idx="134">
                  <c:v>7.7003342305157943E-2</c:v>
                </c:pt>
                <c:pt idx="135">
                  <c:v>7.6481427657259501E-2</c:v>
                </c:pt>
                <c:pt idx="136">
                  <c:v>7.6975852241451162E-2</c:v>
                </c:pt>
                <c:pt idx="137">
                  <c:v>7.8790962294614603E-2</c:v>
                </c:pt>
                <c:pt idx="138">
                  <c:v>8.220040839418058E-2</c:v>
                </c:pt>
                <c:pt idx="139">
                  <c:v>8.7439463841481754E-2</c:v>
                </c:pt>
                <c:pt idx="140">
                  <c:v>9.4687712435953697E-2</c:v>
                </c:pt>
                <c:pt idx="141">
                  <c:v>0.10404246133480644</c:v>
                </c:pt>
                <c:pt idx="142">
                  <c:v>0.11548746843965445</c:v>
                </c:pt>
                <c:pt idx="143">
                  <c:v>0.12886426078092025</c:v>
                </c:pt>
                <c:pt idx="144">
                  <c:v>0.14385394102192145</c:v>
                </c:pt>
                <c:pt idx="145">
                  <c:v>0.15997613156495899</c:v>
                </c:pt>
                <c:pt idx="146">
                  <c:v>0.17660921100974683</c:v>
                </c:pt>
                <c:pt idx="147">
                  <c:v>0.1930328751775415</c:v>
                </c:pt>
                <c:pt idx="148">
                  <c:v>0.20849062370245061</c:v>
                </c:pt>
                <c:pt idx="149">
                  <c:v>0.2222660874374805</c:v>
                </c:pt>
                <c:pt idx="150">
                  <c:v>0.23376332668382716</c:v>
                </c:pt>
                <c:pt idx="151">
                  <c:v>0.2425780336969636</c:v>
                </c:pt>
                <c:pt idx="152">
                  <c:v>0.24854529412948559</c:v>
                </c:pt>
                <c:pt idx="153">
                  <c:v>0.2517517094848265</c:v>
                </c:pt>
                <c:pt idx="154">
                  <c:v>0.25250604050637449</c:v>
                </c:pt>
                <c:pt idx="155">
                  <c:v>0.25127230772165771</c:v>
                </c:pt>
                <c:pt idx="156">
                  <c:v>0.24857989632561089</c:v>
                </c:pt>
                <c:pt idx="157">
                  <c:v>0.24493300049053554</c:v>
                </c:pt>
                <c:pt idx="158">
                  <c:v>0.24074340936230287</c:v>
                </c:pt>
                <c:pt idx="159">
                  <c:v>0.2363047493848128</c:v>
                </c:pt>
                <c:pt idx="160">
                  <c:v>0.23181412344611468</c:v>
                </c:pt>
                <c:pt idx="161">
                  <c:v>0.22743233294262924</c:v>
                </c:pt>
                <c:pt idx="162">
                  <c:v>0.22336138051275065</c:v>
                </c:pt>
                <c:pt idx="163">
                  <c:v>0.21991191338596927</c:v>
                </c:pt>
                <c:pt idx="164">
                  <c:v>0.2175356412645095</c:v>
                </c:pt>
                <c:pt idx="165">
                  <c:v>0.21680760612404712</c:v>
                </c:pt>
                <c:pt idx="166">
                  <c:v>0.21835712107754299</c:v>
                </c:pt>
                <c:pt idx="167">
                  <c:v>0.22275983351831125</c:v>
                </c:pt>
                <c:pt idx="168">
                  <c:v>0.23041298849961359</c:v>
                </c:pt>
                <c:pt idx="169">
                  <c:v>0.24141977310575255</c:v>
                </c:pt>
                <c:pt idx="170">
                  <c:v>0.25550695094683662</c:v>
                </c:pt>
                <c:pt idx="171">
                  <c:v>0.27199451875589836</c:v>
                </c:pt>
                <c:pt idx="172">
                  <c:v>0.28982855155886383</c:v>
                </c:pt>
                <c:pt idx="173">
                  <c:v>0.30767957559344744</c:v>
                </c:pt>
                <c:pt idx="174">
                  <c:v>0.32409868124910285</c:v>
                </c:pt>
                <c:pt idx="175">
                  <c:v>0.3377122367715153</c:v>
                </c:pt>
                <c:pt idx="176">
                  <c:v>0.34742490176007673</c:v>
                </c:pt>
                <c:pt idx="177">
                  <c:v>0.35259289652912568</c:v>
                </c:pt>
                <c:pt idx="178">
                  <c:v>0.35312927958731993</c:v>
                </c:pt>
                <c:pt idx="179">
                  <c:v>0.34951323376008353</c:v>
                </c:pt>
                <c:pt idx="180">
                  <c:v>0.34269558354949142</c:v>
                </c:pt>
                <c:pt idx="181">
                  <c:v>0.33391819665078681</c:v>
                </c:pt>
                <c:pt idx="182">
                  <c:v>0.32448770859600529</c:v>
                </c:pt>
                <c:pt idx="183">
                  <c:v>0.31555618627712062</c:v>
                </c:pt>
                <c:pt idx="184">
                  <c:v>0.3079582313916665</c:v>
                </c:pt>
                <c:pt idx="185">
                  <c:v>0.3021363728976888</c:v>
                </c:pt>
                <c:pt idx="186">
                  <c:v>0.29816044383818613</c:v>
                </c:pt>
                <c:pt idx="187">
                  <c:v>0.29582090926055493</c:v>
                </c:pt>
                <c:pt idx="188">
                  <c:v>0.29475912467423554</c:v>
                </c:pt>
                <c:pt idx="189">
                  <c:v>0.29459390151504505</c:v>
                </c:pt>
                <c:pt idx="190">
                  <c:v>0.29501310590455376</c:v>
                </c:pt>
                <c:pt idx="191">
                  <c:v>0.29581646525619715</c:v>
                </c:pt>
                <c:pt idx="192">
                  <c:v>0.29691424082345141</c:v>
                </c:pt>
                <c:pt idx="193">
                  <c:v>0.29829941719988656</c:v>
                </c:pt>
                <c:pt idx="194">
                  <c:v>0.30001478654804875</c:v>
                </c:pt>
                <c:pt idx="195">
                  <c:v>0.30213073448299843</c:v>
                </c:pt>
                <c:pt idx="196">
                  <c:v>0.30473800818479024</c:v>
                </c:pt>
                <c:pt idx="197">
                  <c:v>0.30794755683036357</c:v>
                </c:pt>
                <c:pt idx="198">
                  <c:v>0.31188199115292348</c:v>
                </c:pt>
                <c:pt idx="199">
                  <c:v>0.31664379611845861</c:v>
                </c:pt>
                <c:pt idx="200">
                  <c:v>0.32225454353607574</c:v>
                </c:pt>
                <c:pt idx="201">
                  <c:v>0.32857399415338678</c:v>
                </c:pt>
                <c:pt idx="202">
                  <c:v>0.33522258716877623</c:v>
                </c:pt>
                <c:pt idx="203">
                  <c:v>0.34153908112028014</c:v>
                </c:pt>
                <c:pt idx="204">
                  <c:v>0.3466023309894945</c:v>
                </c:pt>
                <c:pt idx="205">
                  <c:v>0.34933135258195636</c:v>
                </c:pt>
                <c:pt idx="206">
                  <c:v>0.34865457375620224</c:v>
                </c:pt>
                <c:pt idx="207">
                  <c:v>0.34371499759633356</c:v>
                </c:pt>
                <c:pt idx="208">
                  <c:v>0.33406174789176496</c:v>
                </c:pt>
                <c:pt idx="209">
                  <c:v>0.3197769022541862</c:v>
                </c:pt>
                <c:pt idx="210">
                  <c:v>0.3015013985326454</c:v>
                </c:pt>
                <c:pt idx="211">
                  <c:v>0.2803507908396356</c:v>
                </c:pt>
                <c:pt idx="212">
                  <c:v>0.25774175862994331</c:v>
                </c:pt>
                <c:pt idx="213">
                  <c:v>0.23517339976882956</c:v>
                </c:pt>
                <c:pt idx="214">
                  <c:v>0.21401615121951878</c:v>
                </c:pt>
                <c:pt idx="215">
                  <c:v>0.1953538790169031</c:v>
                </c:pt>
                <c:pt idx="216">
                  <c:v>0.17990523466949052</c:v>
                </c:pt>
                <c:pt idx="217">
                  <c:v>0.16802641783640979</c:v>
                </c:pt>
                <c:pt idx="218">
                  <c:v>0.15977698753431352</c:v>
                </c:pt>
                <c:pt idx="219">
                  <c:v>0.1550187091557331</c:v>
                </c:pt>
                <c:pt idx="220">
                  <c:v>0.15351602812912063</c:v>
                </c:pt>
                <c:pt idx="221">
                  <c:v>0.15501351771952568</c:v>
                </c:pt>
                <c:pt idx="222">
                  <c:v>0.15927661029619136</c:v>
                </c:pt>
                <c:pt idx="223">
                  <c:v>0.16609321256067103</c:v>
                </c:pt>
                <c:pt idx="224">
                  <c:v>0.17524291012081861</c:v>
                </c:pt>
                <c:pt idx="225">
                  <c:v>0.1864465145548449</c:v>
                </c:pt>
                <c:pt idx="226">
                  <c:v>0.1993119136814589</c:v>
                </c:pt>
                <c:pt idx="227">
                  <c:v>0.2132929741729985</c:v>
                </c:pt>
                <c:pt idx="228">
                  <c:v>0.22767660646201149</c:v>
                </c:pt>
                <c:pt idx="229">
                  <c:v>0.24160858252712988</c:v>
                </c:pt>
                <c:pt idx="230">
                  <c:v>0.25416100139996994</c:v>
                </c:pt>
                <c:pt idx="231">
                  <c:v>0.26443411937584671</c:v>
                </c:pt>
                <c:pt idx="232">
                  <c:v>0.27167477158548192</c:v>
                </c:pt>
                <c:pt idx="233">
                  <c:v>0.27538611871568097</c:v>
                </c:pt>
                <c:pt idx="234">
                  <c:v>0.2754022047526265</c:v>
                </c:pt>
                <c:pt idx="235">
                  <c:v>0.27190741566735438</c:v>
                </c:pt>
                <c:pt idx="236">
                  <c:v>0.26539422687067454</c:v>
                </c:pt>
                <c:pt idx="237">
                  <c:v>0.25656873401270386</c:v>
                </c:pt>
                <c:pt idx="238">
                  <c:v>0.24622710918281346</c:v>
                </c:pt>
                <c:pt idx="239">
                  <c:v>0.23513274791953614</c:v>
                </c:pt>
                <c:pt idx="240">
                  <c:v>0.22392145349985015</c:v>
                </c:pt>
                <c:pt idx="241">
                  <c:v>0.21305180566168014</c:v>
                </c:pt>
                <c:pt idx="242">
                  <c:v>0.20280375701239708</c:v>
                </c:pt>
                <c:pt idx="243">
                  <c:v>0.19331531252163447</c:v>
                </c:pt>
                <c:pt idx="244">
                  <c:v>0.18463878454378665</c:v>
                </c:pt>
                <c:pt idx="245">
                  <c:v>0.17679632163459649</c:v>
                </c:pt>
                <c:pt idx="246">
                  <c:v>0.16981852505838127</c:v>
                </c:pt>
                <c:pt idx="247">
                  <c:v>0.16375762866199731</c:v>
                </c:pt>
                <c:pt idx="248">
                  <c:v>0.15867504416633232</c:v>
                </c:pt>
                <c:pt idx="249">
                  <c:v>0.15460977512752877</c:v>
                </c:pt>
                <c:pt idx="250">
                  <c:v>0.15153817867855954</c:v>
                </c:pt>
                <c:pt idx="251">
                  <c:v>0.14933683645309156</c:v>
                </c:pt>
                <c:pt idx="252">
                  <c:v>0.14775950840938865</c:v>
                </c:pt>
                <c:pt idx="253">
                  <c:v>0.14643685899998982</c:v>
                </c:pt>
                <c:pt idx="254">
                  <c:v>0.14490403418262615</c:v>
                </c:pt>
                <c:pt idx="255">
                  <c:v>0.14265613105583455</c:v>
                </c:pt>
                <c:pt idx="256">
                  <c:v>0.13922528995935901</c:v>
                </c:pt>
                <c:pt idx="257">
                  <c:v>0.13426649121947073</c:v>
                </c:pt>
                <c:pt idx="258">
                  <c:v>0.12763401335430744</c:v>
                </c:pt>
                <c:pt idx="259">
                  <c:v>0.11942916255554875</c:v>
                </c:pt>
                <c:pt idx="260">
                  <c:v>0.11000393398102315</c:v>
                </c:pt>
                <c:pt idx="261">
                  <c:v>9.9914645693493093E-2</c:v>
                </c:pt>
                <c:pt idx="262">
                  <c:v>8.9832093387295781E-2</c:v>
                </c:pt>
                <c:pt idx="263">
                  <c:v>8.0426610522058531E-2</c:v>
                </c:pt>
                <c:pt idx="264">
                  <c:v>7.2253594507967728E-2</c:v>
                </c:pt>
                <c:pt idx="265">
                  <c:v>6.566504393719802E-2</c:v>
                </c:pt>
                <c:pt idx="266">
                  <c:v>6.0765464038368626E-2</c:v>
                </c:pt>
                <c:pt idx="267">
                  <c:v>5.741869101049292E-2</c:v>
                </c:pt>
                <c:pt idx="268">
                  <c:v>5.5299733406864317E-2</c:v>
                </c:pt>
                <c:pt idx="269">
                  <c:v>5.3976374124165852E-2</c:v>
                </c:pt>
                <c:pt idx="270">
                  <c:v>5.3001152858671692E-2</c:v>
                </c:pt>
                <c:pt idx="271">
                  <c:v>5.1995465912611123E-2</c:v>
                </c:pt>
                <c:pt idx="272">
                  <c:v>5.0712232700994953E-2</c:v>
                </c:pt>
                <c:pt idx="273">
                  <c:v>4.9069649541717275E-2</c:v>
                </c:pt>
                <c:pt idx="274">
                  <c:v>4.7154192725086218E-2</c:v>
                </c:pt>
                <c:pt idx="275">
                  <c:v>4.5195423089059286E-2</c:v>
                </c:pt>
                <c:pt idx="276">
                  <c:v>4.3518300770353187E-2</c:v>
                </c:pt>
                <c:pt idx="277">
                  <c:v>4.2480972513101144E-2</c:v>
                </c:pt>
                <c:pt idx="278">
                  <c:v>4.2407490626980508E-2</c:v>
                </c:pt>
                <c:pt idx="279">
                  <c:v>4.3525465889964976E-2</c:v>
                </c:pt>
                <c:pt idx="280">
                  <c:v>4.5917923960960408E-2</c:v>
                </c:pt>
                <c:pt idx="281">
                  <c:v>4.9496535307162907E-2</c:v>
                </c:pt>
                <c:pt idx="282">
                  <c:v>5.4000256158662482E-2</c:v>
                </c:pt>
                <c:pt idx="283">
                  <c:v>5.9019885214484841E-2</c:v>
                </c:pt>
                <c:pt idx="284">
                  <c:v>6.4045694877481435E-2</c:v>
                </c:pt>
                <c:pt idx="285">
                  <c:v>6.853239291625815E-2</c:v>
                </c:pt>
                <c:pt idx="286">
                  <c:v>7.1973151827235446E-2</c:v>
                </c:pt>
                <c:pt idx="287">
                  <c:v>7.3972266450507279E-2</c:v>
                </c:pt>
                <c:pt idx="288">
                  <c:v>7.4304537263703507E-2</c:v>
                </c:pt>
                <c:pt idx="289">
                  <c:v>7.2949623204037889E-2</c:v>
                </c:pt>
                <c:pt idx="290">
                  <c:v>7.0092407329350209E-2</c:v>
                </c:pt>
                <c:pt idx="291">
                  <c:v>6.6086330484726438E-2</c:v>
                </c:pt>
                <c:pt idx="292">
                  <c:v>6.1384887755138173E-2</c:v>
                </c:pt>
                <c:pt idx="293">
                  <c:v>5.6454905555358259E-2</c:v>
                </c:pt>
                <c:pt idx="294">
                  <c:v>5.1690958466934486E-2</c:v>
                </c:pt>
                <c:pt idx="295">
                  <c:v>4.7350932816803568E-2</c:v>
                </c:pt>
                <c:pt idx="296">
                  <c:v>4.3527494967876772E-2</c:v>
                </c:pt>
                <c:pt idx="297">
                  <c:v>4.0160418589624894E-2</c:v>
                </c:pt>
                <c:pt idx="298">
                  <c:v>3.7083466980628157E-2</c:v>
                </c:pt>
                <c:pt idx="299">
                  <c:v>3.4090503642349099E-2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A5-4A66-BE39-E74D4D04CD5B}"/>
            </c:ext>
          </c:extLst>
        </c:ser>
        <c:ser>
          <c:idx val="3"/>
          <c:order val="3"/>
          <c:tx>
            <c:v>Duża szerokość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d.'!$L$6:$L$305</c:f>
              <c:numCache>
                <c:formatCode>General</c:formatCode>
                <c:ptCount val="300"/>
                <c:pt idx="0">
                  <c:v>9.52974706548846E-2</c:v>
                </c:pt>
                <c:pt idx="1">
                  <c:v>9.593419208124819E-2</c:v>
                </c:pt>
                <c:pt idx="2">
                  <c:v>9.656443138176736E-2</c:v>
                </c:pt>
                <c:pt idx="3">
                  <c:v>9.7188122665965715E-2</c:v>
                </c:pt>
                <c:pt idx="4">
                  <c:v>9.7805205909608561E-2</c:v>
                </c:pt>
                <c:pt idx="5">
                  <c:v>9.8415627019381502E-2</c:v>
                </c:pt>
                <c:pt idx="6">
                  <c:v>9.9019337891269543E-2</c:v>
                </c:pt>
                <c:pt idx="7">
                  <c:v>9.9616296462517129E-2</c:v>
                </c:pt>
                <c:pt idx="8">
                  <c:v>0.1002064667570562</c:v>
                </c:pt>
                <c:pt idx="9">
                  <c:v>0.10078981892429283</c:v>
                </c:pt>
                <c:pt idx="10">
                  <c:v>0.10136632927115789</c:v>
                </c:pt>
                <c:pt idx="11">
                  <c:v>0.10193598028732913</c:v>
                </c:pt>
                <c:pt idx="12">
                  <c:v>0.10249876066354124</c:v>
                </c:pt>
                <c:pt idx="13">
                  <c:v>0.10305466530291445</c:v>
                </c:pt>
                <c:pt idx="14">
                  <c:v>0.10360369532523191</c:v>
                </c:pt>
                <c:pt idx="15">
                  <c:v>0.10414585806411281</c:v>
                </c:pt>
                <c:pt idx="16">
                  <c:v>0.1046811670570323</c:v>
                </c:pt>
                <c:pt idx="17">
                  <c:v>0.10520964202815153</c:v>
                </c:pt>
                <c:pt idx="18">
                  <c:v>0.10573130886392594</c:v>
                </c:pt>
                <c:pt idx="19">
                  <c:v>0.10624619958147502</c:v>
                </c:pt>
                <c:pt idx="20">
                  <c:v>0.10675435228970109</c:v>
                </c:pt>
                <c:pt idx="21">
                  <c:v>0.10725581114315715</c:v>
                </c:pt>
                <c:pt idx="22">
                  <c:v>0.10775062628867092</c:v>
                </c:pt>
                <c:pt idx="23">
                  <c:v>0.10823885380474503</c:v>
                </c:pt>
                <c:pt idx="24">
                  <c:v>0.10872055563375965</c:v>
                </c:pt>
                <c:pt idx="25">
                  <c:v>0.10919579950701402</c:v>
                </c:pt>
                <c:pt idx="26">
                  <c:v>0.10966465886265596</c:v>
                </c:pt>
                <c:pt idx="27">
                  <c:v>0.11012721275655445</c:v>
                </c:pt>
                <c:pt idx="28">
                  <c:v>0.11058354576618017</c:v>
                </c:pt>
                <c:pt idx="29">
                  <c:v>0.11103374788757253</c:v>
                </c:pt>
                <c:pt idx="30">
                  <c:v>0.11147791442547526</c:v>
                </c:pt>
                <c:pt idx="31">
                  <c:v>0.11191614587673553</c:v>
                </c:pt>
                <c:pt idx="32">
                  <c:v>0.11234854780707297</c:v>
                </c:pt>
                <c:pt idx="33">
                  <c:v>0.11277523072132821</c:v>
                </c:pt>
                <c:pt idx="34">
                  <c:v>0.11319630992731421</c:v>
                </c:pt>
                <c:pt idx="35">
                  <c:v>0.11361190539340221</c:v>
                </c:pt>
                <c:pt idx="36">
                  <c:v>0.11402214159998246</c:v>
                </c:pt>
                <c:pt idx="37">
                  <c:v>0.11442714738494665</c:v>
                </c:pt>
                <c:pt idx="38">
                  <c:v>0.11482705578334952</c:v>
                </c:pt>
                <c:pt idx="39">
                  <c:v>0.11522200386141949</c:v>
                </c:pt>
                <c:pt idx="40">
                  <c:v>0.1156121325450828</c:v>
                </c:pt>
                <c:pt idx="41">
                  <c:v>0.11599758644319423</c:v>
                </c:pt>
                <c:pt idx="42">
                  <c:v>0.11637851366565295</c:v>
                </c:pt>
                <c:pt idx="43">
                  <c:v>0.1167550656366098</c:v>
                </c:pt>
                <c:pt idx="44">
                  <c:v>0.11712739690296102</c:v>
                </c:pt>
                <c:pt idx="45">
                  <c:v>0.11749566493834827</c:v>
                </c:pt>
                <c:pt idx="46">
                  <c:v>0.11786002994287535</c:v>
                </c:pt>
                <c:pt idx="47">
                  <c:v>0.11822065463877045</c:v>
                </c:pt>
                <c:pt idx="48">
                  <c:v>0.11857770406222211</c:v>
                </c:pt>
                <c:pt idx="49">
                  <c:v>0.11893134535162668</c:v>
                </c:pt>
                <c:pt idx="50">
                  <c:v>0.11928174753248759</c:v>
                </c:pt>
                <c:pt idx="51">
                  <c:v>0.11962908129921389</c:v>
                </c:pt>
                <c:pt idx="52">
                  <c:v>0.11997351879406788</c:v>
                </c:pt>
                <c:pt idx="53">
                  <c:v>0.12031523338352627</c:v>
                </c:pt>
                <c:pt idx="54">
                  <c:v>0.12065439943230254</c:v>
                </c:pt>
                <c:pt idx="55">
                  <c:v>0.12099119207530688</c:v>
                </c:pt>
                <c:pt idx="56">
                  <c:v>0.12132578698780344</c:v>
                </c:pt>
                <c:pt idx="57">
                  <c:v>0.12165836015404291</c:v>
                </c:pt>
                <c:pt idx="58">
                  <c:v>0.12198908763463905</c:v>
                </c:pt>
                <c:pt idx="59">
                  <c:v>0.12231814533296638</c:v>
                </c:pt>
                <c:pt idx="60">
                  <c:v>0.12264570876086271</c:v>
                </c:pt>
                <c:pt idx="61">
                  <c:v>0.12297195280390592</c:v>
                </c:pt>
                <c:pt idx="62">
                  <c:v>0.12329705148656096</c:v>
                </c:pt>
                <c:pt idx="63">
                  <c:v>0.12362117773746285</c:v>
                </c:pt>
                <c:pt idx="64">
                  <c:v>0.12394450315513493</c:v>
                </c:pt>
                <c:pt idx="65">
                  <c:v>0.12426719777441127</c:v>
                </c:pt>
                <c:pt idx="66">
                  <c:v>0.12458942983385453</c:v>
                </c:pt>
                <c:pt idx="67">
                  <c:v>0.12491136554444941</c:v>
                </c:pt>
                <c:pt idx="68">
                  <c:v>0.125233168859849</c:v>
                </c:pt>
                <c:pt idx="69">
                  <c:v>0.12555500124846189</c:v>
                </c:pt>
                <c:pt idx="70">
                  <c:v>0.12587702146764537</c:v>
                </c:pt>
                <c:pt idx="71">
                  <c:v>0.12619938534029482</c:v>
                </c:pt>
                <c:pt idx="72">
                  <c:v>0.12652224553409114</c:v>
                </c:pt>
                <c:pt idx="73">
                  <c:v>0.12684575134368081</c:v>
                </c:pt>
                <c:pt idx="74">
                  <c:v>0.12717004847605604</c:v>
                </c:pt>
                <c:pt idx="75">
                  <c:v>0.12749527883939821</c:v>
                </c:pt>
                <c:pt idx="76">
                  <c:v>0.12782158033564023</c:v>
                </c:pt>
                <c:pt idx="77">
                  <c:v>0.12814908665700955</c:v>
                </c:pt>
                <c:pt idx="78">
                  <c:v>0.12847792708679404</c:v>
                </c:pt>
                <c:pt idx="79">
                  <c:v>0.12880822630458375</c:v>
                </c:pt>
                <c:pt idx="80">
                  <c:v>0.12914010419622329</c:v>
                </c:pt>
                <c:pt idx="81">
                  <c:v>0.12947367566870815</c:v>
                </c:pt>
                <c:pt idx="82">
                  <c:v>0.12980905047026034</c:v>
                </c:pt>
                <c:pt idx="83">
                  <c:v>0.13014633301579628</c:v>
                </c:pt>
                <c:pt idx="84">
                  <c:v>0.13048562221800725</c:v>
                </c:pt>
                <c:pt idx="85">
                  <c:v>0.1308270113242628</c:v>
                </c:pt>
                <c:pt idx="86">
                  <c:v>0.1311705877595308</c:v>
                </c:pt>
                <c:pt idx="87">
                  <c:v>0.13151643297551713</c:v>
                </c:pt>
                <c:pt idx="88">
                  <c:v>0.1318646223062053</c:v>
                </c:pt>
                <c:pt idx="89">
                  <c:v>0.13221522482997572</c:v>
                </c:pt>
                <c:pt idx="90">
                  <c:v>0.13256830323847504</c:v>
                </c:pt>
                <c:pt idx="91">
                  <c:v>0.13292391371240106</c:v>
                </c:pt>
                <c:pt idx="92">
                  <c:v>0.13328210580434766</c:v>
                </c:pt>
                <c:pt idx="93">
                  <c:v>0.13364292232886427</c:v>
                </c:pt>
                <c:pt idx="94">
                  <c:v>0.13400639925986055</c:v>
                </c:pt>
                <c:pt idx="95">
                  <c:v>0.13437256563548225</c:v>
                </c:pt>
                <c:pt idx="96">
                  <c:v>0.1347414434705784</c:v>
                </c:pt>
                <c:pt idx="97">
                  <c:v>0.13511304767686688</c:v>
                </c:pt>
                <c:pt idx="98">
                  <c:v>0.13548738599089608</c:v>
                </c:pt>
                <c:pt idx="99">
                  <c:v>0.13586445890989346</c:v>
                </c:pt>
                <c:pt idx="100">
                  <c:v>0.13624425963557837</c:v>
                </c:pt>
                <c:pt idx="101">
                  <c:v>0.13662677402601028</c:v>
                </c:pt>
                <c:pt idx="102">
                  <c:v>0.13701198055553035</c:v>
                </c:pt>
                <c:pt idx="103">
                  <c:v>0.13739985028285051</c:v>
                </c:pt>
                <c:pt idx="104">
                  <c:v>0.13779034682732214</c:v>
                </c:pt>
                <c:pt idx="105">
                  <c:v>0.13818342635342271</c:v>
                </c:pt>
                <c:pt idx="106">
                  <c:v>0.13857903756347598</c:v>
                </c:pt>
                <c:pt idx="107">
                  <c:v>0.13897712169861379</c:v>
                </c:pt>
                <c:pt idx="108">
                  <c:v>0.13937761254798578</c:v>
                </c:pt>
                <c:pt idx="109">
                  <c:v>0.13978043646620048</c:v>
                </c:pt>
                <c:pt idx="110">
                  <c:v>0.14018551239898347</c:v>
                </c:pt>
                <c:pt idx="111">
                  <c:v>0.14059275191701751</c:v>
                </c:pt>
                <c:pt idx="112">
                  <c:v>0.14100205925793088</c:v>
                </c:pt>
                <c:pt idx="113">
                  <c:v>0.14141333137638232</c:v>
                </c:pt>
                <c:pt idx="114">
                  <c:v>0.14182645800218135</c:v>
                </c:pt>
                <c:pt idx="115">
                  <c:v>0.14224132170638207</c:v>
                </c:pt>
                <c:pt idx="116">
                  <c:v>0.14265779797526709</c:v>
                </c:pt>
                <c:pt idx="117">
                  <c:v>0.14307575529213801</c:v>
                </c:pt>
                <c:pt idx="118">
                  <c:v>0.1434950552268171</c:v>
                </c:pt>
                <c:pt idx="119">
                  <c:v>0.14391555253275329</c:v>
                </c:pt>
                <c:pt idx="120">
                  <c:v>0.14433709525162164</c:v>
                </c:pt>
                <c:pt idx="121">
                  <c:v>0.14475952482529178</c:v>
                </c:pt>
                <c:pt idx="122">
                  <c:v>0.14518267621503875</c:v>
                </c:pt>
                <c:pt idx="123">
                  <c:v>0.14560637802785353</c:v>
                </c:pt>
                <c:pt idx="124">
                  <c:v>0.14603045264970888</c:v>
                </c:pt>
                <c:pt idx="125">
                  <c:v>0.14645471638562851</c:v>
                </c:pt>
                <c:pt idx="126">
                  <c:v>0.14687897960639226</c:v>
                </c:pt>
                <c:pt idx="127">
                  <c:v>0.14730304690171547</c:v>
                </c:pt>
                <c:pt idx="128">
                  <c:v>0.14772671723971945</c:v>
                </c:pt>
                <c:pt idx="129">
                  <c:v>0.14814978413251664</c:v>
                </c:pt>
                <c:pt idx="130">
                  <c:v>0.14857203580771536</c:v>
                </c:pt>
                <c:pt idx="131">
                  <c:v>0.14899325538565428</c:v>
                </c:pt>
                <c:pt idx="132">
                  <c:v>0.14941322106216037</c:v>
                </c:pt>
                <c:pt idx="133">
                  <c:v>0.14983170629662551</c:v>
                </c:pt>
                <c:pt idx="134">
                  <c:v>0.15024848000519003</c:v>
                </c:pt>
                <c:pt idx="135">
                  <c:v>0.15066330675881154</c:v>
                </c:pt>
                <c:pt idx="136">
                  <c:v>0.15107594698600293</c:v>
                </c:pt>
                <c:pt idx="137">
                  <c:v>0.15148615718000416</c:v>
                </c:pt>
                <c:pt idx="138">
                  <c:v>0.15189369011016587</c:v>
                </c:pt>
                <c:pt idx="139">
                  <c:v>0.15229829503730186</c:v>
                </c:pt>
                <c:pt idx="140">
                  <c:v>0.15269971793277584</c:v>
                </c:pt>
                <c:pt idx="141">
                  <c:v>0.1530977017010795</c:v>
                </c:pt>
                <c:pt idx="142">
                  <c:v>0.15349198640565773</c:v>
                </c:pt>
                <c:pt idx="143">
                  <c:v>0.15388230949773066</c:v>
                </c:pt>
                <c:pt idx="144">
                  <c:v>0.15426840604786685</c:v>
                </c:pt>
                <c:pt idx="145">
                  <c:v>0.15465000898005074</c:v>
                </c:pt>
                <c:pt idx="146">
                  <c:v>0.15502684930799682</c:v>
                </c:pt>
                <c:pt idx="147">
                  <c:v>0.15539865637344971</c:v>
                </c:pt>
                <c:pt idx="148">
                  <c:v>0.15576515808621594</c:v>
                </c:pt>
                <c:pt idx="149">
                  <c:v>0.15612608116567481</c:v>
                </c:pt>
                <c:pt idx="150">
                  <c:v>0.15648115138350496</c:v>
                </c:pt>
                <c:pt idx="151">
                  <c:v>0.15683009380737192</c:v>
                </c:pt>
                <c:pt idx="152">
                  <c:v>0.15717263304532339</c:v>
                </c:pt>
                <c:pt idx="153">
                  <c:v>0.15750849349062793</c:v>
                </c:pt>
                <c:pt idx="154">
                  <c:v>0.15783739956680881</c:v>
                </c:pt>
                <c:pt idx="155">
                  <c:v>0.15815907597261514</c:v>
                </c:pt>
                <c:pt idx="156">
                  <c:v>0.15847324792667583</c:v>
                </c:pt>
                <c:pt idx="157">
                  <c:v>0.15877964141158898</c:v>
                </c:pt>
                <c:pt idx="158">
                  <c:v>0.15907798341719323</c:v>
                </c:pt>
                <c:pt idx="159">
                  <c:v>0.15936800218277755</c:v>
                </c:pt>
                <c:pt idx="160">
                  <c:v>0.15964942743798174</c:v>
                </c:pt>
                <c:pt idx="161">
                  <c:v>0.15992199064214777</c:v>
                </c:pt>
                <c:pt idx="162">
                  <c:v>0.16018542522188448</c:v>
                </c:pt>
                <c:pt idx="163">
                  <c:v>0.16043946680660773</c:v>
                </c:pt>
                <c:pt idx="164">
                  <c:v>0.16068385346182587</c:v>
                </c:pt>
                <c:pt idx="165">
                  <c:v>0.16091832591994454</c:v>
                </c:pt>
                <c:pt idx="166">
                  <c:v>0.16114262780836336</c:v>
                </c:pt>
                <c:pt idx="167">
                  <c:v>0.16135650587464884</c:v>
                </c:pt>
                <c:pt idx="168">
                  <c:v>0.1615597102085666</c:v>
                </c:pt>
                <c:pt idx="169">
                  <c:v>0.16175199446076563</c:v>
                </c:pt>
                <c:pt idx="170">
                  <c:v>0.161933116057905</c:v>
                </c:pt>
                <c:pt idx="171">
                  <c:v>0.1621028364140292</c:v>
                </c:pt>
                <c:pt idx="172">
                  <c:v>0.16226092113799334</c:v>
                </c:pt>
                <c:pt idx="173">
                  <c:v>0.16240714023675054</c:v>
                </c:pt>
                <c:pt idx="174">
                  <c:v>0.16254126831432036</c:v>
                </c:pt>
                <c:pt idx="175">
                  <c:v>0.16266308476625849</c:v>
                </c:pt>
                <c:pt idx="176">
                  <c:v>0.16277237396945757</c:v>
                </c:pt>
                <c:pt idx="177">
                  <c:v>0.16286892546711609</c:v>
                </c:pt>
                <c:pt idx="178">
                  <c:v>0.16295253414871319</c:v>
                </c:pt>
                <c:pt idx="179">
                  <c:v>0.16302300042484091</c:v>
                </c:pt>
                <c:pt idx="180">
                  <c:v>0.16308013039674601</c:v>
                </c:pt>
                <c:pt idx="181">
                  <c:v>0.16312373602044355</c:v>
                </c:pt>
                <c:pt idx="182">
                  <c:v>0.16315363526527052</c:v>
                </c:pt>
                <c:pt idx="183">
                  <c:v>0.1631696522667534</c:v>
                </c:pt>
                <c:pt idx="184">
                  <c:v>0.1631716174736729</c:v>
                </c:pt>
                <c:pt idx="185">
                  <c:v>0.16315936778921381</c:v>
                </c:pt>
                <c:pt idx="186">
                  <c:v>0.16313274670609576</c:v>
                </c:pt>
                <c:pt idx="187">
                  <c:v>0.16309160443558904</c:v>
                </c:pt>
                <c:pt idx="188">
                  <c:v>0.16303579803032558</c:v>
                </c:pt>
                <c:pt idx="189">
                  <c:v>0.16296519150082242</c:v>
                </c:pt>
                <c:pt idx="190">
                  <c:v>0.16287965592564263</c:v>
                </c:pt>
                <c:pt idx="191">
                  <c:v>0.16277906955512514</c:v>
                </c:pt>
                <c:pt idx="192">
                  <c:v>0.16266331790862565</c:v>
                </c:pt>
                <c:pt idx="193">
                  <c:v>0.16253229386521159</c:v>
                </c:pt>
                <c:pt idx="194">
                  <c:v>0.16238589774776749</c:v>
                </c:pt>
                <c:pt idx="195">
                  <c:v>0.16222403740047206</c:v>
                </c:pt>
                <c:pt idx="196">
                  <c:v>0.162046628259614</c:v>
                </c:pt>
                <c:pt idx="197">
                  <c:v>0.16185359341772396</c:v>
                </c:pt>
                <c:pt idx="198">
                  <c:v>0.1616448636810037</c:v>
                </c:pt>
                <c:pt idx="199">
                  <c:v>0.16142037762004466</c:v>
                </c:pt>
                <c:pt idx="200">
                  <c:v>0.16118008161382993</c:v>
                </c:pt>
                <c:pt idx="201">
                  <c:v>0.16092392988702633</c:v>
                </c:pt>
                <c:pt idx="202">
                  <c:v>0.16065188454057533</c:v>
                </c:pt>
                <c:pt idx="203">
                  <c:v>0.16036391557560223</c:v>
                </c:pt>
                <c:pt idx="204">
                  <c:v>0.1600600009106658</c:v>
                </c:pt>
                <c:pt idx="205">
                  <c:v>0.15974012639238119</c:v>
                </c:pt>
                <c:pt idx="206">
                  <c:v>0.15940428579945257</c:v>
                </c:pt>
                <c:pt idx="207">
                  <c:v>0.1590524808401601</c:v>
                </c:pt>
                <c:pt idx="208">
                  <c:v>0.1586847211433495</c:v>
                </c:pt>
                <c:pt idx="209">
                  <c:v>0.1583010242429829</c:v>
                </c:pt>
                <c:pt idx="210">
                  <c:v>0.15790141555631251</c:v>
                </c:pt>
                <c:pt idx="211">
                  <c:v>0.15748592835574413</c:v>
                </c:pt>
                <c:pt idx="212">
                  <c:v>0.15705460373446534</c:v>
                </c:pt>
                <c:pt idx="213">
                  <c:v>0.15660749056591894</c:v>
                </c:pt>
                <c:pt idx="214">
                  <c:v>0.15614464545720511</c:v>
                </c:pt>
                <c:pt idx="215">
                  <c:v>0.15566613269650267</c:v>
                </c:pt>
                <c:pt idx="216">
                  <c:v>0.15517202419460757</c:v>
                </c:pt>
                <c:pt idx="217">
                  <c:v>0.15466239942068408</c:v>
                </c:pt>
                <c:pt idx="218">
                  <c:v>0.15413734533234022</c:v>
                </c:pt>
                <c:pt idx="219">
                  <c:v>0.15359695630013201</c:v>
                </c:pt>
                <c:pt idx="220">
                  <c:v>0.1530413340266133</c:v>
                </c:pt>
                <c:pt idx="221">
                  <c:v>0.15247058746005185</c:v>
                </c:pt>
                <c:pt idx="222">
                  <c:v>0.15188483270292991</c:v>
                </c:pt>
                <c:pt idx="223">
                  <c:v>0.15128419291536019</c:v>
                </c:pt>
                <c:pt idx="224">
                  <c:v>0.15066879821354609</c:v>
                </c:pt>
                <c:pt idx="225">
                  <c:v>0.15003878556342107</c:v>
                </c:pt>
                <c:pt idx="226">
                  <c:v>0.1493942986696031</c:v>
                </c:pt>
                <c:pt idx="227">
                  <c:v>0.14873548785980664</c:v>
                </c:pt>
                <c:pt idx="228">
                  <c:v>0.14806250996485615</c:v>
                </c:pt>
                <c:pt idx="229">
                  <c:v>0.14737552819444569</c:v>
                </c:pt>
                <c:pt idx="230">
                  <c:v>0.14667471200879517</c:v>
                </c:pt>
                <c:pt idx="231">
                  <c:v>0.14596023698635532</c:v>
                </c:pt>
                <c:pt idx="232">
                  <c:v>0.14523228468771365</c:v>
                </c:pt>
                <c:pt idx="233">
                  <c:v>0.14449104251585934</c:v>
                </c:pt>
                <c:pt idx="234">
                  <c:v>0.14373670357296289</c:v>
                </c:pt>
                <c:pt idx="235">
                  <c:v>0.14296946651383044</c:v>
                </c:pt>
                <c:pt idx="236">
                  <c:v>0.14218953539619555</c:v>
                </c:pt>
                <c:pt idx="237">
                  <c:v>0.14139711952800713</c:v>
                </c:pt>
                <c:pt idx="238">
                  <c:v>0.14059243331187984</c:v>
                </c:pt>
                <c:pt idx="239">
                  <c:v>0.13977569608687035</c:v>
                </c:pt>
                <c:pt idx="240">
                  <c:v>0.13894713196774225</c:v>
                </c:pt>
                <c:pt idx="241">
                  <c:v>0.13810696968188904</c:v>
                </c:pt>
                <c:pt idx="242">
                  <c:v>0.13725544240407692</c:v>
                </c:pt>
                <c:pt idx="243">
                  <c:v>0.13639278758917575</c:v>
                </c:pt>
                <c:pt idx="244">
                  <c:v>0.1355192468030442</c:v>
                </c:pt>
                <c:pt idx="245">
                  <c:v>0.13463506555173296</c:v>
                </c:pt>
                <c:pt idx="246">
                  <c:v>0.13374049310917296</c:v>
                </c:pt>
                <c:pt idx="247">
                  <c:v>0.13283578234351401</c:v>
                </c:pt>
                <c:pt idx="248">
                  <c:v>0.13192118954227625</c:v>
                </c:pt>
                <c:pt idx="249">
                  <c:v>0.1309969742364783</c:v>
                </c:pt>
                <c:pt idx="250">
                  <c:v>0.1300633990239069</c:v>
                </c:pt>
                <c:pt idx="251">
                  <c:v>0.12912072939168437</c:v>
                </c:pt>
                <c:pt idx="252">
                  <c:v>0.12816923353829895</c:v>
                </c:pt>
                <c:pt idx="253">
                  <c:v>0.12720918219525196</c:v>
                </c:pt>
                <c:pt idx="254">
                  <c:v>0.12624084844848255</c:v>
                </c:pt>
                <c:pt idx="255">
                  <c:v>0.1252645075597206</c:v>
                </c:pt>
                <c:pt idx="256">
                  <c:v>0.12428043678792584</c:v>
                </c:pt>
                <c:pt idx="257">
                  <c:v>0.12328891521095929</c:v>
                </c:pt>
                <c:pt idx="258">
                  <c:v>0.12229022354764013</c:v>
                </c:pt>
                <c:pt idx="259">
                  <c:v>0.1212846439803318</c:v>
                </c:pt>
                <c:pt idx="260">
                  <c:v>0.12027245997820279</c:v>
                </c:pt>
                <c:pt idx="261">
                  <c:v>0.11925395612130361</c:v>
                </c:pt>
                <c:pt idx="262">
                  <c:v>0.11822941792559884</c:v>
                </c:pt>
                <c:pt idx="263">
                  <c:v>0.11719913166909131</c:v>
                </c:pt>
                <c:pt idx="264">
                  <c:v>0.11616338421917012</c:v>
                </c:pt>
                <c:pt idx="265">
                  <c:v>0.11512246286131517</c:v>
                </c:pt>
                <c:pt idx="266">
                  <c:v>0.11407665512928511</c:v>
                </c:pt>
                <c:pt idx="267">
                  <c:v>0.11302624863691156</c:v>
                </c:pt>
                <c:pt idx="268">
                  <c:v>0.11197153091162261</c:v>
                </c:pt>
                <c:pt idx="269">
                  <c:v>0.11091278922981374</c:v>
                </c:pt>
                <c:pt idx="270">
                  <c:v>0.1098503104541786</c:v>
                </c:pt>
                <c:pt idx="271">
                  <c:v>0.10878438087311322</c:v>
                </c:pt>
                <c:pt idx="272">
                  <c:v>0.10771528604229957</c:v>
                </c:pt>
                <c:pt idx="273">
                  <c:v>0.10664331062857398</c:v>
                </c:pt>
                <c:pt idx="274">
                  <c:v>0.10556873825617936</c:v>
                </c:pt>
                <c:pt idx="275">
                  <c:v>0.1044918513555002</c:v>
                </c:pt>
                <c:pt idx="276">
                  <c:v>0.10341293101437134</c:v>
                </c:pt>
                <c:pt idx="277">
                  <c:v>0.10233225683205159</c:v>
                </c:pt>
                <c:pt idx="278">
                  <c:v>0.10125010677594737</c:v>
                </c:pt>
                <c:pt idx="279">
                  <c:v>0.10016675704116836</c:v>
                </c:pt>
                <c:pt idx="280">
                  <c:v>9.908248191299264E-2</c:v>
                </c:pt>
                <c:pt idx="281">
                  <c:v>9.7997553632317227E-2</c:v>
                </c:pt>
                <c:pt idx="282">
                  <c:v>9.6912242264162687E-2</c:v>
                </c:pt>
                <c:pt idx="283">
                  <c:v>9.5826815569298965E-2</c:v>
                </c:pt>
                <c:pt idx="284">
                  <c:v>9.4741538879055842E-2</c:v>
                </c:pt>
                <c:pt idx="285">
                  <c:v>9.3656674973375723E-2</c:v>
                </c:pt>
                <c:pt idx="286">
                  <c:v>9.25724839621649E-2</c:v>
                </c:pt>
                <c:pt idx="287">
                  <c:v>9.1489223169992528E-2</c:v>
                </c:pt>
                <c:pt idx="288">
                  <c:v>9.0407147024187173E-2</c:v>
                </c:pt>
                <c:pt idx="289">
                  <c:v>8.9326506946371301E-2</c:v>
                </c:pt>
                <c:pt idx="290">
                  <c:v>8.8247551247476394E-2</c:v>
                </c:pt>
                <c:pt idx="291">
                  <c:v>8.7170525026271206E-2</c:v>
                </c:pt>
                <c:pt idx="292">
                  <c:v>8.6095670071438271E-2</c:v>
                </c:pt>
                <c:pt idx="293">
                  <c:v>8.5023224767224362E-2</c:v>
                </c:pt>
                <c:pt idx="294">
                  <c:v>8.3953424002690444E-2</c:v>
                </c:pt>
                <c:pt idx="295">
                  <c:v>8.2886499084583218E-2</c:v>
                </c:pt>
                <c:pt idx="296">
                  <c:v>8.1822677653842046E-2</c:v>
                </c:pt>
                <c:pt idx="297">
                  <c:v>8.0762183605759222E-2</c:v>
                </c:pt>
                <c:pt idx="298">
                  <c:v>7.9705237013799515E-2</c:v>
                </c:pt>
                <c:pt idx="299">
                  <c:v>7.8652054057088708E-2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A5-4A66-BE39-E74D4D04CD5B}"/>
            </c:ext>
          </c:extLst>
        </c:ser>
        <c:ser>
          <c:idx val="4"/>
          <c:order val="4"/>
          <c:tx>
            <c:v>Za duża szerokość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d.'!$M$6:$M$305</c:f>
              <c:numCache>
                <c:formatCode>General</c:formatCode>
                <c:ptCount val="300"/>
                <c:pt idx="0">
                  <c:v>3.2048557772357773E-2</c:v>
                </c:pt>
                <c:pt idx="1">
                  <c:v>3.2060392489361593E-2</c:v>
                </c:pt>
                <c:pt idx="2">
                  <c:v>3.2072146722935693E-2</c:v>
                </c:pt>
                <c:pt idx="3">
                  <c:v>3.2083820381260626E-2</c:v>
                </c:pt>
                <c:pt idx="4">
                  <c:v>3.2095413373122827E-2</c:v>
                </c:pt>
                <c:pt idx="5">
                  <c:v>3.2106925607915761E-2</c:v>
                </c:pt>
                <c:pt idx="6">
                  <c:v>3.2118356995641077E-2</c:v>
                </c:pt>
                <c:pt idx="7">
                  <c:v>3.2129707446909808E-2</c:v>
                </c:pt>
                <c:pt idx="8">
                  <c:v>3.2140976872943552E-2</c:v>
                </c:pt>
                <c:pt idx="9">
                  <c:v>3.2152165185575572E-2</c:v>
                </c:pt>
                <c:pt idx="10">
                  <c:v>3.2163272297252035E-2</c:v>
                </c:pt>
                <c:pt idx="11">
                  <c:v>3.2174298121033056E-2</c:v>
                </c:pt>
                <c:pt idx="12">
                  <c:v>3.2185242570593874E-2</c:v>
                </c:pt>
                <c:pt idx="13">
                  <c:v>3.2196105560226007E-2</c:v>
                </c:pt>
                <c:pt idx="14">
                  <c:v>3.2206887004838293E-2</c:v>
                </c:pt>
                <c:pt idx="15">
                  <c:v>3.2217586819958198E-2</c:v>
                </c:pt>
                <c:pt idx="16">
                  <c:v>3.2228204921732555E-2</c:v>
                </c:pt>
                <c:pt idx="17">
                  <c:v>3.2238741226929005E-2</c:v>
                </c:pt>
                <c:pt idx="18">
                  <c:v>3.2249195652936997E-2</c:v>
                </c:pt>
                <c:pt idx="19">
                  <c:v>3.2259568117768686E-2</c:v>
                </c:pt>
                <c:pt idx="20">
                  <c:v>3.2269858540060183E-2</c:v>
                </c:pt>
                <c:pt idx="21">
                  <c:v>3.2280066839072773E-2</c:v>
                </c:pt>
                <c:pt idx="22">
                  <c:v>3.2290192934693471E-2</c:v>
                </c:pt>
                <c:pt idx="23">
                  <c:v>3.2300236747436595E-2</c:v>
                </c:pt>
                <c:pt idx="24">
                  <c:v>3.2310198198444433E-2</c:v>
                </c:pt>
                <c:pt idx="25">
                  <c:v>3.232007720948854E-2</c:v>
                </c:pt>
                <c:pt idx="26">
                  <c:v>3.2329873702970663E-2</c:v>
                </c:pt>
                <c:pt idx="27">
                  <c:v>3.2339587601923576E-2</c:v>
                </c:pt>
                <c:pt idx="28">
                  <c:v>3.234921883001244E-2</c:v>
                </c:pt>
                <c:pt idx="29">
                  <c:v>3.2358767311535613E-2</c:v>
                </c:pt>
                <c:pt idx="30">
                  <c:v>3.2368232971425423E-2</c:v>
                </c:pt>
                <c:pt idx="31">
                  <c:v>3.2377615735249519E-2</c:v>
                </c:pt>
                <c:pt idx="32">
                  <c:v>3.2386915529211892E-2</c:v>
                </c:pt>
                <c:pt idx="33">
                  <c:v>3.2396132280153284E-2</c:v>
                </c:pt>
                <c:pt idx="34">
                  <c:v>3.2405265915552726E-2</c:v>
                </c:pt>
                <c:pt idx="35">
                  <c:v>3.2414316363528241E-2</c:v>
                </c:pt>
                <c:pt idx="36">
                  <c:v>3.242328355283778E-2</c:v>
                </c:pt>
                <c:pt idx="37">
                  <c:v>3.2432167412880318E-2</c:v>
                </c:pt>
                <c:pt idx="38">
                  <c:v>3.2440967873696477E-2</c:v>
                </c:pt>
                <c:pt idx="39">
                  <c:v>3.2449684865969851E-2</c:v>
                </c:pt>
                <c:pt idx="40">
                  <c:v>3.2458318321027468E-2</c:v>
                </c:pt>
                <c:pt idx="41">
                  <c:v>3.2466868170840969E-2</c:v>
                </c:pt>
                <c:pt idx="42">
                  <c:v>3.2475334348027574E-2</c:v>
                </c:pt>
                <c:pt idx="43">
                  <c:v>3.2483716785850707E-2</c:v>
                </c:pt>
                <c:pt idx="44">
                  <c:v>3.2492015418221082E-2</c:v>
                </c:pt>
                <c:pt idx="45">
                  <c:v>3.2500230179697422E-2</c:v>
                </c:pt>
                <c:pt idx="46">
                  <c:v>3.2508361005487436E-2</c:v>
                </c:pt>
                <c:pt idx="47">
                  <c:v>3.2516407831448706E-2</c:v>
                </c:pt>
                <c:pt idx="48">
                  <c:v>3.2524370594089309E-2</c:v>
                </c:pt>
                <c:pt idx="49">
                  <c:v>3.2532249230568779E-2</c:v>
                </c:pt>
                <c:pt idx="50">
                  <c:v>3.2540043678699074E-2</c:v>
                </c:pt>
                <c:pt idx="51">
                  <c:v>3.254775387694523E-2</c:v>
                </c:pt>
                <c:pt idx="52">
                  <c:v>3.2555379764426177E-2</c:v>
                </c:pt>
                <c:pt idx="53">
                  <c:v>3.2562921280915508E-2</c:v>
                </c:pt>
                <c:pt idx="54">
                  <c:v>3.2570378366842526E-2</c:v>
                </c:pt>
                <c:pt idx="55">
                  <c:v>3.2577750963292594E-2</c:v>
                </c:pt>
                <c:pt idx="56">
                  <c:v>3.2585039012008384E-2</c:v>
                </c:pt>
                <c:pt idx="57">
                  <c:v>3.2592242455390212E-2</c:v>
                </c:pt>
                <c:pt idx="58">
                  <c:v>3.2599361236497142E-2</c:v>
                </c:pt>
                <c:pt idx="59">
                  <c:v>3.2606395299047526E-2</c:v>
                </c:pt>
                <c:pt idx="60">
                  <c:v>3.2613344587419761E-2</c:v>
                </c:pt>
                <c:pt idx="61">
                  <c:v>3.2620209046653234E-2</c:v>
                </c:pt>
                <c:pt idx="62">
                  <c:v>3.2626988622448672E-2</c:v>
                </c:pt>
                <c:pt idx="63">
                  <c:v>3.2633683261169256E-2</c:v>
                </c:pt>
                <c:pt idx="64">
                  <c:v>3.2640292909841037E-2</c:v>
                </c:pt>
                <c:pt idx="65">
                  <c:v>3.264681751615376E-2</c:v>
                </c:pt>
                <c:pt idx="66">
                  <c:v>3.2653257028461537E-2</c:v>
                </c:pt>
                <c:pt idx="67">
                  <c:v>3.2659611395783501E-2</c:v>
                </c:pt>
                <c:pt idx="68">
                  <c:v>3.2665880567804569E-2</c:v>
                </c:pt>
                <c:pt idx="69">
                  <c:v>3.2672064494875953E-2</c:v>
                </c:pt>
                <c:pt idx="70">
                  <c:v>3.267816312801599E-2</c:v>
                </c:pt>
                <c:pt idx="71">
                  <c:v>3.2684176418910561E-2</c:v>
                </c:pt>
                <c:pt idx="72">
                  <c:v>3.2690104319914072E-2</c:v>
                </c:pt>
                <c:pt idx="73">
                  <c:v>3.2695946784049676E-2</c:v>
                </c:pt>
                <c:pt idx="74">
                  <c:v>3.2701703765010227E-2</c:v>
                </c:pt>
                <c:pt idx="75">
                  <c:v>3.2707375217158698E-2</c:v>
                </c:pt>
                <c:pt idx="76">
                  <c:v>3.2712961095528854E-2</c:v>
                </c:pt>
                <c:pt idx="77">
                  <c:v>3.2718461355825817E-2</c:v>
                </c:pt>
                <c:pt idx="78">
                  <c:v>3.2723875954426773E-2</c:v>
                </c:pt>
                <c:pt idx="79">
                  <c:v>3.2729204848381349E-2</c:v>
                </c:pt>
                <c:pt idx="80">
                  <c:v>3.2734447995412232E-2</c:v>
                </c:pt>
                <c:pt idx="81">
                  <c:v>3.2739605353915978E-2</c:v>
                </c:pt>
                <c:pt idx="82">
                  <c:v>3.2744676882963099E-2</c:v>
                </c:pt>
                <c:pt idx="83">
                  <c:v>3.2749662542299107E-2</c:v>
                </c:pt>
                <c:pt idx="84">
                  <c:v>3.2754562292344601E-2</c:v>
                </c:pt>
                <c:pt idx="85">
                  <c:v>3.2759376094196165E-2</c:v>
                </c:pt>
                <c:pt idx="86">
                  <c:v>3.2764103909626557E-2</c:v>
                </c:pt>
                <c:pt idx="87">
                  <c:v>3.2768745701085525E-2</c:v>
                </c:pt>
                <c:pt idx="88">
                  <c:v>3.2773301431699965E-2</c:v>
                </c:pt>
                <c:pt idx="89">
                  <c:v>3.2777771065274804E-2</c:v>
                </c:pt>
                <c:pt idx="90">
                  <c:v>3.2782154566293069E-2</c:v>
                </c:pt>
                <c:pt idx="91">
                  <c:v>3.2786451899916712E-2</c:v>
                </c:pt>
                <c:pt idx="92">
                  <c:v>3.2790663031986765E-2</c:v>
                </c:pt>
                <c:pt idx="93">
                  <c:v>3.2794787929024176E-2</c:v>
                </c:pt>
                <c:pt idx="94">
                  <c:v>3.2798826558229653E-2</c:v>
                </c:pt>
                <c:pt idx="95">
                  <c:v>3.2802778887484896E-2</c:v>
                </c:pt>
                <c:pt idx="96">
                  <c:v>3.2806644885352239E-2</c:v>
                </c:pt>
                <c:pt idx="97">
                  <c:v>3.2810424521075576E-2</c:v>
                </c:pt>
                <c:pt idx="98">
                  <c:v>3.2814117764580618E-2</c:v>
                </c:pt>
                <c:pt idx="99">
                  <c:v>3.2817724586475285E-2</c:v>
                </c:pt>
                <c:pt idx="100">
                  <c:v>3.2821244958050007E-2</c:v>
                </c:pt>
                <c:pt idx="101">
                  <c:v>3.2824678851278342E-2</c:v>
                </c:pt>
                <c:pt idx="102">
                  <c:v>3.2828026238817039E-2</c:v>
                </c:pt>
                <c:pt idx="103">
                  <c:v>3.2831287094006636E-2</c:v>
                </c:pt>
                <c:pt idx="104">
                  <c:v>3.2834461390871851E-2</c:v>
                </c:pt>
                <c:pt idx="105">
                  <c:v>3.2837549104121587E-2</c:v>
                </c:pt>
                <c:pt idx="106">
                  <c:v>3.2840550209149673E-2</c:v>
                </c:pt>
                <c:pt idx="107">
                  <c:v>3.2843464682034966E-2</c:v>
                </c:pt>
                <c:pt idx="108">
                  <c:v>3.2846292499541734E-2</c:v>
                </c:pt>
                <c:pt idx="109">
                  <c:v>3.2849033639119882E-2</c:v>
                </c:pt>
                <c:pt idx="110">
                  <c:v>3.2851688078905358E-2</c:v>
                </c:pt>
                <c:pt idx="111">
                  <c:v>3.2854255797720409E-2</c:v>
                </c:pt>
                <c:pt idx="112">
                  <c:v>3.2856736775073905E-2</c:v>
                </c:pt>
                <c:pt idx="113">
                  <c:v>3.2859130991161424E-2</c:v>
                </c:pt>
                <c:pt idx="114">
                  <c:v>3.286143842686582E-2</c:v>
                </c:pt>
                <c:pt idx="115">
                  <c:v>3.2863659063757225E-2</c:v>
                </c:pt>
                <c:pt idx="116">
                  <c:v>3.2865792884093331E-2</c:v>
                </c:pt>
                <c:pt idx="117">
                  <c:v>3.286783987081978E-2</c:v>
                </c:pt>
                <c:pt idx="118">
                  <c:v>3.2869800007570296E-2</c:v>
                </c:pt>
                <c:pt idx="119">
                  <c:v>3.2871673278666767E-2</c:v>
                </c:pt>
                <c:pt idx="120">
                  <c:v>3.2873459669119663E-2</c:v>
                </c:pt>
                <c:pt idx="121">
                  <c:v>3.2875159164628166E-2</c:v>
                </c:pt>
                <c:pt idx="122">
                  <c:v>3.2876771751580353E-2</c:v>
                </c:pt>
                <c:pt idx="123">
                  <c:v>3.2878297417053302E-2</c:v>
                </c:pt>
                <c:pt idx="124">
                  <c:v>3.287973614881342E-2</c:v>
                </c:pt>
                <c:pt idx="125">
                  <c:v>3.2881087935316571E-2</c:v>
                </c:pt>
                <c:pt idx="126">
                  <c:v>3.2882352765707994E-2</c:v>
                </c:pt>
                <c:pt idx="127">
                  <c:v>3.2883530629822764E-2</c:v>
                </c:pt>
                <c:pt idx="128">
                  <c:v>3.288462151818583E-2</c:v>
                </c:pt>
                <c:pt idx="129">
                  <c:v>3.2885625422012059E-2</c:v>
                </c:pt>
                <c:pt idx="130">
                  <c:v>3.2886542333206432E-2</c:v>
                </c:pt>
                <c:pt idx="131">
                  <c:v>3.2887372244364076E-2</c:v>
                </c:pt>
                <c:pt idx="132">
                  <c:v>3.2888115148770443E-2</c:v>
                </c:pt>
                <c:pt idx="133">
                  <c:v>3.2888771040401422E-2</c:v>
                </c:pt>
                <c:pt idx="134">
                  <c:v>3.288933991392335E-2</c:v>
                </c:pt>
                <c:pt idx="135">
                  <c:v>3.2889821764693059E-2</c:v>
                </c:pt>
                <c:pt idx="136">
                  <c:v>3.2890216588758049E-2</c:v>
                </c:pt>
                <c:pt idx="137">
                  <c:v>3.289052438285648E-2</c:v>
                </c:pt>
                <c:pt idx="138">
                  <c:v>3.2890745144417109E-2</c:v>
                </c:pt>
                <c:pt idx="139">
                  <c:v>3.2890878871559601E-2</c:v>
                </c:pt>
                <c:pt idx="140">
                  <c:v>3.2890925563094239E-2</c:v>
                </c:pt>
                <c:pt idx="141">
                  <c:v>3.2890885218522202E-2</c:v>
                </c:pt>
                <c:pt idx="142">
                  <c:v>3.2890757838035432E-2</c:v>
                </c:pt>
                <c:pt idx="143">
                  <c:v>3.2890543422516537E-2</c:v>
                </c:pt>
                <c:pt idx="144">
                  <c:v>3.2890241973539153E-2</c:v>
                </c:pt>
                <c:pt idx="145">
                  <c:v>3.2889853493367441E-2</c:v>
                </c:pt>
                <c:pt idx="146">
                  <c:v>3.2889377984956496E-2</c:v>
                </c:pt>
                <c:pt idx="147">
                  <c:v>3.288881545195195E-2</c:v>
                </c:pt>
                <c:pt idx="148">
                  <c:v>3.2888165898690168E-2</c:v>
                </c:pt>
                <c:pt idx="149">
                  <c:v>3.2887429330198073E-2</c:v>
                </c:pt>
                <c:pt idx="150">
                  <c:v>3.2886605752193161E-2</c:v>
                </c:pt>
                <c:pt idx="151">
                  <c:v>3.2885695171083376E-2</c:v>
                </c:pt>
                <c:pt idx="152">
                  <c:v>3.288469759396704E-2</c:v>
                </c:pt>
                <c:pt idx="153">
                  <c:v>3.2883613028632755E-2</c:v>
                </c:pt>
                <c:pt idx="154">
                  <c:v>3.2882441483559212E-2</c:v>
                </c:pt>
                <c:pt idx="155">
                  <c:v>3.2881182967915264E-2</c:v>
                </c:pt>
                <c:pt idx="156">
                  <c:v>3.2879837491559823E-2</c:v>
                </c:pt>
                <c:pt idx="157">
                  <c:v>3.2878405065041395E-2</c:v>
                </c:pt>
                <c:pt idx="158">
                  <c:v>3.287688569959827E-2</c:v>
                </c:pt>
                <c:pt idx="159">
                  <c:v>3.2875279407158384E-2</c:v>
                </c:pt>
                <c:pt idx="160">
                  <c:v>3.2873586200338888E-2</c:v>
                </c:pt>
                <c:pt idx="161">
                  <c:v>3.2871806092446207E-2</c:v>
                </c:pt>
                <c:pt idx="162">
                  <c:v>3.2869939097475896E-2</c:v>
                </c:pt>
                <c:pt idx="163">
                  <c:v>3.2867985230112223E-2</c:v>
                </c:pt>
                <c:pt idx="164">
                  <c:v>3.2865944505728224E-2</c:v>
                </c:pt>
                <c:pt idx="165">
                  <c:v>3.2863816940385412E-2</c:v>
                </c:pt>
                <c:pt idx="166">
                  <c:v>3.2861602550833389E-2</c:v>
                </c:pt>
                <c:pt idx="167">
                  <c:v>3.2859301354510116E-2</c:v>
                </c:pt>
                <c:pt idx="168">
                  <c:v>3.2856913369540997E-2</c:v>
                </c:pt>
                <c:pt idx="169">
                  <c:v>3.2854438614739266E-2</c:v>
                </c:pt>
                <c:pt idx="170">
                  <c:v>3.2851877109605264E-2</c:v>
                </c:pt>
                <c:pt idx="171">
                  <c:v>3.2849228874326675E-2</c:v>
                </c:pt>
                <c:pt idx="172">
                  <c:v>3.2846493929777766E-2</c:v>
                </c:pt>
                <c:pt idx="173">
                  <c:v>3.2843672297519354E-2</c:v>
                </c:pt>
                <c:pt idx="174">
                  <c:v>3.2840763999798551E-2</c:v>
                </c:pt>
                <c:pt idx="175">
                  <c:v>3.2837769059548501E-2</c:v>
                </c:pt>
                <c:pt idx="176">
                  <c:v>3.2834687500387767E-2</c:v>
                </c:pt>
                <c:pt idx="177">
                  <c:v>3.2831519346620507E-2</c:v>
                </c:pt>
                <c:pt idx="178">
                  <c:v>3.2828264623235702E-2</c:v>
                </c:pt>
                <c:pt idx="179">
                  <c:v>3.2824923355907136E-2</c:v>
                </c:pt>
                <c:pt idx="180">
                  <c:v>3.2821495570992905E-2</c:v>
                </c:pt>
                <c:pt idx="181">
                  <c:v>3.281798129553519E-2</c:v>
                </c:pt>
                <c:pt idx="182">
                  <c:v>3.2814380557259673E-2</c:v>
                </c:pt>
                <c:pt idx="183">
                  <c:v>3.2810693384575464E-2</c:v>
                </c:pt>
                <c:pt idx="184">
                  <c:v>3.2806919806574547E-2</c:v>
                </c:pt>
                <c:pt idx="185">
                  <c:v>3.2803059853031398E-2</c:v>
                </c:pt>
                <c:pt idx="186">
                  <c:v>3.2799113554402688E-2</c:v>
                </c:pt>
                <c:pt idx="187">
                  <c:v>3.2795080941826815E-2</c:v>
                </c:pt>
                <c:pt idx="188">
                  <c:v>3.2790962047123451E-2</c:v>
                </c:pt>
                <c:pt idx="189">
                  <c:v>3.2786756902793292E-2</c:v>
                </c:pt>
                <c:pt idx="190">
                  <c:v>3.2782465542017414E-2</c:v>
                </c:pt>
                <c:pt idx="191">
                  <c:v>3.2778087998657023E-2</c:v>
                </c:pt>
                <c:pt idx="192">
                  <c:v>3.277362430725287E-2</c:v>
                </c:pt>
                <c:pt idx="193">
                  <c:v>3.276907450302486E-2</c:v>
                </c:pt>
                <c:pt idx="194">
                  <c:v>3.2764438621871665E-2</c:v>
                </c:pt>
                <c:pt idx="195">
                  <c:v>3.275971670037011E-2</c:v>
                </c:pt>
                <c:pt idx="196">
                  <c:v>3.2754908775774645E-2</c:v>
                </c:pt>
                <c:pt idx="197">
                  <c:v>3.2750014886017247E-2</c:v>
                </c:pt>
                <c:pt idx="198">
                  <c:v>3.2745035069706406E-2</c:v>
                </c:pt>
                <c:pt idx="199">
                  <c:v>3.2739969366126817E-2</c:v>
                </c:pt>
                <c:pt idx="200">
                  <c:v>3.273481781523916E-2</c:v>
                </c:pt>
                <c:pt idx="201">
                  <c:v>3.2729580457679049E-2</c:v>
                </c:pt>
                <c:pt idx="202">
                  <c:v>3.2724257334756889E-2</c:v>
                </c:pt>
                <c:pt idx="203">
                  <c:v>3.2718848488457214E-2</c:v>
                </c:pt>
                <c:pt idx="204">
                  <c:v>3.2713353961438006E-2</c:v>
                </c:pt>
                <c:pt idx="205">
                  <c:v>3.2707773797030361E-2</c:v>
                </c:pt>
                <c:pt idx="206">
                  <c:v>3.2702108039237898E-2</c:v>
                </c:pt>
                <c:pt idx="207">
                  <c:v>3.2696356732735854E-2</c:v>
                </c:pt>
                <c:pt idx="208">
                  <c:v>3.2690519922870948E-2</c:v>
                </c:pt>
                <c:pt idx="209">
                  <c:v>3.2684597655660542E-2</c:v>
                </c:pt>
                <c:pt idx="210">
                  <c:v>3.2678589977791994E-2</c:v>
                </c:pt>
                <c:pt idx="211">
                  <c:v>3.2672496936622143E-2</c:v>
                </c:pt>
                <c:pt idx="212">
                  <c:v>3.266631858017674E-2</c:v>
                </c:pt>
                <c:pt idx="213">
                  <c:v>3.2660054957149617E-2</c:v>
                </c:pt>
                <c:pt idx="214">
                  <c:v>3.2653706116902374E-2</c:v>
                </c:pt>
                <c:pt idx="215">
                  <c:v>3.264727210946327E-2</c:v>
                </c:pt>
                <c:pt idx="216">
                  <c:v>3.2640752985527044E-2</c:v>
                </c:pt>
                <c:pt idx="217">
                  <c:v>3.2634148796453877E-2</c:v>
                </c:pt>
                <c:pt idx="218">
                  <c:v>3.2627459594269041E-2</c:v>
                </c:pt>
                <c:pt idx="219">
                  <c:v>3.2620685431661918E-2</c:v>
                </c:pt>
                <c:pt idx="220">
                  <c:v>3.2613826361985475E-2</c:v>
                </c:pt>
                <c:pt idx="221">
                  <c:v>3.2606882439255504E-2</c:v>
                </c:pt>
                <c:pt idx="222">
                  <c:v>3.2599853718150003E-2</c:v>
                </c:pt>
                <c:pt idx="223">
                  <c:v>3.2592740254008344E-2</c:v>
                </c:pt>
                <c:pt idx="224">
                  <c:v>3.2585542102830579E-2</c:v>
                </c:pt>
                <c:pt idx="225">
                  <c:v>3.257825932127674E-2</c:v>
                </c:pt>
                <c:pt idx="226">
                  <c:v>3.2570891966666134E-2</c:v>
                </c:pt>
                <c:pt idx="227">
                  <c:v>3.2563440096976488E-2</c:v>
                </c:pt>
                <c:pt idx="228">
                  <c:v>3.2555903770843157E-2</c:v>
                </c:pt>
                <c:pt idx="229">
                  <c:v>3.25482830475586E-2</c:v>
                </c:pt>
                <c:pt idx="230">
                  <c:v>3.2540577987071252E-2</c:v>
                </c:pt>
                <c:pt idx="231">
                  <c:v>3.2532788649985114E-2</c:v>
                </c:pt>
                <c:pt idx="232">
                  <c:v>3.2524915097558615E-2</c:v>
                </c:pt>
                <c:pt idx="233">
                  <c:v>3.2516957391704078E-2</c:v>
                </c:pt>
                <c:pt idx="234">
                  <c:v>3.250891559498665E-2</c:v>
                </c:pt>
                <c:pt idx="235">
                  <c:v>3.2500789770623803E-2</c:v>
                </c:pt>
                <c:pt idx="236">
                  <c:v>3.2492579982484178E-2</c:v>
                </c:pt>
                <c:pt idx="237">
                  <c:v>3.2484286295086984E-2</c:v>
                </c:pt>
                <c:pt idx="238">
                  <c:v>3.2475908773601014E-2</c:v>
                </c:pt>
                <c:pt idx="239">
                  <c:v>3.2467447483843871E-2</c:v>
                </c:pt>
                <c:pt idx="240">
                  <c:v>3.2458902492281123E-2</c:v>
                </c:pt>
                <c:pt idx="241">
                  <c:v>3.2450273866025371E-2</c:v>
                </c:pt>
                <c:pt idx="242">
                  <c:v>3.2441561672835337E-2</c:v>
                </c:pt>
                <c:pt idx="243">
                  <c:v>3.243276598111499E-2</c:v>
                </c:pt>
                <c:pt idx="244">
                  <c:v>3.2423886859912925E-2</c:v>
                </c:pt>
                <c:pt idx="245">
                  <c:v>3.2414924378920899E-2</c:v>
                </c:pt>
                <c:pt idx="246">
                  <c:v>3.2405878608473576E-2</c:v>
                </c:pt>
                <c:pt idx="247">
                  <c:v>3.2396749619547097E-2</c:v>
                </c:pt>
                <c:pt idx="248">
                  <c:v>3.2387537483758271E-2</c:v>
                </c:pt>
                <c:pt idx="249">
                  <c:v>3.2378242273363812E-2</c:v>
                </c:pt>
                <c:pt idx="250">
                  <c:v>3.2368864061259349E-2</c:v>
                </c:pt>
                <c:pt idx="251">
                  <c:v>3.2359402920978199E-2</c:v>
                </c:pt>
                <c:pt idx="252">
                  <c:v>3.2349858926690865E-2</c:v>
                </c:pt>
                <c:pt idx="253">
                  <c:v>3.234023215320362E-2</c:v>
                </c:pt>
                <c:pt idx="254">
                  <c:v>3.2330522675957853E-2</c:v>
                </c:pt>
                <c:pt idx="255">
                  <c:v>3.2320730571028855E-2</c:v>
                </c:pt>
                <c:pt idx="256">
                  <c:v>3.2310855915125024E-2</c:v>
                </c:pt>
                <c:pt idx="257">
                  <c:v>3.2300898785586708E-2</c:v>
                </c:pt>
                <c:pt idx="258">
                  <c:v>3.2290859260385288E-2</c:v>
                </c:pt>
                <c:pt idx="259">
                  <c:v>3.2280737418122159E-2</c:v>
                </c:pt>
                <c:pt idx="260">
                  <c:v>3.2270533338027617E-2</c:v>
                </c:pt>
                <c:pt idx="261">
                  <c:v>3.2260247099959886E-2</c:v>
                </c:pt>
                <c:pt idx="262">
                  <c:v>3.2249878784404093E-2</c:v>
                </c:pt>
                <c:pt idx="263">
                  <c:v>3.2239428472471236E-2</c:v>
                </c:pt>
                <c:pt idx="264">
                  <c:v>3.2228896245897039E-2</c:v>
                </c:pt>
                <c:pt idx="265">
                  <c:v>3.2218282187041009E-2</c:v>
                </c:pt>
                <c:pt idx="266">
                  <c:v>3.2207586378885183E-2</c:v>
                </c:pt>
                <c:pt idx="267">
                  <c:v>3.2196808905033215E-2</c:v>
                </c:pt>
                <c:pt idx="268">
                  <c:v>3.2185949849709329E-2</c:v>
                </c:pt>
                <c:pt idx="269">
                  <c:v>3.2175009297756942E-2</c:v>
                </c:pt>
                <c:pt idx="270">
                  <c:v>3.2163987334637816E-2</c:v>
                </c:pt>
                <c:pt idx="271">
                  <c:v>3.2152884046430928E-2</c:v>
                </c:pt>
                <c:pt idx="272">
                  <c:v>3.2141699519831229E-2</c:v>
                </c:pt>
                <c:pt idx="273">
                  <c:v>3.2130433842148622E-2</c:v>
                </c:pt>
                <c:pt idx="274">
                  <c:v>3.2119087101306711E-2</c:v>
                </c:pt>
                <c:pt idx="275">
                  <c:v>3.2107659385841744E-2</c:v>
                </c:pt>
                <c:pt idx="276">
                  <c:v>3.2096150784901599E-2</c:v>
                </c:pt>
                <c:pt idx="277">
                  <c:v>3.2084561388244219E-2</c:v>
                </c:pt>
                <c:pt idx="278">
                  <c:v>3.2072891286236888E-2</c:v>
                </c:pt>
                <c:pt idx="279">
                  <c:v>3.2061140569854839E-2</c:v>
                </c:pt>
                <c:pt idx="280">
                  <c:v>3.2049309330680044E-2</c:v>
                </c:pt>
                <c:pt idx="281">
                  <c:v>3.2037397660900115E-2</c:v>
                </c:pt>
                <c:pt idx="282">
                  <c:v>3.2025405653307158E-2</c:v>
                </c:pt>
                <c:pt idx="283">
                  <c:v>3.2013333401296307E-2</c:v>
                </c:pt>
                <c:pt idx="284">
                  <c:v>3.2001180998864835E-2</c:v>
                </c:pt>
                <c:pt idx="285">
                  <c:v>3.1988948540610761E-2</c:v>
                </c:pt>
                <c:pt idx="286">
                  <c:v>3.1976636121731607E-2</c:v>
                </c:pt>
                <c:pt idx="287">
                  <c:v>3.196424383802323E-2</c:v>
                </c:pt>
                <c:pt idx="288">
                  <c:v>3.1951771785878692E-2</c:v>
                </c:pt>
                <c:pt idx="289">
                  <c:v>3.1939220062286597E-2</c:v>
                </c:pt>
                <c:pt idx="290">
                  <c:v>3.1926588764830406E-2</c:v>
                </c:pt>
                <c:pt idx="291">
                  <c:v>3.191387799168665E-2</c:v>
                </c:pt>
                <c:pt idx="292">
                  <c:v>3.1901087841624078E-2</c:v>
                </c:pt>
                <c:pt idx="293">
                  <c:v>3.1888218414002086E-2</c:v>
                </c:pt>
                <c:pt idx="294">
                  <c:v>3.1875269808769528E-2</c:v>
                </c:pt>
                <c:pt idx="295">
                  <c:v>3.1862242126463505E-2</c:v>
                </c:pt>
                <c:pt idx="296">
                  <c:v>3.1849135468207924E-2</c:v>
                </c:pt>
                <c:pt idx="297">
                  <c:v>3.1835949935712267E-2</c:v>
                </c:pt>
                <c:pt idx="298">
                  <c:v>3.1822685631270352E-2</c:v>
                </c:pt>
                <c:pt idx="299">
                  <c:v>3.1809342657758831E-2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A5-4A66-BE39-E74D4D04C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520304"/>
        <c:axId val="753521136"/>
      </c:scatterChart>
      <c:valAx>
        <c:axId val="753520304"/>
        <c:scaling>
          <c:orientation val="minMax"/>
          <c:max val="7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3521136"/>
        <c:crosses val="autoZero"/>
        <c:crossBetween val="midCat"/>
      </c:valAx>
      <c:valAx>
        <c:axId val="7535211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352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Jądro gaussowskie vs Epanecznikowa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Epanecznikow - domyślnie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d.'!$X$6:$X$305</c:f>
              <c:numCache>
                <c:formatCode>General</c:formatCode>
                <c:ptCount val="300"/>
                <c:pt idx="0">
                  <c:v>0.14599674330774182</c:v>
                </c:pt>
                <c:pt idx="1">
                  <c:v>0.14722770822556439</c:v>
                </c:pt>
                <c:pt idx="2">
                  <c:v>0.14840495023147809</c:v>
                </c:pt>
                <c:pt idx="3">
                  <c:v>0.1495284693254828</c:v>
                </c:pt>
                <c:pt idx="4">
                  <c:v>0.15059826550757849</c:v>
                </c:pt>
                <c:pt idx="5">
                  <c:v>0.15161433877776517</c:v>
                </c:pt>
                <c:pt idx="6">
                  <c:v>0.15257668913604291</c:v>
                </c:pt>
                <c:pt idx="7">
                  <c:v>0.15348531658241157</c:v>
                </c:pt>
                <c:pt idx="8">
                  <c:v>0.15434022111687132</c:v>
                </c:pt>
                <c:pt idx="9">
                  <c:v>0.1551414027394219</c:v>
                </c:pt>
                <c:pt idx="10">
                  <c:v>0.15588886145006361</c:v>
                </c:pt>
                <c:pt idx="11">
                  <c:v>0.15658259724879645</c:v>
                </c:pt>
                <c:pt idx="12">
                  <c:v>0.15722261013562008</c:v>
                </c:pt>
                <c:pt idx="13">
                  <c:v>0.15780890011053469</c:v>
                </c:pt>
                <c:pt idx="14">
                  <c:v>0.15834146717354047</c:v>
                </c:pt>
                <c:pt idx="15">
                  <c:v>0.15882031132463723</c:v>
                </c:pt>
                <c:pt idx="16">
                  <c:v>0.15924543256382478</c:v>
                </c:pt>
                <c:pt idx="17">
                  <c:v>0.15961683089110351</c:v>
                </c:pt>
                <c:pt idx="18">
                  <c:v>0.15993450630647321</c:v>
                </c:pt>
                <c:pt idx="19">
                  <c:v>0.16019845880993389</c:v>
                </c:pt>
                <c:pt idx="20">
                  <c:v>0.16040868840148559</c:v>
                </c:pt>
                <c:pt idx="21">
                  <c:v>0.16056519508112835</c:v>
                </c:pt>
                <c:pt idx="22">
                  <c:v>0.16066797884886205</c:v>
                </c:pt>
                <c:pt idx="23">
                  <c:v>0.16071703970468673</c:v>
                </c:pt>
                <c:pt idx="24">
                  <c:v>0.16075284288330682</c:v>
                </c:pt>
                <c:pt idx="25">
                  <c:v>0.16077703640482238</c:v>
                </c:pt>
                <c:pt idx="26">
                  <c:v>0.16074643255619081</c:v>
                </c:pt>
                <c:pt idx="27">
                  <c:v>0.16066103133741216</c:v>
                </c:pt>
                <c:pt idx="28">
                  <c:v>0.1605208327484863</c:v>
                </c:pt>
                <c:pt idx="29">
                  <c:v>0.16032583678941315</c:v>
                </c:pt>
                <c:pt idx="30">
                  <c:v>0.16007604346019297</c:v>
                </c:pt>
                <c:pt idx="31">
                  <c:v>0.15977145276082538</c:v>
                </c:pt>
                <c:pt idx="32">
                  <c:v>0.15941206469131095</c:v>
                </c:pt>
                <c:pt idx="33">
                  <c:v>0.15899787925164899</c:v>
                </c:pt>
                <c:pt idx="34">
                  <c:v>0.15852889644184009</c:v>
                </c:pt>
                <c:pt idx="35">
                  <c:v>0.1580051162618839</c:v>
                </c:pt>
                <c:pt idx="36">
                  <c:v>0.15742653871178064</c:v>
                </c:pt>
                <c:pt idx="37">
                  <c:v>0.15679316379152999</c:v>
                </c:pt>
                <c:pt idx="38">
                  <c:v>0.15610499150113238</c:v>
                </c:pt>
                <c:pt idx="39">
                  <c:v>0.15540909807857883</c:v>
                </c:pt>
                <c:pt idx="40">
                  <c:v>0.15477692509466259</c:v>
                </c:pt>
                <c:pt idx="41">
                  <c:v>0.15408780582412276</c:v>
                </c:pt>
                <c:pt idx="42">
                  <c:v>0.15334174026695935</c:v>
                </c:pt>
                <c:pt idx="43">
                  <c:v>0.15253872842317248</c:v>
                </c:pt>
                <c:pt idx="44">
                  <c:v>0.15167877029276203</c:v>
                </c:pt>
                <c:pt idx="45">
                  <c:v>0.15076186587572804</c:v>
                </c:pt>
                <c:pt idx="46">
                  <c:v>0.14978801517207055</c:v>
                </c:pt>
                <c:pt idx="47">
                  <c:v>0.14875721818178947</c:v>
                </c:pt>
                <c:pt idx="48">
                  <c:v>0.14766947490488486</c:v>
                </c:pt>
                <c:pt idx="49">
                  <c:v>0.14654924270554925</c:v>
                </c:pt>
                <c:pt idx="50">
                  <c:v>0.14551349228067861</c:v>
                </c:pt>
                <c:pt idx="51">
                  <c:v>0.14441864665270809</c:v>
                </c:pt>
                <c:pt idx="52">
                  <c:v>0.14326470582163781</c:v>
                </c:pt>
                <c:pt idx="53">
                  <c:v>0.14205166978746736</c:v>
                </c:pt>
                <c:pt idx="54">
                  <c:v>0.14078610510591555</c:v>
                </c:pt>
                <c:pt idx="55">
                  <c:v>0.13953789422281215</c:v>
                </c:pt>
                <c:pt idx="56">
                  <c:v>0.13822951367837089</c:v>
                </c:pt>
                <c:pt idx="57">
                  <c:v>0.13686096347259138</c:v>
                </c:pt>
                <c:pt idx="58">
                  <c:v>0.13543224360547382</c:v>
                </c:pt>
                <c:pt idx="59">
                  <c:v>0.13394425356774015</c:v>
                </c:pt>
                <c:pt idx="60">
                  <c:v>0.13247828277983947</c:v>
                </c:pt>
                <c:pt idx="61">
                  <c:v>0.13095106787236277</c:v>
                </c:pt>
                <c:pt idx="62">
                  <c:v>0.12936260884530956</c:v>
                </c:pt>
                <c:pt idx="63">
                  <c:v>0.1277129056986803</c:v>
                </c:pt>
                <c:pt idx="64">
                  <c:v>0.12600195843247475</c:v>
                </c:pt>
                <c:pt idx="65">
                  <c:v>0.1243081557803189</c:v>
                </c:pt>
                <c:pt idx="66">
                  <c:v>0.1225568070632421</c:v>
                </c:pt>
                <c:pt idx="67">
                  <c:v>0.12074313976835091</c:v>
                </c:pt>
                <c:pt idx="68">
                  <c:v>0.11886715389564514</c:v>
                </c:pt>
                <c:pt idx="69">
                  <c:v>0.11692884944512494</c:v>
                </c:pt>
                <c:pt idx="70">
                  <c:v>0.11514658032484557</c:v>
                </c:pt>
                <c:pt idx="71">
                  <c:v>0.11333011761741946</c:v>
                </c:pt>
                <c:pt idx="72">
                  <c:v>0.11144811295746429</c:v>
                </c:pt>
                <c:pt idx="73">
                  <c:v>0.10950056634498018</c:v>
                </c:pt>
                <c:pt idx="74">
                  <c:v>0.10748747777996701</c:v>
                </c:pt>
                <c:pt idx="75">
                  <c:v>0.10574472526138487</c:v>
                </c:pt>
                <c:pt idx="76">
                  <c:v>0.10401171517898343</c:v>
                </c:pt>
                <c:pt idx="77">
                  <c:v>0.10220779085286212</c:v>
                </c:pt>
                <c:pt idx="78">
                  <c:v>0.10034624206124722</c:v>
                </c:pt>
                <c:pt idx="79">
                  <c:v>9.8484834219383352E-2</c:v>
                </c:pt>
                <c:pt idx="80">
                  <c:v>9.6738271466878092E-2</c:v>
                </c:pt>
                <c:pt idx="81">
                  <c:v>9.4984100020531453E-2</c:v>
                </c:pt>
                <c:pt idx="82">
                  <c:v>9.3156865413988627E-2</c:v>
                </c:pt>
                <c:pt idx="83">
                  <c:v>9.1264178013932509E-2</c:v>
                </c:pt>
                <c:pt idx="84">
                  <c:v>8.9375089214067949E-2</c:v>
                </c:pt>
                <c:pt idx="85">
                  <c:v>8.7637782558177141E-2</c:v>
                </c:pt>
                <c:pt idx="86">
                  <c:v>8.5934229021542699E-2</c:v>
                </c:pt>
                <c:pt idx="87">
                  <c:v>8.4154388949997508E-2</c:v>
                </c:pt>
                <c:pt idx="88">
                  <c:v>8.2302134131058288E-2</c:v>
                </c:pt>
                <c:pt idx="89">
                  <c:v>8.0538119554580498E-2</c:v>
                </c:pt>
                <c:pt idx="90">
                  <c:v>7.8800605078468977E-2</c:v>
                </c:pt>
                <c:pt idx="91">
                  <c:v>7.7053217287948159E-2</c:v>
                </c:pt>
                <c:pt idx="92">
                  <c:v>7.5229542962516494E-2</c:v>
                </c:pt>
                <c:pt idx="93">
                  <c:v>7.3329582102174079E-2</c:v>
                </c:pt>
                <c:pt idx="94">
                  <c:v>7.1916084287815332E-2</c:v>
                </c:pt>
                <c:pt idx="95">
                  <c:v>7.0638716904841692E-2</c:v>
                </c:pt>
                <c:pt idx="96">
                  <c:v>6.9443919343985541E-2</c:v>
                </c:pt>
                <c:pt idx="97">
                  <c:v>6.8176058622933106E-2</c:v>
                </c:pt>
                <c:pt idx="98">
                  <c:v>6.6835134741684427E-2</c:v>
                </c:pt>
                <c:pt idx="99">
                  <c:v>6.6391667340682345E-2</c:v>
                </c:pt>
                <c:pt idx="100">
                  <c:v>6.6323732522662618E-2</c:v>
                </c:pt>
                <c:pt idx="101">
                  <c:v>6.6545025391836238E-2</c:v>
                </c:pt>
                <c:pt idx="102">
                  <c:v>6.6698627392004536E-2</c:v>
                </c:pt>
                <c:pt idx="103">
                  <c:v>6.6784538523167458E-2</c:v>
                </c:pt>
                <c:pt idx="104">
                  <c:v>6.7698755903735988E-2</c:v>
                </c:pt>
                <c:pt idx="105">
                  <c:v>6.885525599965675E-2</c:v>
                </c:pt>
                <c:pt idx="106">
                  <c:v>7.010578880522389E-2</c:v>
                </c:pt>
                <c:pt idx="107">
                  <c:v>7.1299375324167566E-2</c:v>
                </c:pt>
                <c:pt idx="108">
                  <c:v>7.243601555648764E-2</c:v>
                </c:pt>
                <c:pt idx="109">
                  <c:v>7.3958076547488663E-2</c:v>
                </c:pt>
                <c:pt idx="110">
                  <c:v>7.5714571066215847E-2</c:v>
                </c:pt>
                <c:pt idx="111">
                  <c:v>7.7696482131165145E-2</c:v>
                </c:pt>
                <c:pt idx="112">
                  <c:v>7.9623595825967314E-2</c:v>
                </c:pt>
                <c:pt idx="113">
                  <c:v>8.1495912150622227E-2</c:v>
                </c:pt>
                <c:pt idx="114">
                  <c:v>8.35433217760463E-2</c:v>
                </c:pt>
                <c:pt idx="115">
                  <c:v>8.5734183509435943E-2</c:v>
                </c:pt>
                <c:pt idx="116">
                  <c:v>8.8117304564984331E-2</c:v>
                </c:pt>
                <c:pt idx="117">
                  <c:v>9.0445628250385518E-2</c:v>
                </c:pt>
                <c:pt idx="118">
                  <c:v>9.2719154565639533E-2</c:v>
                </c:pt>
                <c:pt idx="119">
                  <c:v>9.4937883510746349E-2</c:v>
                </c:pt>
                <c:pt idx="120">
                  <c:v>9.7184175265261727E-2</c:v>
                </c:pt>
                <c:pt idx="121">
                  <c:v>9.9707749865928119E-2</c:v>
                </c:pt>
                <c:pt idx="122">
                  <c:v>0.10217115480525647</c:v>
                </c:pt>
                <c:pt idx="123">
                  <c:v>0.10457439008324665</c:v>
                </c:pt>
                <c:pt idx="124">
                  <c:v>0.10700954016924015</c:v>
                </c:pt>
                <c:pt idx="125">
                  <c:v>0.1095052182351406</c:v>
                </c:pt>
                <c:pt idx="126">
                  <c:v>0.11223146479737829</c:v>
                </c:pt>
                <c:pt idx="127">
                  <c:v>0.11489539278180153</c:v>
                </c:pt>
                <c:pt idx="128">
                  <c:v>0.11749700218841037</c:v>
                </c:pt>
                <c:pt idx="129">
                  <c:v>0.12003629301720464</c:v>
                </c:pt>
                <c:pt idx="130">
                  <c:v>0.12255446728790365</c:v>
                </c:pt>
                <c:pt idx="131">
                  <c:v>0.12563339110845656</c:v>
                </c:pt>
                <c:pt idx="132">
                  <c:v>0.12864140068528934</c:v>
                </c:pt>
                <c:pt idx="133">
                  <c:v>0.13157849601840249</c:v>
                </c:pt>
                <c:pt idx="134">
                  <c:v>0.1344446771077957</c:v>
                </c:pt>
                <c:pt idx="135">
                  <c:v>0.13723994395346889</c:v>
                </c:pt>
                <c:pt idx="136">
                  <c:v>0.14012947368714926</c:v>
                </c:pt>
                <c:pt idx="137">
                  <c:v>0.14294697635500578</c:v>
                </c:pt>
                <c:pt idx="138">
                  <c:v>0.14569141586266621</c:v>
                </c:pt>
                <c:pt idx="139">
                  <c:v>0.14836279221013027</c:v>
                </c:pt>
                <c:pt idx="140">
                  <c:v>0.15096110539739832</c:v>
                </c:pt>
                <c:pt idx="141">
                  <c:v>0.15364033176890934</c:v>
                </c:pt>
                <c:pt idx="142">
                  <c:v>0.15625672863466056</c:v>
                </c:pt>
                <c:pt idx="143">
                  <c:v>0.15879791342373931</c:v>
                </c:pt>
                <c:pt idx="144">
                  <c:v>0.16126388613614517</c:v>
                </c:pt>
                <c:pt idx="145">
                  <c:v>0.16365464677187855</c:v>
                </c:pt>
                <c:pt idx="146">
                  <c:v>0.16611296101085407</c:v>
                </c:pt>
                <c:pt idx="147">
                  <c:v>0.16851765318137066</c:v>
                </c:pt>
                <c:pt idx="148">
                  <c:v>0.17084498435873832</c:v>
                </c:pt>
                <c:pt idx="149">
                  <c:v>0.17309495454295695</c:v>
                </c:pt>
                <c:pt idx="150">
                  <c:v>0.17526756373402652</c:v>
                </c:pt>
                <c:pt idx="151">
                  <c:v>0.17756012963917603</c:v>
                </c:pt>
                <c:pt idx="152">
                  <c:v>0.17982476891001944</c:v>
                </c:pt>
                <c:pt idx="153">
                  <c:v>0.18200882381299907</c:v>
                </c:pt>
                <c:pt idx="154">
                  <c:v>0.18411229434811535</c:v>
                </c:pt>
                <c:pt idx="155">
                  <c:v>0.18613518051536804</c:v>
                </c:pt>
                <c:pt idx="156">
                  <c:v>0.1884384264722157</c:v>
                </c:pt>
                <c:pt idx="157">
                  <c:v>0.19079408510364257</c:v>
                </c:pt>
                <c:pt idx="158">
                  <c:v>0.19306271261777655</c:v>
                </c:pt>
                <c:pt idx="159">
                  <c:v>0.19524430901461809</c:v>
                </c:pt>
                <c:pt idx="160">
                  <c:v>0.19733887429416713</c:v>
                </c:pt>
                <c:pt idx="161">
                  <c:v>0.19951002009079702</c:v>
                </c:pt>
                <c:pt idx="162">
                  <c:v>0.20167771226959011</c:v>
                </c:pt>
                <c:pt idx="163">
                  <c:v>0.20375514995637617</c:v>
                </c:pt>
                <c:pt idx="164">
                  <c:v>0.2057423331511552</c:v>
                </c:pt>
                <c:pt idx="165">
                  <c:v>0.20763926185392703</c:v>
                </c:pt>
                <c:pt idx="166">
                  <c:v>0.20959267243885318</c:v>
                </c:pt>
                <c:pt idx="167">
                  <c:v>0.21155649982531916</c:v>
                </c:pt>
                <c:pt idx="168">
                  <c:v>0.21342684934506373</c:v>
                </c:pt>
                <c:pt idx="169">
                  <c:v>0.2152037209980863</c:v>
                </c:pt>
                <c:pt idx="170">
                  <c:v>0.21688711478438749</c:v>
                </c:pt>
                <c:pt idx="171">
                  <c:v>0.2185635949026957</c:v>
                </c:pt>
                <c:pt idx="172">
                  <c:v>0.22022511708994488</c:v>
                </c:pt>
                <c:pt idx="173">
                  <c:v>0.2217910124939961</c:v>
                </c:pt>
                <c:pt idx="174">
                  <c:v>0.22326128111484919</c:v>
                </c:pt>
                <c:pt idx="175">
                  <c:v>0.22463592295250448</c:v>
                </c:pt>
                <c:pt idx="176">
                  <c:v>0.22599023227774109</c:v>
                </c:pt>
                <c:pt idx="177">
                  <c:v>0.22733885037264451</c:v>
                </c:pt>
                <c:pt idx="178">
                  <c:v>0.22858969276787339</c:v>
                </c:pt>
                <c:pt idx="179">
                  <c:v>0.22974275946342801</c:v>
                </c:pt>
                <c:pt idx="180">
                  <c:v>0.23086554096080628</c:v>
                </c:pt>
                <c:pt idx="181">
                  <c:v>0.23200411495104739</c:v>
                </c:pt>
                <c:pt idx="182">
                  <c:v>0.23319802927080963</c:v>
                </c:pt>
                <c:pt idx="183">
                  <c:v>0.23429201897442084</c:v>
                </c:pt>
                <c:pt idx="184">
                  <c:v>0.23528608406188134</c:v>
                </c:pt>
                <c:pt idx="185">
                  <c:v>0.23618022453319126</c:v>
                </c:pt>
                <c:pt idx="186">
                  <c:v>0.23697444038835044</c:v>
                </c:pt>
                <c:pt idx="187">
                  <c:v>0.23766873162735874</c:v>
                </c:pt>
                <c:pt idx="188">
                  <c:v>0.23826309825021622</c:v>
                </c:pt>
                <c:pt idx="189">
                  <c:v>0.23875754025692314</c:v>
                </c:pt>
                <c:pt idx="190">
                  <c:v>0.23915205764747938</c:v>
                </c:pt>
                <c:pt idx="191">
                  <c:v>0.23946736303363761</c:v>
                </c:pt>
                <c:pt idx="192">
                  <c:v>0.23974486463759312</c:v>
                </c:pt>
                <c:pt idx="193">
                  <c:v>0.23992136716716</c:v>
                </c:pt>
                <c:pt idx="194">
                  <c:v>0.23999687062233777</c:v>
                </c:pt>
                <c:pt idx="195">
                  <c:v>0.24007202766730687</c:v>
                </c:pt>
                <c:pt idx="196">
                  <c:v>0.24013022779054666</c:v>
                </c:pt>
                <c:pt idx="197">
                  <c:v>0.24015742615289754</c:v>
                </c:pt>
                <c:pt idx="198">
                  <c:v>0.24008469989909831</c:v>
                </c:pt>
                <c:pt idx="199">
                  <c:v>0.23991204902914792</c:v>
                </c:pt>
                <c:pt idx="200">
                  <c:v>0.23963947354304699</c:v>
                </c:pt>
                <c:pt idx="201">
                  <c:v>0.23926697344079548</c:v>
                </c:pt>
                <c:pt idx="202">
                  <c:v>0.23879454872239286</c:v>
                </c:pt>
                <c:pt idx="203">
                  <c:v>0.23822219938783959</c:v>
                </c:pt>
                <c:pt idx="204">
                  <c:v>0.23754992543713568</c:v>
                </c:pt>
                <c:pt idx="205">
                  <c:v>0.23685554336143788</c:v>
                </c:pt>
                <c:pt idx="206">
                  <c:v>0.23615649936401098</c:v>
                </c:pt>
                <c:pt idx="207">
                  <c:v>0.23543899800594228</c:v>
                </c:pt>
                <c:pt idx="208">
                  <c:v>0.23462264648996123</c:v>
                </c:pt>
                <c:pt idx="209">
                  <c:v>0.23370744481606739</c:v>
                </c:pt>
                <c:pt idx="210">
                  <c:v>0.23272659959451195</c:v>
                </c:pt>
                <c:pt idx="211">
                  <c:v>0.23169829753268203</c:v>
                </c:pt>
                <c:pt idx="212">
                  <c:v>0.23073459763207391</c:v>
                </c:pt>
                <c:pt idx="213">
                  <c:v>0.22967484490283191</c:v>
                </c:pt>
                <c:pt idx="214">
                  <c:v>0.22851516755743903</c:v>
                </c:pt>
                <c:pt idx="215">
                  <c:v>0.2272830755094371</c:v>
                </c:pt>
                <c:pt idx="216">
                  <c:v>0.22600807601500558</c:v>
                </c:pt>
                <c:pt idx="217">
                  <c:v>0.22463422636266167</c:v>
                </c:pt>
                <c:pt idx="218">
                  <c:v>0.22316152655240515</c:v>
                </c:pt>
                <c:pt idx="219">
                  <c:v>0.22158997658423593</c:v>
                </c:pt>
                <c:pt idx="220">
                  <c:v>0.21994139461360604</c:v>
                </c:pt>
                <c:pt idx="221">
                  <c:v>0.21825659856824817</c:v>
                </c:pt>
                <c:pt idx="222">
                  <c:v>0.21654400755844883</c:v>
                </c:pt>
                <c:pt idx="223">
                  <c:v>0.21474585616896308</c:v>
                </c:pt>
                <c:pt idx="224">
                  <c:v>0.212848854621565</c:v>
                </c:pt>
                <c:pt idx="225">
                  <c:v>0.21090139692419438</c:v>
                </c:pt>
                <c:pt idx="226">
                  <c:v>0.209059839243002</c:v>
                </c:pt>
                <c:pt idx="227">
                  <c:v>0.20712265477861164</c:v>
                </c:pt>
                <c:pt idx="228">
                  <c:v>0.20508984353102311</c:v>
                </c:pt>
                <c:pt idx="229">
                  <c:v>0.20296140550023675</c:v>
                </c:pt>
                <c:pt idx="230">
                  <c:v>0.20078958796188881</c:v>
                </c:pt>
                <c:pt idx="231">
                  <c:v>0.19889143911162607</c:v>
                </c:pt>
                <c:pt idx="232">
                  <c:v>0.19690303576935636</c:v>
                </c:pt>
                <c:pt idx="233">
                  <c:v>0.19482437793507956</c:v>
                </c:pt>
                <c:pt idx="234">
                  <c:v>0.19265546560879551</c:v>
                </c:pt>
                <c:pt idx="235">
                  <c:v>0.19041061632918413</c:v>
                </c:pt>
                <c:pt idx="236">
                  <c:v>0.18831390213315891</c:v>
                </c:pt>
                <c:pt idx="237">
                  <c:v>0.18613015681984102</c:v>
                </c:pt>
                <c:pt idx="238">
                  <c:v>0.18385938038923058</c:v>
                </c:pt>
                <c:pt idx="239">
                  <c:v>0.18150157284132765</c:v>
                </c:pt>
                <c:pt idx="240">
                  <c:v>0.17905673417613202</c:v>
                </c:pt>
                <c:pt idx="241">
                  <c:v>0.17685791787128116</c:v>
                </c:pt>
                <c:pt idx="242">
                  <c:v>0.17457996624497849</c:v>
                </c:pt>
                <c:pt idx="243">
                  <c:v>0.17221928133433603</c:v>
                </c:pt>
                <c:pt idx="244">
                  <c:v>0.16977586313935356</c:v>
                </c:pt>
                <c:pt idx="245">
                  <c:v>0.16724971166003125</c:v>
                </c:pt>
                <c:pt idx="246">
                  <c:v>0.16479587381594213</c:v>
                </c:pt>
                <c:pt idx="247">
                  <c:v>0.1622745847154265</c:v>
                </c:pt>
                <c:pt idx="248">
                  <c:v>0.15967271124704741</c:v>
                </c:pt>
                <c:pt idx="249">
                  <c:v>0.15699025341080489</c:v>
                </c:pt>
                <c:pt idx="250">
                  <c:v>0.1542272112066988</c:v>
                </c:pt>
                <c:pt idx="251">
                  <c:v>0.15167073858985852</c:v>
                </c:pt>
                <c:pt idx="252">
                  <c:v>0.14908689416649309</c:v>
                </c:pt>
                <c:pt idx="253">
                  <c:v>0.14642676320821657</c:v>
                </c:pt>
                <c:pt idx="254">
                  <c:v>0.14369034571502953</c:v>
                </c:pt>
                <c:pt idx="255">
                  <c:v>0.14087764168693162</c:v>
                </c:pt>
                <c:pt idx="256">
                  <c:v>0.13851711877509826</c:v>
                </c:pt>
                <c:pt idx="257">
                  <c:v>0.1362319919531034</c:v>
                </c:pt>
                <c:pt idx="258">
                  <c:v>0.13387917426210311</c:v>
                </c:pt>
                <c:pt idx="259">
                  <c:v>0.13145866570209749</c:v>
                </c:pt>
                <c:pt idx="260">
                  <c:v>0.12897046627308653</c:v>
                </c:pt>
                <c:pt idx="261">
                  <c:v>0.12659557606296101</c:v>
                </c:pt>
                <c:pt idx="262">
                  <c:v>0.12422683271553207</c:v>
                </c:pt>
                <c:pt idx="263">
                  <c:v>0.12179362187381243</c:v>
                </c:pt>
                <c:pt idx="264">
                  <c:v>0.11929594353780187</c:v>
                </c:pt>
                <c:pt idx="265">
                  <c:v>0.11673379770750053</c:v>
                </c:pt>
                <c:pt idx="266">
                  <c:v>0.11438025042031999</c:v>
                </c:pt>
                <c:pt idx="267">
                  <c:v>0.11211353507762688</c:v>
                </c:pt>
                <c:pt idx="268">
                  <c:v>0.10978772453183366</c:v>
                </c:pt>
                <c:pt idx="269">
                  <c:v>0.10740281878294067</c:v>
                </c:pt>
                <c:pt idx="270">
                  <c:v>0.1049588178309477</c:v>
                </c:pt>
                <c:pt idx="271">
                  <c:v>0.10265131363966727</c:v>
                </c:pt>
                <c:pt idx="272">
                  <c:v>0.10042832328392098</c:v>
                </c:pt>
                <c:pt idx="273">
                  <c:v>9.8150535558027524E-2</c:v>
                </c:pt>
                <c:pt idx="274">
                  <c:v>9.5817950461986864E-2</c:v>
                </c:pt>
                <c:pt idx="275">
                  <c:v>9.3430567995799033E-2</c:v>
                </c:pt>
                <c:pt idx="276">
                  <c:v>9.1204326724677195E-2</c:v>
                </c:pt>
                <c:pt idx="277">
                  <c:v>8.9130986548121446E-2</c:v>
                </c:pt>
                <c:pt idx="278">
                  <c:v>8.7008221292609475E-2</c:v>
                </c:pt>
                <c:pt idx="279">
                  <c:v>8.4836030958141226E-2</c:v>
                </c:pt>
                <c:pt idx="280">
                  <c:v>8.2614415544716588E-2</c:v>
                </c:pt>
                <c:pt idx="281">
                  <c:v>8.0493304547339356E-2</c:v>
                </c:pt>
                <c:pt idx="282">
                  <c:v>7.8511457221438138E-2</c:v>
                </c:pt>
                <c:pt idx="283">
                  <c:v>7.6484482649533378E-2</c:v>
                </c:pt>
                <c:pt idx="284">
                  <c:v>7.4412380831625047E-2</c:v>
                </c:pt>
                <c:pt idx="285">
                  <c:v>7.2295151767713159E-2</c:v>
                </c:pt>
                <c:pt idx="286">
                  <c:v>7.0387051242420812E-2</c:v>
                </c:pt>
                <c:pt idx="287">
                  <c:v>6.8856221420363059E-2</c:v>
                </c:pt>
                <c:pt idx="288">
                  <c:v>6.7288860018207247E-2</c:v>
                </c:pt>
                <c:pt idx="289">
                  <c:v>6.5684967035953293E-2</c:v>
                </c:pt>
                <c:pt idx="290">
                  <c:v>6.4044542473601182E-2</c:v>
                </c:pt>
                <c:pt idx="291">
                  <c:v>6.2419759353198219E-2</c:v>
                </c:pt>
                <c:pt idx="292">
                  <c:v>6.0875289374862543E-2</c:v>
                </c:pt>
                <c:pt idx="293">
                  <c:v>5.9296436732905147E-2</c:v>
                </c:pt>
                <c:pt idx="294">
                  <c:v>5.768320142732599E-2</c:v>
                </c:pt>
                <c:pt idx="295">
                  <c:v>5.6035583458125038E-2</c:v>
                </c:pt>
                <c:pt idx="296">
                  <c:v>5.439437480047854E-2</c:v>
                </c:pt>
                <c:pt idx="297">
                  <c:v>5.2846863558994123E-2</c:v>
                </c:pt>
                <c:pt idx="298">
                  <c:v>5.126711857036434E-2</c:v>
                </c:pt>
                <c:pt idx="299">
                  <c:v>4.9655139834589135E-2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8-433F-BD03-42B4F1BE0E73}"/>
            </c:ext>
          </c:extLst>
        </c:ser>
        <c:ser>
          <c:idx val="1"/>
          <c:order val="1"/>
          <c:tx>
            <c:v>Epanecznikow - mała szerokość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d.'!$Y$6:$Y$305</c:f>
              <c:numCache>
                <c:formatCode>General</c:formatCode>
                <c:ptCount val="300"/>
                <c:pt idx="0">
                  <c:v>4.9193495504995369E-2</c:v>
                </c:pt>
                <c:pt idx="1">
                  <c:v>5.7321586720798984E-2</c:v>
                </c:pt>
                <c:pt idx="2">
                  <c:v>6.4056628171221583E-2</c:v>
                </c:pt>
                <c:pt idx="3">
                  <c:v>6.9398619856263194E-2</c:v>
                </c:pt>
                <c:pt idx="4">
                  <c:v>7.6878608775302615E-2</c:v>
                </c:pt>
                <c:pt idx="5">
                  <c:v>0.10552762164088209</c:v>
                </c:pt>
                <c:pt idx="6">
                  <c:v>0.13034574765166376</c:v>
                </c:pt>
                <c:pt idx="7">
                  <c:v>0.15133298680764776</c:v>
                </c:pt>
                <c:pt idx="8">
                  <c:v>0.16848933910883393</c:v>
                </c:pt>
                <c:pt idx="9">
                  <c:v>0.18492325444105723</c:v>
                </c:pt>
                <c:pt idx="10">
                  <c:v>0.24318342895084813</c:v>
                </c:pt>
                <c:pt idx="11">
                  <c:v>0.29308530486835305</c:v>
                </c:pt>
                <c:pt idx="12">
                  <c:v>0.33734309819543207</c:v>
                </c:pt>
                <c:pt idx="13">
                  <c:v>0.37488165744518037</c:v>
                </c:pt>
                <c:pt idx="14">
                  <c:v>0.40441018054398814</c:v>
                </c:pt>
                <c:pt idx="15">
                  <c:v>0.47463963793088715</c:v>
                </c:pt>
                <c:pt idx="16">
                  <c:v>0.53269321607716835</c:v>
                </c:pt>
                <c:pt idx="17">
                  <c:v>0.58064103055453153</c:v>
                </c:pt>
                <c:pt idx="18">
                  <c:v>0.61794938242779796</c:v>
                </c:pt>
                <c:pt idx="19">
                  <c:v>0.64306854885398057</c:v>
                </c:pt>
                <c:pt idx="20">
                  <c:v>0.68051311426183048</c:v>
                </c:pt>
                <c:pt idx="21">
                  <c:v>0.70540502468815269</c:v>
                </c:pt>
                <c:pt idx="22">
                  <c:v>0.71997141894558003</c:v>
                </c:pt>
                <c:pt idx="23">
                  <c:v>0.72422140128064205</c:v>
                </c:pt>
                <c:pt idx="24">
                  <c:v>0.71454088596189425</c:v>
                </c:pt>
                <c:pt idx="25">
                  <c:v>0.70395214701702202</c:v>
                </c:pt>
                <c:pt idx="26">
                  <c:v>0.68030571752500546</c:v>
                </c:pt>
                <c:pt idx="27">
                  <c:v>0.65443570087696157</c:v>
                </c:pt>
                <c:pt idx="28">
                  <c:v>0.63011930889184808</c:v>
                </c:pt>
                <c:pt idx="29">
                  <c:v>0.59291720657696068</c:v>
                </c:pt>
                <c:pt idx="30">
                  <c:v>0.5428293939322989</c:v>
                </c:pt>
                <c:pt idx="31">
                  <c:v>0.47985587095786264</c:v>
                </c:pt>
                <c:pt idx="32">
                  <c:v>0.42471465123374302</c:v>
                </c:pt>
                <c:pt idx="33">
                  <c:v>0.39133458164378832</c:v>
                </c:pt>
                <c:pt idx="34">
                  <c:v>0.34959621346154723</c:v>
                </c:pt>
                <c:pt idx="35">
                  <c:v>0.30501501928941016</c:v>
                </c:pt>
                <c:pt idx="36">
                  <c:v>0.25360203854166308</c:v>
                </c:pt>
                <c:pt idx="37">
                  <c:v>0.21026257355387923</c:v>
                </c:pt>
                <c:pt idx="38">
                  <c:v>0.1957978767315656</c:v>
                </c:pt>
                <c:pt idx="39">
                  <c:v>0.17680576817176374</c:v>
                </c:pt>
                <c:pt idx="40">
                  <c:v>0.15328624787447362</c:v>
                </c:pt>
                <c:pt idx="41">
                  <c:v>0.12523931583969525</c:v>
                </c:pt>
                <c:pt idx="42">
                  <c:v>9.9966227619194617E-2</c:v>
                </c:pt>
                <c:pt idx="43">
                  <c:v>9.2345773182301388E-2</c:v>
                </c:pt>
                <c:pt idx="44">
                  <c:v>8.2635744097336664E-2</c:v>
                </c:pt>
                <c:pt idx="45">
                  <c:v>7.0836140364300401E-2</c:v>
                </c:pt>
                <c:pt idx="46">
                  <c:v>5.6946961983192664E-2</c:v>
                </c:pt>
                <c:pt idx="47">
                  <c:v>4.4048645773608293E-2</c:v>
                </c:pt>
                <c:pt idx="48">
                  <c:v>4.2732331800388233E-2</c:v>
                </c:pt>
                <c:pt idx="49">
                  <c:v>4.0719492944477666E-2</c:v>
                </c:pt>
                <c:pt idx="50">
                  <c:v>3.8010129205876597E-2</c:v>
                </c:pt>
                <c:pt idx="51">
                  <c:v>3.4604240584584986E-2</c:v>
                </c:pt>
                <c:pt idx="52">
                  <c:v>3.050182708060286E-2</c:v>
                </c:pt>
                <c:pt idx="53">
                  <c:v>2.5702888693930209E-2</c:v>
                </c:pt>
                <c:pt idx="54">
                  <c:v>2.0207425424567042E-2</c:v>
                </c:pt>
                <c:pt idx="55">
                  <c:v>1.4015437272513356E-2</c:v>
                </c:pt>
                <c:pt idx="56">
                  <c:v>7.1269242377691522E-3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3.6859192370132226E-3</c:v>
                </c:pt>
                <c:pt idx="92">
                  <c:v>7.1183702478990656E-3</c:v>
                </c:pt>
                <c:pt idx="93">
                  <c:v>1.0202558817439651E-2</c:v>
                </c:pt>
                <c:pt idx="94">
                  <c:v>1.2938484945634975E-2</c:v>
                </c:pt>
                <c:pt idx="95">
                  <c:v>1.5326148632485041E-2</c:v>
                </c:pt>
                <c:pt idx="96">
                  <c:v>1.7365549877989848E-2</c:v>
                </c:pt>
                <c:pt idx="97">
                  <c:v>1.9056688682149395E-2</c:v>
                </c:pt>
                <c:pt idx="98">
                  <c:v>2.0399565044963684E-2</c:v>
                </c:pt>
                <c:pt idx="99">
                  <c:v>2.1394178966432715E-2</c:v>
                </c:pt>
                <c:pt idx="100">
                  <c:v>2.2040530446556482E-2</c:v>
                </c:pt>
                <c:pt idx="101">
                  <c:v>2.2338619485334991E-2</c:v>
                </c:pt>
                <c:pt idx="102">
                  <c:v>2.2288446082768244E-2</c:v>
                </c:pt>
                <c:pt idx="103">
                  <c:v>2.1890010238856238E-2</c:v>
                </c:pt>
                <c:pt idx="104">
                  <c:v>2.1143311953598972E-2</c:v>
                </c:pt>
                <c:pt idx="105">
                  <c:v>2.0048351226996445E-2</c:v>
                </c:pt>
                <c:pt idx="106">
                  <c:v>2.4495475515712996E-2</c:v>
                </c:pt>
                <c:pt idx="107">
                  <c:v>2.9710558006026924E-2</c:v>
                </c:pt>
                <c:pt idx="108">
                  <c:v>3.3880853172305068E-2</c:v>
                </c:pt>
                <c:pt idx="109">
                  <c:v>3.7006361014547427E-2</c:v>
                </c:pt>
                <c:pt idx="110">
                  <c:v>3.9087081532754017E-2</c:v>
                </c:pt>
                <c:pt idx="111">
                  <c:v>4.0123014726924831E-2</c:v>
                </c:pt>
                <c:pt idx="112">
                  <c:v>4.0114160597059849E-2</c:v>
                </c:pt>
                <c:pt idx="113">
                  <c:v>4.030930161741221E-2</c:v>
                </c:pt>
                <c:pt idx="114">
                  <c:v>4.2440195538185538E-2</c:v>
                </c:pt>
                <c:pt idx="115">
                  <c:v>4.3874564576268357E-2</c:v>
                </c:pt>
                <c:pt idx="116">
                  <c:v>4.9499088043661432E-2</c:v>
                </c:pt>
                <c:pt idx="117">
                  <c:v>5.6641419467860367E-2</c:v>
                </c:pt>
                <c:pt idx="118">
                  <c:v>6.2390701126678272E-2</c:v>
                </c:pt>
                <c:pt idx="119">
                  <c:v>6.6746933020115126E-2</c:v>
                </c:pt>
                <c:pt idx="120">
                  <c:v>6.9710115148170965E-2</c:v>
                </c:pt>
                <c:pt idx="121">
                  <c:v>7.3470269010716932E-2</c:v>
                </c:pt>
                <c:pt idx="122">
                  <c:v>7.7221468696731826E-2</c:v>
                </c:pt>
                <c:pt idx="123">
                  <c:v>7.9231356176020437E-2</c:v>
                </c:pt>
                <c:pt idx="124">
                  <c:v>7.9499931448582709E-2</c:v>
                </c:pt>
                <c:pt idx="125">
                  <c:v>7.8027194514418696E-2</c:v>
                </c:pt>
                <c:pt idx="126">
                  <c:v>7.6748247970628181E-2</c:v>
                </c:pt>
                <c:pt idx="127">
                  <c:v>7.5390614724705263E-2</c:v>
                </c:pt>
                <c:pt idx="128">
                  <c:v>7.2805809084202991E-2</c:v>
                </c:pt>
                <c:pt idx="129">
                  <c:v>7.55860058617214E-2</c:v>
                </c:pt>
                <c:pt idx="130">
                  <c:v>7.697315287385878E-2</c:v>
                </c:pt>
                <c:pt idx="131">
                  <c:v>7.8645833068301363E-2</c:v>
                </c:pt>
                <c:pt idx="132">
                  <c:v>8.0868219664342877E-2</c:v>
                </c:pt>
                <c:pt idx="133">
                  <c:v>8.1349294053658108E-2</c:v>
                </c:pt>
                <c:pt idx="134">
                  <c:v>8.0089056236247014E-2</c:v>
                </c:pt>
                <c:pt idx="135">
                  <c:v>7.7087506212109649E-2</c:v>
                </c:pt>
                <c:pt idx="136">
                  <c:v>7.6606031636137301E-2</c:v>
                </c:pt>
                <c:pt idx="137">
                  <c:v>8.1056707581463619E-2</c:v>
                </c:pt>
                <c:pt idx="138">
                  <c:v>8.2721283996027892E-2</c:v>
                </c:pt>
                <c:pt idx="139">
                  <c:v>8.9610597404095813E-2</c:v>
                </c:pt>
                <c:pt idx="140">
                  <c:v>9.4622034907520691E-2</c:v>
                </c:pt>
                <c:pt idx="141">
                  <c:v>0.1033476048075361</c:v>
                </c:pt>
                <c:pt idx="142">
                  <c:v>0.12252269871787444</c:v>
                </c:pt>
                <c:pt idx="143">
                  <c:v>0.13786690577341493</c:v>
                </c:pt>
                <c:pt idx="144">
                  <c:v>0.15309590909405099</c:v>
                </c:pt>
                <c:pt idx="145">
                  <c:v>0.16521426150221563</c:v>
                </c:pt>
                <c:pt idx="146">
                  <c:v>0.17654824805570443</c:v>
                </c:pt>
                <c:pt idx="147">
                  <c:v>0.19277786809771549</c:v>
                </c:pt>
                <c:pt idx="148">
                  <c:v>0.20448007640223811</c:v>
                </c:pt>
                <c:pt idx="149">
                  <c:v>0.21508242169356862</c:v>
                </c:pt>
                <c:pt idx="150">
                  <c:v>0.2221421145723618</c:v>
                </c:pt>
                <c:pt idx="151">
                  <c:v>0.2275686456894509</c:v>
                </c:pt>
                <c:pt idx="152">
                  <c:v>0.24113317264218351</c:v>
                </c:pt>
                <c:pt idx="153">
                  <c:v>0.249125500533392</c:v>
                </c:pt>
                <c:pt idx="154">
                  <c:v>0.25468664443841754</c:v>
                </c:pt>
                <c:pt idx="155">
                  <c:v>0.25592327124285258</c:v>
                </c:pt>
                <c:pt idx="156">
                  <c:v>0.25267990842907884</c:v>
                </c:pt>
                <c:pt idx="157">
                  <c:v>0.25094745035221439</c:v>
                </c:pt>
                <c:pt idx="158">
                  <c:v>0.24329453077248092</c:v>
                </c:pt>
                <c:pt idx="159">
                  <c:v>0.23828939620896195</c:v>
                </c:pt>
                <c:pt idx="160">
                  <c:v>0.23189081169339629</c:v>
                </c:pt>
                <c:pt idx="161">
                  <c:v>0.22103995048586733</c:v>
                </c:pt>
                <c:pt idx="162">
                  <c:v>0.21994203838264068</c:v>
                </c:pt>
                <c:pt idx="163">
                  <c:v>0.21257540233519973</c:v>
                </c:pt>
                <c:pt idx="164">
                  <c:v>0.21180379243032885</c:v>
                </c:pt>
                <c:pt idx="165">
                  <c:v>0.21360708354610639</c:v>
                </c:pt>
                <c:pt idx="166">
                  <c:v>0.21088296292439579</c:v>
                </c:pt>
                <c:pt idx="167">
                  <c:v>0.23262935617545463</c:v>
                </c:pt>
                <c:pt idx="168">
                  <c:v>0.24835724219179833</c:v>
                </c:pt>
                <c:pt idx="169">
                  <c:v>0.26364467276487624</c:v>
                </c:pt>
                <c:pt idx="170">
                  <c:v>0.27769912823679038</c:v>
                </c:pt>
                <c:pt idx="171">
                  <c:v>0.28548485976449023</c:v>
                </c:pt>
                <c:pt idx="172">
                  <c:v>0.29713894562308496</c:v>
                </c:pt>
                <c:pt idx="173">
                  <c:v>0.30277312359366015</c:v>
                </c:pt>
                <c:pt idx="174">
                  <c:v>0.3091373420797508</c:v>
                </c:pt>
                <c:pt idx="175">
                  <c:v>0.31732150945136278</c:v>
                </c:pt>
                <c:pt idx="176">
                  <c:v>0.31958521532010575</c:v>
                </c:pt>
                <c:pt idx="177">
                  <c:v>0.33158701336338842</c:v>
                </c:pt>
                <c:pt idx="178">
                  <c:v>0.33943767517676293</c:v>
                </c:pt>
                <c:pt idx="179">
                  <c:v>0.34309127934093642</c:v>
                </c:pt>
                <c:pt idx="180">
                  <c:v>0.34415967767794381</c:v>
                </c:pt>
                <c:pt idx="181">
                  <c:v>0.33826282718804623</c:v>
                </c:pt>
                <c:pt idx="182">
                  <c:v>0.33693190640171722</c:v>
                </c:pt>
                <c:pt idx="183">
                  <c:v>0.33114130547019621</c:v>
                </c:pt>
                <c:pt idx="184">
                  <c:v>0.32281412139076826</c:v>
                </c:pt>
                <c:pt idx="185">
                  <c:v>0.31729504710843215</c:v>
                </c:pt>
                <c:pt idx="186">
                  <c:v>0.30481072399919118</c:v>
                </c:pt>
                <c:pt idx="187">
                  <c:v>0.29852254097860736</c:v>
                </c:pt>
                <c:pt idx="188">
                  <c:v>0.28977170929565249</c:v>
                </c:pt>
                <c:pt idx="189">
                  <c:v>0.28175512008814507</c:v>
                </c:pt>
                <c:pt idx="190">
                  <c:v>0.2893785259016603</c:v>
                </c:pt>
                <c:pt idx="191">
                  <c:v>0.29108147021230629</c:v>
                </c:pt>
                <c:pt idx="192">
                  <c:v>0.29638459376794135</c:v>
                </c:pt>
                <c:pt idx="193">
                  <c:v>0.30047225038881614</c:v>
                </c:pt>
                <c:pt idx="194">
                  <c:v>0.29996551402989224</c:v>
                </c:pt>
                <c:pt idx="195">
                  <c:v>0.30202557491174858</c:v>
                </c:pt>
                <c:pt idx="196">
                  <c:v>0.29781691184939063</c:v>
                </c:pt>
                <c:pt idx="197">
                  <c:v>0.30435105959621384</c:v>
                </c:pt>
                <c:pt idx="198">
                  <c:v>0.31624510738114175</c:v>
                </c:pt>
                <c:pt idx="199">
                  <c:v>0.32225556085930057</c:v>
                </c:pt>
                <c:pt idx="200">
                  <c:v>0.33692095129188265</c:v>
                </c:pt>
                <c:pt idx="201">
                  <c:v>0.34427283045621465</c:v>
                </c:pt>
                <c:pt idx="202">
                  <c:v>0.34805344386178028</c:v>
                </c:pt>
                <c:pt idx="203">
                  <c:v>0.34798556219948584</c:v>
                </c:pt>
                <c:pt idx="204">
                  <c:v>0.34136252299068365</c:v>
                </c:pt>
                <c:pt idx="205">
                  <c:v>0.3418849166527031</c:v>
                </c:pt>
                <c:pt idx="206">
                  <c:v>0.33579032392916303</c:v>
                </c:pt>
                <c:pt idx="207">
                  <c:v>0.32630715065739807</c:v>
                </c:pt>
                <c:pt idx="208">
                  <c:v>0.31423306889855768</c:v>
                </c:pt>
                <c:pt idx="209">
                  <c:v>0.29531944694755174</c:v>
                </c:pt>
                <c:pt idx="210">
                  <c:v>0.28926322212009203</c:v>
                </c:pt>
                <c:pt idx="211">
                  <c:v>0.27763479823110848</c:v>
                </c:pt>
                <c:pt idx="212">
                  <c:v>0.26314553995250206</c:v>
                </c:pt>
                <c:pt idx="213">
                  <c:v>0.24767442370223486</c:v>
                </c:pt>
                <c:pt idx="214">
                  <c:v>0.22593458350775336</c:v>
                </c:pt>
                <c:pt idx="215">
                  <c:v>0.21365735699534391</c:v>
                </c:pt>
                <c:pt idx="216">
                  <c:v>0.19719457820022898</c:v>
                </c:pt>
                <c:pt idx="217">
                  <c:v>0.17914280824605536</c:v>
                </c:pt>
                <c:pt idx="218">
                  <c:v>0.1639520727748377</c:v>
                </c:pt>
                <c:pt idx="219">
                  <c:v>0.14284087580075089</c:v>
                </c:pt>
                <c:pt idx="220">
                  <c:v>0.14495721293173411</c:v>
                </c:pt>
                <c:pt idx="221">
                  <c:v>0.14744522342371913</c:v>
                </c:pt>
                <c:pt idx="222">
                  <c:v>0.15180190552713957</c:v>
                </c:pt>
                <c:pt idx="223">
                  <c:v>0.17020964151587376</c:v>
                </c:pt>
                <c:pt idx="224">
                  <c:v>0.18339344088442933</c:v>
                </c:pt>
                <c:pt idx="225">
                  <c:v>0.19806483411691658</c:v>
                </c:pt>
                <c:pt idx="226">
                  <c:v>0.2096135708371222</c:v>
                </c:pt>
                <c:pt idx="227">
                  <c:v>0.21834644414368029</c:v>
                </c:pt>
                <c:pt idx="228">
                  <c:v>0.23200541514830905</c:v>
                </c:pt>
                <c:pt idx="229">
                  <c:v>0.24009218709141411</c:v>
                </c:pt>
                <c:pt idx="230">
                  <c:v>0.2487460235325159</c:v>
                </c:pt>
                <c:pt idx="231">
                  <c:v>0.25445398591863522</c:v>
                </c:pt>
                <c:pt idx="232">
                  <c:v>0.25620305174190511</c:v>
                </c:pt>
                <c:pt idx="233">
                  <c:v>0.26339555656867497</c:v>
                </c:pt>
                <c:pt idx="234">
                  <c:v>0.2646675998925756</c:v>
                </c:pt>
                <c:pt idx="235">
                  <c:v>0.26558937984182235</c:v>
                </c:pt>
                <c:pt idx="236">
                  <c:v>0.26373886670010188</c:v>
                </c:pt>
                <c:pt idx="237">
                  <c:v>0.2567425533836693</c:v>
                </c:pt>
                <c:pt idx="238">
                  <c:v>0.25198198289308144</c:v>
                </c:pt>
                <c:pt idx="239">
                  <c:v>0.24130095089962447</c:v>
                </c:pt>
                <c:pt idx="240">
                  <c:v>0.23220595868858998</c:v>
                </c:pt>
                <c:pt idx="241">
                  <c:v>0.22269072046065252</c:v>
                </c:pt>
                <c:pt idx="242">
                  <c:v>0.20829980805388151</c:v>
                </c:pt>
                <c:pt idx="243">
                  <c:v>0.19616014570603921</c:v>
                </c:pt>
                <c:pt idx="244">
                  <c:v>0.17890639797634617</c:v>
                </c:pt>
                <c:pt idx="245">
                  <c:v>0.16940546642150348</c:v>
                </c:pt>
                <c:pt idx="246">
                  <c:v>0.16687908803344267</c:v>
                </c:pt>
                <c:pt idx="247">
                  <c:v>0.1608700852319295</c:v>
                </c:pt>
                <c:pt idx="248">
                  <c:v>0.16133049998488791</c:v>
                </c:pt>
                <c:pt idx="249">
                  <c:v>0.15875985094750469</c:v>
                </c:pt>
                <c:pt idx="250">
                  <c:v>0.15748510636364191</c:v>
                </c:pt>
                <c:pt idx="251">
                  <c:v>0.15872468454470454</c:v>
                </c:pt>
                <c:pt idx="252">
                  <c:v>0.15648163831231474</c:v>
                </c:pt>
                <c:pt idx="253">
                  <c:v>0.15075596766647253</c:v>
                </c:pt>
                <c:pt idx="254">
                  <c:v>0.14154767260717788</c:v>
                </c:pt>
                <c:pt idx="255">
                  <c:v>0.13384568013818815</c:v>
                </c:pt>
                <c:pt idx="256">
                  <c:v>0.13046635390649311</c:v>
                </c:pt>
                <c:pt idx="257">
                  <c:v>0.12464919058538138</c:v>
                </c:pt>
                <c:pt idx="258">
                  <c:v>0.11921450566508823</c:v>
                </c:pt>
                <c:pt idx="259">
                  <c:v>0.11203675772143319</c:v>
                </c:pt>
                <c:pt idx="260">
                  <c:v>0.10484580361797097</c:v>
                </c:pt>
                <c:pt idx="261">
                  <c:v>0.10057811302318317</c:v>
                </c:pt>
                <c:pt idx="262">
                  <c:v>9.4220847780323899E-2</c:v>
                </c:pt>
                <c:pt idx="263">
                  <c:v>8.8343406343462078E-2</c:v>
                </c:pt>
                <c:pt idx="264">
                  <c:v>8.1345692373722633E-2</c:v>
                </c:pt>
                <c:pt idx="265">
                  <c:v>7.4133178213922554E-2</c:v>
                </c:pt>
                <c:pt idx="266">
                  <c:v>7.0694824449795662E-2</c:v>
                </c:pt>
                <c:pt idx="267">
                  <c:v>6.5515158478942528E-2</c:v>
                </c:pt>
                <c:pt idx="268">
                  <c:v>5.8594180301363201E-2</c:v>
                </c:pt>
                <c:pt idx="269">
                  <c:v>4.9931889917057638E-2</c:v>
                </c:pt>
                <c:pt idx="270">
                  <c:v>4.2042860207588628E-2</c:v>
                </c:pt>
                <c:pt idx="271">
                  <c:v>4.2479663947581847E-2</c:v>
                </c:pt>
                <c:pt idx="272">
                  <c:v>4.2219942804884593E-2</c:v>
                </c:pt>
                <c:pt idx="273">
                  <c:v>4.3326458921306585E-2</c:v>
                </c:pt>
                <c:pt idx="274">
                  <c:v>4.5259610608436238E-2</c:v>
                </c:pt>
                <c:pt idx="275">
                  <c:v>4.6147974971530156E-2</c:v>
                </c:pt>
                <c:pt idx="276">
                  <c:v>4.5991552010588341E-2</c:v>
                </c:pt>
                <c:pt idx="277">
                  <c:v>4.4790341725610784E-2</c:v>
                </c:pt>
                <c:pt idx="278">
                  <c:v>4.6158429848030896E-2</c:v>
                </c:pt>
                <c:pt idx="279">
                  <c:v>5.0086712131342845E-2</c:v>
                </c:pt>
                <c:pt idx="280">
                  <c:v>5.257002043006169E-2</c:v>
                </c:pt>
                <c:pt idx="281">
                  <c:v>5.7162362453226437E-2</c:v>
                </c:pt>
                <c:pt idx="282">
                  <c:v>6.036165471101021E-2</c:v>
                </c:pt>
                <c:pt idx="283">
                  <c:v>6.2167897203412995E-2</c:v>
                </c:pt>
                <c:pt idx="284">
                  <c:v>6.2581089930434819E-2</c:v>
                </c:pt>
                <c:pt idx="285">
                  <c:v>6.162904586497811E-2</c:v>
                </c:pt>
                <c:pt idx="286">
                  <c:v>6.3379212201570626E-2</c:v>
                </c:pt>
                <c:pt idx="287">
                  <c:v>6.4084591214127393E-2</c:v>
                </c:pt>
                <c:pt idx="288">
                  <c:v>6.5035984976252542E-2</c:v>
                </c:pt>
                <c:pt idx="289">
                  <c:v>6.7308544974863507E-2</c:v>
                </c:pt>
                <c:pt idx="290">
                  <c:v>6.8188055208093512E-2</c:v>
                </c:pt>
                <c:pt idx="291">
                  <c:v>6.7674515675942515E-2</c:v>
                </c:pt>
                <c:pt idx="292">
                  <c:v>6.5767926378410571E-2</c:v>
                </c:pt>
                <c:pt idx="293">
                  <c:v>6.2468287315497646E-2</c:v>
                </c:pt>
                <c:pt idx="294">
                  <c:v>5.777559848720374E-2</c:v>
                </c:pt>
                <c:pt idx="295">
                  <c:v>5.168985989352886E-2</c:v>
                </c:pt>
                <c:pt idx="296">
                  <c:v>4.7782487363228578E-2</c:v>
                </c:pt>
                <c:pt idx="297">
                  <c:v>4.3334762794524466E-2</c:v>
                </c:pt>
                <c:pt idx="298">
                  <c:v>3.7842250901784634E-2</c:v>
                </c:pt>
                <c:pt idx="299">
                  <c:v>3.1304951685009068E-2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18-433F-BD03-42B4F1BE0E73}"/>
            </c:ext>
          </c:extLst>
        </c:ser>
        <c:ser>
          <c:idx val="2"/>
          <c:order val="2"/>
          <c:tx>
            <c:v>Epanecznikow - duża szerokość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d.'!$Z$6:$Z$305</c:f>
              <c:numCache>
                <c:formatCode>General</c:formatCode>
                <c:ptCount val="300"/>
                <c:pt idx="0">
                  <c:v>8.2264775257552269E-2</c:v>
                </c:pt>
                <c:pt idx="1">
                  <c:v>8.275874475787906E-2</c:v>
                </c:pt>
                <c:pt idx="2">
                  <c:v>8.3244975092842538E-2</c:v>
                </c:pt>
                <c:pt idx="3">
                  <c:v>8.3770658882079282E-2</c:v>
                </c:pt>
                <c:pt idx="4">
                  <c:v>8.4311086111116387E-2</c:v>
                </c:pt>
                <c:pt idx="5">
                  <c:v>8.484336141930432E-2</c:v>
                </c:pt>
                <c:pt idx="6">
                  <c:v>8.5367484806642954E-2</c:v>
                </c:pt>
                <c:pt idx="7">
                  <c:v>8.5883456273132333E-2</c:v>
                </c:pt>
                <c:pt idx="8">
                  <c:v>8.6476183689332756E-2</c:v>
                </c:pt>
                <c:pt idx="9">
                  <c:v>8.7115257730569162E-2</c:v>
                </c:pt>
                <c:pt idx="10">
                  <c:v>8.7745354339984358E-2</c:v>
                </c:pt>
                <c:pt idx="11">
                  <c:v>8.8366473517578148E-2</c:v>
                </c:pt>
                <c:pt idx="12">
                  <c:v>8.8978615263350713E-2</c:v>
                </c:pt>
                <c:pt idx="13">
                  <c:v>8.9610064592608826E-2</c:v>
                </c:pt>
                <c:pt idx="14">
                  <c:v>9.0256549868472813E-2</c:v>
                </c:pt>
                <c:pt idx="15">
                  <c:v>9.0893748145900996E-2</c:v>
                </c:pt>
                <c:pt idx="16">
                  <c:v>9.1521659424893209E-2</c:v>
                </c:pt>
                <c:pt idx="17">
                  <c:v>9.2140283705449633E-2</c:v>
                </c:pt>
                <c:pt idx="18">
                  <c:v>9.2790834581350304E-2</c:v>
                </c:pt>
                <c:pt idx="19">
                  <c:v>9.3478083833870448E-2</c:v>
                </c:pt>
                <c:pt idx="20">
                  <c:v>9.4155530143596941E-2</c:v>
                </c:pt>
                <c:pt idx="21">
                  <c:v>9.4823173510530337E-2</c:v>
                </c:pt>
                <c:pt idx="22">
                  <c:v>9.5481013934670178E-2</c:v>
                </c:pt>
                <c:pt idx="23">
                  <c:v>9.6157277915141046E-2</c:v>
                </c:pt>
                <c:pt idx="24">
                  <c:v>9.6865299612185138E-2</c:v>
                </c:pt>
                <c:pt idx="25">
                  <c:v>9.756310561095001E-2</c:v>
                </c:pt>
                <c:pt idx="26">
                  <c:v>9.825069591143519E-2</c:v>
                </c:pt>
                <c:pt idx="27">
                  <c:v>9.8928070513641164E-2</c:v>
                </c:pt>
                <c:pt idx="28">
                  <c:v>9.9624579700121285E-2</c:v>
                </c:pt>
                <c:pt idx="29">
                  <c:v>0.10036879183316079</c:v>
                </c:pt>
                <c:pt idx="30">
                  <c:v>0.10110227232356318</c:v>
                </c:pt>
                <c:pt idx="31">
                  <c:v>0.10182502117132863</c:v>
                </c:pt>
                <c:pt idx="32">
                  <c:v>0.10253703837645685</c:v>
                </c:pt>
                <c:pt idx="33">
                  <c:v>0.10325705599472916</c:v>
                </c:pt>
                <c:pt idx="34">
                  <c:v>0.10401745303992038</c:v>
                </c:pt>
                <c:pt idx="35">
                  <c:v>0.10476670568698825</c:v>
                </c:pt>
                <c:pt idx="36">
                  <c:v>0.10550481393593353</c:v>
                </c:pt>
                <c:pt idx="37">
                  <c:v>0.10623177778675526</c:v>
                </c:pt>
                <c:pt idx="38">
                  <c:v>0.10697556121612907</c:v>
                </c:pt>
                <c:pt idx="39">
                  <c:v>0.10781997848822411</c:v>
                </c:pt>
                <c:pt idx="40">
                  <c:v>0.10865242585122371</c:v>
                </c:pt>
                <c:pt idx="41">
                  <c:v>0.10947290330512843</c:v>
                </c:pt>
                <c:pt idx="42">
                  <c:v>0.11028141084993802</c:v>
                </c:pt>
                <c:pt idx="43">
                  <c:v>0.11108256349750883</c:v>
                </c:pt>
                <c:pt idx="44">
                  <c:v>0.11190208077021918</c:v>
                </c:pt>
                <c:pt idx="45">
                  <c:v>0.11270942175609149</c:v>
                </c:pt>
                <c:pt idx="46">
                  <c:v>0.11350458645512579</c:v>
                </c:pt>
                <c:pt idx="47">
                  <c:v>0.11428757486732181</c:v>
                </c:pt>
                <c:pt idx="48">
                  <c:v>0.11506062507363313</c:v>
                </c:pt>
                <c:pt idx="49">
                  <c:v>0.11585422444995541</c:v>
                </c:pt>
                <c:pt idx="50">
                  <c:v>0.11663544116169643</c:v>
                </c:pt>
                <c:pt idx="51">
                  <c:v>0.11740427520885639</c:v>
                </c:pt>
                <c:pt idx="52">
                  <c:v>0.1181607265914353</c:v>
                </c:pt>
                <c:pt idx="53">
                  <c:v>0.11890479530943283</c:v>
                </c:pt>
                <c:pt idx="54">
                  <c:v>0.11967131909382313</c:v>
                </c:pt>
                <c:pt idx="55">
                  <c:v>0.12042539363442935</c:v>
                </c:pt>
                <c:pt idx="56">
                  <c:v>0.1211668791327115</c:v>
                </c:pt>
                <c:pt idx="57">
                  <c:v>0.12189577558866947</c:v>
                </c:pt>
                <c:pt idx="58">
                  <c:v>0.1226120830023031</c:v>
                </c:pt>
                <c:pt idx="59">
                  <c:v>0.12336451071551417</c:v>
                </c:pt>
                <c:pt idx="60">
                  <c:v>0.12410781775972272</c:v>
                </c:pt>
                <c:pt idx="61">
                  <c:v>0.1248382261949928</c:v>
                </c:pt>
                <c:pt idx="62">
                  <c:v>0.12555573602132433</c:v>
                </c:pt>
                <c:pt idx="63">
                  <c:v>0.1262603472387169</c:v>
                </c:pt>
                <c:pt idx="64">
                  <c:v>0.12704238117608402</c:v>
                </c:pt>
                <c:pt idx="65">
                  <c:v>0.12782559258118059</c:v>
                </c:pt>
                <c:pt idx="66">
                  <c:v>0.12859528624410907</c:v>
                </c:pt>
                <c:pt idx="67">
                  <c:v>0.12935146216486976</c:v>
                </c:pt>
                <c:pt idx="68">
                  <c:v>0.13009412034346288</c:v>
                </c:pt>
                <c:pt idx="69">
                  <c:v>0.13086487134401367</c:v>
                </c:pt>
                <c:pt idx="70">
                  <c:v>0.13163271372862875</c:v>
                </c:pt>
                <c:pt idx="71">
                  <c:v>0.13238672880446162</c:v>
                </c:pt>
                <c:pt idx="72">
                  <c:v>0.13312691657151215</c:v>
                </c:pt>
                <c:pt idx="73">
                  <c:v>0.13385327702978017</c:v>
                </c:pt>
                <c:pt idx="74">
                  <c:v>0.13460386922017498</c:v>
                </c:pt>
                <c:pt idx="75">
                  <c:v>0.13535481573880351</c:v>
                </c:pt>
                <c:pt idx="76">
                  <c:v>0.13609162538203493</c:v>
                </c:pt>
                <c:pt idx="77">
                  <c:v>0.13681429814986948</c:v>
                </c:pt>
                <c:pt idx="78">
                  <c:v>0.13752283404230747</c:v>
                </c:pt>
                <c:pt idx="79">
                  <c:v>0.13824023712255243</c:v>
                </c:pt>
                <c:pt idx="80">
                  <c:v>0.13895534037452462</c:v>
                </c:pt>
                <c:pt idx="81">
                  <c:v>0.13965610037335668</c:v>
                </c:pt>
                <c:pt idx="82">
                  <c:v>0.14034251711904933</c:v>
                </c:pt>
                <c:pt idx="83">
                  <c:v>0.14101459061160176</c:v>
                </c:pt>
                <c:pt idx="84">
                  <c:v>0.14169295533489265</c:v>
                </c:pt>
                <c:pt idx="85">
                  <c:v>0.14237119742320462</c:v>
                </c:pt>
                <c:pt idx="86">
                  <c:v>0.14303488988063393</c:v>
                </c:pt>
                <c:pt idx="87">
                  <c:v>0.14368403270718025</c:v>
                </c:pt>
                <c:pt idx="88">
                  <c:v>0.14431862590284369</c:v>
                </c:pt>
                <c:pt idx="89">
                  <c:v>0.1449660654015672</c:v>
                </c:pt>
                <c:pt idx="90">
                  <c:v>0.14562386297609112</c:v>
                </c:pt>
                <c:pt idx="91">
                  <c:v>0.14626680135311751</c:v>
                </c:pt>
                <c:pt idx="92">
                  <c:v>0.14689488053264629</c:v>
                </c:pt>
                <c:pt idx="93">
                  <c:v>0.14750810051467797</c:v>
                </c:pt>
                <c:pt idx="94">
                  <c:v>0.14810646129921215</c:v>
                </c:pt>
                <c:pt idx="95">
                  <c:v>0.14868996288624883</c:v>
                </c:pt>
                <c:pt idx="96">
                  <c:v>0.14925860527578816</c:v>
                </c:pt>
                <c:pt idx="97">
                  <c:v>0.14981238846783015</c:v>
                </c:pt>
                <c:pt idx="98">
                  <c:v>0.15035131246237468</c:v>
                </c:pt>
                <c:pt idx="99">
                  <c:v>0.15088213728660049</c:v>
                </c:pt>
                <c:pt idx="100">
                  <c:v>0.15140879142473698</c:v>
                </c:pt>
                <c:pt idx="101">
                  <c:v>0.15192048317650472</c:v>
                </c:pt>
                <c:pt idx="102">
                  <c:v>0.15241721254190341</c:v>
                </c:pt>
                <c:pt idx="103">
                  <c:v>0.15289897952093304</c:v>
                </c:pt>
                <c:pt idx="104">
                  <c:v>0.15337135745392852</c:v>
                </c:pt>
                <c:pt idx="105">
                  <c:v>0.15384065519466267</c:v>
                </c:pt>
                <c:pt idx="106">
                  <c:v>0.15429488736015678</c:v>
                </c:pt>
                <c:pt idx="107">
                  <c:v>0.15473405395041023</c:v>
                </c:pt>
                <c:pt idx="108">
                  <c:v>0.15515815496542334</c:v>
                </c:pt>
                <c:pt idx="109">
                  <c:v>0.15556719040519615</c:v>
                </c:pt>
                <c:pt idx="110">
                  <c:v>0.1559611602697285</c:v>
                </c:pt>
                <c:pt idx="111">
                  <c:v>0.15634006455902039</c:v>
                </c:pt>
                <c:pt idx="112">
                  <c:v>0.1567039032730716</c:v>
                </c:pt>
                <c:pt idx="113">
                  <c:v>0.15705267641188267</c:v>
                </c:pt>
                <c:pt idx="114">
                  <c:v>0.15738958251921384</c:v>
                </c:pt>
                <c:pt idx="115">
                  <c:v>0.15772569403369807</c:v>
                </c:pt>
                <c:pt idx="116">
                  <c:v>0.15804663678406997</c:v>
                </c:pt>
                <c:pt idx="117">
                  <c:v>0.15835241077033016</c:v>
                </c:pt>
                <c:pt idx="118">
                  <c:v>0.15864301599247829</c:v>
                </c:pt>
                <c:pt idx="119">
                  <c:v>0.15892247331857567</c:v>
                </c:pt>
                <c:pt idx="120">
                  <c:v>0.1592176940565192</c:v>
                </c:pt>
                <c:pt idx="121">
                  <c:v>0.15949753965260755</c:v>
                </c:pt>
                <c:pt idx="122">
                  <c:v>0.15976201010684107</c:v>
                </c:pt>
                <c:pt idx="123">
                  <c:v>0.16001110541921965</c:v>
                </c:pt>
                <c:pt idx="124">
                  <c:v>0.1602448255897431</c:v>
                </c:pt>
                <c:pt idx="125">
                  <c:v>0.16046317061841175</c:v>
                </c:pt>
                <c:pt idx="126">
                  <c:v>0.16066614050522546</c:v>
                </c:pt>
                <c:pt idx="127">
                  <c:v>0.16085373525018429</c:v>
                </c:pt>
                <c:pt idx="128">
                  <c:v>0.16102595485328811</c:v>
                </c:pt>
                <c:pt idx="129">
                  <c:v>0.16118279931453697</c:v>
                </c:pt>
                <c:pt idx="130">
                  <c:v>0.1613413919393363</c:v>
                </c:pt>
                <c:pt idx="131">
                  <c:v>0.1614848734417248</c:v>
                </c:pt>
                <c:pt idx="132">
                  <c:v>0.1616128766133865</c:v>
                </c:pt>
                <c:pt idx="133">
                  <c:v>0.16172540145432202</c:v>
                </c:pt>
                <c:pt idx="134">
                  <c:v>0.16182244796453102</c:v>
                </c:pt>
                <c:pt idx="135">
                  <c:v>0.16190401614401367</c:v>
                </c:pt>
                <c:pt idx="136">
                  <c:v>0.16197010599276959</c:v>
                </c:pt>
                <c:pt idx="137">
                  <c:v>0.16202071751079933</c:v>
                </c:pt>
                <c:pt idx="138">
                  <c:v>0.16205585069810249</c:v>
                </c:pt>
                <c:pt idx="139">
                  <c:v>0.16207550555467903</c:v>
                </c:pt>
                <c:pt idx="140">
                  <c:v>0.16207968208052936</c:v>
                </c:pt>
                <c:pt idx="141">
                  <c:v>0.1620683802756531</c:v>
                </c:pt>
                <c:pt idx="142">
                  <c:v>0.16204160014005056</c:v>
                </c:pt>
                <c:pt idx="143">
                  <c:v>0.16199934167372135</c:v>
                </c:pt>
                <c:pt idx="144">
                  <c:v>0.1619416048766657</c:v>
                </c:pt>
                <c:pt idx="145">
                  <c:v>0.16186838974888373</c:v>
                </c:pt>
                <c:pt idx="146">
                  <c:v>0.16177969629037517</c:v>
                </c:pt>
                <c:pt idx="147">
                  <c:v>0.16167552450114045</c:v>
                </c:pt>
                <c:pt idx="148">
                  <c:v>0.16155587438117894</c:v>
                </c:pt>
                <c:pt idx="149">
                  <c:v>0.16142074593049102</c:v>
                </c:pt>
                <c:pt idx="150">
                  <c:v>0.1612701391490767</c:v>
                </c:pt>
                <c:pt idx="151">
                  <c:v>0.16110405403693615</c:v>
                </c:pt>
                <c:pt idx="152">
                  <c:v>0.16092249059406885</c:v>
                </c:pt>
                <c:pt idx="153">
                  <c:v>0.16072544882047507</c:v>
                </c:pt>
                <c:pt idx="154">
                  <c:v>0.16051292871615502</c:v>
                </c:pt>
                <c:pt idx="155">
                  <c:v>0.16028493028110838</c:v>
                </c:pt>
                <c:pt idx="156">
                  <c:v>0.16004145351533539</c:v>
                </c:pt>
                <c:pt idx="157">
                  <c:v>0.15978249841883591</c:v>
                </c:pt>
                <c:pt idx="158">
                  <c:v>0.15950806499160997</c:v>
                </c:pt>
                <c:pt idx="159">
                  <c:v>0.15921815323365743</c:v>
                </c:pt>
                <c:pt idx="160">
                  <c:v>0.15891276314497868</c:v>
                </c:pt>
                <c:pt idx="161">
                  <c:v>0.15859189472557333</c:v>
                </c:pt>
                <c:pt idx="162">
                  <c:v>0.15825554797544147</c:v>
                </c:pt>
                <c:pt idx="163">
                  <c:v>0.15790372289458329</c:v>
                </c:pt>
                <c:pt idx="164">
                  <c:v>0.15753641948299849</c:v>
                </c:pt>
                <c:pt idx="165">
                  <c:v>0.15715363774068752</c:v>
                </c:pt>
                <c:pt idx="166">
                  <c:v>0.15675537766764988</c:v>
                </c:pt>
                <c:pt idx="167">
                  <c:v>0.15634163926388595</c:v>
                </c:pt>
                <c:pt idx="168">
                  <c:v>0.15591242252939547</c:v>
                </c:pt>
                <c:pt idx="169">
                  <c:v>0.15546772746417847</c:v>
                </c:pt>
                <c:pt idx="170">
                  <c:v>0.15500792127655033</c:v>
                </c:pt>
                <c:pt idx="171">
                  <c:v>0.15454986325247291</c:v>
                </c:pt>
                <c:pt idx="172">
                  <c:v>0.15407643008654057</c:v>
                </c:pt>
                <c:pt idx="173">
                  <c:v>0.15358762177875324</c:v>
                </c:pt>
                <c:pt idx="174">
                  <c:v>0.15308343832911078</c:v>
                </c:pt>
                <c:pt idx="175">
                  <c:v>0.15256387973761368</c:v>
                </c:pt>
                <c:pt idx="176">
                  <c:v>0.15204571086099306</c:v>
                </c:pt>
                <c:pt idx="177">
                  <c:v>0.15151309188139403</c:v>
                </c:pt>
                <c:pt idx="178">
                  <c:v>0.15096520094881169</c:v>
                </c:pt>
                <c:pt idx="179">
                  <c:v>0.1504020380632459</c:v>
                </c:pt>
                <c:pt idx="180">
                  <c:v>0.14982360322469654</c:v>
                </c:pt>
                <c:pt idx="181">
                  <c:v>0.14926103498686491</c:v>
                </c:pt>
                <c:pt idx="182">
                  <c:v>0.14868742204185392</c:v>
                </c:pt>
                <c:pt idx="183">
                  <c:v>0.14809874352160238</c:v>
                </c:pt>
                <c:pt idx="184">
                  <c:v>0.14749499942611061</c:v>
                </c:pt>
                <c:pt idx="185">
                  <c:v>0.14687618975537819</c:v>
                </c:pt>
                <c:pt idx="186">
                  <c:v>0.14634293370825924</c:v>
                </c:pt>
                <c:pt idx="187">
                  <c:v>0.14581772421432393</c:v>
                </c:pt>
                <c:pt idx="188">
                  <c:v>0.1452781714672487</c:v>
                </c:pt>
                <c:pt idx="189">
                  <c:v>0.14472427546703368</c:v>
                </c:pt>
                <c:pt idx="190">
                  <c:v>0.14415603621367876</c:v>
                </c:pt>
                <c:pt idx="191">
                  <c:v>0.14374478772685148</c:v>
                </c:pt>
                <c:pt idx="192">
                  <c:v>0.14337755777175154</c:v>
                </c:pt>
                <c:pt idx="193">
                  <c:v>0.14299732601884152</c:v>
                </c:pt>
                <c:pt idx="194">
                  <c:v>0.1426040924681212</c:v>
                </c:pt>
                <c:pt idx="195">
                  <c:v>0.14219785711959054</c:v>
                </c:pt>
                <c:pt idx="196">
                  <c:v>0.14193442995198127</c:v>
                </c:pt>
                <c:pt idx="197">
                  <c:v>0.14173179586624102</c:v>
                </c:pt>
                <c:pt idx="198">
                  <c:v>0.14151750143802003</c:v>
                </c:pt>
                <c:pt idx="199">
                  <c:v>0.14129154666731852</c:v>
                </c:pt>
                <c:pt idx="200">
                  <c:v>0.14105393155413648</c:v>
                </c:pt>
                <c:pt idx="201">
                  <c:v>0.14088019800043047</c:v>
                </c:pt>
                <c:pt idx="202">
                  <c:v>0.14074284661659528</c:v>
                </c:pt>
                <c:pt idx="203">
                  <c:v>0.14059455721238021</c:v>
                </c:pt>
                <c:pt idx="204">
                  <c:v>0.140435329787785</c:v>
                </c:pt>
                <c:pt idx="205">
                  <c:v>0.14026516434280986</c:v>
                </c:pt>
                <c:pt idx="206">
                  <c:v>0.14012245484495497</c:v>
                </c:pt>
                <c:pt idx="207">
                  <c:v>0.14000100504111587</c:v>
                </c:pt>
                <c:pt idx="208">
                  <c:v>0.13986902997238279</c:v>
                </c:pt>
                <c:pt idx="209">
                  <c:v>0.13972652963875565</c:v>
                </c:pt>
                <c:pt idx="210">
                  <c:v>0.13957350404023475</c:v>
                </c:pt>
                <c:pt idx="211">
                  <c:v>0.13940995317681965</c:v>
                </c:pt>
                <c:pt idx="212">
                  <c:v>0.13923587704851068</c:v>
                </c:pt>
                <c:pt idx="213">
                  <c:v>0.13905127565530764</c:v>
                </c:pt>
                <c:pt idx="214">
                  <c:v>0.13885614899721069</c:v>
                </c:pt>
                <c:pt idx="215">
                  <c:v>0.1386504970742197</c:v>
                </c:pt>
                <c:pt idx="216">
                  <c:v>0.13844874688223863</c:v>
                </c:pt>
                <c:pt idx="217">
                  <c:v>0.13825731228698498</c:v>
                </c:pt>
                <c:pt idx="218">
                  <c:v>0.13805555880458045</c:v>
                </c:pt>
                <c:pt idx="219">
                  <c:v>0.1378434864350247</c:v>
                </c:pt>
                <c:pt idx="220">
                  <c:v>0.13762109517831825</c:v>
                </c:pt>
                <c:pt idx="221">
                  <c:v>0.13738838503446071</c:v>
                </c:pt>
                <c:pt idx="222">
                  <c:v>0.13714535600345226</c:v>
                </c:pt>
                <c:pt idx="223">
                  <c:v>0.13689200808529264</c:v>
                </c:pt>
                <c:pt idx="224">
                  <c:v>0.13662834127998225</c:v>
                </c:pt>
                <c:pt idx="225">
                  <c:v>0.13635435558752085</c:v>
                </c:pt>
                <c:pt idx="226">
                  <c:v>0.13607005100790839</c:v>
                </c:pt>
                <c:pt idx="227">
                  <c:v>0.13577542754114499</c:v>
                </c:pt>
                <c:pt idx="228">
                  <c:v>0.13547048518723084</c:v>
                </c:pt>
                <c:pt idx="229">
                  <c:v>0.13515522394616539</c:v>
                </c:pt>
                <c:pt idx="230">
                  <c:v>0.13482964381794918</c:v>
                </c:pt>
                <c:pt idx="231">
                  <c:v>0.13449374480258192</c:v>
                </c:pt>
                <c:pt idx="232">
                  <c:v>0.13414752690006373</c:v>
                </c:pt>
                <c:pt idx="233">
                  <c:v>0.1337909901103945</c:v>
                </c:pt>
                <c:pt idx="234">
                  <c:v>0.13342413443357432</c:v>
                </c:pt>
                <c:pt idx="235">
                  <c:v>0.13304695986960335</c:v>
                </c:pt>
                <c:pt idx="236">
                  <c:v>0.13265946641848123</c:v>
                </c:pt>
                <c:pt idx="237">
                  <c:v>0.13226165408020804</c:v>
                </c:pt>
                <c:pt idx="238">
                  <c:v>0.13185352285478411</c:v>
                </c:pt>
                <c:pt idx="239">
                  <c:v>0.13143507274220903</c:v>
                </c:pt>
                <c:pt idx="240">
                  <c:v>0.13100630374248312</c:v>
                </c:pt>
                <c:pt idx="241">
                  <c:v>0.13056721585560618</c:v>
                </c:pt>
                <c:pt idx="242">
                  <c:v>0.1301178090815783</c:v>
                </c:pt>
                <c:pt idx="243">
                  <c:v>0.12965808342039933</c:v>
                </c:pt>
                <c:pt idx="244">
                  <c:v>0.1291880388720695</c:v>
                </c:pt>
                <c:pt idx="245">
                  <c:v>0.12870767543658879</c:v>
                </c:pt>
                <c:pt idx="246">
                  <c:v>0.12821699311395696</c:v>
                </c:pt>
                <c:pt idx="247">
                  <c:v>0.12771599190417415</c:v>
                </c:pt>
                <c:pt idx="248">
                  <c:v>0.12720467180724046</c:v>
                </c:pt>
                <c:pt idx="249">
                  <c:v>0.12668303282315571</c:v>
                </c:pt>
                <c:pt idx="250">
                  <c:v>0.12615107495192004</c:v>
                </c:pt>
                <c:pt idx="251">
                  <c:v>0.12560879819353335</c:v>
                </c:pt>
                <c:pt idx="252">
                  <c:v>0.12505620254799585</c:v>
                </c:pt>
                <c:pt idx="253">
                  <c:v>0.12449328801530714</c:v>
                </c:pt>
                <c:pt idx="254">
                  <c:v>0.12392005459546762</c:v>
                </c:pt>
                <c:pt idx="255">
                  <c:v>0.12333650228847716</c:v>
                </c:pt>
                <c:pt idx="256">
                  <c:v>0.12274263109433564</c:v>
                </c:pt>
                <c:pt idx="257">
                  <c:v>0.12213844101304311</c:v>
                </c:pt>
                <c:pt idx="258">
                  <c:v>0.12152393204459976</c:v>
                </c:pt>
                <c:pt idx="259">
                  <c:v>0.12089910418900529</c:v>
                </c:pt>
                <c:pt idx="260">
                  <c:v>0.12026395744625996</c:v>
                </c:pt>
                <c:pt idx="261">
                  <c:v>0.11961849181636358</c:v>
                </c:pt>
                <c:pt idx="262">
                  <c:v>0.11896270729931628</c:v>
                </c:pt>
                <c:pt idx="263">
                  <c:v>0.11829660389511799</c:v>
                </c:pt>
                <c:pt idx="264">
                  <c:v>0.11762018160376876</c:v>
                </c:pt>
                <c:pt idx="265">
                  <c:v>0.11693344042526849</c:v>
                </c:pt>
                <c:pt idx="266">
                  <c:v>0.11623638035961725</c:v>
                </c:pt>
                <c:pt idx="267">
                  <c:v>0.11552900140681514</c:v>
                </c:pt>
                <c:pt idx="268">
                  <c:v>0.11481130356686199</c:v>
                </c:pt>
                <c:pt idx="269">
                  <c:v>0.11408328683975787</c:v>
                </c:pt>
                <c:pt idx="270">
                  <c:v>0.1133449512255028</c:v>
                </c:pt>
                <c:pt idx="271">
                  <c:v>0.11259629672409684</c:v>
                </c:pt>
                <c:pt idx="272">
                  <c:v>0.11184901025337889</c:v>
                </c:pt>
                <c:pt idx="273">
                  <c:v>0.11109737814089247</c:v>
                </c:pt>
                <c:pt idx="274">
                  <c:v>0.11033553033012654</c:v>
                </c:pt>
                <c:pt idx="275">
                  <c:v>0.10956346682108113</c:v>
                </c:pt>
                <c:pt idx="276">
                  <c:v>0.1087811876137562</c:v>
                </c:pt>
                <c:pt idx="277">
                  <c:v>0.10798869270815198</c:v>
                </c:pt>
                <c:pt idx="278">
                  <c:v>0.1071859821042682</c:v>
                </c:pt>
                <c:pt idx="279">
                  <c:v>0.10637305580210495</c:v>
                </c:pt>
                <c:pt idx="280">
                  <c:v>0.10554991380166225</c:v>
                </c:pt>
                <c:pt idx="281">
                  <c:v>0.10471655610294008</c:v>
                </c:pt>
                <c:pt idx="282">
                  <c:v>0.10387298270593844</c:v>
                </c:pt>
                <c:pt idx="283">
                  <c:v>0.10301919361065741</c:v>
                </c:pt>
                <c:pt idx="284">
                  <c:v>0.10215518881709679</c:v>
                </c:pt>
                <c:pt idx="285">
                  <c:v>0.10128096832525685</c:v>
                </c:pt>
                <c:pt idx="286">
                  <c:v>0.10039653213513738</c:v>
                </c:pt>
                <c:pt idx="287">
                  <c:v>9.9518095543432841E-2</c:v>
                </c:pt>
                <c:pt idx="288">
                  <c:v>9.8648506308063266E-2</c:v>
                </c:pt>
                <c:pt idx="289">
                  <c:v>9.7768907752157352E-2</c:v>
                </c:pt>
                <c:pt idx="290">
                  <c:v>9.6879299875714975E-2</c:v>
                </c:pt>
                <c:pt idx="291">
                  <c:v>9.5979682678736036E-2</c:v>
                </c:pt>
                <c:pt idx="292">
                  <c:v>9.5070056161220773E-2</c:v>
                </c:pt>
                <c:pt idx="293">
                  <c:v>9.415042032316906E-2</c:v>
                </c:pt>
                <c:pt idx="294">
                  <c:v>9.3220775164580882E-2</c:v>
                </c:pt>
                <c:pt idx="295">
                  <c:v>9.2281120685456242E-2</c:v>
                </c:pt>
                <c:pt idx="296">
                  <c:v>9.1331456885795206E-2</c:v>
                </c:pt>
                <c:pt idx="297">
                  <c:v>9.0383231445922474E-2</c:v>
                </c:pt>
                <c:pt idx="298">
                  <c:v>8.9448799373074594E-2</c:v>
                </c:pt>
                <c:pt idx="299">
                  <c:v>8.8504564357433244E-2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18-433F-BD03-42B4F1BE0E73}"/>
            </c:ext>
          </c:extLst>
        </c:ser>
        <c:ser>
          <c:idx val="3"/>
          <c:order val="3"/>
          <c:tx>
            <c:v>Gaussowskie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d.'!$J$6:$J$305</c:f>
              <c:numCache>
                <c:formatCode>General</c:formatCode>
                <c:ptCount val="300"/>
                <c:pt idx="0">
                  <c:v>0.15197430392932543</c:v>
                </c:pt>
                <c:pt idx="1">
                  <c:v>0.15471246117398849</c:v>
                </c:pt>
                <c:pt idx="2">
                  <c:v>0.15737811095297358</c:v>
                </c:pt>
                <c:pt idx="3">
                  <c:v>0.15996589496650446</c:v>
                </c:pt>
                <c:pt idx="4">
                  <c:v>0.16247055403533858</c:v>
                </c:pt>
                <c:pt idx="5">
                  <c:v>0.1648869466219462</c:v>
                </c:pt>
                <c:pt idx="6">
                  <c:v>0.16721006720631976</c:v>
                </c:pt>
                <c:pt idx="7">
                  <c:v>0.16943506442829293</c:v>
                </c:pt>
                <c:pt idx="8">
                  <c:v>0.17155725890820728</c:v>
                </c:pt>
                <c:pt idx="9">
                  <c:v>0.17357216065825859</c:v>
                </c:pt>
                <c:pt idx="10">
                  <c:v>0.1754754859979176</c:v>
                </c:pt>
                <c:pt idx="11">
                  <c:v>0.17726317388842733</c:v>
                </c:pt>
                <c:pt idx="12">
                  <c:v>0.17893140160354795</c:v>
                </c:pt>
                <c:pt idx="13">
                  <c:v>0.18047659965643009</c:v>
                </c:pt>
                <c:pt idx="14">
                  <c:v>0.18189546590572059</c:v>
                </c:pt>
                <c:pt idx="15">
                  <c:v>0.18318497876777112</c:v>
                </c:pt>
                <c:pt idx="16">
                  <c:v>0.18434240946605079</c:v>
                </c:pt>
                <c:pt idx="17">
                  <c:v>0.18536533325355734</c:v>
                </c:pt>
                <c:pt idx="18">
                  <c:v>0.18625163954917784</c:v>
                </c:pt>
                <c:pt idx="19">
                  <c:v>0.1869995409344837</c:v>
                </c:pt>
                <c:pt idx="20">
                  <c:v>0.1876075809633386</c:v>
                </c:pt>
                <c:pt idx="21">
                  <c:v>0.18807464074295036</c:v>
                </c:pt>
                <c:pt idx="22">
                  <c:v>0.18839994425149281</c:v>
                </c:pt>
                <c:pt idx="23">
                  <c:v>0.18858306236419484</c:v>
                </c:pt>
                <c:pt idx="24">
                  <c:v>0.1886239155667179</c:v>
                </c:pt>
                <c:pt idx="25">
                  <c:v>0.18852277534175568</c:v>
                </c:pt>
                <c:pt idx="26">
                  <c:v>0.1882802642219491</c:v>
                </c:pt>
                <c:pt idx="27">
                  <c:v>0.18789735450945227</c:v>
                </c:pt>
                <c:pt idx="28">
                  <c:v>0.18737536566968926</c:v>
                </c:pt>
                <c:pt idx="29">
                  <c:v>0.18671596041401134</c:v>
                </c:pt>
                <c:pt idx="30">
                  <c:v>0.18592113949300748</c:v>
                </c:pt>
                <c:pt idx="31">
                  <c:v>0.18499323522912384</c:v>
                </c:pt>
                <c:pt idx="32">
                  <c:v>0.18393490382391167</c:v>
                </c:pt>
                <c:pt idx="33">
                  <c:v>0.18274911648170025</c:v>
                </c:pt>
                <c:pt idx="34">
                  <c:v>0.18143914939758532</c:v>
                </c:pt>
                <c:pt idx="35">
                  <c:v>0.18000857266345455</c:v>
                </c:pt>
                <c:pt idx="36">
                  <c:v>0.17846123815119785</c:v>
                </c:pt>
                <c:pt idx="37">
                  <c:v>0.17680126643725103</c:v>
                </c:pt>
                <c:pt idx="38">
                  <c:v>0.17503303283720223</c:v>
                </c:pt>
                <c:pt idx="39">
                  <c:v>0.17316115262330042</c:v>
                </c:pt>
                <c:pt idx="40">
                  <c:v>0.17119046550130107</c:v>
                </c:pt>
                <c:pt idx="41">
                  <c:v>0.16912601942616362</c:v>
                </c:pt>
                <c:pt idx="42">
                  <c:v>0.16697305383870623</c:v>
                </c:pt>
                <c:pt idx="43">
                  <c:v>0.16473698240730239</c:v>
                </c:pt>
                <c:pt idx="44">
                  <c:v>0.16242337536018706</c:v>
                </c:pt>
                <c:pt idx="45">
                  <c:v>0.16003794149485157</c:v>
                </c:pt>
                <c:pt idx="46">
                  <c:v>0.15758650995134427</c:v>
                </c:pt>
                <c:pt idx="47">
                  <c:v>0.15507501183613376</c:v>
                </c:pt>
                <c:pt idx="48">
                  <c:v>0.15250946178243824</c:v>
                </c:pt>
                <c:pt idx="49">
                  <c:v>0.1498959395316867</c:v>
                </c:pt>
                <c:pt idx="50">
                  <c:v>0.14724057161902501</c:v>
                </c:pt>
                <c:pt idx="51">
                  <c:v>0.14454951324353002</c:v>
                </c:pt>
                <c:pt idx="52">
                  <c:v>0.14182893040110225</c:v>
                </c:pt>
                <c:pt idx="53">
                  <c:v>0.13908498235487532</c:v>
                </c:pt>
                <c:pt idx="54">
                  <c:v>0.13632380451444123</c:v>
                </c:pt>
                <c:pt idx="55">
                  <c:v>0.1335514917912928</c:v>
                </c:pt>
                <c:pt idx="56">
                  <c:v>0.13077408249365013</c:v>
                </c:pt>
                <c:pt idx="57">
                  <c:v>0.12799754281930226</c:v>
                </c:pt>
                <c:pt idx="58">
                  <c:v>0.12522775200030398</c:v>
                </c:pt>
                <c:pt idx="59">
                  <c:v>0.12247048814836778</c:v>
                </c:pt>
                <c:pt idx="60">
                  <c:v>0.11973141484459411</c:v>
                </c:pt>
                <c:pt idx="61">
                  <c:v>0.11701606851186992</c:v>
                </c:pt>
                <c:pt idx="62">
                  <c:v>0.11432984660283303</c:v>
                </c:pt>
                <c:pt idx="63">
                  <c:v>0.11167799663084271</c:v>
                </c:pt>
                <c:pt idx="64">
                  <c:v>0.10906560606588311</c:v>
                </c:pt>
                <c:pt idx="65">
                  <c:v>0.10649759311187938</c:v>
                </c:pt>
                <c:pt idx="66">
                  <c:v>0.10397869837647965</c:v>
                </c:pt>
                <c:pt idx="67">
                  <c:v>0.10151347743906043</c:v>
                </c:pt>
                <c:pt idx="68">
                  <c:v>9.9106294317518315E-2</c:v>
                </c:pt>
                <c:pt idx="69">
                  <c:v>9.6761315829412886E-2</c:v>
                </c:pt>
                <c:pt idx="70">
                  <c:v>9.448250683818013E-2</c:v>
                </c:pt>
                <c:pt idx="71">
                  <c:v>9.2273626370559358E-2</c:v>
                </c:pt>
                <c:pt idx="72">
                  <c:v>9.0138224587000618E-2</c:v>
                </c:pt>
                <c:pt idx="73">
                  <c:v>8.8079640582753138E-2</c:v>
                </c:pt>
                <c:pt idx="74">
                  <c:v>8.6101000993522567E-2</c:v>
                </c:pt>
                <c:pt idx="75">
                  <c:v>8.4205219376108809E-2</c:v>
                </c:pt>
                <c:pt idx="76">
                  <c:v>8.2394996331256395E-2</c:v>
                </c:pt>
                <c:pt idx="77">
                  <c:v>8.0672820333116194E-2</c:v>
                </c:pt>
                <c:pt idx="78">
                  <c:v>7.9040969227211641E-2</c:v>
                </c:pt>
                <c:pt idx="79">
                  <c:v>7.7501512356650676E-2</c:v>
                </c:pt>
                <c:pt idx="80">
                  <c:v>7.6056313274516354E-2</c:v>
                </c:pt>
                <c:pt idx="81">
                  <c:v>7.4707032998900996E-2</c:v>
                </c:pt>
                <c:pt idx="82">
                  <c:v>7.3455133765939776E-2</c:v>
                </c:pt>
                <c:pt idx="83">
                  <c:v>7.2301883235410758E-2</c:v>
                </c:pt>
                <c:pt idx="84">
                  <c:v>7.1248359103026793E-2</c:v>
                </c:pt>
                <c:pt idx="85">
                  <c:v>7.0295454073415031E-2</c:v>
                </c:pt>
                <c:pt idx="86">
                  <c:v>6.9443881147960282E-2</c:v>
                </c:pt>
                <c:pt idx="87">
                  <c:v>6.8694179182167858E-2</c:v>
                </c:pt>
                <c:pt idx="88">
                  <c:v>6.8046718667960499E-2</c:v>
                </c:pt>
                <c:pt idx="89">
                  <c:v>6.7501707697342844E-2</c:v>
                </c:pt>
                <c:pt idx="90">
                  <c:v>6.7059198065133871E-2</c:v>
                </c:pt>
                <c:pt idx="91">
                  <c:v>6.6719091469962341E-2</c:v>
                </c:pt>
                <c:pt idx="92">
                  <c:v>6.6481145774416203E-2</c:v>
                </c:pt>
                <c:pt idx="93">
                  <c:v>6.6344981287122642E-2</c:v>
                </c:pt>
                <c:pt idx="94">
                  <c:v>6.6310087031581852E-2</c:v>
                </c:pt>
                <c:pt idx="95">
                  <c:v>6.6375826968769105E-2</c:v>
                </c:pt>
                <c:pt idx="96">
                  <c:v>6.6541446142828531E-2</c:v>
                </c:pt>
                <c:pt idx="97">
                  <c:v>6.6806076721595303E-2</c:v>
                </c:pt>
                <c:pt idx="98">
                  <c:v>6.7168743906165201E-2</c:v>
                </c:pt>
                <c:pt idx="99">
                  <c:v>6.7628371686282454E-2</c:v>
                </c:pt>
                <c:pt idx="100">
                  <c:v>6.8183788420889818E-2</c:v>
                </c:pt>
                <c:pt idx="101">
                  <c:v>6.8833732225787106E-2</c:v>
                </c:pt>
                <c:pt idx="102">
                  <c:v>6.9576856152936684E-2</c:v>
                </c:pt>
                <c:pt idx="103">
                  <c:v>7.041173314852664E-2</c:v>
                </c:pt>
                <c:pt idx="104">
                  <c:v>7.1336860779441708E-2</c:v>
                </c:pt>
                <c:pt idx="105">
                  <c:v>7.2350665720267271E-2</c:v>
                </c:pt>
                <c:pt idx="106">
                  <c:v>7.34515079953688E-2</c:v>
                </c:pt>
                <c:pt idx="107">
                  <c:v>7.4637684972914481E-2</c:v>
                </c:pt>
                <c:pt idx="108">
                  <c:v>7.5907435109943605E-2</c:v>
                </c:pt>
                <c:pt idx="109">
                  <c:v>7.7258941449705812E-2</c:v>
                </c:pt>
                <c:pt idx="110">
                  <c:v>7.8690334874511408E-2</c:v>
                </c:pt>
                <c:pt idx="111">
                  <c:v>8.0199697119205618E-2</c:v>
                </c:pt>
                <c:pt idx="112">
                  <c:v>8.1785063552139908E-2</c:v>
                </c:pt>
                <c:pt idx="113">
                  <c:v>8.34444257321139E-2</c:v>
                </c:pt>
                <c:pt idx="114">
                  <c:v>8.5175733751232538E-2</c:v>
                </c:pt>
                <c:pt idx="115">
                  <c:v>8.69768983749344E-2</c:v>
                </c:pt>
                <c:pt idx="116">
                  <c:v>8.8845792991617031E-2</c:v>
                </c:pt>
                <c:pt idx="117">
                  <c:v>9.078025538529659E-2</c:v>
                </c:pt>
                <c:pt idx="118">
                  <c:v>9.2778089345600043E-2</c:v>
                </c:pt>
                <c:pt idx="119">
                  <c:v>9.4837066130094475E-2</c:v>
                </c:pt>
                <c:pt idx="120">
                  <c:v>9.6954925794521557E-2</c:v>
                </c:pt>
                <c:pt idx="121">
                  <c:v>9.9129378406915228E-2</c:v>
                </c:pt>
                <c:pt idx="122">
                  <c:v>0.10135810516184154</c:v>
                </c:pt>
                <c:pt idx="123">
                  <c:v>0.10363875941113888</c:v>
                </c:pt>
                <c:pt idx="124">
                  <c:v>0.10596896762752023</c:v>
                </c:pt>
                <c:pt idx="125">
                  <c:v>0.10834633031726787</c:v>
                </c:pt>
                <c:pt idx="126">
                  <c:v>0.11076842289799252</c:v>
                </c:pt>
                <c:pt idx="127">
                  <c:v>0.11323279655705401</c:v>
                </c:pt>
                <c:pt idx="128">
                  <c:v>0.11573697910575764</c:v>
                </c:pt>
                <c:pt idx="129">
                  <c:v>0.11827847584385891</c:v>
                </c:pt>
                <c:pt idx="130">
                  <c:v>0.1208547704482283</c:v>
                </c:pt>
                <c:pt idx="131">
                  <c:v>0.12346332589877124</c:v>
                </c:pt>
                <c:pt idx="132">
                  <c:v>0.1261015854538558</c:v>
                </c:pt>
                <c:pt idx="133">
                  <c:v>0.12876697368659748</c:v>
                </c:pt>
                <c:pt idx="134">
                  <c:v>0.13145689759238025</c:v>
                </c:pt>
                <c:pt idx="135">
                  <c:v>0.13416874777698012</c:v>
                </c:pt>
                <c:pt idx="136">
                  <c:v>0.1368998997335949</c:v>
                </c:pt>
                <c:pt idx="137">
                  <c:v>0.13964771521598959</c:v>
                </c:pt>
                <c:pt idx="138">
                  <c:v>0.14240954371384831</c:v>
                </c:pt>
                <c:pt idx="139">
                  <c:v>0.14518272403528429</c:v>
                </c:pt>
                <c:pt idx="140">
                  <c:v>0.14796458600031068</c:v>
                </c:pt>
                <c:pt idx="141">
                  <c:v>0.15075245224792863</c:v>
                </c:pt>
                <c:pt idx="142">
                  <c:v>0.15354364015833866</c:v>
                </c:pt>
                <c:pt idx="143">
                  <c:v>0.15633546389065231</c:v>
                </c:pt>
                <c:pt idx="144">
                  <c:v>0.15912523653536573</c:v>
                </c:pt>
                <c:pt idx="145">
                  <c:v>0.16191027237976924</c:v>
                </c:pt>
                <c:pt idx="146">
                  <c:v>0.16468788928340827</c:v>
                </c:pt>
                <c:pt idx="147">
                  <c:v>0.16745541115969587</c:v>
                </c:pt>
                <c:pt idx="148">
                  <c:v>0.17021017055879328</c:v>
                </c:pt>
                <c:pt idx="149">
                  <c:v>0.17294951134595335</c:v>
                </c:pt>
                <c:pt idx="150">
                  <c:v>0.17567079146863837</c:v>
                </c:pt>
                <c:pt idx="151">
                  <c:v>0.17837138580490805</c:v>
                </c:pt>
                <c:pt idx="152">
                  <c:v>0.18104868908480914</c:v>
                </c:pt>
                <c:pt idx="153">
                  <c:v>0.18370011887580029</c:v>
                </c:pt>
                <c:pt idx="154">
                  <c:v>0.18632311862262063</c:v>
                </c:pt>
                <c:pt idx="155">
                  <c:v>0.18891516073143819</c:v>
                </c:pt>
                <c:pt idx="156">
                  <c:v>0.19147374968763586</c:v>
                </c:pt>
                <c:pt idx="157">
                  <c:v>0.19399642519615837</c:v>
                </c:pt>
                <c:pt idx="158">
                  <c:v>0.19648076533301398</c:v>
                </c:pt>
                <c:pt idx="159">
                  <c:v>0.19892438969624116</c:v>
                </c:pt>
                <c:pt idx="160">
                  <c:v>0.20132496254446255</c:v>
                </c:pt>
                <c:pt idx="161">
                  <c:v>0.20368019591103217</c:v>
                </c:pt>
                <c:pt idx="162">
                  <c:v>0.20598785268171993</c:v>
                </c:pt>
                <c:pt idx="163">
                  <c:v>0.20824574962392808</c:v>
                </c:pt>
                <c:pt idx="164">
                  <c:v>0.21045176035552327</c:v>
                </c:pt>
                <c:pt idx="165">
                  <c:v>0.21260381824154184</c:v>
                </c:pt>
                <c:pt idx="166">
                  <c:v>0.21469991920727793</c:v>
                </c:pt>
                <c:pt idx="167">
                  <c:v>0.21673812445656734</c:v>
                </c:pt>
                <c:pt idx="168">
                  <c:v>0.21871656308446463</c:v>
                </c:pt>
                <c:pt idx="169">
                  <c:v>0.22063343457394455</c:v>
                </c:pt>
                <c:pt idx="170">
                  <c:v>0.22248701116676445</c:v>
                </c:pt>
                <c:pt idx="171">
                  <c:v>0.22427564009917866</c:v>
                </c:pt>
                <c:pt idx="172">
                  <c:v>0.22599774569379605</c:v>
                </c:pt>
                <c:pt idx="173">
                  <c:v>0.22765183129954969</c:v>
                </c:pt>
                <c:pt idx="174">
                  <c:v>0.22923648107241917</c:v>
                </c:pt>
                <c:pt idx="175">
                  <c:v>0.23075036159032236</c:v>
                </c:pt>
                <c:pt idx="176">
                  <c:v>0.23219222329633632</c:v>
                </c:pt>
                <c:pt idx="177">
                  <c:v>0.23356090176524222</c:v>
                </c:pt>
                <c:pt idx="178">
                  <c:v>0.2348553187892066</c:v>
                </c:pt>
                <c:pt idx="179">
                  <c:v>0.23607448327926797</c:v>
                </c:pt>
                <c:pt idx="180">
                  <c:v>0.23721749198016789</c:v>
                </c:pt>
                <c:pt idx="181">
                  <c:v>0.23828352999694916</c:v>
                </c:pt>
                <c:pt idx="182">
                  <c:v>0.23927187113261086</c:v>
                </c:pt>
                <c:pt idx="183">
                  <c:v>0.24018187803701066</c:v>
                </c:pt>
                <c:pt idx="184">
                  <c:v>0.2410130021680639</c:v>
                </c:pt>
                <c:pt idx="185">
                  <c:v>0.24176478356716222</c:v>
                </c:pt>
                <c:pt idx="186">
                  <c:v>0.24243685045157093</c:v>
                </c:pt>
                <c:pt idx="187">
                  <c:v>0.24302891862739365</c:v>
                </c:pt>
                <c:pt idx="188">
                  <c:v>0.24354079072748125</c:v>
                </c:pt>
                <c:pt idx="189">
                  <c:v>0.24397235527942657</c:v>
                </c:pt>
                <c:pt idx="190">
                  <c:v>0.24432358560950848</c:v>
                </c:pt>
                <c:pt idx="191">
                  <c:v>0.24459453858912367</c:v>
                </c:pt>
                <c:pt idx="192">
                  <c:v>0.24478535323089221</c:v>
                </c:pt>
                <c:pt idx="193">
                  <c:v>0.24489624914218783</c:v>
                </c:pt>
                <c:pt idx="194">
                  <c:v>0.2449275248443859</c:v>
                </c:pt>
                <c:pt idx="195">
                  <c:v>0.24487955596659056</c:v>
                </c:pt>
                <c:pt idx="196">
                  <c:v>0.24475279332300284</c:v>
                </c:pt>
                <c:pt idx="197">
                  <c:v>0.24454776088345523</c:v>
                </c:pt>
                <c:pt idx="198">
                  <c:v>0.24426505364690621</c:v>
                </c:pt>
                <c:pt idx="199">
                  <c:v>0.24390533542791115</c:v>
                </c:pt>
                <c:pt idx="200">
                  <c:v>0.2434693365662349</c:v>
                </c:pt>
                <c:pt idx="201">
                  <c:v>0.24295785156984853</c:v>
                </c:pt>
                <c:pt idx="202">
                  <c:v>0.24237173670156781</c:v>
                </c:pt>
                <c:pt idx="203">
                  <c:v>0.24171190751953908</c:v>
                </c:pt>
                <c:pt idx="204">
                  <c:v>0.24097933638165145</c:v>
                </c:pt>
                <c:pt idx="205">
                  <c:v>0.24017504992377459</c:v>
                </c:pt>
                <c:pt idx="206">
                  <c:v>0.23930012652147617</c:v>
                </c:pt>
                <c:pt idx="207">
                  <c:v>0.23835569374455937</c:v>
                </c:pt>
                <c:pt idx="208">
                  <c:v>0.23734292581340241</c:v>
                </c:pt>
                <c:pt idx="209">
                  <c:v>0.23626304106566948</c:v>
                </c:pt>
                <c:pt idx="210">
                  <c:v>0.23511729944148943</c:v>
                </c:pt>
                <c:pt idx="211">
                  <c:v>0.23390699999469816</c:v>
                </c:pt>
                <c:pt idx="212">
                  <c:v>0.23263347843718879</c:v>
                </c:pt>
                <c:pt idx="213">
                  <c:v>0.23129810472283308</c:v>
                </c:pt>
                <c:pt idx="214">
                  <c:v>0.22990228067682131</c:v>
                </c:pt>
                <c:pt idx="215">
                  <c:v>0.22844743767564593</c:v>
                </c:pt>
                <c:pt idx="216">
                  <c:v>0.22693503438228996</c:v>
                </c:pt>
                <c:pt idx="217">
                  <c:v>0.22536655454052443</c:v>
                </c:pt>
                <c:pt idx="218">
                  <c:v>0.22374350483155514</c:v>
                </c:pt>
                <c:pt idx="219">
                  <c:v>0.22206741279558331</c:v>
                </c:pt>
                <c:pt idx="220">
                  <c:v>0.22033982482019393</c:v>
                </c:pt>
                <c:pt idx="221">
                  <c:v>0.21856230419683123</c:v>
                </c:pt>
                <c:pt idx="222">
                  <c:v>0.2167364292459944</c:v>
                </c:pt>
                <c:pt idx="223">
                  <c:v>0.21486379151118298</c:v>
                </c:pt>
                <c:pt idx="224">
                  <c:v>0.21294599402104206</c:v>
                </c:pt>
                <c:pt idx="225">
                  <c:v>0.21098464961861463</c:v>
                </c:pt>
                <c:pt idx="226">
                  <c:v>0.208981379356111</c:v>
                </c:pt>
                <c:pt idx="227">
                  <c:v>0.2069378109531336</c:v>
                </c:pt>
                <c:pt idx="228">
                  <c:v>0.20485557731588594</c:v>
                </c:pt>
                <c:pt idx="229">
                  <c:v>0.20273631511452833</c:v>
                </c:pt>
                <c:pt idx="230">
                  <c:v>0.20058166341552236</c:v>
                </c:pt>
                <c:pt idx="231">
                  <c:v>0.19839326236554955</c:v>
                </c:pt>
                <c:pt idx="232">
                  <c:v>0.19617275192337699</c:v>
                </c:pt>
                <c:pt idx="233">
                  <c:v>0.19392177063589816</c:v>
                </c:pt>
                <c:pt idx="234">
                  <c:v>0.19164195445447274</c:v>
                </c:pt>
                <c:pt idx="235">
                  <c:v>0.18933493558765577</c:v>
                </c:pt>
                <c:pt idx="236">
                  <c:v>0.18700234138641436</c:v>
                </c:pt>
                <c:pt idx="237">
                  <c:v>0.18464579325800243</c:v>
                </c:pt>
                <c:pt idx="238">
                  <c:v>0.18226690560477407</c:v>
                </c:pt>
                <c:pt idx="239">
                  <c:v>0.17986728478438704</c:v>
                </c:pt>
                <c:pt idx="240">
                  <c:v>0.17744852808805353</c:v>
                </c:pt>
                <c:pt idx="241">
                  <c:v>0.17501222273374775</c:v>
                </c:pt>
                <c:pt idx="242">
                  <c:v>0.17255994487156637</c:v>
                </c:pt>
                <c:pt idx="243">
                  <c:v>0.17009325859876134</c:v>
                </c:pt>
                <c:pt idx="244">
                  <c:v>0.16761371498230954</c:v>
                </c:pt>
                <c:pt idx="245">
                  <c:v>0.16512285108725852</c:v>
                </c:pt>
                <c:pt idx="246">
                  <c:v>0.16262218900947595</c:v>
                </c:pt>
                <c:pt idx="247">
                  <c:v>0.16011323491183524</c:v>
                </c:pt>
                <c:pt idx="248">
                  <c:v>0.15759747806327717</c:v>
                </c:pt>
                <c:pt idx="249">
                  <c:v>0.15507638988060377</c:v>
                </c:pt>
                <c:pt idx="250">
                  <c:v>0.15255142297326577</c:v>
                </c:pt>
                <c:pt idx="251">
                  <c:v>0.15002401019181139</c:v>
                </c:pt>
                <c:pt idx="252">
                  <c:v>0.14749556368104824</c:v>
                </c:pt>
                <c:pt idx="253">
                  <c:v>0.14496747393934298</c:v>
                </c:pt>
                <c:pt idx="254">
                  <c:v>0.14244110888583125</c:v>
                </c:pt>
                <c:pt idx="255">
                  <c:v>0.13991781293763031</c:v>
                </c:pt>
                <c:pt idx="256">
                  <c:v>0.13739890609944258</c:v>
                </c:pt>
                <c:pt idx="257">
                  <c:v>0.13488568306819076</c:v>
                </c:pt>
                <c:pt idx="258">
                  <c:v>0.1323794123555519</c:v>
                </c:pt>
                <c:pt idx="259">
                  <c:v>0.12988133543143957</c:v>
                </c:pt>
                <c:pt idx="260">
                  <c:v>0.1273926658916236</c:v>
                </c:pt>
                <c:pt idx="261">
                  <c:v>0.12491458865278095</c:v>
                </c:pt>
                <c:pt idx="262">
                  <c:v>0.12244825917832786</c:v>
                </c:pt>
                <c:pt idx="263">
                  <c:v>0.11999480273839661</c:v>
                </c:pt>
                <c:pt idx="264">
                  <c:v>0.1175553137072948</c:v>
                </c:pt>
                <c:pt idx="265">
                  <c:v>0.1151308549017139</c:v>
                </c:pt>
                <c:pt idx="266">
                  <c:v>0.11272245696284137</c:v>
                </c:pt>
                <c:pt idx="267">
                  <c:v>0.1103311177853827</c:v>
                </c:pt>
                <c:pt idx="268">
                  <c:v>0.10795780199631004</c:v>
                </c:pt>
                <c:pt idx="269">
                  <c:v>0.10560344048593427</c:v>
                </c:pt>
                <c:pt idx="270">
                  <c:v>0.10326892999364129</c:v>
                </c:pt>
                <c:pt idx="271">
                  <c:v>0.10095513275035416</c:v>
                </c:pt>
                <c:pt idx="272">
                  <c:v>9.866287617947285E-2</c:v>
                </c:pt>
                <c:pt idx="273">
                  <c:v>9.6392952657719397E-2</c:v>
                </c:pt>
                <c:pt idx="274">
                  <c:v>9.4146119336966969E-2</c:v>
                </c:pt>
                <c:pt idx="275">
                  <c:v>9.1923098027777206E-2</c:v>
                </c:pt>
                <c:pt idx="276">
                  <c:v>8.9724575145002414E-2</c:v>
                </c:pt>
                <c:pt idx="277">
                  <c:v>8.7551201715436427E-2</c:v>
                </c:pt>
                <c:pt idx="278">
                  <c:v>8.5403593447130305E-2</c:v>
                </c:pt>
                <c:pt idx="279">
                  <c:v>8.3282330859616824E-2</c:v>
                </c:pt>
                <c:pt idx="280">
                  <c:v>8.1187959473932383E-2</c:v>
                </c:pt>
                <c:pt idx="281">
                  <c:v>7.9120990060973409E-2</c:v>
                </c:pt>
                <c:pt idx="282">
                  <c:v>7.7081898946393806E-2</c:v>
                </c:pt>
                <c:pt idx="283">
                  <c:v>7.5071128369934986E-2</c:v>
                </c:pt>
                <c:pt idx="284">
                  <c:v>7.3089086896787864E-2</c:v>
                </c:pt>
                <c:pt idx="285">
                  <c:v>7.1136149878319538E-2</c:v>
                </c:pt>
                <c:pt idx="286">
                  <c:v>6.9212659959255268E-2</c:v>
                </c:pt>
                <c:pt idx="287">
                  <c:v>6.7318927628197217E-2</c:v>
                </c:pt>
                <c:pt idx="288">
                  <c:v>6.5455231808179248E-2</c:v>
                </c:pt>
                <c:pt idx="289">
                  <c:v>6.3621820483809849E-2</c:v>
                </c:pt>
                <c:pt idx="290">
                  <c:v>6.1818911361439577E-2</c:v>
                </c:pt>
                <c:pt idx="291">
                  <c:v>6.004669255870887E-2</c:v>
                </c:pt>
                <c:pt idx="292">
                  <c:v>5.830532331978338E-2</c:v>
                </c:pt>
                <c:pt idx="293">
                  <c:v>5.6594934752569735E-2</c:v>
                </c:pt>
                <c:pt idx="294">
                  <c:v>5.4915630584224023E-2</c:v>
                </c:pt>
                <c:pt idx="295">
                  <c:v>5.3267487931314639E-2</c:v>
                </c:pt>
                <c:pt idx="296">
                  <c:v>5.1650558081081412E-2</c:v>
                </c:pt>
                <c:pt idx="297">
                  <c:v>5.0064867280344441E-2</c:v>
                </c:pt>
                <c:pt idx="298">
                  <c:v>4.8510417528749065E-2</c:v>
                </c:pt>
                <c:pt idx="299">
                  <c:v>4.6987187373196654E-2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D18-433F-BD03-42B4F1BE0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381680"/>
        <c:axId val="699380016"/>
      </c:scatterChart>
      <c:valAx>
        <c:axId val="699381680"/>
        <c:scaling>
          <c:orientation val="minMax"/>
          <c:max val="7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9380016"/>
        <c:crosses val="autoZero"/>
        <c:crossBetween val="midCat"/>
      </c:valAx>
      <c:valAx>
        <c:axId val="69938001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938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Estymacja dystrybuanty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JED - domyślna szerokość pasma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d.'!$AB$6:$AB$305</c:f>
              <c:numCache>
                <c:formatCode>General</c:formatCode>
                <c:ptCount val="300"/>
                <c:pt idx="0">
                  <c:v>9.4692962922790461E-2</c:v>
                </c:pt>
                <c:pt idx="1">
                  <c:v>9.7586068427099021E-2</c:v>
                </c:pt>
                <c:pt idx="2">
                  <c:v>0.10050293383249466</c:v>
                </c:pt>
                <c:pt idx="3">
                  <c:v>0.10344249905476242</c:v>
                </c:pt>
                <c:pt idx="4">
                  <c:v>0.10640370400968736</c:v>
                </c:pt>
                <c:pt idx="5">
                  <c:v>0.10938548861305449</c:v>
                </c:pt>
                <c:pt idx="6">
                  <c:v>0.11238679278064903</c:v>
                </c:pt>
                <c:pt idx="7">
                  <c:v>0.11540655642825588</c:v>
                </c:pt>
                <c:pt idx="8">
                  <c:v>0.11844371947166024</c:v>
                </c:pt>
                <c:pt idx="9">
                  <c:v>0.1214972218266471</c:v>
                </c:pt>
                <c:pt idx="10">
                  <c:v>0.12456600340900166</c:v>
                </c:pt>
                <c:pt idx="11">
                  <c:v>0.12764900413450883</c:v>
                </c:pt>
                <c:pt idx="12">
                  <c:v>0.13074516391895383</c:v>
                </c:pt>
                <c:pt idx="13">
                  <c:v>0.13385342267812167</c:v>
                </c:pt>
                <c:pt idx="14">
                  <c:v>0.13697272032779731</c:v>
                </c:pt>
                <c:pt idx="15">
                  <c:v>0.140101996783766</c:v>
                </c:pt>
                <c:pt idx="16">
                  <c:v>0.14324019196181284</c:v>
                </c:pt>
                <c:pt idx="17">
                  <c:v>0.14638624577772277</c:v>
                </c:pt>
                <c:pt idx="18">
                  <c:v>0.14953909814728078</c:v>
                </c:pt>
                <c:pt idx="19">
                  <c:v>0.15269768898627209</c:v>
                </c:pt>
                <c:pt idx="20">
                  <c:v>0.1558609582104819</c:v>
                </c:pt>
                <c:pt idx="21">
                  <c:v>0.15902784573569512</c:v>
                </c:pt>
                <c:pt idx="22">
                  <c:v>0.16219729147769654</c:v>
                </c:pt>
                <c:pt idx="23">
                  <c:v>0.16536823535227191</c:v>
                </c:pt>
                <c:pt idx="24">
                  <c:v>0.168539811240492</c:v>
                </c:pt>
                <c:pt idx="25">
                  <c:v>0.17171218610985761</c:v>
                </c:pt>
                <c:pt idx="26">
                  <c:v>0.17488449773352074</c:v>
                </c:pt>
                <c:pt idx="27">
                  <c:v>0.17805566482558263</c:v>
                </c:pt>
                <c:pt idx="28">
                  <c:v>0.18122460610014338</c:v>
                </c:pt>
                <c:pt idx="29">
                  <c:v>0.18439024027130435</c:v>
                </c:pt>
                <c:pt idx="30">
                  <c:v>0.18755148605316604</c:v>
                </c:pt>
                <c:pt idx="31">
                  <c:v>0.19070726215982936</c:v>
                </c:pt>
                <c:pt idx="32">
                  <c:v>0.19385648730539504</c:v>
                </c:pt>
                <c:pt idx="33">
                  <c:v>0.19699808020396378</c:v>
                </c:pt>
                <c:pt idx="34">
                  <c:v>0.20013095956963639</c:v>
                </c:pt>
                <c:pt idx="35">
                  <c:v>0.2032540441165136</c:v>
                </c:pt>
                <c:pt idx="36">
                  <c:v>0.20636625255869637</c:v>
                </c:pt>
                <c:pt idx="37">
                  <c:v>0.20946650361028524</c:v>
                </c:pt>
                <c:pt idx="38">
                  <c:v>0.21255371598538117</c:v>
                </c:pt>
                <c:pt idx="39">
                  <c:v>0.21562693942927955</c:v>
                </c:pt>
                <c:pt idx="40">
                  <c:v>0.21868739684383476</c:v>
                </c:pt>
                <c:pt idx="41">
                  <c:v>0.22173481809735088</c:v>
                </c:pt>
                <c:pt idx="42">
                  <c:v>0.22476807950056041</c:v>
                </c:pt>
                <c:pt idx="43">
                  <c:v>0.22778605736419513</c:v>
                </c:pt>
                <c:pt idx="44">
                  <c:v>0.23078762799898742</c:v>
                </c:pt>
                <c:pt idx="45">
                  <c:v>0.23377166771566985</c:v>
                </c:pt>
                <c:pt idx="46">
                  <c:v>0.23673705282497376</c:v>
                </c:pt>
                <c:pt idx="47">
                  <c:v>0.23968265963763205</c:v>
                </c:pt>
                <c:pt idx="48">
                  <c:v>0.24260736446437639</c:v>
                </c:pt>
                <c:pt idx="49">
                  <c:v>0.24551007894119839</c:v>
                </c:pt>
                <c:pt idx="50">
                  <c:v>0.2483917315276564</c:v>
                </c:pt>
                <c:pt idx="51">
                  <c:v>0.25125236318315808</c:v>
                </c:pt>
                <c:pt idx="52">
                  <c:v>0.25409080781506721</c:v>
                </c:pt>
                <c:pt idx="53">
                  <c:v>0.25690589933074731</c:v>
                </c:pt>
                <c:pt idx="54">
                  <c:v>0.25969647672757579</c:v>
                </c:pt>
                <c:pt idx="55">
                  <c:v>0.26246231412368487</c:v>
                </c:pt>
                <c:pt idx="56">
                  <c:v>0.26520292762443842</c:v>
                </c:pt>
                <c:pt idx="57">
                  <c:v>0.26791712993551592</c:v>
                </c:pt>
                <c:pt idx="58">
                  <c:v>0.27060373376259661</c:v>
                </c:pt>
                <c:pt idx="59">
                  <c:v>0.27326155190681162</c:v>
                </c:pt>
                <c:pt idx="60">
                  <c:v>0.27589023616740521</c:v>
                </c:pt>
                <c:pt idx="61">
                  <c:v>0.2784893889972252</c:v>
                </c:pt>
                <c:pt idx="62">
                  <c:v>0.28105780190026619</c:v>
                </c:pt>
                <c:pt idx="63">
                  <c:v>0.28359426638052315</c:v>
                </c:pt>
                <c:pt idx="64">
                  <c:v>0.28609757394199176</c:v>
                </c:pt>
                <c:pt idx="65">
                  <c:v>0.28856724685490831</c:v>
                </c:pt>
                <c:pt idx="66">
                  <c:v>0.2910029735450621</c:v>
                </c:pt>
                <c:pt idx="67">
                  <c:v>0.29340352700031513</c:v>
                </c:pt>
                <c:pt idx="68">
                  <c:v>0.29576767752297783</c:v>
                </c:pt>
                <c:pt idx="69">
                  <c:v>0.29809419541536142</c:v>
                </c:pt>
                <c:pt idx="70">
                  <c:v>0.30038373991891887</c:v>
                </c:pt>
                <c:pt idx="71">
                  <c:v>0.30263804922902904</c:v>
                </c:pt>
                <c:pt idx="72">
                  <c:v>0.30485586864370889</c:v>
                </c:pt>
                <c:pt idx="73">
                  <c:v>0.3070359048602157</c:v>
                </c:pt>
                <c:pt idx="74">
                  <c:v>0.30917686457580756</c:v>
                </c:pt>
                <c:pt idx="75">
                  <c:v>0.31128013462245929</c:v>
                </c:pt>
                <c:pt idx="76">
                  <c:v>0.31334975457385983</c:v>
                </c:pt>
                <c:pt idx="77">
                  <c:v>0.3153844783496586</c:v>
                </c:pt>
                <c:pt idx="78">
                  <c:v>0.31738292744508467</c:v>
                </c:pt>
                <c:pt idx="79">
                  <c:v>0.31934475357525977</c:v>
                </c:pt>
                <c:pt idx="80">
                  <c:v>0.32127051027301168</c:v>
                </c:pt>
                <c:pt idx="81">
                  <c:v>0.32316220565297232</c:v>
                </c:pt>
                <c:pt idx="82">
                  <c:v>0.32501856609027108</c:v>
                </c:pt>
                <c:pt idx="83">
                  <c:v>0.32683815669728894</c:v>
                </c:pt>
                <c:pt idx="84">
                  <c:v>0.32862050195738179</c:v>
                </c:pt>
                <c:pt idx="85">
                  <c:v>0.33036634588994418</c:v>
                </c:pt>
                <c:pt idx="86">
                  <c:v>0.33207897111304296</c:v>
                </c:pt>
                <c:pt idx="87">
                  <c:v>0.33375722840589334</c:v>
                </c:pt>
                <c:pt idx="88">
                  <c:v>0.33539961333292334</c:v>
                </c:pt>
                <c:pt idx="89">
                  <c:v>0.33700635313014216</c:v>
                </c:pt>
                <c:pt idx="90">
                  <c:v>0.33857815362935428</c:v>
                </c:pt>
                <c:pt idx="91">
                  <c:v>0.34011596728663612</c:v>
                </c:pt>
                <c:pt idx="92">
                  <c:v>0.34161854805682085</c:v>
                </c:pt>
                <c:pt idx="93">
                  <c:v>0.34308439062032314</c:v>
                </c:pt>
                <c:pt idx="94">
                  <c:v>0.34451728315848101</c:v>
                </c:pt>
                <c:pt idx="95">
                  <c:v>0.34592305642359539</c:v>
                </c:pt>
                <c:pt idx="96">
                  <c:v>0.34730526277695473</c:v>
                </c:pt>
                <c:pt idx="97">
                  <c:v>0.34866317200010821</c:v>
                </c:pt>
                <c:pt idx="98">
                  <c:v>0.3499953423785227</c:v>
                </c:pt>
                <c:pt idx="99">
                  <c:v>0.35130881474743431</c:v>
                </c:pt>
                <c:pt idx="100">
                  <c:v>0.35261667398303193</c:v>
                </c:pt>
                <c:pt idx="101">
                  <c:v>0.35392769778634869</c:v>
                </c:pt>
                <c:pt idx="102">
                  <c:v>0.35524242038519921</c:v>
                </c:pt>
                <c:pt idx="103">
                  <c:v>0.3565595060734722</c:v>
                </c:pt>
                <c:pt idx="104">
                  <c:v>0.35788485319578878</c:v>
                </c:pt>
                <c:pt idx="105">
                  <c:v>0.35923162100918482</c:v>
                </c:pt>
                <c:pt idx="106">
                  <c:v>0.36060273499167761</c:v>
                </c:pt>
                <c:pt idx="107">
                  <c:v>0.36199796319493011</c:v>
                </c:pt>
                <c:pt idx="108">
                  <c:v>0.36341618192967612</c:v>
                </c:pt>
                <c:pt idx="109">
                  <c:v>0.3648595441551864</c:v>
                </c:pt>
                <c:pt idx="110">
                  <c:v>0.3663354149711413</c:v>
                </c:pt>
                <c:pt idx="111">
                  <c:v>0.36784909239245434</c:v>
                </c:pt>
                <c:pt idx="112">
                  <c:v>0.36940133711490891</c:v>
                </c:pt>
                <c:pt idx="113">
                  <c:v>0.37099106785260538</c:v>
                </c:pt>
                <c:pt idx="114">
                  <c:v>0.37261875283502366</c:v>
                </c:pt>
                <c:pt idx="115">
                  <c:v>0.37428832344477386</c:v>
                </c:pt>
                <c:pt idx="116">
                  <c:v>0.3760036707085192</c:v>
                </c:pt>
                <c:pt idx="117">
                  <c:v>0.37776550212606314</c:v>
                </c:pt>
                <c:pt idx="118">
                  <c:v>0.37957273641150685</c:v>
                </c:pt>
                <c:pt idx="119">
                  <c:v>0.38142429227895081</c:v>
                </c:pt>
                <c:pt idx="120">
                  <c:v>0.38331924874857176</c:v>
                </c:pt>
                <c:pt idx="121">
                  <c:v>0.38526192688420319</c:v>
                </c:pt>
                <c:pt idx="122">
                  <c:v>0.38725380766078121</c:v>
                </c:pt>
                <c:pt idx="123">
                  <c:v>0.38929370378398509</c:v>
                </c:pt>
                <c:pt idx="124">
                  <c:v>0.39138092576304229</c:v>
                </c:pt>
                <c:pt idx="125">
                  <c:v>0.39351683204918114</c:v>
                </c:pt>
                <c:pt idx="126">
                  <c:v>0.39570463758400848</c:v>
                </c:pt>
                <c:pt idx="127">
                  <c:v>0.39794562377071735</c:v>
                </c:pt>
                <c:pt idx="128">
                  <c:v>0.40023856091161925</c:v>
                </c:pt>
                <c:pt idx="129">
                  <c:v>0.40258221930902394</c:v>
                </c:pt>
                <c:pt idx="130">
                  <c:v>0.40497539431062157</c:v>
                </c:pt>
                <c:pt idx="131">
                  <c:v>0.40742418711476569</c:v>
                </c:pt>
                <c:pt idx="132">
                  <c:v>0.40993303494741223</c:v>
                </c:pt>
                <c:pt idx="133">
                  <c:v>0.41250053849739821</c:v>
                </c:pt>
                <c:pt idx="134">
                  <c:v>0.41512529845355906</c:v>
                </c:pt>
                <c:pt idx="135">
                  <c:v>0.41780591550473145</c:v>
                </c:pt>
                <c:pt idx="136">
                  <c:v>0.42054261338838617</c:v>
                </c:pt>
                <c:pt idx="137">
                  <c:v>0.42333562827248195</c:v>
                </c:pt>
                <c:pt idx="138">
                  <c:v>0.42618351850580199</c:v>
                </c:pt>
                <c:pt idx="139">
                  <c:v>0.4290848423738125</c:v>
                </c:pt>
                <c:pt idx="140">
                  <c:v>0.43203815816198188</c:v>
                </c:pt>
                <c:pt idx="141">
                  <c:v>0.43504343372272447</c:v>
                </c:pt>
                <c:pt idx="142">
                  <c:v>0.43810107020252881</c:v>
                </c:pt>
                <c:pt idx="143">
                  <c:v>0.44120959252140352</c:v>
                </c:pt>
                <c:pt idx="144">
                  <c:v>0.44436751656144535</c:v>
                </c:pt>
                <c:pt idx="145">
                  <c:v>0.4475733582047558</c:v>
                </c:pt>
                <c:pt idx="146">
                  <c:v>0.45082684440963022</c:v>
                </c:pt>
                <c:pt idx="147">
                  <c:v>0.45412851112430769</c:v>
                </c:pt>
                <c:pt idx="148">
                  <c:v>0.45747686502586288</c:v>
                </c:pt>
                <c:pt idx="149">
                  <c:v>0.46087037959302524</c:v>
                </c:pt>
                <c:pt idx="150">
                  <c:v>0.46430752830452632</c:v>
                </c:pt>
                <c:pt idx="151">
                  <c:v>0.46778832602349402</c:v>
                </c:pt>
                <c:pt idx="152">
                  <c:v>0.47131449683074417</c:v>
                </c:pt>
                <c:pt idx="153">
                  <c:v>0.47488455943669844</c:v>
                </c:pt>
                <c:pt idx="154">
                  <c:v>0.47849692371503572</c:v>
                </c:pt>
                <c:pt idx="155">
                  <c:v>0.48214999953943288</c:v>
                </c:pt>
                <c:pt idx="156">
                  <c:v>0.48584477414466609</c:v>
                </c:pt>
                <c:pt idx="157">
                  <c:v>0.48958650892542871</c:v>
                </c:pt>
                <c:pt idx="158">
                  <c:v>0.49337386793404958</c:v>
                </c:pt>
                <c:pt idx="159">
                  <c:v>0.49720513383409931</c:v>
                </c:pt>
                <c:pt idx="160">
                  <c:v>0.50107858928914994</c:v>
                </c:pt>
                <c:pt idx="161">
                  <c:v>0.50499357548534118</c:v>
                </c:pt>
                <c:pt idx="162">
                  <c:v>0.50895193062108846</c:v>
                </c:pt>
                <c:pt idx="163">
                  <c:v>0.51295216914514119</c:v>
                </c:pt>
                <c:pt idx="164">
                  <c:v>0.51699251011601899</c:v>
                </c:pt>
                <c:pt idx="165">
                  <c:v>0.52107117259224012</c:v>
                </c:pt>
                <c:pt idx="166">
                  <c:v>0.52518722656259831</c:v>
                </c:pt>
                <c:pt idx="167">
                  <c:v>0.52934253097106132</c:v>
                </c:pt>
                <c:pt idx="168">
                  <c:v>0.53353566421522125</c:v>
                </c:pt>
                <c:pt idx="169">
                  <c:v>0.5377647817485437</c:v>
                </c:pt>
                <c:pt idx="170">
                  <c:v>0.54202803902449559</c:v>
                </c:pt>
                <c:pt idx="171">
                  <c:v>0.54632403544553487</c:v>
                </c:pt>
                <c:pt idx="172">
                  <c:v>0.55065337898025069</c:v>
                </c:pt>
                <c:pt idx="173">
                  <c:v>0.55501456492932866</c:v>
                </c:pt>
                <c:pt idx="174">
                  <c:v>0.55940570634286668</c:v>
                </c:pt>
                <c:pt idx="175">
                  <c:v>0.56382491627096087</c:v>
                </c:pt>
                <c:pt idx="176">
                  <c:v>0.56827064344506895</c:v>
                </c:pt>
                <c:pt idx="177">
                  <c:v>0.57274344901988883</c:v>
                </c:pt>
                <c:pt idx="178">
                  <c:v>0.57724190144569765</c:v>
                </c:pt>
                <c:pt idx="179">
                  <c:v>0.58176407136922414</c:v>
                </c:pt>
                <c:pt idx="180">
                  <c:v>0.58630856309105106</c:v>
                </c:pt>
                <c:pt idx="181">
                  <c:v>0.59087491267526826</c:v>
                </c:pt>
                <c:pt idx="182">
                  <c:v>0.59546486402997423</c:v>
                </c:pt>
                <c:pt idx="183">
                  <c:v>0.6000773883507996</c:v>
                </c:pt>
                <c:pt idx="184">
                  <c:v>0.60471051388110053</c:v>
                </c:pt>
                <c:pt idx="185">
                  <c:v>0.60936226886423817</c:v>
                </c:pt>
                <c:pt idx="186">
                  <c:v>0.61403068154357399</c:v>
                </c:pt>
                <c:pt idx="187">
                  <c:v>0.61871378016246881</c:v>
                </c:pt>
                <c:pt idx="188">
                  <c:v>0.62340959296428056</c:v>
                </c:pt>
                <c:pt idx="189">
                  <c:v>0.62811614819237027</c:v>
                </c:pt>
                <c:pt idx="190">
                  <c:v>0.63283147409009866</c:v>
                </c:pt>
                <c:pt idx="191">
                  <c:v>0.63755364961677985</c:v>
                </c:pt>
                <c:pt idx="192">
                  <c:v>0.64228182931413258</c:v>
                </c:pt>
                <c:pt idx="193">
                  <c:v>0.64701448831648145</c:v>
                </c:pt>
                <c:pt idx="194">
                  <c:v>0.65174963366550254</c:v>
                </c:pt>
                <c:pt idx="195">
                  <c:v>0.6564858668968252</c:v>
                </c:pt>
                <c:pt idx="196">
                  <c:v>0.66122368911738494</c:v>
                </c:pt>
                <c:pt idx="197">
                  <c:v>0.66596247744091741</c:v>
                </c:pt>
                <c:pt idx="198">
                  <c:v>0.67070081657622205</c:v>
                </c:pt>
                <c:pt idx="199">
                  <c:v>0.67543673476666155</c:v>
                </c:pt>
                <c:pt idx="200">
                  <c:v>0.68016826025559463</c:v>
                </c:pt>
                <c:pt idx="201">
                  <c:v>0.68489342128638109</c:v>
                </c:pt>
                <c:pt idx="202">
                  <c:v>0.68961024610238197</c:v>
                </c:pt>
                <c:pt idx="203">
                  <c:v>0.69431676294695766</c:v>
                </c:pt>
                <c:pt idx="204">
                  <c:v>0.69901100006346772</c:v>
                </c:pt>
                <c:pt idx="205">
                  <c:v>0.70369134144331369</c:v>
                </c:pt>
                <c:pt idx="206">
                  <c:v>0.70835830825510826</c:v>
                </c:pt>
                <c:pt idx="207">
                  <c:v>0.71301133607640965</c:v>
                </c:pt>
                <c:pt idx="208">
                  <c:v>0.71764923056667818</c:v>
                </c:pt>
                <c:pt idx="209">
                  <c:v>0.72227004117096083</c:v>
                </c:pt>
                <c:pt idx="210">
                  <c:v>0.72687194697151036</c:v>
                </c:pt>
                <c:pt idx="211">
                  <c:v>0.73145422630120127</c:v>
                </c:pt>
                <c:pt idx="212">
                  <c:v>0.73601681831753973</c:v>
                </c:pt>
                <c:pt idx="213">
                  <c:v>0.740559483819483</c:v>
                </c:pt>
                <c:pt idx="214">
                  <c:v>0.74508025193440108</c:v>
                </c:pt>
                <c:pt idx="215">
                  <c:v>0.74957723993035763</c:v>
                </c:pt>
                <c:pt idx="216">
                  <c:v>0.75404967303512149</c:v>
                </c:pt>
                <c:pt idx="217">
                  <c:v>0.75849597200950969</c:v>
                </c:pt>
                <c:pt idx="218">
                  <c:v>0.762914186298562</c:v>
                </c:pt>
                <c:pt idx="219">
                  <c:v>0.76730236534732754</c:v>
                </c:pt>
                <c:pt idx="220">
                  <c:v>0.77165861463073471</c:v>
                </c:pt>
                <c:pt idx="221">
                  <c:v>0.77598213353688539</c:v>
                </c:pt>
                <c:pt idx="222">
                  <c:v>0.78027202452573852</c:v>
                </c:pt>
                <c:pt idx="223">
                  <c:v>0.7845273880686271</c:v>
                </c:pt>
                <c:pt idx="224">
                  <c:v>0.78874629441698685</c:v>
                </c:pt>
                <c:pt idx="225">
                  <c:v>0.79292688495435071</c:v>
                </c:pt>
                <c:pt idx="226">
                  <c:v>0.79707047245667473</c:v>
                </c:pt>
                <c:pt idx="227">
                  <c:v>0.80117677805488752</c:v>
                </c:pt>
                <c:pt idx="228">
                  <c:v>0.80524391479908497</c:v>
                </c:pt>
                <c:pt idx="229">
                  <c:v>0.80926999573936487</c:v>
                </c:pt>
                <c:pt idx="230">
                  <c:v>0.81325319826042419</c:v>
                </c:pt>
                <c:pt idx="231">
                  <c:v>0.81719668790922773</c:v>
                </c:pt>
                <c:pt idx="232">
                  <c:v>0.82110183197619757</c:v>
                </c:pt>
                <c:pt idx="233">
                  <c:v>0.82496684951985355</c:v>
                </c:pt>
                <c:pt idx="234">
                  <c:v>0.82878995959871526</c:v>
                </c:pt>
                <c:pt idx="235">
                  <c:v>0.83256938932795732</c:v>
                </c:pt>
                <c:pt idx="236">
                  <c:v>0.83630611213652883</c:v>
                </c:pt>
                <c:pt idx="237">
                  <c:v>0.84000060298673196</c:v>
                </c:pt>
                <c:pt idx="238">
                  <c:v>0.84365114454213741</c:v>
                </c:pt>
                <c:pt idx="239">
                  <c:v>0.84725601946631557</c:v>
                </c:pt>
                <c:pt idx="240">
                  <c:v>0.85081351042284037</c:v>
                </c:pt>
                <c:pt idx="241">
                  <c:v>0.8543251438706928</c:v>
                </c:pt>
                <c:pt idx="242">
                  <c:v>0.85779264365444263</c:v>
                </c:pt>
                <c:pt idx="243">
                  <c:v>0.8612143776262059</c:v>
                </c:pt>
                <c:pt idx="244">
                  <c:v>0.86458871325629083</c:v>
                </c:pt>
                <c:pt idx="245">
                  <c:v>0.86791401801500812</c:v>
                </c:pt>
                <c:pt idx="246">
                  <c:v>0.87119006617203465</c:v>
                </c:pt>
                <c:pt idx="247">
                  <c:v>0.8744171480225863</c:v>
                </c:pt>
                <c:pt idx="248">
                  <c:v>0.87759368362036905</c:v>
                </c:pt>
                <c:pt idx="249">
                  <c:v>0.88071808283905828</c:v>
                </c:pt>
                <c:pt idx="250">
                  <c:v>0.88378875555233227</c:v>
                </c:pt>
                <c:pt idx="251">
                  <c:v>0.88680652573795971</c:v>
                </c:pt>
                <c:pt idx="252">
                  <c:v>0.88977399237400501</c:v>
                </c:pt>
                <c:pt idx="253">
                  <c:v>0.89268972079140096</c:v>
                </c:pt>
                <c:pt idx="254">
                  <c:v>0.89555220567056537</c:v>
                </c:pt>
                <c:pt idx="255">
                  <c:v>0.89835994169191036</c:v>
                </c:pt>
                <c:pt idx="256">
                  <c:v>0.90111551410591761</c:v>
                </c:pt>
                <c:pt idx="257">
                  <c:v>0.90382636078816536</c:v>
                </c:pt>
                <c:pt idx="258">
                  <c:v>0.90649144848608743</c:v>
                </c:pt>
                <c:pt idx="259">
                  <c:v>0.90910944149357342</c:v>
                </c:pt>
                <c:pt idx="260">
                  <c:v>0.91167900410451275</c:v>
                </c:pt>
                <c:pt idx="261">
                  <c:v>0.91420008094915151</c:v>
                </c:pt>
                <c:pt idx="262">
                  <c:v>0.91667485620806266</c:v>
                </c:pt>
                <c:pt idx="263">
                  <c:v>0.91910225432698134</c:v>
                </c:pt>
                <c:pt idx="264">
                  <c:v>0.9214810032048486</c:v>
                </c:pt>
                <c:pt idx="265">
                  <c:v>0.92380983074060585</c:v>
                </c:pt>
                <c:pt idx="266">
                  <c:v>0.92608921429319102</c:v>
                </c:pt>
                <c:pt idx="267">
                  <c:v>0.92832394915058447</c:v>
                </c:pt>
                <c:pt idx="268">
                  <c:v>0.9305133731338272</c:v>
                </c:pt>
                <c:pt idx="269">
                  <c:v>0.93265632015028188</c:v>
                </c:pt>
                <c:pt idx="270">
                  <c:v>0.93475162410731416</c:v>
                </c:pt>
                <c:pt idx="271">
                  <c:v>0.93679924152944394</c:v>
                </c:pt>
                <c:pt idx="272">
                  <c:v>0.9388029601614335</c:v>
                </c:pt>
                <c:pt idx="273">
                  <c:v>0.94076227312338723</c:v>
                </c:pt>
                <c:pt idx="274">
                  <c:v>0.94267609912940431</c:v>
                </c:pt>
                <c:pt idx="275">
                  <c:v>0.94454335689358804</c:v>
                </c:pt>
                <c:pt idx="276">
                  <c:v>0.94636406042529431</c:v>
                </c:pt>
                <c:pt idx="277">
                  <c:v>0.94814336970562429</c:v>
                </c:pt>
                <c:pt idx="278">
                  <c:v>0.94988127928353017</c:v>
                </c:pt>
                <c:pt idx="279">
                  <c:v>0.95157681388153648</c:v>
                </c:pt>
                <c:pt idx="280">
                  <c:v>0.95322899822216167</c:v>
                </c:pt>
                <c:pt idx="281">
                  <c:v>0.95483751742664313</c:v>
                </c:pt>
                <c:pt idx="282">
                  <c:v>0.95640636771018928</c:v>
                </c:pt>
                <c:pt idx="283">
                  <c:v>0.95793566607200209</c:v>
                </c:pt>
                <c:pt idx="284">
                  <c:v>0.95942452204133988</c:v>
                </c:pt>
                <c:pt idx="285">
                  <c:v>0.96087204514746283</c:v>
                </c:pt>
                <c:pt idx="286">
                  <c:v>0.96227829507612195</c:v>
                </c:pt>
                <c:pt idx="287">
                  <c:v>0.96365216001162513</c:v>
                </c:pt>
                <c:pt idx="288">
                  <c:v>0.96499545750862925</c:v>
                </c:pt>
                <c:pt idx="289">
                  <c:v>0.96630746670986623</c:v>
                </c:pt>
                <c:pt idx="290">
                  <c:v>0.9675874667580715</c:v>
                </c:pt>
                <c:pt idx="291">
                  <c:v>0.96883489692017022</c:v>
                </c:pt>
                <c:pt idx="292">
                  <c:v>0.97005140962437642</c:v>
                </c:pt>
                <c:pt idx="293">
                  <c:v>0.97123710693817999</c:v>
                </c:pt>
                <c:pt idx="294">
                  <c:v>0.97239131040768578</c:v>
                </c:pt>
                <c:pt idx="295">
                  <c:v>0.97351334157899638</c:v>
                </c:pt>
                <c:pt idx="296">
                  <c:v>0.97460261993956121</c:v>
                </c:pt>
                <c:pt idx="297">
                  <c:v>0.97566073867340586</c:v>
                </c:pt>
                <c:pt idx="298">
                  <c:v>0.97668800320698623</c:v>
                </c:pt>
                <c:pt idx="299">
                  <c:v>0.97768377748977497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B8-44BB-83DE-68E5A450AD6F}"/>
            </c:ext>
          </c:extLst>
        </c:ser>
        <c:ser>
          <c:idx val="1"/>
          <c:order val="1"/>
          <c:tx>
            <c:v>JED - mała szerokość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d.'!$AC$6:$AC$305</c:f>
              <c:numCache>
                <c:formatCode>General</c:formatCode>
                <c:ptCount val="300"/>
                <c:pt idx="0">
                  <c:v>4.6872038203341453E-3</c:v>
                </c:pt>
                <c:pt idx="1">
                  <c:v>5.7403958226777503E-3</c:v>
                </c:pt>
                <c:pt idx="2">
                  <c:v>6.9402307727316126E-3</c:v>
                </c:pt>
                <c:pt idx="3">
                  <c:v>8.2592203975333667E-3</c:v>
                </c:pt>
                <c:pt idx="4">
                  <c:v>9.6743633021116934E-3</c:v>
                </c:pt>
                <c:pt idx="5">
                  <c:v>1.1480322830867612E-2</c:v>
                </c:pt>
                <c:pt idx="6">
                  <c:v>1.3813800953888622E-2</c:v>
                </c:pt>
                <c:pt idx="7">
                  <c:v>1.6599204920528229E-2</c:v>
                </c:pt>
                <c:pt idx="8">
                  <c:v>1.9760941980139911E-2</c:v>
                </c:pt>
                <c:pt idx="9">
                  <c:v>2.3225284211085516E-2</c:v>
                </c:pt>
                <c:pt idx="10">
                  <c:v>2.7462823384376462E-2</c:v>
                </c:pt>
                <c:pt idx="11">
                  <c:v>3.276751322241829E-2</c:v>
                </c:pt>
                <c:pt idx="12">
                  <c:v>3.8992143414964181E-2</c:v>
                </c:pt>
                <c:pt idx="13">
                  <c:v>4.6032281531733436E-2</c:v>
                </c:pt>
                <c:pt idx="14">
                  <c:v>5.3734118287058701E-2</c:v>
                </c:pt>
                <c:pt idx="15">
                  <c:v>6.2424091852846822E-2</c:v>
                </c:pt>
                <c:pt idx="16">
                  <c:v>7.2383276349621314E-2</c:v>
                </c:pt>
                <c:pt idx="17">
                  <c:v>8.3378579883308171E-2</c:v>
                </c:pt>
                <c:pt idx="18">
                  <c:v>9.5224181001957051E-2</c:v>
                </c:pt>
                <c:pt idx="19">
                  <c:v>0.10768570579613555</c:v>
                </c:pt>
                <c:pt idx="20">
                  <c:v>0.12074957076425287</c:v>
                </c:pt>
                <c:pt idx="21">
                  <c:v>0.134447397283705</c:v>
                </c:pt>
                <c:pt idx="22">
                  <c:v>0.14851451340609029</c:v>
                </c:pt>
                <c:pt idx="23">
                  <c:v>0.16278614544961473</c:v>
                </c:pt>
                <c:pt idx="24">
                  <c:v>0.17700419865600894</c:v>
                </c:pt>
                <c:pt idx="25">
                  <c:v>0.19100538827149144</c:v>
                </c:pt>
                <c:pt idx="26">
                  <c:v>0.20468797950185952</c:v>
                </c:pt>
                <c:pt idx="27">
                  <c:v>0.21781243880902801</c:v>
                </c:pt>
                <c:pt idx="28">
                  <c:v>0.23050733095974185</c:v>
                </c:pt>
                <c:pt idx="29">
                  <c:v>0.24259526806635881</c:v>
                </c:pt>
                <c:pt idx="30">
                  <c:v>0.25382198360397673</c:v>
                </c:pt>
                <c:pt idx="31">
                  <c:v>0.26393321104769385</c:v>
                </c:pt>
                <c:pt idx="32">
                  <c:v>0.27275534328015194</c:v>
                </c:pt>
                <c:pt idx="33">
                  <c:v>0.28082040927947149</c:v>
                </c:pt>
                <c:pt idx="34">
                  <c:v>0.28814434019040325</c:v>
                </c:pt>
                <c:pt idx="35">
                  <c:v>0.29460191339794989</c:v>
                </c:pt>
                <c:pt idx="36">
                  <c:v>0.30012824207847449</c:v>
                </c:pt>
                <c:pt idx="37">
                  <c:v>0.3046060766796897</c:v>
                </c:pt>
                <c:pt idx="38">
                  <c:v>0.3086198034548725</c:v>
                </c:pt>
                <c:pt idx="39">
                  <c:v>0.31230343800304111</c:v>
                </c:pt>
                <c:pt idx="40">
                  <c:v>0.31556764343706784</c:v>
                </c:pt>
                <c:pt idx="41">
                  <c:v>0.31832308286982502</c:v>
                </c:pt>
                <c:pt idx="42">
                  <c:v>0.32049916961173569</c:v>
                </c:pt>
                <c:pt idx="43">
                  <c:v>0.32239999829590421</c:v>
                </c:pt>
                <c:pt idx="44">
                  <c:v>0.32412984060418815</c:v>
                </c:pt>
                <c:pt idx="45">
                  <c:v>0.32564746412714402</c:v>
                </c:pt>
                <c:pt idx="46">
                  <c:v>0.32691163645532823</c:v>
                </c:pt>
                <c:pt idx="47">
                  <c:v>0.32788698906573399</c:v>
                </c:pt>
                <c:pt idx="48">
                  <c:v>0.32874433469085307</c:v>
                </c:pt>
                <c:pt idx="49">
                  <c:v>0.32956883415929683</c:v>
                </c:pt>
                <c:pt idx="50">
                  <c:v>0.33034674333458403</c:v>
                </c:pt>
                <c:pt idx="51">
                  <c:v>0.33106431808023346</c:v>
                </c:pt>
                <c:pt idx="52">
                  <c:v>0.33170781425976398</c:v>
                </c:pt>
                <c:pt idx="53">
                  <c:v>0.3322634877366944</c:v>
                </c:pt>
                <c:pt idx="54">
                  <c:v>0.33271759437454357</c:v>
                </c:pt>
                <c:pt idx="55">
                  <c:v>0.33305639003683024</c:v>
                </c:pt>
                <c:pt idx="56">
                  <c:v>0.33326613058707316</c:v>
                </c:pt>
                <c:pt idx="57">
                  <c:v>0.33333333333333331</c:v>
                </c:pt>
                <c:pt idx="58">
                  <c:v>0.33333333333333331</c:v>
                </c:pt>
                <c:pt idx="59">
                  <c:v>0.33333333333333331</c:v>
                </c:pt>
                <c:pt idx="60">
                  <c:v>0.33333333333333331</c:v>
                </c:pt>
                <c:pt idx="61">
                  <c:v>0.33333333333333331</c:v>
                </c:pt>
                <c:pt idx="62">
                  <c:v>0.33333333333333331</c:v>
                </c:pt>
                <c:pt idx="63">
                  <c:v>0.33333333333333331</c:v>
                </c:pt>
                <c:pt idx="64">
                  <c:v>0.33333333333333331</c:v>
                </c:pt>
                <c:pt idx="65">
                  <c:v>0.33333333333333331</c:v>
                </c:pt>
                <c:pt idx="66">
                  <c:v>0.33333333333333331</c:v>
                </c:pt>
                <c:pt idx="67">
                  <c:v>0.33333333333333331</c:v>
                </c:pt>
                <c:pt idx="68">
                  <c:v>0.33333333333333331</c:v>
                </c:pt>
                <c:pt idx="69">
                  <c:v>0.33333333333333331</c:v>
                </c:pt>
                <c:pt idx="70">
                  <c:v>0.33333333333333331</c:v>
                </c:pt>
                <c:pt idx="71">
                  <c:v>0.33333333333333331</c:v>
                </c:pt>
                <c:pt idx="72">
                  <c:v>0.33333333333333331</c:v>
                </c:pt>
                <c:pt idx="73">
                  <c:v>0.33333333333333331</c:v>
                </c:pt>
                <c:pt idx="74">
                  <c:v>0.33333333333333331</c:v>
                </c:pt>
                <c:pt idx="75">
                  <c:v>0.33333333333333331</c:v>
                </c:pt>
                <c:pt idx="76">
                  <c:v>0.33333333333333331</c:v>
                </c:pt>
                <c:pt idx="77">
                  <c:v>0.33333333333333331</c:v>
                </c:pt>
                <c:pt idx="78">
                  <c:v>0.33333333333333331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0.33333333333333331</c:v>
                </c:pt>
                <c:pt idx="82">
                  <c:v>0.33333333333333331</c:v>
                </c:pt>
                <c:pt idx="83">
                  <c:v>0.33333333333333331</c:v>
                </c:pt>
                <c:pt idx="84">
                  <c:v>0.33333333333333331</c:v>
                </c:pt>
                <c:pt idx="85">
                  <c:v>0.33333333333333331</c:v>
                </c:pt>
                <c:pt idx="86">
                  <c:v>0.33333333333333331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0.33333333333333331</c:v>
                </c:pt>
                <c:pt idx="91">
                  <c:v>0.33336935927102984</c:v>
                </c:pt>
                <c:pt idx="92">
                  <c:v>0.33347652944833472</c:v>
                </c:pt>
                <c:pt idx="93">
                  <c:v>0.33364799423019564</c:v>
                </c:pt>
                <c:pt idx="94">
                  <c:v>0.33387688154837197</c:v>
                </c:pt>
                <c:pt idx="95">
                  <c:v>0.3341563193346232</c:v>
                </c:pt>
                <c:pt idx="96">
                  <c:v>0.33447943552070869</c:v>
                </c:pt>
                <c:pt idx="97">
                  <c:v>0.33483935803838788</c:v>
                </c:pt>
                <c:pt idx="98">
                  <c:v>0.33522921481942008</c:v>
                </c:pt>
                <c:pt idx="99">
                  <c:v>0.33564213379556485</c:v>
                </c:pt>
                <c:pt idx="100">
                  <c:v>0.33607124289858153</c:v>
                </c:pt>
                <c:pt idx="101">
                  <c:v>0.33650967006022953</c:v>
                </c:pt>
                <c:pt idx="102">
                  <c:v>0.33695054321226819</c:v>
                </c:pt>
                <c:pt idx="103">
                  <c:v>0.33738699028645702</c:v>
                </c:pt>
                <c:pt idx="104">
                  <c:v>0.33781213921455538</c:v>
                </c:pt>
                <c:pt idx="105">
                  <c:v>0.33821911792832265</c:v>
                </c:pt>
                <c:pt idx="106">
                  <c:v>0.33864648351617427</c:v>
                </c:pt>
                <c:pt idx="107">
                  <c:v>0.33918301022517139</c:v>
                </c:pt>
                <c:pt idx="108">
                  <c:v>0.33981213514181707</c:v>
                </c:pt>
                <c:pt idx="109">
                  <c:v>0.34051324206138961</c:v>
                </c:pt>
                <c:pt idx="110">
                  <c:v>0.34126571477916734</c:v>
                </c:pt>
                <c:pt idx="111">
                  <c:v>0.34204893709042833</c:v>
                </c:pt>
                <c:pt idx="112">
                  <c:v>0.34284229279045086</c:v>
                </c:pt>
                <c:pt idx="113">
                  <c:v>0.3436289939408414</c:v>
                </c:pt>
                <c:pt idx="114">
                  <c:v>0.34444656409026059</c:v>
                </c:pt>
                <c:pt idx="115">
                  <c:v>0.34529930991101299</c:v>
                </c:pt>
                <c:pt idx="116">
                  <c:v>0.34620449614086862</c:v>
                </c:pt>
                <c:pt idx="117">
                  <c:v>0.34725399250639927</c:v>
                </c:pt>
                <c:pt idx="118">
                  <c:v>0.34843068037224717</c:v>
                </c:pt>
                <c:pt idx="119">
                  <c:v>0.34970707146545021</c:v>
                </c:pt>
                <c:pt idx="120">
                  <c:v>0.35105567751304584</c:v>
                </c:pt>
                <c:pt idx="121">
                  <c:v>0.35246141526251035</c:v>
                </c:pt>
                <c:pt idx="122">
                  <c:v>0.35395103657155813</c:v>
                </c:pt>
                <c:pt idx="123">
                  <c:v>0.35549749803825692</c:v>
                </c:pt>
                <c:pt idx="124">
                  <c:v>0.35706643932140369</c:v>
                </c:pt>
                <c:pt idx="125">
                  <c:v>0.3586235000797956</c:v>
                </c:pt>
                <c:pt idx="126">
                  <c:v>0.36014396553388023</c:v>
                </c:pt>
                <c:pt idx="127">
                  <c:v>0.36164843716984418</c:v>
                </c:pt>
                <c:pt idx="128">
                  <c:v>0.36310642694267858</c:v>
                </c:pt>
                <c:pt idx="129">
                  <c:v>0.36457278403373244</c:v>
                </c:pt>
                <c:pt idx="130">
                  <c:v>0.36608025705849701</c:v>
                </c:pt>
                <c:pt idx="131">
                  <c:v>0.36760858594623869</c:v>
                </c:pt>
                <c:pt idx="132">
                  <c:v>0.36918525016272563</c:v>
                </c:pt>
                <c:pt idx="133">
                  <c:v>0.37078858732204473</c:v>
                </c:pt>
                <c:pt idx="134">
                  <c:v>0.37238423708299306</c:v>
                </c:pt>
                <c:pt idx="135">
                  <c:v>0.37393783910436745</c:v>
                </c:pt>
                <c:pt idx="136">
                  <c:v>0.37543049829588465</c:v>
                </c:pt>
                <c:pt idx="137">
                  <c:v>0.37699061506164117</c:v>
                </c:pt>
                <c:pt idx="138">
                  <c:v>0.37861106625703556</c:v>
                </c:pt>
                <c:pt idx="139">
                  <c:v>0.38031273411540922</c:v>
                </c:pt>
                <c:pt idx="140">
                  <c:v>0.38213384996665095</c:v>
                </c:pt>
                <c:pt idx="141">
                  <c:v>0.38405037924715085</c:v>
                </c:pt>
                <c:pt idx="142">
                  <c:v>0.38628516491527859</c:v>
                </c:pt>
                <c:pt idx="143">
                  <c:v>0.38886052562638079</c:v>
                </c:pt>
                <c:pt idx="144">
                  <c:v>0.39173363358159102</c:v>
                </c:pt>
                <c:pt idx="145">
                  <c:v>0.39487987871067315</c:v>
                </c:pt>
                <c:pt idx="146">
                  <c:v>0.39823703858266718</c:v>
                </c:pt>
                <c:pt idx="147">
                  <c:v>0.40188833630872139</c:v>
                </c:pt>
                <c:pt idx="148">
                  <c:v>0.40581521561879641</c:v>
                </c:pt>
                <c:pt idx="149">
                  <c:v>0.40995632667449938</c:v>
                </c:pt>
                <c:pt idx="150">
                  <c:v>0.41427695252864122</c:v>
                </c:pt>
                <c:pt idx="151">
                  <c:v>0.41869974130004722</c:v>
                </c:pt>
                <c:pt idx="152">
                  <c:v>0.42333321965662557</c:v>
                </c:pt>
                <c:pt idx="153">
                  <c:v>0.42817938270146355</c:v>
                </c:pt>
                <c:pt idx="154">
                  <c:v>0.43315187088174101</c:v>
                </c:pt>
                <c:pt idx="155">
                  <c:v>0.43819825110503419</c:v>
                </c:pt>
                <c:pt idx="156">
                  <c:v>0.44321818817647712</c:v>
                </c:pt>
                <c:pt idx="157">
                  <c:v>0.44819682229680124</c:v>
                </c:pt>
                <c:pt idx="158">
                  <c:v>0.45308285820947719</c:v>
                </c:pt>
                <c:pt idx="159">
                  <c:v>0.45781821759801006</c:v>
                </c:pt>
                <c:pt idx="160">
                  <c:v>0.46246513672771994</c:v>
                </c:pt>
                <c:pt idx="161">
                  <c:v>0.46693780390344869</c:v>
                </c:pt>
                <c:pt idx="162">
                  <c:v>0.47129893764849207</c:v>
                </c:pt>
                <c:pt idx="163">
                  <c:v>0.47557655829305218</c:v>
                </c:pt>
                <c:pt idx="164">
                  <c:v>0.47972672427767049</c:v>
                </c:pt>
                <c:pt idx="165">
                  <c:v>0.48393136662405206</c:v>
                </c:pt>
                <c:pt idx="166">
                  <c:v>0.48812692386326811</c:v>
                </c:pt>
                <c:pt idx="167">
                  <c:v>0.49250248644038103</c:v>
                </c:pt>
                <c:pt idx="168">
                  <c:v>0.4972600325102482</c:v>
                </c:pt>
                <c:pt idx="169">
                  <c:v>0.50229386531974729</c:v>
                </c:pt>
                <c:pt idx="170">
                  <c:v>0.5076451908567402</c:v>
                </c:pt>
                <c:pt idx="171">
                  <c:v>0.5132119964995816</c:v>
                </c:pt>
                <c:pt idx="172">
                  <c:v>0.51896094035262219</c:v>
                </c:pt>
                <c:pt idx="173">
                  <c:v>0.52489183136899775</c:v>
                </c:pt>
                <c:pt idx="174">
                  <c:v>0.53090102417300156</c:v>
                </c:pt>
                <c:pt idx="175">
                  <c:v>0.53709154091410194</c:v>
                </c:pt>
                <c:pt idx="176">
                  <c:v>0.54338513867881133</c:v>
                </c:pt>
                <c:pt idx="177">
                  <c:v>0.54979380859633942</c:v>
                </c:pt>
                <c:pt idx="178">
                  <c:v>0.55642688508441285</c:v>
                </c:pt>
                <c:pt idx="179">
                  <c:v>0.56315391542512705</c:v>
                </c:pt>
                <c:pt idx="180">
                  <c:v>0.56994593851502273</c:v>
                </c:pt>
                <c:pt idx="181">
                  <c:v>0.57669032303016643</c:v>
                </c:pt>
                <c:pt idx="182">
                  <c:v>0.58333658760130802</c:v>
                </c:pt>
                <c:pt idx="183">
                  <c:v>0.58994168951378279</c:v>
                </c:pt>
                <c:pt idx="184">
                  <c:v>0.5963708031886138</c:v>
                </c:pt>
                <c:pt idx="185">
                  <c:v>0.60269771498709457</c:v>
                </c:pt>
                <c:pt idx="186">
                  <c:v>0.6088470012929168</c:v>
                </c:pt>
                <c:pt idx="187">
                  <c:v>0.61477147478519567</c:v>
                </c:pt>
                <c:pt idx="188">
                  <c:v>0.62059003252483003</c:v>
                </c:pt>
                <c:pt idx="189">
                  <c:v>0.62617739094868829</c:v>
                </c:pt>
                <c:pt idx="190">
                  <c:v>0.6318220569996652</c:v>
                </c:pt>
                <c:pt idx="191">
                  <c:v>0.63755873887962655</c:v>
                </c:pt>
                <c:pt idx="192">
                  <c:v>0.64332940274453132</c:v>
                </c:pt>
                <c:pt idx="193">
                  <c:v>0.64923015023606756</c:v>
                </c:pt>
                <c:pt idx="194">
                  <c:v>0.65514548039294196</c:v>
                </c:pt>
                <c:pt idx="195">
                  <c:v>0.66109516545977731</c:v>
                </c:pt>
                <c:pt idx="196">
                  <c:v>0.66702365194322633</c:v>
                </c:pt>
                <c:pt idx="197">
                  <c:v>0.67290070822325954</c:v>
                </c:pt>
                <c:pt idx="198">
                  <c:v>0.67903853647562873</c:v>
                </c:pt>
                <c:pt idx="199">
                  <c:v>0.68532670799243001</c:v>
                </c:pt>
                <c:pt idx="200">
                  <c:v>0.69184231508457983</c:v>
                </c:pt>
                <c:pt idx="201">
                  <c:v>0.69857514941857235</c:v>
                </c:pt>
                <c:pt idx="202">
                  <c:v>0.70539891569401203</c:v>
                </c:pt>
                <c:pt idx="203">
                  <c:v>0.71227936163265748</c:v>
                </c:pt>
                <c:pt idx="204">
                  <c:v>0.71908075512749225</c:v>
                </c:pt>
                <c:pt idx="205">
                  <c:v>0.72583270595888816</c:v>
                </c:pt>
                <c:pt idx="206">
                  <c:v>0.73252968024436005</c:v>
                </c:pt>
                <c:pt idx="207">
                  <c:v>0.73905446382004036</c:v>
                </c:pt>
                <c:pt idx="208">
                  <c:v>0.74538620113574861</c:v>
                </c:pt>
                <c:pt idx="209">
                  <c:v>0.75140764278924377</c:v>
                </c:pt>
                <c:pt idx="210">
                  <c:v>0.75718442719823431</c:v>
                </c:pt>
                <c:pt idx="211">
                  <c:v>0.76278673095935312</c:v>
                </c:pt>
                <c:pt idx="212">
                  <c:v>0.76811398266590347</c:v>
                </c:pt>
                <c:pt idx="213">
                  <c:v>0.77316415328592791</c:v>
                </c:pt>
                <c:pt idx="214">
                  <c:v>0.77784719239587863</c:v>
                </c:pt>
                <c:pt idx="215">
                  <c:v>0.78218581046910574</c:v>
                </c:pt>
                <c:pt idx="216">
                  <c:v>0.78624738376441772</c:v>
                </c:pt>
                <c:pt idx="217">
                  <c:v>0.78994515487241046</c:v>
                </c:pt>
                <c:pt idx="218">
                  <c:v>0.79333994013188847</c:v>
                </c:pt>
                <c:pt idx="219">
                  <c:v>0.79637656251272471</c:v>
                </c:pt>
                <c:pt idx="220">
                  <c:v>0.79919047143108035</c:v>
                </c:pt>
                <c:pt idx="221">
                  <c:v>0.80208053246302502</c:v>
                </c:pt>
                <c:pt idx="222">
                  <c:v>0.80499932544624697</c:v>
                </c:pt>
                <c:pt idx="223">
                  <c:v>0.80818495253414613</c:v>
                </c:pt>
                <c:pt idx="224">
                  <c:v>0.81168226868326243</c:v>
                </c:pt>
                <c:pt idx="225">
                  <c:v>0.81544189830615399</c:v>
                </c:pt>
                <c:pt idx="226">
                  <c:v>0.8194715881792376</c:v>
                </c:pt>
                <c:pt idx="227">
                  <c:v>0.82368695660950997</c:v>
                </c:pt>
                <c:pt idx="228">
                  <c:v>0.82813939021971017</c:v>
                </c:pt>
                <c:pt idx="229">
                  <c:v>0.8328063721298965</c:v>
                </c:pt>
                <c:pt idx="230">
                  <c:v>0.83762305919243851</c:v>
                </c:pt>
                <c:pt idx="231">
                  <c:v>0.84259575897288053</c:v>
                </c:pt>
                <c:pt idx="232">
                  <c:v>0.84763368992577592</c:v>
                </c:pt>
                <c:pt idx="233">
                  <c:v>0.85276989991938246</c:v>
                </c:pt>
                <c:pt idx="234">
                  <c:v>0.85798962301347259</c:v>
                </c:pt>
                <c:pt idx="235">
                  <c:v>0.86321331193324191</c:v>
                </c:pt>
                <c:pt idx="236">
                  <c:v>0.86844437134061114</c:v>
                </c:pt>
                <c:pt idx="237">
                  <c:v>0.87358738272999437</c:v>
                </c:pt>
                <c:pt idx="238">
                  <c:v>0.87861630672861901</c:v>
                </c:pt>
                <c:pt idx="239">
                  <c:v>0.88349288046862096</c:v>
                </c:pt>
                <c:pt idx="240">
                  <c:v>0.88814558625456019</c:v>
                </c:pt>
                <c:pt idx="241">
                  <c:v>0.89264171471596987</c:v>
                </c:pt>
                <c:pt idx="242">
                  <c:v>0.89690197981827391</c:v>
                </c:pt>
                <c:pt idx="243">
                  <c:v>0.90089737535236625</c:v>
                </c:pt>
                <c:pt idx="244">
                  <c:v>0.90460702742059884</c:v>
                </c:pt>
                <c:pt idx="245">
                  <c:v>0.90799290517983777</c:v>
                </c:pt>
                <c:pt idx="246">
                  <c:v>0.91131648954765965</c:v>
                </c:pt>
                <c:pt idx="247">
                  <c:v>0.91455586196060057</c:v>
                </c:pt>
                <c:pt idx="248">
                  <c:v>0.91772929767591482</c:v>
                </c:pt>
                <c:pt idx="249">
                  <c:v>0.92089482447420301</c:v>
                </c:pt>
                <c:pt idx="250">
                  <c:v>0.92399243686309451</c:v>
                </c:pt>
                <c:pt idx="251">
                  <c:v>0.92711795918254647</c:v>
                </c:pt>
                <c:pt idx="252">
                  <c:v>0.93023358106470333</c:v>
                </c:pt>
                <c:pt idx="253">
                  <c:v>0.93327058182715839</c:v>
                </c:pt>
                <c:pt idx="254">
                  <c:v>0.9361602407875057</c:v>
                </c:pt>
                <c:pt idx="255">
                  <c:v>0.93885408474485244</c:v>
                </c:pt>
                <c:pt idx="256">
                  <c:v>0.94146585432233565</c:v>
                </c:pt>
                <c:pt idx="257">
                  <c:v>0.94398688930389629</c:v>
                </c:pt>
                <c:pt idx="258">
                  <c:v>0.94638987151060783</c:v>
                </c:pt>
                <c:pt idx="259">
                  <c:v>0.94867602889943559</c:v>
                </c:pt>
                <c:pt idx="260">
                  <c:v>0.95080248270723799</c:v>
                </c:pt>
                <c:pt idx="261">
                  <c:v>0.95283267644734926</c:v>
                </c:pt>
                <c:pt idx="262">
                  <c:v>0.95475804202785863</c:v>
                </c:pt>
                <c:pt idx="263">
                  <c:v>0.9565545279997949</c:v>
                </c:pt>
                <c:pt idx="264">
                  <c:v>0.95823272681066896</c:v>
                </c:pt>
                <c:pt idx="265">
                  <c:v>0.9597548691820238</c:v>
                </c:pt>
                <c:pt idx="266">
                  <c:v>0.96118663758679379</c:v>
                </c:pt>
                <c:pt idx="267">
                  <c:v>0.96253337870655342</c:v>
                </c:pt>
                <c:pt idx="268">
                  <c:v>0.96376073220009917</c:v>
                </c:pt>
                <c:pt idx="269">
                  <c:v>0.96483433772622862</c:v>
                </c:pt>
                <c:pt idx="270">
                  <c:v>0.96572503968974843</c:v>
                </c:pt>
                <c:pt idx="271">
                  <c:v>0.96656010291491612</c:v>
                </c:pt>
                <c:pt idx="272">
                  <c:v>0.9673969132760768</c:v>
                </c:pt>
                <c:pt idx="273">
                  <c:v>0.96823270929921557</c:v>
                </c:pt>
                <c:pt idx="274">
                  <c:v>0.96910843703237182</c:v>
                </c:pt>
                <c:pt idx="275">
                  <c:v>0.97001200246568908</c:v>
                </c:pt>
                <c:pt idx="276">
                  <c:v>0.97092278939444554</c:v>
                </c:pt>
                <c:pt idx="277">
                  <c:v>0.9718201816139197</c:v>
                </c:pt>
                <c:pt idx="278">
                  <c:v>0.97270035089074403</c:v>
                </c:pt>
                <c:pt idx="279">
                  <c:v>0.97365279006802652</c:v>
                </c:pt>
                <c:pt idx="280">
                  <c:v>0.97466578225313527</c:v>
                </c:pt>
                <c:pt idx="281">
                  <c:v>0.97575071685393922</c:v>
                </c:pt>
                <c:pt idx="282">
                  <c:v>0.97691252543845153</c:v>
                </c:pt>
                <c:pt idx="283">
                  <c:v>0.9781237197337096</c:v>
                </c:pt>
                <c:pt idx="284">
                  <c:v>0.97935681146675146</c:v>
                </c:pt>
                <c:pt idx="285">
                  <c:v>0.98058431429771686</c:v>
                </c:pt>
                <c:pt idx="286">
                  <c:v>0.98181939138265761</c:v>
                </c:pt>
                <c:pt idx="287">
                  <c:v>0.98307869542003989</c:v>
                </c:pt>
                <c:pt idx="288">
                  <c:v>0.98434585848900802</c:v>
                </c:pt>
                <c:pt idx="289">
                  <c:v>0.98565388952409283</c:v>
                </c:pt>
                <c:pt idx="290">
                  <c:v>0.98699301957985996</c:v>
                </c:pt>
                <c:pt idx="291">
                  <c:v>0.9883357603833467</c:v>
                </c:pt>
                <c:pt idx="292">
                  <c:v>0.98965462366159085</c:v>
                </c:pt>
                <c:pt idx="293">
                  <c:v>0.99092212114162992</c:v>
                </c:pt>
                <c:pt idx="294">
                  <c:v>0.99211076455050151</c:v>
                </c:pt>
                <c:pt idx="295">
                  <c:v>0.99319306561524323</c:v>
                </c:pt>
                <c:pt idx="296">
                  <c:v>0.99417186388014067</c:v>
                </c:pt>
                <c:pt idx="297">
                  <c:v>0.99507256480009498</c:v>
                </c:pt>
                <c:pt idx="298">
                  <c:v>0.99587519315295481</c:v>
                </c:pt>
                <c:pt idx="299">
                  <c:v>0.99655913273399832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B8-44BB-83DE-68E5A450AD6F}"/>
            </c:ext>
          </c:extLst>
        </c:ser>
        <c:ser>
          <c:idx val="2"/>
          <c:order val="2"/>
          <c:tx>
            <c:v>JED - duża szerokość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d.'!$AD$6:$AD$305</c:f>
              <c:numCache>
                <c:formatCode>General</c:formatCode>
                <c:ptCount val="300"/>
                <c:pt idx="0">
                  <c:v>0.13592347515179481</c:v>
                </c:pt>
                <c:pt idx="1">
                  <c:v>0.13755164635291556</c:v>
                </c:pt>
                <c:pt idx="2">
                  <c:v>0.13918948842197673</c:v>
                </c:pt>
                <c:pt idx="3">
                  <c:v>0.1408371626683283</c:v>
                </c:pt>
                <c:pt idx="4">
                  <c:v>0.14249550767086241</c:v>
                </c:pt>
                <c:pt idx="5">
                  <c:v>0.14416443619341265</c:v>
                </c:pt>
                <c:pt idx="6">
                  <c:v>0.14584378737867784</c:v>
                </c:pt>
                <c:pt idx="7">
                  <c:v>0.14753340036935714</c:v>
                </c:pt>
                <c:pt idx="8">
                  <c:v>0.1492336224231807</c:v>
                </c:pt>
                <c:pt idx="9">
                  <c:v>0.15094632866429328</c:v>
                </c:pt>
                <c:pt idx="10">
                  <c:v>0.15267155682319672</c:v>
                </c:pt>
                <c:pt idx="11">
                  <c:v>0.15440912975324281</c:v>
                </c:pt>
                <c:pt idx="12">
                  <c:v>0.15615887030778366</c:v>
                </c:pt>
                <c:pt idx="13">
                  <c:v>0.157920751665446</c:v>
                </c:pt>
                <c:pt idx="14">
                  <c:v>0.1596953706579802</c:v>
                </c:pt>
                <c:pt idx="15">
                  <c:v>0.16148265475580628</c:v>
                </c:pt>
                <c:pt idx="16">
                  <c:v>0.16328242070377072</c:v>
                </c:pt>
                <c:pt idx="17">
                  <c:v>0.16509448524672093</c:v>
                </c:pt>
                <c:pt idx="18">
                  <c:v>0.1669188565708378</c:v>
                </c:pt>
                <c:pt idx="19">
                  <c:v>0.1687566429558047</c:v>
                </c:pt>
                <c:pt idx="20">
                  <c:v>0.17060789372842586</c:v>
                </c:pt>
                <c:pt idx="21">
                  <c:v>0.17247241545270645</c:v>
                </c:pt>
                <c:pt idx="22">
                  <c:v>0.17435001469265152</c:v>
                </c:pt>
                <c:pt idx="23">
                  <c:v>0.17624061023042364</c:v>
                </c:pt>
                <c:pt idx="24">
                  <c:v>0.17814503038568735</c:v>
                </c:pt>
                <c:pt idx="25">
                  <c:v>0.18006332074731435</c:v>
                </c:pt>
                <c:pt idx="26">
                  <c:v>0.18199527973463706</c:v>
                </c:pt>
                <c:pt idx="27">
                  <c:v>0.1839407057669859</c:v>
                </c:pt>
                <c:pt idx="28">
                  <c:v>0.18589949430307745</c:v>
                </c:pt>
                <c:pt idx="29">
                  <c:v>0.18787269069911128</c:v>
                </c:pt>
                <c:pt idx="30">
                  <c:v>0.18986046633674783</c:v>
                </c:pt>
                <c:pt idx="31">
                  <c:v>0.19186260945447642</c:v>
                </c:pt>
                <c:pt idx="32">
                  <c:v>0.1938789082907873</c:v>
                </c:pt>
                <c:pt idx="33">
                  <c:v>0.19590920047982602</c:v>
                </c:pt>
                <c:pt idx="34">
                  <c:v>0.1979542348643791</c:v>
                </c:pt>
                <c:pt idx="35">
                  <c:v>0.20001416378602946</c:v>
                </c:pt>
                <c:pt idx="36">
                  <c:v>0.2020887673385936</c:v>
                </c:pt>
                <c:pt idx="37">
                  <c:v>0.20417782561588796</c:v>
                </c:pt>
                <c:pt idx="38">
                  <c:v>0.20628117373801069</c:v>
                </c:pt>
                <c:pt idx="39">
                  <c:v>0.20840041362875703</c:v>
                </c:pt>
                <c:pt idx="40">
                  <c:v>0.21053619783613714</c:v>
                </c:pt>
                <c:pt idx="41">
                  <c:v>0.21268829016462076</c:v>
                </c:pt>
                <c:pt idx="42">
                  <c:v>0.21485645441867651</c:v>
                </c:pt>
                <c:pt idx="43">
                  <c:v>0.21704046039602459</c:v>
                </c:pt>
                <c:pt idx="44">
                  <c:v>0.2192404961393831</c:v>
                </c:pt>
                <c:pt idx="45">
                  <c:v>0.22145658282542699</c:v>
                </c:pt>
                <c:pt idx="46">
                  <c:v>0.22368848018628759</c:v>
                </c:pt>
                <c:pt idx="47">
                  <c:v>0.22593594795409852</c:v>
                </c:pt>
                <c:pt idx="48">
                  <c:v>0.22819874727012907</c:v>
                </c:pt>
                <c:pt idx="49">
                  <c:v>0.23047702450838278</c:v>
                </c:pt>
                <c:pt idx="50">
                  <c:v>0.23277083922978031</c:v>
                </c:pt>
                <c:pt idx="51">
                  <c:v>0.23507994709411587</c:v>
                </c:pt>
                <c:pt idx="52">
                  <c:v>0.23740410376118759</c:v>
                </c:pt>
                <c:pt idx="53">
                  <c:v>0.23974306489078928</c:v>
                </c:pt>
                <c:pt idx="54">
                  <c:v>0.24209692882503661</c:v>
                </c:pt>
                <c:pt idx="55">
                  <c:v>0.24446579669179533</c:v>
                </c:pt>
                <c:pt idx="56">
                  <c:v>0.246849420084021</c:v>
                </c:pt>
                <c:pt idx="57">
                  <c:v>0.24924755058917303</c:v>
                </c:pt>
                <c:pt idx="58">
                  <c:v>0.25165993979471113</c:v>
                </c:pt>
                <c:pt idx="59">
                  <c:v>0.2540867857756684</c:v>
                </c:pt>
                <c:pt idx="60">
                  <c:v>0.25652842360449091</c:v>
                </c:pt>
                <c:pt idx="61">
                  <c:v>0.25898460143553648</c:v>
                </c:pt>
                <c:pt idx="62">
                  <c:v>0.26145506474775765</c:v>
                </c:pt>
                <c:pt idx="63">
                  <c:v>0.26393955902010957</c:v>
                </c:pt>
                <c:pt idx="64">
                  <c:v>0.26643859712777318</c:v>
                </c:pt>
                <c:pt idx="65">
                  <c:v>0.26895320304351616</c:v>
                </c:pt>
                <c:pt idx="66">
                  <c:v>0.2714831302634424</c:v>
                </c:pt>
                <c:pt idx="67">
                  <c:v>0.27402811204949484</c:v>
                </c:pt>
                <c:pt idx="68">
                  <c:v>0.27658788166361808</c:v>
                </c:pt>
                <c:pt idx="69">
                  <c:v>0.27916249802475479</c:v>
                </c:pt>
                <c:pt idx="70">
                  <c:v>0.28175237987890617</c:v>
                </c:pt>
                <c:pt idx="71">
                  <c:v>0.28435727671468991</c:v>
                </c:pt>
                <c:pt idx="72">
                  <c:v>0.28697691568554595</c:v>
                </c:pt>
                <c:pt idx="73">
                  <c:v>0.28961102394491245</c:v>
                </c:pt>
                <c:pt idx="74">
                  <c:v>0.29225960101236392</c:v>
                </c:pt>
                <c:pt idx="75">
                  <c:v>0.29492309623396706</c:v>
                </c:pt>
                <c:pt idx="76">
                  <c:v>0.29760126998626424</c:v>
                </c:pt>
                <c:pt idx="77">
                  <c:v>0.30029384331418957</c:v>
                </c:pt>
                <c:pt idx="78">
                  <c:v>0.30300053726267556</c:v>
                </c:pt>
                <c:pt idx="79">
                  <c:v>0.30572122209493896</c:v>
                </c:pt>
                <c:pt idx="80">
                  <c:v>0.30845611843512588</c:v>
                </c:pt>
                <c:pt idx="81">
                  <c:v>0.31120498399467689</c:v>
                </c:pt>
                <c:pt idx="82">
                  <c:v>0.31396753574618846</c:v>
                </c:pt>
                <c:pt idx="83">
                  <c:v>0.31674349066225899</c:v>
                </c:pt>
                <c:pt idx="84">
                  <c:v>0.31953268574399646</c:v>
                </c:pt>
                <c:pt idx="85">
                  <c:v>0.32233534930321067</c:v>
                </c:pt>
                <c:pt idx="86">
                  <c:v>0.32515125268486544</c:v>
                </c:pt>
                <c:pt idx="87">
                  <c:v>0.32798010878922179</c:v>
                </c:pt>
                <c:pt idx="88">
                  <c:v>0.33082163051653996</c:v>
                </c:pt>
                <c:pt idx="89">
                  <c:v>0.3336756717811567</c:v>
                </c:pt>
                <c:pt idx="90">
                  <c:v>0.33654272059214707</c:v>
                </c:pt>
                <c:pt idx="91">
                  <c:v>0.33942260275115421</c:v>
                </c:pt>
                <c:pt idx="92">
                  <c:v>0.34231502504993389</c:v>
                </c:pt>
                <c:pt idx="93">
                  <c:v>0.3452196942802408</c:v>
                </c:pt>
                <c:pt idx="94">
                  <c:v>0.34813631723383037</c:v>
                </c:pt>
                <c:pt idx="95">
                  <c:v>0.35106460070245593</c:v>
                </c:pt>
                <c:pt idx="96">
                  <c:v>0.35400425147787445</c:v>
                </c:pt>
                <c:pt idx="97">
                  <c:v>0.3569549763518402</c:v>
                </c:pt>
                <c:pt idx="98">
                  <c:v>0.35991648211610877</c:v>
                </c:pt>
                <c:pt idx="99">
                  <c:v>0.36288850130649603</c:v>
                </c:pt>
                <c:pt idx="100">
                  <c:v>0.36587099493928926</c:v>
                </c:pt>
                <c:pt idx="101">
                  <c:v>0.36886373312183168</c:v>
                </c:pt>
                <c:pt idx="102">
                  <c:v>0.37186642060971165</c:v>
                </c:pt>
                <c:pt idx="103">
                  <c:v>0.37487876215851385</c:v>
                </c:pt>
                <c:pt idx="104">
                  <c:v>0.37790048001809101</c:v>
                </c:pt>
                <c:pt idx="105">
                  <c:v>0.38093152632094968</c:v>
                </c:pt>
                <c:pt idx="106">
                  <c:v>0.38397168437371793</c:v>
                </c:pt>
                <c:pt idx="107">
                  <c:v>0.38702065689581638</c:v>
                </c:pt>
                <c:pt idx="108">
                  <c:v>0.39007814660666207</c:v>
                </c:pt>
                <c:pt idx="109">
                  <c:v>0.39314385622567377</c:v>
                </c:pt>
                <c:pt idx="110">
                  <c:v>0.39621748847227001</c:v>
                </c:pt>
                <c:pt idx="111">
                  <c:v>0.39929874606586785</c:v>
                </c:pt>
                <c:pt idx="112">
                  <c:v>0.40238733172588742</c:v>
                </c:pt>
                <c:pt idx="113">
                  <c:v>0.40548294817174596</c:v>
                </c:pt>
                <c:pt idx="114">
                  <c:v>0.40858530388174247</c:v>
                </c:pt>
                <c:pt idx="115">
                  <c:v>0.4116943257004943</c:v>
                </c:pt>
                <c:pt idx="116">
                  <c:v>0.4148098301616584</c:v>
                </c:pt>
                <c:pt idx="117">
                  <c:v>0.41793151794848499</c:v>
                </c:pt>
                <c:pt idx="118">
                  <c:v>0.4210590897442239</c:v>
                </c:pt>
                <c:pt idx="119">
                  <c:v>0.42419225078124628</c:v>
                </c:pt>
                <c:pt idx="120">
                  <c:v>0.42733111717991318</c:v>
                </c:pt>
                <c:pt idx="121">
                  <c:v>0.43047565730996923</c:v>
                </c:pt>
                <c:pt idx="122">
                  <c:v>0.43362556778232775</c:v>
                </c:pt>
                <c:pt idx="123">
                  <c:v>0.43678054520790122</c:v>
                </c:pt>
                <c:pt idx="124">
                  <c:v>0.43994028619760445</c:v>
                </c:pt>
                <c:pt idx="125">
                  <c:v>0.44310448736234975</c:v>
                </c:pt>
                <c:pt idx="126">
                  <c:v>0.44627284531305067</c:v>
                </c:pt>
                <c:pt idx="127">
                  <c:v>0.4494450566606194</c:v>
                </c:pt>
                <c:pt idx="128">
                  <c:v>0.45262081801597115</c:v>
                </c:pt>
                <c:pt idx="129">
                  <c:v>0.45579982599001673</c:v>
                </c:pt>
                <c:pt idx="130">
                  <c:v>0.45898194275854742</c:v>
                </c:pt>
                <c:pt idx="131">
                  <c:v>0.46216704340421105</c:v>
                </c:pt>
                <c:pt idx="132">
                  <c:v>0.46535482257759486</c:v>
                </c:pt>
                <c:pt idx="133">
                  <c:v>0.46854497485344437</c:v>
                </c:pt>
                <c:pt idx="134">
                  <c:v>0.47173719480650428</c:v>
                </c:pt>
                <c:pt idx="135">
                  <c:v>0.47493117701151949</c:v>
                </c:pt>
                <c:pt idx="136">
                  <c:v>0.47812661604323448</c:v>
                </c:pt>
                <c:pt idx="137">
                  <c:v>0.48132320647639487</c:v>
                </c:pt>
                <c:pt idx="138">
                  <c:v>0.48452064288574453</c:v>
                </c:pt>
                <c:pt idx="139">
                  <c:v>0.48771861984602793</c:v>
                </c:pt>
                <c:pt idx="140">
                  <c:v>0.49091683193199209</c:v>
                </c:pt>
                <c:pt idx="141">
                  <c:v>0.49411497371837981</c:v>
                </c:pt>
                <c:pt idx="142">
                  <c:v>0.4973127397799369</c:v>
                </c:pt>
                <c:pt idx="143">
                  <c:v>0.50050982469140781</c:v>
                </c:pt>
                <c:pt idx="144">
                  <c:v>0.5037059230275388</c:v>
                </c:pt>
                <c:pt idx="145">
                  <c:v>0.50690072936307262</c:v>
                </c:pt>
                <c:pt idx="146">
                  <c:v>0.51009393827275584</c:v>
                </c:pt>
                <c:pt idx="147">
                  <c:v>0.5132852443313316</c:v>
                </c:pt>
                <c:pt idx="148">
                  <c:v>0.51647434211354548</c:v>
                </c:pt>
                <c:pt idx="149">
                  <c:v>0.5196609261941435</c:v>
                </c:pt>
                <c:pt idx="150">
                  <c:v>0.52284469114786924</c:v>
                </c:pt>
                <c:pt idx="151">
                  <c:v>0.52602533154946718</c:v>
                </c:pt>
                <c:pt idx="152">
                  <c:v>0.52920254197368422</c:v>
                </c:pt>
                <c:pt idx="153">
                  <c:v>0.53237601699526393</c:v>
                </c:pt>
                <c:pt idx="154">
                  <c:v>0.53554545118895047</c:v>
                </c:pt>
                <c:pt idx="155">
                  <c:v>0.53871053912948874</c:v>
                </c:pt>
                <c:pt idx="156">
                  <c:v>0.54187097539162521</c:v>
                </c:pt>
                <c:pt idx="157">
                  <c:v>0.54502645455010468</c:v>
                </c:pt>
                <c:pt idx="158">
                  <c:v>0.54817667117966917</c:v>
                </c:pt>
                <c:pt idx="159">
                  <c:v>0.55132131985506727</c:v>
                </c:pt>
                <c:pt idx="160">
                  <c:v>0.55446009515104122</c:v>
                </c:pt>
                <c:pt idx="161">
                  <c:v>0.55759269164233738</c:v>
                </c:pt>
                <c:pt idx="162">
                  <c:v>0.56071880390369899</c:v>
                </c:pt>
                <c:pt idx="163">
                  <c:v>0.56383812650987286</c:v>
                </c:pt>
                <c:pt idx="164">
                  <c:v>0.56695035403560179</c:v>
                </c:pt>
                <c:pt idx="165">
                  <c:v>0.5700551810556318</c:v>
                </c:pt>
                <c:pt idx="166">
                  <c:v>0.57315230214470858</c:v>
                </c:pt>
                <c:pt idx="167">
                  <c:v>0.57624141187757583</c:v>
                </c:pt>
                <c:pt idx="168">
                  <c:v>0.57932220482897923</c:v>
                </c:pt>
                <c:pt idx="169">
                  <c:v>0.58239437557366114</c:v>
                </c:pt>
                <c:pt idx="170">
                  <c:v>0.58545761876221236</c:v>
                </c:pt>
                <c:pt idx="171">
                  <c:v>0.58851180947728043</c:v>
                </c:pt>
                <c:pt idx="172">
                  <c:v>0.59155680989465431</c:v>
                </c:pt>
                <c:pt idx="173">
                  <c:v>0.59459231662524759</c:v>
                </c:pt>
                <c:pt idx="174">
                  <c:v>0.59761802627997307</c:v>
                </c:pt>
                <c:pt idx="175">
                  <c:v>0.60063363546974524</c:v>
                </c:pt>
                <c:pt idx="176">
                  <c:v>0.60363899831302137</c:v>
                </c:pt>
                <c:pt idx="177">
                  <c:v>0.60663400157991132</c:v>
                </c:pt>
                <c:pt idx="178">
                  <c:v>0.60961834429750061</c:v>
                </c:pt>
                <c:pt idx="179">
                  <c:v>0.61259172511287108</c:v>
                </c:pt>
                <c:pt idx="180">
                  <c:v>0.61555384267310387</c:v>
                </c:pt>
                <c:pt idx="181">
                  <c:v>0.61850466738411325</c:v>
                </c:pt>
                <c:pt idx="182">
                  <c:v>0.62144431740242789</c:v>
                </c:pt>
                <c:pt idx="183">
                  <c:v>0.62437249999658595</c:v>
                </c:pt>
                <c:pt idx="184">
                  <c:v>0.62728891788600716</c:v>
                </c:pt>
                <c:pt idx="185">
                  <c:v>0.6301932737901097</c:v>
                </c:pt>
                <c:pt idx="186">
                  <c:v>0.63308608138115774</c:v>
                </c:pt>
                <c:pt idx="187">
                  <c:v>0.63596862650815122</c:v>
                </c:pt>
                <c:pt idx="188">
                  <c:v>0.63884066645584392</c:v>
                </c:pt>
                <c:pt idx="189">
                  <c:v>0.64170191819683264</c:v>
                </c:pt>
                <c:pt idx="190">
                  <c:v>0.64455209870371355</c:v>
                </c:pt>
                <c:pt idx="191">
                  <c:v>0.64739219140757076</c:v>
                </c:pt>
                <c:pt idx="192">
                  <c:v>0.65022502522620418</c:v>
                </c:pt>
                <c:pt idx="193">
                  <c:v>0.65305048442263469</c:v>
                </c:pt>
                <c:pt idx="194">
                  <c:v>0.65586831243964927</c:v>
                </c:pt>
                <c:pt idx="195">
                  <c:v>0.65867825272003144</c:v>
                </c:pt>
                <c:pt idx="196">
                  <c:v>0.66148109634032382</c:v>
                </c:pt>
                <c:pt idx="197">
                  <c:v>0.66427982911345285</c:v>
                </c:pt>
                <c:pt idx="198">
                  <c:v>0.66707444837783114</c:v>
                </c:pt>
                <c:pt idx="199">
                  <c:v>0.66986472404643371</c:v>
                </c:pt>
                <c:pt idx="200">
                  <c:v>0.67265042603223746</c:v>
                </c:pt>
                <c:pt idx="201">
                  <c:v>0.67543178171051799</c:v>
                </c:pt>
                <c:pt idx="202">
                  <c:v>0.67821035481914715</c:v>
                </c:pt>
                <c:pt idx="203">
                  <c:v>0.68098610973271012</c:v>
                </c:pt>
                <c:pt idx="204">
                  <c:v>0.68375883061736131</c:v>
                </c:pt>
                <c:pt idx="205">
                  <c:v>0.68652830163925183</c:v>
                </c:pt>
                <c:pt idx="206">
                  <c:v>0.68929451381607942</c:v>
                </c:pt>
                <c:pt idx="207">
                  <c:v>0.6920582910120191</c:v>
                </c:pt>
                <c:pt idx="208">
                  <c:v>0.6948195678622251</c:v>
                </c:pt>
                <c:pt idx="209">
                  <c:v>0.69757813667752544</c:v>
                </c:pt>
                <c:pt idx="210">
                  <c:v>0.70033378976874539</c:v>
                </c:pt>
                <c:pt idx="211">
                  <c:v>0.70308631944671329</c:v>
                </c:pt>
                <c:pt idx="212">
                  <c:v>0.70583551802225319</c:v>
                </c:pt>
                <c:pt idx="213">
                  <c:v>0.70858117780619378</c:v>
                </c:pt>
                <c:pt idx="214">
                  <c:v>0.71132309110936087</c:v>
                </c:pt>
                <c:pt idx="215">
                  <c:v>0.7140610502425796</c:v>
                </c:pt>
                <c:pt idx="216">
                  <c:v>0.71679490596138362</c:v>
                </c:pt>
                <c:pt idx="217">
                  <c:v>0.71952496598814686</c:v>
                </c:pt>
                <c:pt idx="218">
                  <c:v>0.72225114673454482</c:v>
                </c:pt>
                <c:pt idx="219">
                  <c:v>0.72497324458374113</c:v>
                </c:pt>
                <c:pt idx="220">
                  <c:v>0.72769105591889927</c:v>
                </c:pt>
                <c:pt idx="221">
                  <c:v>0.73040437712318196</c:v>
                </c:pt>
                <c:pt idx="222">
                  <c:v>0.73311300457975181</c:v>
                </c:pt>
                <c:pt idx="223">
                  <c:v>0.73581673467177533</c:v>
                </c:pt>
                <c:pt idx="224">
                  <c:v>0.73851536378241145</c:v>
                </c:pt>
                <c:pt idx="225">
                  <c:v>0.74120868829482656</c:v>
                </c:pt>
                <c:pt idx="226">
                  <c:v>0.74389650459218193</c:v>
                </c:pt>
                <c:pt idx="227">
                  <c:v>0.74657860905764184</c:v>
                </c:pt>
                <c:pt idx="228">
                  <c:v>0.74925479807436934</c:v>
                </c:pt>
                <c:pt idx="229">
                  <c:v>0.75192486802552827</c:v>
                </c:pt>
                <c:pt idx="230">
                  <c:v>0.75458861529428034</c:v>
                </c:pt>
                <c:pt idx="231">
                  <c:v>0.75724583626378938</c:v>
                </c:pt>
                <c:pt idx="232">
                  <c:v>0.75989632731722001</c:v>
                </c:pt>
                <c:pt idx="233">
                  <c:v>0.76253988483773438</c:v>
                </c:pt>
                <c:pt idx="234">
                  <c:v>0.765176305208494</c:v>
                </c:pt>
                <c:pt idx="235">
                  <c:v>0.76780538481266636</c:v>
                </c:pt>
                <c:pt idx="236">
                  <c:v>0.77042692003341107</c:v>
                </c:pt>
                <c:pt idx="237">
                  <c:v>0.77304070725389229</c:v>
                </c:pt>
                <c:pt idx="238">
                  <c:v>0.77564654285727452</c:v>
                </c:pt>
                <c:pt idx="239">
                  <c:v>0.77824422322671905</c:v>
                </c:pt>
                <c:pt idx="240">
                  <c:v>0.78083354474539068</c:v>
                </c:pt>
                <c:pt idx="241">
                  <c:v>0.78341430379645127</c:v>
                </c:pt>
                <c:pt idx="242">
                  <c:v>0.78598629676306531</c:v>
                </c:pt>
                <c:pt idx="243">
                  <c:v>0.78854932002839473</c:v>
                </c:pt>
                <c:pt idx="244">
                  <c:v>0.79110316997560393</c:v>
                </c:pt>
                <c:pt idx="245">
                  <c:v>0.79364764298785573</c:v>
                </c:pt>
                <c:pt idx="246">
                  <c:v>0.7961825354483143</c:v>
                </c:pt>
                <c:pt idx="247">
                  <c:v>0.79870764374014125</c:v>
                </c:pt>
                <c:pt idx="248">
                  <c:v>0.80122276424650063</c:v>
                </c:pt>
                <c:pt idx="249">
                  <c:v>0.80372769335055627</c:v>
                </c:pt>
                <c:pt idx="250">
                  <c:v>0.80622222743547067</c:v>
                </c:pt>
                <c:pt idx="251">
                  <c:v>0.808706162884407</c:v>
                </c:pt>
                <c:pt idx="252">
                  <c:v>0.81117929608052874</c:v>
                </c:pt>
                <c:pt idx="253">
                  <c:v>0.81364142340699852</c:v>
                </c:pt>
                <c:pt idx="254">
                  <c:v>0.81609234124697916</c:v>
                </c:pt>
                <c:pt idx="255">
                  <c:v>0.81853184598363704</c:v>
                </c:pt>
                <c:pt idx="256">
                  <c:v>0.82095973400013322</c:v>
                </c:pt>
                <c:pt idx="257">
                  <c:v>0.8233758016796302</c:v>
                </c:pt>
                <c:pt idx="258">
                  <c:v>0.82577984540529104</c:v>
                </c:pt>
                <c:pt idx="259">
                  <c:v>0.82817166156028155</c:v>
                </c:pt>
                <c:pt idx="260">
                  <c:v>0.83055104652776268</c:v>
                </c:pt>
                <c:pt idx="261">
                  <c:v>0.83291779669089872</c:v>
                </c:pt>
                <c:pt idx="262">
                  <c:v>0.83527170843285214</c:v>
                </c:pt>
                <c:pt idx="263">
                  <c:v>0.83761257813678636</c:v>
                </c:pt>
                <c:pt idx="264">
                  <c:v>0.83994020218586529</c:v>
                </c:pt>
                <c:pt idx="265">
                  <c:v>0.84225437696325223</c:v>
                </c:pt>
                <c:pt idx="266">
                  <c:v>0.84455489885210899</c:v>
                </c:pt>
                <c:pt idx="267">
                  <c:v>0.84684156423560042</c:v>
                </c:pt>
                <c:pt idx="268">
                  <c:v>0.849114169496888</c:v>
                </c:pt>
                <c:pt idx="269">
                  <c:v>0.85137251101913725</c:v>
                </c:pt>
                <c:pt idx="270">
                  <c:v>0.85361638518550798</c:v>
                </c:pt>
                <c:pt idx="271">
                  <c:v>0.85584558837916824</c:v>
                </c:pt>
                <c:pt idx="272">
                  <c:v>0.85805999361191176</c:v>
                </c:pt>
                <c:pt idx="273">
                  <c:v>0.86025964869044591</c:v>
                </c:pt>
                <c:pt idx="274">
                  <c:v>0.86244437144197639</c:v>
                </c:pt>
                <c:pt idx="275">
                  <c:v>0.8646139602858367</c:v>
                </c:pt>
                <c:pt idx="276">
                  <c:v>0.86676821364135914</c:v>
                </c:pt>
                <c:pt idx="277">
                  <c:v>0.86890692992787366</c:v>
                </c:pt>
                <c:pt idx="278">
                  <c:v>0.87102990756471366</c:v>
                </c:pt>
                <c:pt idx="279">
                  <c:v>0.8731369449712082</c:v>
                </c:pt>
                <c:pt idx="280">
                  <c:v>0.87522784056669123</c:v>
                </c:pt>
                <c:pt idx="281">
                  <c:v>0.87730239277049349</c:v>
                </c:pt>
                <c:pt idx="282">
                  <c:v>0.87936040000194704</c:v>
                </c:pt>
                <c:pt idx="283">
                  <c:v>0.88140166068038295</c:v>
                </c:pt>
                <c:pt idx="284">
                  <c:v>0.88342597322513217</c:v>
                </c:pt>
                <c:pt idx="285">
                  <c:v>0.88543313605552798</c:v>
                </c:pt>
                <c:pt idx="286">
                  <c:v>0.88742294759090101</c:v>
                </c:pt>
                <c:pt idx="287">
                  <c:v>0.88939528006763136</c:v>
                </c:pt>
                <c:pt idx="288">
                  <c:v>0.89135045196298623</c:v>
                </c:pt>
                <c:pt idx="289">
                  <c:v>0.89328836598548433</c:v>
                </c:pt>
                <c:pt idx="290">
                  <c:v>0.89520882462679296</c:v>
                </c:pt>
                <c:pt idx="291">
                  <c:v>0.89711163037858244</c:v>
                </c:pt>
                <c:pt idx="292">
                  <c:v>0.89899658573251984</c:v>
                </c:pt>
                <c:pt idx="293">
                  <c:v>0.90086349318027359</c:v>
                </c:pt>
                <c:pt idx="294">
                  <c:v>0.90271215521351</c:v>
                </c:pt>
                <c:pt idx="295">
                  <c:v>0.90454237432390072</c:v>
                </c:pt>
                <c:pt idx="296">
                  <c:v>0.90635395300311361</c:v>
                </c:pt>
                <c:pt idx="297">
                  <c:v>0.90814673055338269</c:v>
                </c:pt>
                <c:pt idx="298">
                  <c:v>0.90992100918447227</c:v>
                </c:pt>
                <c:pt idx="299">
                  <c:v>0.91167675247138091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B8-44BB-83DE-68E5A450AD6F}"/>
            </c:ext>
          </c:extLst>
        </c:ser>
        <c:ser>
          <c:idx val="3"/>
          <c:order val="3"/>
          <c:tx>
            <c:v>Gaussowska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'Irysy - estymacja g. i d.'!$H$6:$H$305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xVal>
          <c:yVal>
            <c:numRef>
              <c:f>'Irysy - estymacja g. i d.'!$AE$6:$AE$305</c:f>
              <c:numCache>
                <c:formatCode>General</c:formatCode>
                <c:ptCount val="300"/>
                <c:pt idx="0">
                  <c:v>8.5699561101120217E-2</c:v>
                </c:pt>
                <c:pt idx="1">
                  <c:v>8.8725515201229843E-2</c:v>
                </c:pt>
                <c:pt idx="2">
                  <c:v>9.1804793337098345E-2</c:v>
                </c:pt>
                <c:pt idx="3">
                  <c:v>9.4935911745515106E-2</c:v>
                </c:pt>
                <c:pt idx="4">
                  <c:v>9.8117281878348089E-2</c:v>
                </c:pt>
                <c:pt idx="5">
                  <c:v>0.10134721254133493</c:v>
                </c:pt>
                <c:pt idx="6">
                  <c:v>0.10462391239705281</c:v>
                </c:pt>
                <c:pt idx="7">
                  <c:v>0.10794549282832809</c:v>
                </c:pt>
                <c:pt idx="8">
                  <c:v>0.11130997115661205</c:v>
                </c:pt>
                <c:pt idx="9">
                  <c:v>0.11471527420810197</c:v>
                </c:pt>
                <c:pt idx="10">
                  <c:v>0.11815924221868467</c:v>
                </c:pt>
                <c:pt idx="11">
                  <c:v>0.12163963306706609</c:v>
                </c:pt>
                <c:pt idx="12">
                  <c:v>0.12515412682380481</c:v>
                </c:pt>
                <c:pt idx="13">
                  <c:v>0.1287003306023608</c:v>
                </c:pt>
                <c:pt idx="14">
                  <c:v>0.13227578369671131</c:v>
                </c:pt>
                <c:pt idx="15">
                  <c:v>0.13587796298861279</c:v>
                </c:pt>
                <c:pt idx="16">
                  <c:v>0.13950428860618197</c:v>
                </c:pt>
                <c:pt idx="17">
                  <c:v>0.14315212981415606</c:v>
                </c:pt>
                <c:pt idx="18">
                  <c:v>0.14681881111497858</c:v>
                </c:pt>
                <c:pt idx="19">
                  <c:v>0.15050161853873781</c:v>
                </c:pt>
                <c:pt idx="20">
                  <c:v>0.15419780609899475</c:v>
                </c:pt>
                <c:pt idx="21">
                  <c:v>0.15790460239065565</c:v>
                </c:pt>
                <c:pt idx="22">
                  <c:v>0.16161921730529058</c:v>
                </c:pt>
                <c:pt idx="23">
                  <c:v>0.16533884883868161</c:v>
                </c:pt>
                <c:pt idx="24">
                  <c:v>0.16906068996489115</c:v>
                </c:pt>
                <c:pt idx="25">
                  <c:v>0.17278193555079832</c:v>
                </c:pt>
                <c:pt idx="26">
                  <c:v>0.17649978928484572</c:v>
                </c:pt>
                <c:pt idx="27">
                  <c:v>0.18021147059366793</c:v>
                </c:pt>
                <c:pt idx="28">
                  <c:v>0.18391422152035133</c:v>
                </c:pt>
                <c:pt idx="29">
                  <c:v>0.18760531353830809</c:v>
                </c:pt>
                <c:pt idx="30">
                  <c:v>0.19128205427508141</c:v>
                </c:pt>
                <c:pt idx="31">
                  <c:v>0.19494179412092297</c:v>
                </c:pt>
                <c:pt idx="32">
                  <c:v>0.19858193269760055</c:v>
                </c:pt>
                <c:pt idx="33">
                  <c:v>0.2021999251636559</c:v>
                </c:pt>
                <c:pt idx="34">
                  <c:v>0.20579328833322097</c:v>
                </c:pt>
                <c:pt idx="35">
                  <c:v>0.20935960658651012</c:v>
                </c:pt>
                <c:pt idx="36">
                  <c:v>0.2128965375512023</c:v>
                </c:pt>
                <c:pt idx="37">
                  <c:v>0.21640181753516571</c:v>
                </c:pt>
                <c:pt idx="38">
                  <c:v>0.21987326669227406</c:v>
                </c:pt>
                <c:pt idx="39">
                  <c:v>0.22330879390446526</c:v>
                </c:pt>
                <c:pt idx="40">
                  <c:v>0.22670640136466902</c:v>
                </c:pt>
                <c:pt idx="41">
                  <c:v>0.23006418884677496</c:v>
                </c:pt>
                <c:pt idx="42">
                  <c:v>0.23338035765038706</c:v>
                </c:pt>
                <c:pt idx="43">
                  <c:v>0.23665321420977706</c:v>
                </c:pt>
                <c:pt idx="44">
                  <c:v>0.23988117335811096</c:v>
                </c:pt>
                <c:pt idx="45">
                  <c:v>0.24306276123971324</c:v>
                </c:pt>
                <c:pt idx="46">
                  <c:v>0.24619661786486835</c:v>
                </c:pt>
                <c:pt idx="47">
                  <c:v>0.24928149930334503</c:v>
                </c:pt>
                <c:pt idx="48">
                  <c:v>0.25231627951454516</c:v>
                </c:pt>
                <c:pt idx="49">
                  <c:v>0.25529995181386578</c:v>
                </c:pt>
                <c:pt idx="50">
                  <c:v>0.25823162997651306</c:v>
                </c:pt>
                <c:pt idx="51">
                  <c:v>0.26111054898161085</c:v>
                </c:pt>
                <c:pt idx="52">
                  <c:v>0.26393606540103931</c:v>
                </c:pt>
                <c:pt idx="53">
                  <c:v>0.26670765743891206</c:v>
                </c:pt>
                <c:pt idx="54">
                  <c:v>0.26942492462908185</c:v>
                </c:pt>
                <c:pt idx="55">
                  <c:v>0.27208758719939058</c:v>
                </c:pt>
                <c:pt idx="56">
                  <c:v>0.27469548511271502</c:v>
                </c:pt>
                <c:pt idx="57">
                  <c:v>0.27724857679601539</c:v>
                </c:pt>
                <c:pt idx="58">
                  <c:v>0.27974693756974328</c:v>
                </c:pt>
                <c:pt idx="59">
                  <c:v>0.28219075779095298</c:v>
                </c:pt>
                <c:pt idx="60">
                  <c:v>0.28458034072438471</c:v>
                </c:pt>
                <c:pt idx="61">
                  <c:v>0.28691610015659275</c:v>
                </c:pt>
                <c:pt idx="62">
                  <c:v>0.28919855776889797</c:v>
                </c:pt>
                <c:pt idx="63">
                  <c:v>0.29142834028553838</c:v>
                </c:pt>
                <c:pt idx="64">
                  <c:v>0.29360617641387404</c:v>
                </c:pt>
                <c:pt idx="65">
                  <c:v>0.29573289359388327</c:v>
                </c:pt>
                <c:pt idx="66">
                  <c:v>0.29780941457447552</c:v>
                </c:pt>
                <c:pt idx="67">
                  <c:v>0.29983675383427427</c:v>
                </c:pt>
                <c:pt idx="68">
                  <c:v>0.30181601386462109</c:v>
                </c:pt>
                <c:pt idx="69">
                  <c:v>0.30374838133250709</c:v>
                </c:pt>
                <c:pt idx="70">
                  <c:v>0.3056351231409799</c:v>
                </c:pt>
                <c:pt idx="71">
                  <c:v>0.30747758240436646</c:v>
                </c:pt>
                <c:pt idx="72">
                  <c:v>0.30927717435534147</c:v>
                </c:pt>
                <c:pt idx="73">
                  <c:v>0.31103538220044202</c:v>
                </c:pt>
                <c:pt idx="74">
                  <c:v>0.31275375294017993</c:v>
                </c:pt>
                <c:pt idx="75">
                  <c:v>0.31443389316934089</c:v>
                </c:pt>
                <c:pt idx="76">
                  <c:v>0.31607746487242844</c:v>
                </c:pt>
                <c:pt idx="77">
                  <c:v>0.31768618122858339</c:v>
                </c:pt>
                <c:pt idx="78">
                  <c:v>0.31926180243951402</c:v>
                </c:pt>
                <c:pt idx="79">
                  <c:v>0.32080613159326177</c:v>
                </c:pt>
                <c:pt idx="80">
                  <c:v>0.32232101057576906</c:v>
                </c:pt>
                <c:pt idx="81">
                  <c:v>0.3238083160414007</c:v>
                </c:pt>
                <c:pt idx="82">
                  <c:v>0.3252699554526795</c:v>
                </c:pt>
                <c:pt idx="83">
                  <c:v>0.32670786319862088</c:v>
                </c:pt>
                <c:pt idx="84">
                  <c:v>0.32812399680013987</c:v>
                </c:pt>
                <c:pt idx="85">
                  <c:v>0.32952033321010582</c:v>
                </c:pt>
                <c:pt idx="86">
                  <c:v>0.33089886521470685</c:v>
                </c:pt>
                <c:pt idx="87">
                  <c:v>0.33226159794189514</c:v>
                </c:pt>
                <c:pt idx="88">
                  <c:v>0.33361054548176949</c:v>
                </c:pt>
                <c:pt idx="89">
                  <c:v>0.33494772762293612</c:v>
                </c:pt>
                <c:pt idx="90">
                  <c:v>0.33627516670797114</c:v>
                </c:pt>
                <c:pt idx="91">
                  <c:v>0.33759488461035275</c:v>
                </c:pt>
                <c:pt idx="92">
                  <c:v>0.33890889983438899</c:v>
                </c:pt>
                <c:pt idx="93">
                  <c:v>0.34021922473896093</c:v>
                </c:pt>
                <c:pt idx="94">
                  <c:v>0.34152786288514225</c:v>
                </c:pt>
                <c:pt idx="95">
                  <c:v>0.34283680650712078</c:v>
                </c:pt>
                <c:pt idx="96">
                  <c:v>0.34414803410519534</c:v>
                </c:pt>
                <c:pt idx="97">
                  <c:v>0.34546350815904653</c:v>
                </c:pt>
                <c:pt idx="98">
                  <c:v>0.34678517295895256</c:v>
                </c:pt>
                <c:pt idx="99">
                  <c:v>0.34811495255212821</c:v>
                </c:pt>
                <c:pt idx="100">
                  <c:v>0.3494547488009459</c:v>
                </c:pt>
                <c:pt idx="101">
                  <c:v>0.35080643954938417</c:v>
                </c:pt>
                <c:pt idx="102">
                  <c:v>0.35217187689376989</c:v>
                </c:pt>
                <c:pt idx="103">
                  <c:v>0.35355288555354958</c:v>
                </c:pt>
                <c:pt idx="104">
                  <c:v>0.35495126133763027</c:v>
                </c:pt>
                <c:pt idx="105">
                  <c:v>0.35636876970162429</c:v>
                </c:pt>
                <c:pt idx="106">
                  <c:v>0.35780714439123834</c:v>
                </c:pt>
                <c:pt idx="107">
                  <c:v>0.35926808616690942</c:v>
                </c:pt>
                <c:pt idx="108">
                  <c:v>0.36075326160481053</c:v>
                </c:pt>
                <c:pt idx="109">
                  <c:v>0.36226430196929632</c:v>
                </c:pt>
                <c:pt idx="110">
                  <c:v>0.36380280215194694</c:v>
                </c:pt>
                <c:pt idx="111">
                  <c:v>0.36537031967242728</c:v>
                </c:pt>
                <c:pt idx="112">
                  <c:v>0.36696837373649727</c:v>
                </c:pt>
                <c:pt idx="113">
                  <c:v>0.36859844434667827</c:v>
                </c:pt>
                <c:pt idx="114">
                  <c:v>0.37026197146124334</c:v>
                </c:pt>
                <c:pt idx="115">
                  <c:v>0.37196035419741164</c:v>
                </c:pt>
                <c:pt idx="116">
                  <c:v>0.37369495007487769</c:v>
                </c:pt>
                <c:pt idx="117">
                  <c:v>0.37546707429603954</c:v>
                </c:pt>
                <c:pt idx="118">
                  <c:v>0.37727799905957898</c:v>
                </c:pt>
                <c:pt idx="119">
                  <c:v>0.37912895290432364</c:v>
                </c:pt>
                <c:pt idx="120">
                  <c:v>0.38102112008064071</c:v>
                </c:pt>
                <c:pt idx="121">
                  <c:v>0.38295563994690485</c:v>
                </c:pt>
                <c:pt idx="122">
                  <c:v>0.38493360638891266</c:v>
                </c:pt>
                <c:pt idx="123">
                  <c:v>0.38695606726042903</c:v>
                </c:pt>
                <c:pt idx="124">
                  <c:v>0.38902402384339008</c:v>
                </c:pt>
                <c:pt idx="125">
                  <c:v>0.39113843032658335</c:v>
                </c:pt>
                <c:pt idx="126">
                  <c:v>0.3933001933019778</c:v>
                </c:pt>
                <c:pt idx="127">
                  <c:v>0.39551017127814397</c:v>
                </c:pt>
                <c:pt idx="128">
                  <c:v>0.39776917421055785</c:v>
                </c:pt>
                <c:pt idx="129">
                  <c:v>0.4000779630488398</c:v>
                </c:pt>
                <c:pt idx="130">
                  <c:v>0.4024372493012553</c:v>
                </c:pt>
                <c:pt idx="131">
                  <c:v>0.40484769461711106</c:v>
                </c:pt>
                <c:pt idx="132">
                  <c:v>0.40730991038788761</c:v>
                </c:pt>
                <c:pt idx="133">
                  <c:v>0.40982445736819684</c:v>
                </c:pt>
                <c:pt idx="134">
                  <c:v>0.41239184531787876</c:v>
                </c:pt>
                <c:pt idx="135">
                  <c:v>0.41501253266673599</c:v>
                </c:pt>
                <c:pt idx="136">
                  <c:v>0.4176869262035694</c:v>
                </c:pt>
                <c:pt idx="137">
                  <c:v>0.4204153807913576</c:v>
                </c:pt>
                <c:pt idx="138">
                  <c:v>0.42319819911052659</c:v>
                </c:pt>
                <c:pt idx="139">
                  <c:v>0.42603563143238304</c:v>
                </c:pt>
                <c:pt idx="140">
                  <c:v>0.42892787542486427</c:v>
                </c:pt>
                <c:pt idx="141">
                  <c:v>0.43187507599282382</c:v>
                </c:pt>
                <c:pt idx="142">
                  <c:v>0.43487732515510297</c:v>
                </c:pt>
                <c:pt idx="143">
                  <c:v>0.43793466196068048</c:v>
                </c:pt>
                <c:pt idx="144">
                  <c:v>0.44104707244616131</c:v>
                </c:pt>
                <c:pt idx="145">
                  <c:v>0.44421448963685634</c:v>
                </c:pt>
                <c:pt idx="146">
                  <c:v>0.44743679359365812</c:v>
                </c:pt>
                <c:pt idx="147">
                  <c:v>0.45071381150784284</c:v>
                </c:pt>
                <c:pt idx="148">
                  <c:v>0.45404531784584906</c:v>
                </c:pt>
                <c:pt idx="149">
                  <c:v>0.45743103454597406</c:v>
                </c:pt>
                <c:pt idx="150">
                  <c:v>0.46087063126881245</c:v>
                </c:pt>
                <c:pt idx="151">
                  <c:v>0.46436372570310569</c:v>
                </c:pt>
                <c:pt idx="152">
                  <c:v>0.46790988392853583</c:v>
                </c:pt>
                <c:pt idx="153">
                  <c:v>0.47150862083680634</c:v>
                </c:pt>
                <c:pt idx="154">
                  <c:v>0.47515940061219986</c:v>
                </c:pt>
                <c:pt idx="155">
                  <c:v>0.47886163727255704</c:v>
                </c:pt>
                <c:pt idx="156">
                  <c:v>0.48261469527147116</c:v>
                </c:pt>
                <c:pt idx="157">
                  <c:v>0.4864178901622494</c:v>
                </c:pt>
                <c:pt idx="158">
                  <c:v>0.4902704893239625</c:v>
                </c:pt>
                <c:pt idx="159">
                  <c:v>0.49417171274969701</c:v>
                </c:pt>
                <c:pt idx="160">
                  <c:v>0.49812073389688605</c:v>
                </c:pt>
                <c:pt idx="161">
                  <c:v>0.50211668059934045</c:v>
                </c:pt>
                <c:pt idx="162">
                  <c:v>0.50615863604040401</c:v>
                </c:pt>
                <c:pt idx="163">
                  <c:v>0.51024563978636628</c:v>
                </c:pt>
                <c:pt idx="164">
                  <c:v>0.51437668887907995</c:v>
                </c:pt>
                <c:pt idx="165">
                  <c:v>0.51855073898646775</c:v>
                </c:pt>
                <c:pt idx="166">
                  <c:v>0.52276670560938054</c:v>
                </c:pt>
                <c:pt idx="167">
                  <c:v>0.527023465343052</c:v>
                </c:pt>
                <c:pt idx="168">
                  <c:v>0.53131985719115482</c:v>
                </c:pt>
                <c:pt idx="169">
                  <c:v>0.53565468393029891</c:v>
                </c:pt>
                <c:pt idx="170">
                  <c:v>0.54002671352256393</c:v>
                </c:pt>
                <c:pt idx="171">
                  <c:v>0.54443468057349131</c:v>
                </c:pt>
                <c:pt idx="172">
                  <c:v>0.54887728783279066</c:v>
                </c:pt>
                <c:pt idx="173">
                  <c:v>0.55335320773484054</c:v>
                </c:pt>
                <c:pt idx="174">
                  <c:v>0.55786108397590728</c:v>
                </c:pt>
                <c:pt idx="175">
                  <c:v>0.56239953312487523</c:v>
                </c:pt>
                <c:pt idx="176">
                  <c:v>0.56696714626415778</c:v>
                </c:pt>
                <c:pt idx="177">
                  <c:v>0.57156249065735121</c:v>
                </c:pt>
                <c:pt idx="178">
                  <c:v>0.57618411144010651</c:v>
                </c:pt>
                <c:pt idx="179">
                  <c:v>0.58083053333060575</c:v>
                </c:pt>
                <c:pt idx="180">
                  <c:v>0.58550026235599018</c:v>
                </c:pt>
                <c:pt idx="181">
                  <c:v>0.5901917875910434</c:v>
                </c:pt>
                <c:pt idx="182">
                  <c:v>0.59490358290539491</c:v>
                </c:pt>
                <c:pt idx="183">
                  <c:v>0.59963410871552503</c:v>
                </c:pt>
                <c:pt idx="184">
                  <c:v>0.6043818137378606</c:v>
                </c:pt>
                <c:pt idx="185">
                  <c:v>0.60914513673925463</c:v>
                </c:pt>
                <c:pt idx="186">
                  <c:v>0.61392250828123962</c:v>
                </c:pt>
                <c:pt idx="187">
                  <c:v>0.61871235245444389</c:v>
                </c:pt>
                <c:pt idx="188">
                  <c:v>0.62351308859970755</c:v>
                </c:pt>
                <c:pt idx="189">
                  <c:v>0.62832313301245768</c:v>
                </c:pt>
                <c:pt idx="190">
                  <c:v>0.63314090062707562</c:v>
                </c:pt>
                <c:pt idx="191">
                  <c:v>0.63796480667806554</c:v>
                </c:pt>
                <c:pt idx="192">
                  <c:v>0.6427932683349995</c:v>
                </c:pt>
                <c:pt idx="193">
                  <c:v>0.64762470630832358</c:v>
                </c:pt>
                <c:pt idx="194">
                  <c:v>0.6524575464233292</c:v>
                </c:pt>
                <c:pt idx="195">
                  <c:v>0.65729022115969471</c:v>
                </c:pt>
                <c:pt idx="196">
                  <c:v>0.66212117115422098</c:v>
                </c:pt>
                <c:pt idx="197">
                  <c:v>0.66694884666456367</c:v>
                </c:pt>
                <c:pt idx="198">
                  <c:v>0.67177170899194227</c:v>
                </c:pt>
                <c:pt idx="199">
                  <c:v>0.6765882318610178</c:v>
                </c:pt>
                <c:pt idx="200">
                  <c:v>0.68139690275530462</c:v>
                </c:pt>
                <c:pt idx="201">
                  <c:v>0.68619622420672943</c:v>
                </c:pt>
                <c:pt idx="202">
                  <c:v>0.69098471503809833</c:v>
                </c:pt>
                <c:pt idx="203">
                  <c:v>0.695760911557468</c:v>
                </c:pt>
                <c:pt idx="204">
                  <c:v>0.70052336870362397</c:v>
                </c:pt>
                <c:pt idx="205">
                  <c:v>0.70527066114202452</c:v>
                </c:pt>
                <c:pt idx="206">
                  <c:v>0.71000138431081961</c:v>
                </c:pt>
                <c:pt idx="207">
                  <c:v>0.7147141554166917</c:v>
                </c:pt>
                <c:pt idx="208">
                  <c:v>0.71940761438046419</c:v>
                </c:pt>
                <c:pt idx="209">
                  <c:v>0.72408042473262713</c:v>
                </c:pt>
                <c:pt idx="210">
                  <c:v>0.72873127445901675</c:v>
                </c:pt>
                <c:pt idx="211">
                  <c:v>0.7333588767971384</c:v>
                </c:pt>
                <c:pt idx="212">
                  <c:v>0.73796197098368355</c:v>
                </c:pt>
                <c:pt idx="213">
                  <c:v>0.74253932295397851</c:v>
                </c:pt>
                <c:pt idx="214">
                  <c:v>0.74708972599418677</c:v>
                </c:pt>
                <c:pt idx="215">
                  <c:v>0.75161200134724127</c:v>
                </c:pt>
                <c:pt idx="216">
                  <c:v>0.75610499877352089</c:v>
                </c:pt>
                <c:pt idx="217">
                  <c:v>0.76056759706740762</c:v>
                </c:pt>
                <c:pt idx="218">
                  <c:v>0.76499870453095398</c:v>
                </c:pt>
                <c:pt idx="219">
                  <c:v>0.76939725940587189</c:v>
                </c:pt>
                <c:pt idx="220">
                  <c:v>0.77376223026517688</c:v>
                </c:pt>
                <c:pt idx="221">
                  <c:v>0.77809261636580207</c:v>
                </c:pt>
                <c:pt idx="222">
                  <c:v>0.78238744796354531</c:v>
                </c:pt>
                <c:pt idx="223">
                  <c:v>0.7866457865916946</c:v>
                </c:pt>
                <c:pt idx="224">
                  <c:v>0.79086672530469482</c:v>
                </c:pt>
                <c:pt idx="225">
                  <c:v>0.79504938888818255</c:v>
                </c:pt>
                <c:pt idx="226">
                  <c:v>0.79919293403670544</c:v>
                </c:pt>
                <c:pt idx="227">
                  <c:v>0.80329654950040019</c:v>
                </c:pt>
                <c:pt idx="228">
                  <c:v>0.80735945620183402</c:v>
                </c:pt>
                <c:pt idx="229">
                  <c:v>0.81138090732423851</c:v>
                </c:pt>
                <c:pt idx="230">
                  <c:v>0.81536018837218704</c:v>
                </c:pt>
                <c:pt idx="231">
                  <c:v>0.81929661720581748</c:v>
                </c:pt>
                <c:pt idx="232">
                  <c:v>0.82318954404956168</c:v>
                </c:pt>
                <c:pt idx="233">
                  <c:v>0.82703835147628812</c:v>
                </c:pt>
                <c:pt idx="234">
                  <c:v>0.83084245436770365</c:v>
                </c:pt>
                <c:pt idx="235">
                  <c:v>0.83460129985176246</c:v>
                </c:pt>
                <c:pt idx="236">
                  <c:v>0.83831436721775821</c:v>
                </c:pt>
                <c:pt idx="237">
                  <c:v>0.84198116780971866</c:v>
                </c:pt>
                <c:pt idx="238">
                  <c:v>0.84560124489860533</c:v>
                </c:pt>
                <c:pt idx="239">
                  <c:v>0.84917417353380609</c:v>
                </c:pt>
                <c:pt idx="240">
                  <c:v>0.85269956037428019</c:v>
                </c:pt>
                <c:pt idx="241">
                  <c:v>0.85617704349970569</c:v>
                </c:pt>
                <c:pt idx="242">
                  <c:v>0.85960629220187057</c:v>
                </c:pt>
                <c:pt idx="243">
                  <c:v>0.86298700675655349</c:v>
                </c:pt>
                <c:pt idx="244">
                  <c:v>0.86631891817603124</c:v>
                </c:pt>
                <c:pt idx="245">
                  <c:v>0.86960178794236642</c:v>
                </c:pt>
                <c:pt idx="246">
                  <c:v>0.87283540772156598</c:v>
                </c:pt>
                <c:pt idx="247">
                  <c:v>0.87601959905868876</c:v>
                </c:pt>
                <c:pt idx="248">
                  <c:v>0.87915421305396158</c:v>
                </c:pt>
                <c:pt idx="249">
                  <c:v>0.88223913001996734</c:v>
                </c:pt>
                <c:pt idx="250">
                  <c:v>0.8852742591199414</c:v>
                </c:pt>
                <c:pt idx="251">
                  <c:v>0.88825953798726798</c:v>
                </c:pt>
                <c:pt idx="252">
                  <c:v>0.89119493232623459</c:v>
                </c:pt>
                <c:pt idx="253">
                  <c:v>0.89408043549416527</c:v>
                </c:pt>
                <c:pt idx="254">
                  <c:v>0.89691606806506952</c:v>
                </c:pt>
                <c:pt idx="255">
                  <c:v>0.89970187737496965</c:v>
                </c:pt>
                <c:pt idx="256">
                  <c:v>0.90243793704914843</c:v>
                </c:pt>
                <c:pt idx="257">
                  <c:v>0.9051243465115707</c:v>
                </c:pt>
                <c:pt idx="258">
                  <c:v>0.90776123047680968</c:v>
                </c:pt>
                <c:pt idx="259">
                  <c:v>0.9103487384248623</c:v>
                </c:pt>
                <c:pt idx="260">
                  <c:v>0.91288704405928645</c:v>
                </c:pt>
                <c:pt idx="261">
                  <c:v>0.91537634474920049</c:v>
                </c:pt>
                <c:pt idx="262">
                  <c:v>0.91781686095567128</c:v>
                </c:pt>
                <c:pt idx="263">
                  <c:v>0.92020883564317313</c:v>
                </c:pt>
                <c:pt idx="264">
                  <c:v>0.92255253367680701</c:v>
                </c:pt>
                <c:pt idx="265">
                  <c:v>0.92484824120604781</c:v>
                </c:pt>
                <c:pt idx="266">
                  <c:v>0.92709626503586529</c:v>
                </c:pt>
                <c:pt idx="267">
                  <c:v>0.92929693198611441</c:v>
                </c:pt>
                <c:pt idx="268">
                  <c:v>0.93145058824013494</c:v>
                </c:pt>
                <c:pt idx="269">
                  <c:v>0.93355759868358501</c:v>
                </c:pt>
                <c:pt idx="270">
                  <c:v>0.93561834623455653</c:v>
                </c:pt>
                <c:pt idx="271">
                  <c:v>0.93763323116607178</c:v>
                </c:pt>
                <c:pt idx="272">
                  <c:v>0.93960267042209811</c:v>
                </c:pt>
                <c:pt idx="273">
                  <c:v>0.9415270969282491</c:v>
                </c:pt>
                <c:pt idx="274">
                  <c:v>0.94340695889837567</c:v>
                </c:pt>
                <c:pt idx="275">
                  <c:v>0.94524271913823688</c:v>
                </c:pt>
                <c:pt idx="276">
                  <c:v>0.94703485434749479</c:v>
                </c:pt>
                <c:pt idx="277">
                  <c:v>0.94878385442124036</c:v>
                </c:pt>
                <c:pt idx="278">
                  <c:v>0.95049022175228814</c:v>
                </c:pt>
                <c:pt idx="279">
                  <c:v>0.95215447053543201</c:v>
                </c:pt>
                <c:pt idx="280">
                  <c:v>0.95377712607487053</c:v>
                </c:pt>
                <c:pt idx="281">
                  <c:v>0.95535872409595735</c:v>
                </c:pt>
                <c:pt idx="282">
                  <c:v>0.95689981006241154</c:v>
                </c:pt>
                <c:pt idx="283">
                  <c:v>0.95840093850008412</c:v>
                </c:pt>
                <c:pt idx="284">
                  <c:v>0.95986267232834033</c:v>
                </c:pt>
                <c:pt idx="285">
                  <c:v>0.96128558220004212</c:v>
                </c:pt>
                <c:pt idx="286">
                  <c:v>0.96267024585108663</c:v>
                </c:pt>
                <c:pt idx="287">
                  <c:v>0.9640172474603933</c:v>
                </c:pt>
                <c:pt idx="288">
                  <c:v>0.96532717702114212</c:v>
                </c:pt>
                <c:pt idx="289">
                  <c:v>0.96660062972403848</c:v>
                </c:pt>
                <c:pt idx="290">
                  <c:v>0.96783820535329212</c:v>
                </c:pt>
                <c:pt idx="291">
                  <c:v>0.96904050769590033</c:v>
                </c:pt>
                <c:pt idx="292">
                  <c:v>0.9702081439648178</c:v>
                </c:pt>
                <c:pt idx="293">
                  <c:v>0.97134172423644505</c:v>
                </c:pt>
                <c:pt idx="294">
                  <c:v>0.97244186090286278</c:v>
                </c:pt>
                <c:pt idx="295">
                  <c:v>0.97350916813912225</c:v>
                </c:pt>
                <c:pt idx="296">
                  <c:v>0.9745442613858385</c:v>
                </c:pt>
                <c:pt idx="297">
                  <c:v>0.97554775684729544</c:v>
                </c:pt>
                <c:pt idx="298">
                  <c:v>0.97652027100515582</c:v>
                </c:pt>
                <c:pt idx="299">
                  <c:v>0.97746242014784301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B8-44BB-83DE-68E5A450A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022752"/>
        <c:axId val="977030240"/>
      </c:scatterChart>
      <c:valAx>
        <c:axId val="977022752"/>
        <c:scaling>
          <c:orientation val="minMax"/>
          <c:max val="7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7030240"/>
        <c:crosses val="autoZero"/>
        <c:crossBetween val="midCat"/>
      </c:valAx>
      <c:valAx>
        <c:axId val="9770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7022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rgbClr val="FFC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cat>
            <c:numRef>
              <c:f>'Gatunek 1'!$L$6:$L$20</c:f>
              <c:numCache>
                <c:formatCode>0.000</c:formatCode>
                <c:ptCount val="15"/>
                <c:pt idx="0">
                  <c:v>2.9249999999999998</c:v>
                </c:pt>
                <c:pt idx="1">
                  <c:v>3.0749999999999997</c:v>
                </c:pt>
                <c:pt idx="2">
                  <c:v>3.2249999999999996</c:v>
                </c:pt>
                <c:pt idx="3">
                  <c:v>3.3749999999999996</c:v>
                </c:pt>
                <c:pt idx="4">
                  <c:v>3.5249999999999995</c:v>
                </c:pt>
                <c:pt idx="5">
                  <c:v>3.6749999999999994</c:v>
                </c:pt>
                <c:pt idx="6">
                  <c:v>3.8249999999999993</c:v>
                </c:pt>
                <c:pt idx="7">
                  <c:v>3.9749999999999992</c:v>
                </c:pt>
                <c:pt idx="8">
                  <c:v>4.1249999999999991</c:v>
                </c:pt>
                <c:pt idx="9">
                  <c:v>4.2749999999999995</c:v>
                </c:pt>
                <c:pt idx="10">
                  <c:v>4.4249999999999998</c:v>
                </c:pt>
                <c:pt idx="11">
                  <c:v>4.5750000000000002</c:v>
                </c:pt>
                <c:pt idx="12">
                  <c:v>4.7250000000000005</c:v>
                </c:pt>
                <c:pt idx="13">
                  <c:v>4.8750000000000009</c:v>
                </c:pt>
                <c:pt idx="14">
                  <c:v>5.0250000000000012</c:v>
                </c:pt>
              </c:numCache>
            </c:numRef>
          </c:cat>
          <c:val>
            <c:numRef>
              <c:f>'Gatunek 1'!$P$6:$P$20</c:f>
              <c:numCache>
                <c:formatCode>0.000000</c:formatCode>
                <c:ptCount val="15"/>
                <c:pt idx="0">
                  <c:v>0.13333333333333336</c:v>
                </c:pt>
                <c:pt idx="1">
                  <c:v>0</c:v>
                </c:pt>
                <c:pt idx="2">
                  <c:v>0.26666666666666672</c:v>
                </c:pt>
                <c:pt idx="3">
                  <c:v>0.26666666666666672</c:v>
                </c:pt>
                <c:pt idx="4">
                  <c:v>0.13333333333333336</c:v>
                </c:pt>
                <c:pt idx="5">
                  <c:v>0.26666666666666672</c:v>
                </c:pt>
                <c:pt idx="6">
                  <c:v>0.40000000000000008</c:v>
                </c:pt>
                <c:pt idx="7">
                  <c:v>1.0666666666666669</c:v>
                </c:pt>
                <c:pt idx="8">
                  <c:v>0.53333333333333344</c:v>
                </c:pt>
                <c:pt idx="9">
                  <c:v>0.80000000000000016</c:v>
                </c:pt>
                <c:pt idx="10">
                  <c:v>0.93333333333333368</c:v>
                </c:pt>
                <c:pt idx="11">
                  <c:v>1.0666666666666669</c:v>
                </c:pt>
                <c:pt idx="12">
                  <c:v>0.26666666666666672</c:v>
                </c:pt>
                <c:pt idx="13">
                  <c:v>0.40000000000000008</c:v>
                </c:pt>
                <c:pt idx="14">
                  <c:v>0.13333333333333336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7-46A7-83E5-C72D9C335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6974912"/>
        <c:axId val="976983648"/>
      </c:barChart>
      <c:lineChart>
        <c:grouping val="standard"/>
        <c:varyColors val="0"/>
        <c:ser>
          <c:idx val="1"/>
          <c:order val="1"/>
          <c:tx>
            <c:v>Teoretyczna gęstość normalna</c:v>
          </c:tx>
          <c:spPr>
            <a:ln w="28575" cap="rnd">
              <a:solidFill>
                <a:srgbClr val="6699FF"/>
              </a:solidFill>
              <a:round/>
            </a:ln>
            <a:effectLst/>
          </c:spPr>
          <c:marker>
            <c:symbol val="none"/>
          </c:marker>
          <c:val>
            <c:numRef>
              <c:f>'Gatunek 1'!$Q$6:$Q$20</c:f>
              <c:numCache>
                <c:formatCode>0.000000</c:formatCode>
                <c:ptCount val="15"/>
                <c:pt idx="0">
                  <c:v>2.3317073828917807E-2</c:v>
                </c:pt>
                <c:pt idx="1">
                  <c:v>5.2151530396710465E-2</c:v>
                </c:pt>
                <c:pt idx="2">
                  <c:v>0.1053435106144725</c:v>
                </c:pt>
                <c:pt idx="3">
                  <c:v>0.19217471138343636</c:v>
                </c:pt>
                <c:pt idx="4">
                  <c:v>0.31661567201537133</c:v>
                </c:pt>
                <c:pt idx="5">
                  <c:v>0.47110346532153069</c:v>
                </c:pt>
                <c:pt idx="6">
                  <c:v>0.63306442625652404</c:v>
                </c:pt>
                <c:pt idx="7">
                  <c:v>0.76829364578941428</c:v>
                </c:pt>
                <c:pt idx="8">
                  <c:v>0.8420818234029448</c:v>
                </c:pt>
                <c:pt idx="9">
                  <c:v>0.83354502756350068</c:v>
                </c:pt>
                <c:pt idx="10">
                  <c:v>0.74516347176063358</c:v>
                </c:pt>
                <c:pt idx="11">
                  <c:v>0.60161931394853496</c:v>
                </c:pt>
                <c:pt idx="12">
                  <c:v>0.43867178619146596</c:v>
                </c:pt>
                <c:pt idx="13">
                  <c:v>0.28887193881437689</c:v>
                </c:pt>
                <c:pt idx="14">
                  <c:v>0.17179824770554378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D-5D37-46A7-83E5-C72D9C33563C}"/>
            </c:ext>
          </c:extLst>
        </c:ser>
        <c:ser>
          <c:idx val="2"/>
          <c:order val="2"/>
          <c:tx>
            <c:v>Estymacja gęstości</c:v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'Gatunek 1'!$R$6:$R$20</c:f>
              <c:numCache>
                <c:formatCode>General</c:formatCode>
                <c:ptCount val="15"/>
                <c:pt idx="0">
                  <c:v>7.2286816673830967E-2</c:v>
                </c:pt>
                <c:pt idx="1">
                  <c:v>0.11424146492105218</c:v>
                </c:pt>
                <c:pt idx="2">
                  <c:v>0.16289235062310403</c:v>
                </c:pt>
                <c:pt idx="3">
                  <c:v>0.21483444659751386</c:v>
                </c:pt>
                <c:pt idx="4">
                  <c:v>0.28126091263596298</c:v>
                </c:pt>
                <c:pt idx="5">
                  <c:v>0.38514043991163227</c:v>
                </c:pt>
                <c:pt idx="6">
                  <c:v>0.51855908403867901</c:v>
                </c:pt>
                <c:pt idx="7">
                  <c:v>0.63527121298281763</c:v>
                </c:pt>
                <c:pt idx="8">
                  <c:v>0.7142359361629097</c:v>
                </c:pt>
                <c:pt idx="9">
                  <c:v>0.77017954190074966</c:v>
                </c:pt>
                <c:pt idx="10">
                  <c:v>0.78405908674254088</c:v>
                </c:pt>
                <c:pt idx="11">
                  <c:v>0.70877823645377103</c:v>
                </c:pt>
                <c:pt idx="12">
                  <c:v>0.54773141546263759</c:v>
                </c:pt>
                <c:pt idx="13">
                  <c:v>0.35973451132412049</c:v>
                </c:pt>
                <c:pt idx="14">
                  <c:v>0.1999356276909334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E-5D37-46A7-83E5-C72D9C335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974912"/>
        <c:axId val="976983648"/>
      </c:lineChart>
      <c:catAx>
        <c:axId val="976974912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6983648"/>
        <c:crosses val="autoZero"/>
        <c:auto val="1"/>
        <c:lblAlgn val="ctr"/>
        <c:lblOffset val="100"/>
        <c:noMultiLvlLbl val="0"/>
      </c:catAx>
      <c:valAx>
        <c:axId val="97698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69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</a:t>
            </a:r>
            <a:r>
              <a:rPr lang="en-US"/>
              <a:t> skumulowan</a:t>
            </a:r>
            <a:r>
              <a:rPr lang="pl-PL"/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Częstość skumulowana</c:v>
          </c:tx>
          <c:spPr>
            <a:solidFill>
              <a:srgbClr val="FFC000"/>
            </a:solidFill>
            <a:ln w="15875">
              <a:solidFill>
                <a:schemeClr val="tx1"/>
              </a:solidFill>
            </a:ln>
            <a:effectLst/>
          </c:spPr>
          <c:invertIfNegative val="0"/>
          <c:cat>
            <c:numRef>
              <c:f>'Gatunek 1'!$L$6:$L$20</c:f>
              <c:numCache>
                <c:formatCode>0.000</c:formatCode>
                <c:ptCount val="15"/>
                <c:pt idx="0">
                  <c:v>2.9249999999999998</c:v>
                </c:pt>
                <c:pt idx="1">
                  <c:v>3.0749999999999997</c:v>
                </c:pt>
                <c:pt idx="2">
                  <c:v>3.2249999999999996</c:v>
                </c:pt>
                <c:pt idx="3">
                  <c:v>3.3749999999999996</c:v>
                </c:pt>
                <c:pt idx="4">
                  <c:v>3.5249999999999995</c:v>
                </c:pt>
                <c:pt idx="5">
                  <c:v>3.6749999999999994</c:v>
                </c:pt>
                <c:pt idx="6">
                  <c:v>3.8249999999999993</c:v>
                </c:pt>
                <c:pt idx="7">
                  <c:v>3.9749999999999992</c:v>
                </c:pt>
                <c:pt idx="8">
                  <c:v>4.1249999999999991</c:v>
                </c:pt>
                <c:pt idx="9">
                  <c:v>4.2749999999999995</c:v>
                </c:pt>
                <c:pt idx="10">
                  <c:v>4.4249999999999998</c:v>
                </c:pt>
                <c:pt idx="11">
                  <c:v>4.5750000000000002</c:v>
                </c:pt>
                <c:pt idx="12">
                  <c:v>4.7250000000000005</c:v>
                </c:pt>
                <c:pt idx="13">
                  <c:v>4.8750000000000009</c:v>
                </c:pt>
                <c:pt idx="14">
                  <c:v>5.0250000000000012</c:v>
                </c:pt>
              </c:numCache>
            </c:numRef>
          </c:cat>
          <c:val>
            <c:numRef>
              <c:f>'Gatunek 1'!$S$6:$S$20</c:f>
              <c:numCache>
                <c:formatCode>General</c:formatCode>
                <c:ptCount val="15"/>
                <c:pt idx="0">
                  <c:v>0.02</c:v>
                </c:pt>
                <c:pt idx="1">
                  <c:v>0.02</c:v>
                </c:pt>
                <c:pt idx="2">
                  <c:v>0.06</c:v>
                </c:pt>
                <c:pt idx="3">
                  <c:v>0.1</c:v>
                </c:pt>
                <c:pt idx="4">
                  <c:v>0.12</c:v>
                </c:pt>
                <c:pt idx="5">
                  <c:v>0.16</c:v>
                </c:pt>
                <c:pt idx="6">
                  <c:v>0.22</c:v>
                </c:pt>
                <c:pt idx="7">
                  <c:v>0.38</c:v>
                </c:pt>
                <c:pt idx="8">
                  <c:v>0.46</c:v>
                </c:pt>
                <c:pt idx="9">
                  <c:v>0.57999999999999996</c:v>
                </c:pt>
                <c:pt idx="10">
                  <c:v>0.72</c:v>
                </c:pt>
                <c:pt idx="11">
                  <c:v>0.88</c:v>
                </c:pt>
                <c:pt idx="12">
                  <c:v>0.92</c:v>
                </c:pt>
                <c:pt idx="13">
                  <c:v>0.98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8-431C-AF50-BECB6F94C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02363120"/>
        <c:axId val="602359792"/>
      </c:barChart>
      <c:lineChart>
        <c:grouping val="standard"/>
        <c:varyColors val="0"/>
        <c:ser>
          <c:idx val="1"/>
          <c:order val="1"/>
          <c:tx>
            <c:v>Dystrybuanta rozkładu normalnego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'Gatunek 1'!$L$6:$L$20</c:f>
              <c:numCache>
                <c:formatCode>0.000</c:formatCode>
                <c:ptCount val="15"/>
                <c:pt idx="0">
                  <c:v>2.9249999999999998</c:v>
                </c:pt>
                <c:pt idx="1">
                  <c:v>3.0749999999999997</c:v>
                </c:pt>
                <c:pt idx="2">
                  <c:v>3.2249999999999996</c:v>
                </c:pt>
                <c:pt idx="3">
                  <c:v>3.3749999999999996</c:v>
                </c:pt>
                <c:pt idx="4">
                  <c:v>3.5249999999999995</c:v>
                </c:pt>
                <c:pt idx="5">
                  <c:v>3.6749999999999994</c:v>
                </c:pt>
                <c:pt idx="6">
                  <c:v>3.8249999999999993</c:v>
                </c:pt>
                <c:pt idx="7">
                  <c:v>3.9749999999999992</c:v>
                </c:pt>
                <c:pt idx="8">
                  <c:v>4.1249999999999991</c:v>
                </c:pt>
                <c:pt idx="9">
                  <c:v>4.2749999999999995</c:v>
                </c:pt>
                <c:pt idx="10">
                  <c:v>4.4249999999999998</c:v>
                </c:pt>
                <c:pt idx="11">
                  <c:v>4.5750000000000002</c:v>
                </c:pt>
                <c:pt idx="12">
                  <c:v>4.7250000000000005</c:v>
                </c:pt>
                <c:pt idx="13">
                  <c:v>4.8750000000000009</c:v>
                </c:pt>
                <c:pt idx="14">
                  <c:v>5.0250000000000012</c:v>
                </c:pt>
              </c:numCache>
            </c:numRef>
          </c:cat>
          <c:val>
            <c:numRef>
              <c:f>'Gatunek 1'!$T$6:$T$20</c:f>
              <c:numCache>
                <c:formatCode>General</c:formatCode>
                <c:ptCount val="15"/>
                <c:pt idx="0">
                  <c:v>3.6661910126892178E-3</c:v>
                </c:pt>
                <c:pt idx="1">
                  <c:v>9.0846556744512107E-3</c:v>
                </c:pt>
                <c:pt idx="2">
                  <c:v>2.0529181822787367E-2</c:v>
                </c:pt>
                <c:pt idx="3">
                  <c:v>4.2378230799085315E-2</c:v>
                </c:pt>
                <c:pt idx="4">
                  <c:v>8.0081829354758383E-2</c:v>
                </c:pt>
                <c:pt idx="5">
                  <c:v>0.13889175703011239</c:v>
                </c:pt>
                <c:pt idx="6">
                  <c:v>0.22180764161143202</c:v>
                </c:pt>
                <c:pt idx="7">
                  <c:v>0.32747610261167093</c:v>
                </c:pt>
                <c:pt idx="8">
                  <c:v>0.44919962163456878</c:v>
                </c:pt>
                <c:pt idx="9">
                  <c:v>0.57594310218789357</c:v>
                </c:pt>
                <c:pt idx="10">
                  <c:v>0.69523169805790674</c:v>
                </c:pt>
                <c:pt idx="11">
                  <c:v>0.79671489958657071</c:v>
                </c:pt>
                <c:pt idx="12">
                  <c:v>0.87475372280634878</c:v>
                </c:pt>
                <c:pt idx="13">
                  <c:v>0.92899720792243379</c:v>
                </c:pt>
                <c:pt idx="14">
                  <c:v>0.96307750748372134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A8-431C-AF50-BECB6F94C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363120"/>
        <c:axId val="602359792"/>
      </c:lineChart>
      <c:catAx>
        <c:axId val="602363120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02359792"/>
        <c:crosses val="autoZero"/>
        <c:auto val="1"/>
        <c:lblAlgn val="ctr"/>
        <c:lblOffset val="100"/>
        <c:noMultiLvlLbl val="0"/>
      </c:catAx>
      <c:valAx>
        <c:axId val="60235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0236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 normln</a:t>
            </a:r>
            <a:r>
              <a:rPr lang="pl-PL"/>
              <a:t>ości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D1B7F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'Gatunek 1'!$W$6:$W$55</c:f>
              <c:numCache>
                <c:formatCode>General</c:formatCode>
                <c:ptCount val="50"/>
                <c:pt idx="0">
                  <c:v>3</c:v>
                </c:pt>
                <c:pt idx="1">
                  <c:v>3.3</c:v>
                </c:pt>
                <c:pt idx="2">
                  <c:v>3.3</c:v>
                </c:pt>
                <c:pt idx="3">
                  <c:v>3.5</c:v>
                </c:pt>
                <c:pt idx="4">
                  <c:v>3.5</c:v>
                </c:pt>
                <c:pt idx="5">
                  <c:v>3.6</c:v>
                </c:pt>
                <c:pt idx="6">
                  <c:v>3.7</c:v>
                </c:pt>
                <c:pt idx="7">
                  <c:v>3.8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4.2</c:v>
                </c:pt>
                <c:pt idx="20">
                  <c:v>4.2</c:v>
                </c:pt>
                <c:pt idx="21">
                  <c:v>4.2</c:v>
                </c:pt>
                <c:pt idx="22">
                  <c:v>4.2</c:v>
                </c:pt>
                <c:pt idx="23">
                  <c:v>4.3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4.4000000000000004</c:v>
                </c:pt>
                <c:pt idx="27">
                  <c:v>4.4000000000000004</c:v>
                </c:pt>
                <c:pt idx="28">
                  <c:v>4.4000000000000004</c:v>
                </c:pt>
                <c:pt idx="29">
                  <c:v>4.5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4.5999999999999996</c:v>
                </c:pt>
                <c:pt idx="37">
                  <c:v>4.5999999999999996</c:v>
                </c:pt>
                <c:pt idx="38">
                  <c:v>4.5999999999999996</c:v>
                </c:pt>
                <c:pt idx="39">
                  <c:v>4.7</c:v>
                </c:pt>
                <c:pt idx="40">
                  <c:v>4.7</c:v>
                </c:pt>
                <c:pt idx="41">
                  <c:v>4.7</c:v>
                </c:pt>
                <c:pt idx="42">
                  <c:v>4.7</c:v>
                </c:pt>
                <c:pt idx="43">
                  <c:v>4.7</c:v>
                </c:pt>
                <c:pt idx="44">
                  <c:v>4.8</c:v>
                </c:pt>
                <c:pt idx="45">
                  <c:v>4.8</c:v>
                </c:pt>
                <c:pt idx="46">
                  <c:v>4.9000000000000004</c:v>
                </c:pt>
                <c:pt idx="47">
                  <c:v>4.9000000000000004</c:v>
                </c:pt>
                <c:pt idx="48">
                  <c:v>5</c:v>
                </c:pt>
                <c:pt idx="49">
                  <c:v>5.0999999999999996</c:v>
                </c:pt>
              </c:numCache>
            </c:numRef>
          </c:xVal>
          <c:yVal>
            <c:numRef>
              <c:f>'Gatunek 1'!$X$6:$X$55</c:f>
              <c:numCache>
                <c:formatCode>General</c:formatCode>
                <c:ptCount val="50"/>
                <c:pt idx="0">
                  <c:v>3.1668235971093504</c:v>
                </c:pt>
                <c:pt idx="1">
                  <c:v>3.376194437606963</c:v>
                </c:pt>
                <c:pt idx="2">
                  <c:v>3.4870652247425302</c:v>
                </c:pt>
                <c:pt idx="3">
                  <c:v>3.5665095957463513</c:v>
                </c:pt>
                <c:pt idx="4">
                  <c:v>3.6299644918792264</c:v>
                </c:pt>
                <c:pt idx="5">
                  <c:v>3.6836409725012973</c:v>
                </c:pt>
                <c:pt idx="6">
                  <c:v>3.7306964437989478</c:v>
                </c:pt>
                <c:pt idx="7">
                  <c:v>3.7729685730988423</c:v>
                </c:pt>
                <c:pt idx="8">
                  <c:v>3.8116272734456511</c:v>
                </c:pt>
                <c:pt idx="9">
                  <c:v>3.8474668940771313</c:v>
                </c:pt>
                <c:pt idx="10">
                  <c:v>3.8810538037465863</c:v>
                </c:pt>
                <c:pt idx="11">
                  <c:v>3.9128077550687057</c:v>
                </c:pt>
                <c:pt idx="12">
                  <c:v>3.943049862347018</c:v>
                </c:pt>
                <c:pt idx="13">
                  <c:v>3.9720324485260297</c:v>
                </c:pt>
                <c:pt idx="14">
                  <c:v>3.9999584456439288</c:v>
                </c:pt>
                <c:pt idx="15">
                  <c:v>4.0269944787131813</c:v>
                </c:pt>
                <c:pt idx="16">
                  <c:v>4.0532799744177632</c:v>
                </c:pt>
                <c:pt idx="17">
                  <c:v>4.0789336830798604</c:v>
                </c:pt>
                <c:pt idx="18">
                  <c:v>4.1040584696755218</c:v>
                </c:pt>
                <c:pt idx="19">
                  <c:v>4.1287449195610728</c:v>
                </c:pt>
                <c:pt idx="20">
                  <c:v>4.1530741176605117</c:v>
                </c:pt>
                <c:pt idx="21">
                  <c:v>4.177119843867942</c:v>
                </c:pt>
                <c:pt idx="22">
                  <c:v>4.2009503536980413</c:v>
                </c:pt>
                <c:pt idx="23">
                  <c:v>4.2246298655439514</c:v>
                </c:pt>
                <c:pt idx="24">
                  <c:v>4.2482198448218096</c:v>
                </c:pt>
                <c:pt idx="25">
                  <c:v>4.27178015517819</c:v>
                </c:pt>
                <c:pt idx="26">
                  <c:v>4.2953701344560482</c:v>
                </c:pt>
                <c:pt idx="27">
                  <c:v>4.3190496463019583</c:v>
                </c:pt>
                <c:pt idx="28">
                  <c:v>4.3428801561320576</c:v>
                </c:pt>
                <c:pt idx="29">
                  <c:v>4.3669258823394879</c:v>
                </c:pt>
                <c:pt idx="30">
                  <c:v>4.3912550804389268</c:v>
                </c:pt>
                <c:pt idx="31">
                  <c:v>4.4159415303244778</c:v>
                </c:pt>
                <c:pt idx="32">
                  <c:v>4.4410663169201392</c:v>
                </c:pt>
                <c:pt idx="33">
                  <c:v>4.4667200255822364</c:v>
                </c:pt>
                <c:pt idx="34">
                  <c:v>4.4930055212868183</c:v>
                </c:pt>
                <c:pt idx="35">
                  <c:v>4.5200415543560704</c:v>
                </c:pt>
                <c:pt idx="36">
                  <c:v>4.5479675514739695</c:v>
                </c:pt>
                <c:pt idx="37">
                  <c:v>4.5769501376529815</c:v>
                </c:pt>
                <c:pt idx="38">
                  <c:v>4.6071922449312934</c:v>
                </c:pt>
                <c:pt idx="39">
                  <c:v>4.6389461962534133</c:v>
                </c:pt>
                <c:pt idx="40">
                  <c:v>4.6725331059228683</c:v>
                </c:pt>
                <c:pt idx="41">
                  <c:v>4.708372726554348</c:v>
                </c:pt>
                <c:pt idx="42">
                  <c:v>4.7470314269011569</c:v>
                </c:pt>
                <c:pt idx="43">
                  <c:v>4.7893035562010517</c:v>
                </c:pt>
                <c:pt idx="44">
                  <c:v>4.8363590274987018</c:v>
                </c:pt>
                <c:pt idx="45">
                  <c:v>4.8900355081207731</c:v>
                </c:pt>
                <c:pt idx="46">
                  <c:v>4.9534904042536487</c:v>
                </c:pt>
                <c:pt idx="47">
                  <c:v>5.0329347752574689</c:v>
                </c:pt>
                <c:pt idx="48">
                  <c:v>5.1438055623930365</c:v>
                </c:pt>
                <c:pt idx="49">
                  <c:v>5.3531764028906492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EF-4AC1-B4E9-448152428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437695"/>
        <c:axId val="1012438943"/>
      </c:scatterChart>
      <c:valAx>
        <c:axId val="1012437695"/>
        <c:scaling>
          <c:orientation val="minMax"/>
          <c:min val="2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12438943"/>
        <c:crosses val="autoZero"/>
        <c:crossBetween val="midCat"/>
      </c:valAx>
      <c:valAx>
        <c:axId val="101243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1243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Estymacja gęstości - wpływ szerokości pasma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Normalny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d.'!$I$6:$I$305</c:f>
              <c:numCache>
                <c:formatCode>General</c:formatCode>
                <c:ptCount val="300"/>
                <c:pt idx="0">
                  <c:v>2.3317073828917807E-2</c:v>
                </c:pt>
                <c:pt idx="1">
                  <c:v>2.4267802349751656E-2</c:v>
                </c:pt>
                <c:pt idx="2">
                  <c:v>2.5251654185881645E-2</c:v>
                </c:pt>
                <c:pt idx="3">
                  <c:v>2.6269523777569477E-2</c:v>
                </c:pt>
                <c:pt idx="4">
                  <c:v>2.7322318468520672E-2</c:v>
                </c:pt>
                <c:pt idx="5">
                  <c:v>2.8410958199108598E-2</c:v>
                </c:pt>
                <c:pt idx="6">
                  <c:v>2.9536375172921653E-2</c:v>
                </c:pt>
                <c:pt idx="7">
                  <c:v>3.0699513496020219E-2</c:v>
                </c:pt>
                <c:pt idx="8">
                  <c:v>3.1901328788309466E-2</c:v>
                </c:pt>
                <c:pt idx="9">
                  <c:v>3.3142787766454171E-2</c:v>
                </c:pt>
                <c:pt idx="10">
                  <c:v>3.4424867797785086E-2</c:v>
                </c:pt>
                <c:pt idx="11">
                  <c:v>3.5748556424670661E-2</c:v>
                </c:pt>
                <c:pt idx="12">
                  <c:v>3.7114850858854805E-2</c:v>
                </c:pt>
                <c:pt idx="13">
                  <c:v>3.852475744528925E-2</c:v>
                </c:pt>
                <c:pt idx="14">
                  <c:v>3.997929109501993E-2</c:v>
                </c:pt>
                <c:pt idx="15">
                  <c:v>4.1479474686719787E-2</c:v>
                </c:pt>
                <c:pt idx="16">
                  <c:v>4.3026338436493131E-2</c:v>
                </c:pt>
                <c:pt idx="17">
                  <c:v>4.4620919235614787E-2</c:v>
                </c:pt>
                <c:pt idx="18">
                  <c:v>4.6264259955904857E-2</c:v>
                </c:pt>
                <c:pt idx="19">
                  <c:v>4.795740872248011E-2</c:v>
                </c:pt>
                <c:pt idx="20">
                  <c:v>4.9701418153665904E-2</c:v>
                </c:pt>
                <c:pt idx="21">
                  <c:v>5.1497344567895863E-2</c:v>
                </c:pt>
                <c:pt idx="22">
                  <c:v>5.3346247157474609E-2</c:v>
                </c:pt>
                <c:pt idx="23">
                  <c:v>5.5249187129124376E-2</c:v>
                </c:pt>
                <c:pt idx="24">
                  <c:v>5.7207226811288661E-2</c:v>
                </c:pt>
                <c:pt idx="25">
                  <c:v>5.922142872821691E-2</c:v>
                </c:pt>
                <c:pt idx="26">
                  <c:v>6.1292854640908306E-2</c:v>
                </c:pt>
                <c:pt idx="27">
                  <c:v>6.3422564555047425E-2</c:v>
                </c:pt>
                <c:pt idx="28">
                  <c:v>6.5611615696123268E-2</c:v>
                </c:pt>
                <c:pt idx="29">
                  <c:v>6.7861061451980453E-2</c:v>
                </c:pt>
                <c:pt idx="30">
                  <c:v>7.0171950283113196E-2</c:v>
                </c:pt>
                <c:pt idx="31">
                  <c:v>7.2545324601073283E-2</c:v>
                </c:pt>
                <c:pt idx="32">
                  <c:v>7.4982219615428447E-2</c:v>
                </c:pt>
                <c:pt idx="33">
                  <c:v>7.748366214977094E-2</c:v>
                </c:pt>
                <c:pt idx="34">
                  <c:v>8.0050669427343193E-2</c:v>
                </c:pt>
                <c:pt idx="35">
                  <c:v>8.2684247826914276E-2</c:v>
                </c:pt>
                <c:pt idx="36">
                  <c:v>8.5385391609610006E-2</c:v>
                </c:pt>
                <c:pt idx="37">
                  <c:v>8.815508161746842E-2</c:v>
                </c:pt>
                <c:pt idx="38">
                  <c:v>9.0994283944562937E-2</c:v>
                </c:pt>
                <c:pt idx="39">
                  <c:v>9.3903948581606916E-2</c:v>
                </c:pt>
                <c:pt idx="40">
                  <c:v>9.6885008035025172E-2</c:v>
                </c:pt>
                <c:pt idx="41">
                  <c:v>9.9938375921550471E-2</c:v>
                </c:pt>
                <c:pt idx="42">
                  <c:v>0.10306494553947443</c:v>
                </c:pt>
                <c:pt idx="43">
                  <c:v>0.106265588417759</c:v>
                </c:pt>
                <c:pt idx="44">
                  <c:v>0.10954115284428302</c:v>
                </c:pt>
                <c:pt idx="45">
                  <c:v>0.11289246237457541</c:v>
                </c:pt>
                <c:pt idx="46">
                  <c:v>0.11632031432245835</c:v>
                </c:pt>
                <c:pt idx="47">
                  <c:v>0.11982547823409562</c:v>
                </c:pt>
                <c:pt idx="48">
                  <c:v>0.1234086943470151</c:v>
                </c:pt>
                <c:pt idx="49">
                  <c:v>0.12707067203574549</c:v>
                </c:pt>
                <c:pt idx="50">
                  <c:v>0.13081208824577728</c:v>
                </c:pt>
                <c:pt idx="51">
                  <c:v>0.13463358591762881</c:v>
                </c:pt>
                <c:pt idx="52">
                  <c:v>0.1385357724028678</c:v>
                </c:pt>
                <c:pt idx="53">
                  <c:v>0.14251921787400385</c:v>
                </c:pt>
                <c:pt idx="54">
                  <c:v>0.1465844537302351</c:v>
                </c:pt>
                <c:pt idx="55">
                  <c:v>0.15073197100109625</c:v>
                </c:pt>
                <c:pt idx="56">
                  <c:v>0.15496221875011731</c:v>
                </c:pt>
                <c:pt idx="57">
                  <c:v>0.15927560248066278</c:v>
                </c:pt>
                <c:pt idx="58">
                  <c:v>0.1636724825461785</c:v>
                </c:pt>
                <c:pt idx="59">
                  <c:v>0.16815317256713197</c:v>
                </c:pt>
                <c:pt idx="60">
                  <c:v>0.17271793785698081</c:v>
                </c:pt>
                <c:pt idx="61">
                  <c:v>0.17736699385955779</c:v>
                </c:pt>
                <c:pt idx="62">
                  <c:v>0.18210050460030772</c:v>
                </c:pt>
                <c:pt idx="63">
                  <c:v>0.18691858115385529</c:v>
                </c:pt>
                <c:pt idx="64">
                  <c:v>0.19182128013042413</c:v>
                </c:pt>
                <c:pt idx="65">
                  <c:v>0.19680860218366539</c:v>
                </c:pt>
                <c:pt idx="66">
                  <c:v>0.20188049054248883</c:v>
                </c:pt>
                <c:pt idx="67">
                  <c:v>0.20703682956951772</c:v>
                </c:pt>
                <c:pt idx="68">
                  <c:v>0.21227744334881746</c:v>
                </c:pt>
                <c:pt idx="69">
                  <c:v>0.21760209430556834</c:v>
                </c:pt>
                <c:pt idx="70">
                  <c:v>0.2230104818603722</c:v>
                </c:pt>
                <c:pt idx="71">
                  <c:v>0.22850224112089423</c:v>
                </c:pt>
                <c:pt idx="72">
                  <c:v>0.23407694161355264</c:v>
                </c:pt>
                <c:pt idx="73">
                  <c:v>0.23973408605797186</c:v>
                </c:pt>
                <c:pt idx="74">
                  <c:v>0.24547310918691403</c:v>
                </c:pt>
                <c:pt idx="75">
                  <c:v>0.25129337661439899</c:v>
                </c:pt>
                <c:pt idx="76">
                  <c:v>0.25719418375471254</c:v>
                </c:pt>
                <c:pt idx="77">
                  <c:v>0.26317475479498653</c:v>
                </c:pt>
                <c:pt idx="78">
                  <c:v>0.26923424172401422</c:v>
                </c:pt>
                <c:pt idx="79">
                  <c:v>0.27537172341993704</c:v>
                </c:pt>
                <c:pt idx="80">
                  <c:v>0.28158620479940949</c:v>
                </c:pt>
                <c:pt idx="81">
                  <c:v>0.28787661603080955</c:v>
                </c:pt>
                <c:pt idx="82">
                  <c:v>0.29424181181402181</c:v>
                </c:pt>
                <c:pt idx="83">
                  <c:v>0.30068057072926996</c:v>
                </c:pt>
                <c:pt idx="84">
                  <c:v>0.30719159465742552</c:v>
                </c:pt>
                <c:pt idx="85">
                  <c:v>0.31377350827415562</c:v>
                </c:pt>
                <c:pt idx="86">
                  <c:v>0.32042485862021314</c:v>
                </c:pt>
                <c:pt idx="87">
                  <c:v>0.32714411475009858</c:v>
                </c:pt>
                <c:pt idx="88">
                  <c:v>0.33392966746124869</c:v>
                </c:pt>
                <c:pt idx="89">
                  <c:v>0.3407798291058256</c:v>
                </c:pt>
                <c:pt idx="90">
                  <c:v>0.34769283348709235</c:v>
                </c:pt>
                <c:pt idx="91">
                  <c:v>0.3546668358422716</c:v>
                </c:pt>
                <c:pt idx="92">
                  <c:v>0.36169991291368181</c:v>
                </c:pt>
                <c:pt idx="93">
                  <c:v>0.36879006310984674</c:v>
                </c:pt>
                <c:pt idx="94">
                  <c:v>0.37593520675816533</c:v>
                </c:pt>
                <c:pt idx="95">
                  <c:v>0.38313318645061351</c:v>
                </c:pt>
                <c:pt idx="96">
                  <c:v>0.39038176748383524</c:v>
                </c:pt>
                <c:pt idx="97">
                  <c:v>0.39767863839485545</c:v>
                </c:pt>
                <c:pt idx="98">
                  <c:v>0.40502141159352056</c:v>
                </c:pt>
                <c:pt idx="99">
                  <c:v>0.41240762409264131</c:v>
                </c:pt>
                <c:pt idx="100">
                  <c:v>0.41983473833667539</c:v>
                </c:pt>
                <c:pt idx="101">
                  <c:v>0.42730014312965031</c:v>
                </c:pt>
                <c:pt idx="102">
                  <c:v>0.43480115466288016</c:v>
                </c:pt>
                <c:pt idx="103">
                  <c:v>0.44233501764288241</c:v>
                </c:pt>
                <c:pt idx="104">
                  <c:v>0.44989890651975484</c:v>
                </c:pt>
                <c:pt idx="105">
                  <c:v>0.457489926816112</c:v>
                </c:pt>
                <c:pt idx="106">
                  <c:v>0.46510511655653053</c:v>
                </c:pt>
                <c:pt idx="107">
                  <c:v>0.47274144779728566</c:v>
                </c:pt>
                <c:pt idx="108">
                  <c:v>0.48039582825600896</c:v>
                </c:pt>
                <c:pt idx="109">
                  <c:v>0.48806510304072437</c:v>
                </c:pt>
                <c:pt idx="110">
                  <c:v>0.49574605647756043</c:v>
                </c:pt>
                <c:pt idx="111">
                  <c:v>0.50343541403626491</c:v>
                </c:pt>
                <c:pt idx="112">
                  <c:v>0.51112984435248643</c:v>
                </c:pt>
                <c:pt idx="113">
                  <c:v>0.51882596134560999</c:v>
                </c:pt>
                <c:pt idx="114">
                  <c:v>0.52652032643076996</c:v>
                </c:pt>
                <c:pt idx="115">
                  <c:v>0.53420945082349669</c:v>
                </c:pt>
                <c:pt idx="116">
                  <c:v>0.54188979793527281</c:v>
                </c:pt>
                <c:pt idx="117">
                  <c:v>0.54955778585811987</c:v>
                </c:pt>
                <c:pt idx="118">
                  <c:v>0.55720978993615922</c:v>
                </c:pt>
                <c:pt idx="119">
                  <c:v>0.5648421454219249</c:v>
                </c:pt>
                <c:pt idx="120">
                  <c:v>0.57245115021504778</c:v>
                </c:pt>
                <c:pt idx="121">
                  <c:v>0.58003306768075624</c:v>
                </c:pt>
                <c:pt idx="122">
                  <c:v>0.58758412954549033</c:v>
                </c:pt>
                <c:pt idx="123">
                  <c:v>0.59510053886675673</c:v>
                </c:pt>
                <c:pt idx="124">
                  <c:v>0.60257847307420376</c:v>
                </c:pt>
                <c:pt idx="125">
                  <c:v>0.61001408707874327</c:v>
                </c:pt>
                <c:pt idx="126">
                  <c:v>0.61740351644639369</c:v>
                </c:pt>
                <c:pt idx="127">
                  <c:v>0.62474288063338124</c:v>
                </c:pt>
                <c:pt idx="128">
                  <c:v>0.63202828627888996</c:v>
                </c:pt>
                <c:pt idx="129">
                  <c:v>0.6392558305517233</c:v>
                </c:pt>
                <c:pt idx="130">
                  <c:v>0.64642160454700337</c:v>
                </c:pt>
                <c:pt idx="131">
                  <c:v>0.65352169672891625</c:v>
                </c:pt>
                <c:pt idx="132">
                  <c:v>0.66055219641538809</c:v>
                </c:pt>
                <c:pt idx="133">
                  <c:v>0.66750919730046632</c:v>
                </c:pt>
                <c:pt idx="134">
                  <c:v>0.67438880101007703</c:v>
                </c:pt>
                <c:pt idx="135">
                  <c:v>0.68118712068672227</c:v>
                </c:pt>
                <c:pt idx="136">
                  <c:v>0.68790028459859842</c:v>
                </c:pt>
                <c:pt idx="137">
                  <c:v>0.69452443976852141</c:v>
                </c:pt>
                <c:pt idx="138">
                  <c:v>0.70105575561797506</c:v>
                </c:pt>
                <c:pt idx="139">
                  <c:v>0.70749042762152226</c:v>
                </c:pt>
                <c:pt idx="140">
                  <c:v>0.71382468096675777</c:v>
                </c:pt>
                <c:pt idx="141">
                  <c:v>0.72005477421493036</c:v>
                </c:pt>
                <c:pt idx="142">
                  <c:v>0.72617700295730825</c:v>
                </c:pt>
                <c:pt idx="143">
                  <c:v>0.7321877034623322</c:v>
                </c:pt>
                <c:pt idx="144">
                  <c:v>0.73808325630856486</c:v>
                </c:pt>
                <c:pt idx="145">
                  <c:v>0.74386008999842801</c:v>
                </c:pt>
                <c:pt idx="146">
                  <c:v>0.74951468454770542</c:v>
                </c:pt>
                <c:pt idx="147">
                  <c:v>0.75504357504578756</c:v>
                </c:pt>
                <c:pt idx="148">
                  <c:v>0.76044335518163897</c:v>
                </c:pt>
                <c:pt idx="149">
                  <c:v>0.76571068073048576</c:v>
                </c:pt>
                <c:pt idx="150">
                  <c:v>0.77084227299624297</c:v>
                </c:pt>
                <c:pt idx="151">
                  <c:v>0.77583492220473815</c:v>
                </c:pt>
                <c:pt idx="152">
                  <c:v>0.78068549084282368</c:v>
                </c:pt>
                <c:pt idx="153">
                  <c:v>0.7853909169385308</c:v>
                </c:pt>
                <c:pt idx="154">
                  <c:v>0.78994821727746967</c:v>
                </c:pt>
                <c:pt idx="155">
                  <c:v>0.79435449055075569</c:v>
                </c:pt>
                <c:pt idx="156">
                  <c:v>0.79860692042981718</c:v>
                </c:pt>
                <c:pt idx="157">
                  <c:v>0.80270277856352945</c:v>
                </c:pt>
                <c:pt idx="158">
                  <c:v>0.80663942749321238</c:v>
                </c:pt>
                <c:pt idx="159">
                  <c:v>0.81041432348113807</c:v>
                </c:pt>
                <c:pt idx="160">
                  <c:v>0.81402501924830251</c:v>
                </c:pt>
                <c:pt idx="161">
                  <c:v>0.81746916661734037</c:v>
                </c:pt>
                <c:pt idx="162">
                  <c:v>0.82074451905658785</c:v>
                </c:pt>
                <c:pt idx="163">
                  <c:v>0.82384893412143823</c:v>
                </c:pt>
                <c:pt idx="164">
                  <c:v>0.82678037578927566</c:v>
                </c:pt>
                <c:pt idx="165">
                  <c:v>0.82953691668442664</c:v>
                </c:pt>
                <c:pt idx="166">
                  <c:v>0.83211674018972481</c:v>
                </c:pt>
                <c:pt idx="167">
                  <c:v>0.83451814244145406</c:v>
                </c:pt>
                <c:pt idx="168">
                  <c:v>0.83673953420459946</c:v>
                </c:pt>
                <c:pt idx="169">
                  <c:v>0.83877944262552073</c:v>
                </c:pt>
                <c:pt idx="170">
                  <c:v>0.84063651285933882</c:v>
                </c:pt>
                <c:pt idx="171">
                  <c:v>0.84230950956952344</c:v>
                </c:pt>
                <c:pt idx="172">
                  <c:v>0.84379731829735183</c:v>
                </c:pt>
                <c:pt idx="173">
                  <c:v>0.84509894669911978</c:v>
                </c:pt>
                <c:pt idx="174">
                  <c:v>0.84621352564917796</c:v>
                </c:pt>
                <c:pt idx="175">
                  <c:v>0.8471403102070787</c:v>
                </c:pt>
                <c:pt idx="176">
                  <c:v>0.84787868044732628</c:v>
                </c:pt>
                <c:pt idx="177">
                  <c:v>0.84842814215043816</c:v>
                </c:pt>
                <c:pt idx="178">
                  <c:v>0.84878832735423726</c:v>
                </c:pt>
                <c:pt idx="179">
                  <c:v>0.8489589947645132</c:v>
                </c:pt>
                <c:pt idx="180">
                  <c:v>0.8489400300244162</c:v>
                </c:pt>
                <c:pt idx="181">
                  <c:v>0.84873144584215499</c:v>
                </c:pt>
                <c:pt idx="182">
                  <c:v>0.84833338197680652</c:v>
                </c:pt>
                <c:pt idx="183">
                  <c:v>0.84774610508225334</c:v>
                </c:pt>
                <c:pt idx="184">
                  <c:v>0.84697000840949788</c:v>
                </c:pt>
                <c:pt idx="185">
                  <c:v>0.84600561136781482</c:v>
                </c:pt>
                <c:pt idx="186">
                  <c:v>0.84485355894542991</c:v>
                </c:pt>
                <c:pt idx="187">
                  <c:v>0.84351462099062824</c:v>
                </c:pt>
                <c:pt idx="188">
                  <c:v>0.84198969135441293</c:v>
                </c:pt>
                <c:pt idx="189">
                  <c:v>0.84027978689605498</c:v>
                </c:pt>
                <c:pt idx="190">
                  <c:v>0.8383860463530759</c:v>
                </c:pt>
                <c:pt idx="191">
                  <c:v>0.83630972907742884</c:v>
                </c:pt>
                <c:pt idx="192">
                  <c:v>0.83405221363983606</c:v>
                </c:pt>
                <c:pt idx="193">
                  <c:v>0.83161499630445068</c:v>
                </c:pt>
                <c:pt idx="194">
                  <c:v>0.82899968937620405</c:v>
                </c:pt>
                <c:pt idx="195">
                  <c:v>0.82620801942339561</c:v>
                </c:pt>
                <c:pt idx="196">
                  <c:v>0.8232418253782654</c:v>
                </c:pt>
                <c:pt idx="197">
                  <c:v>0.8201030565184767</c:v>
                </c:pt>
                <c:pt idx="198">
                  <c:v>0.81679377033260914</c:v>
                </c:pt>
                <c:pt idx="199">
                  <c:v>0.8133161302729337</c:v>
                </c:pt>
                <c:pt idx="200">
                  <c:v>0.80967240339890334</c:v>
                </c:pt>
                <c:pt idx="201">
                  <c:v>0.80586495791495627</c:v>
                </c:pt>
                <c:pt idx="202">
                  <c:v>0.80189626060636821</c:v>
                </c:pt>
                <c:pt idx="203">
                  <c:v>0.79776887417704279</c:v>
                </c:pt>
                <c:pt idx="204">
                  <c:v>0.79348545449325913</c:v>
                </c:pt>
                <c:pt idx="205">
                  <c:v>0.7890487477375232</c:v>
                </c:pt>
                <c:pt idx="206">
                  <c:v>0.78446158747679007</c:v>
                </c:pt>
                <c:pt idx="207">
                  <c:v>0.77972689164943632</c:v>
                </c:pt>
                <c:pt idx="208">
                  <c:v>0.77484765947545986</c:v>
                </c:pt>
                <c:pt idx="209">
                  <c:v>0.76982696829448627</c:v>
                </c:pt>
                <c:pt idx="210">
                  <c:v>0.7646679703362359</c:v>
                </c:pt>
                <c:pt idx="211">
                  <c:v>0.75937388942819528</c:v>
                </c:pt>
                <c:pt idx="212">
                  <c:v>0.75394801764528974</c:v>
                </c:pt>
                <c:pt idx="213">
                  <c:v>0.74839371190642778</c:v>
                </c:pt>
                <c:pt idx="214">
                  <c:v>0.74271439052282373</c:v>
                </c:pt>
                <c:pt idx="215">
                  <c:v>0.73691352970305446</c:v>
                </c:pt>
                <c:pt idx="216">
                  <c:v>0.73099466001983693</c:v>
                </c:pt>
                <c:pt idx="217">
                  <c:v>0.72496136284352908</c:v>
                </c:pt>
                <c:pt idx="218">
                  <c:v>0.71881726674737867</c:v>
                </c:pt>
                <c:pt idx="219">
                  <c:v>0.71256604388954226</c:v>
                </c:pt>
                <c:pt idx="220">
                  <c:v>0.70621140637689395</c:v>
                </c:pt>
                <c:pt idx="221">
                  <c:v>0.69975710261563295</c:v>
                </c:pt>
                <c:pt idx="222">
                  <c:v>0.69320691365366904</c:v>
                </c:pt>
                <c:pt idx="223">
                  <c:v>0.68656464951974461</c:v>
                </c:pt>
                <c:pt idx="224">
                  <c:v>0.67983414556419952</c:v>
                </c:pt>
                <c:pt idx="225">
                  <c:v>0.67301925880624958</c:v>
                </c:pt>
                <c:pt idx="226">
                  <c:v>0.66612386429258474</c:v>
                </c:pt>
                <c:pt idx="227">
                  <c:v>0.65915185147203192</c:v>
                </c:pt>
                <c:pt idx="228">
                  <c:v>0.65210712059095532</c:v>
                </c:pt>
                <c:pt idx="229">
                  <c:v>0.64499357911398703</c:v>
                </c:pt>
                <c:pt idx="230">
                  <c:v>0.63781513817459479</c:v>
                </c:pt>
                <c:pt idx="231">
                  <c:v>0.63057570905989779</c:v>
                </c:pt>
                <c:pt idx="232">
                  <c:v>0.62327919973404255</c:v>
                </c:pt>
                <c:pt idx="233">
                  <c:v>0.6159295114043406</c:v>
                </c:pt>
                <c:pt idx="234">
                  <c:v>0.60853053513426214</c:v>
                </c:pt>
                <c:pt idx="235">
                  <c:v>0.60108614850725106</c:v>
                </c:pt>
                <c:pt idx="236">
                  <c:v>0.59360021234520888</c:v>
                </c:pt>
                <c:pt idx="237">
                  <c:v>0.58607656748536219</c:v>
                </c:pt>
                <c:pt idx="238">
                  <c:v>0.5785190316190898</c:v>
                </c:pt>
                <c:pt idx="239">
                  <c:v>0.57093139619615008</c:v>
                </c:pt>
                <c:pt idx="240">
                  <c:v>0.56331742339760105</c:v>
                </c:pt>
                <c:pt idx="241">
                  <c:v>0.55568084318055488</c:v>
                </c:pt>
                <c:pt idx="242">
                  <c:v>0.54802535039776468</c:v>
                </c:pt>
                <c:pt idx="243">
                  <c:v>0.54035460199487295</c:v>
                </c:pt>
                <c:pt idx="244">
                  <c:v>0.53267221428800515</c:v>
                </c:pt>
                <c:pt idx="245">
                  <c:v>0.5249817603242195</c:v>
                </c:pt>
                <c:pt idx="246">
                  <c:v>0.5172867673271706</c:v>
                </c:pt>
                <c:pt idx="247">
                  <c:v>0.50959071423016922</c:v>
                </c:pt>
                <c:pt idx="248">
                  <c:v>0.50189702929866098</c:v>
                </c:pt>
                <c:pt idx="249">
                  <c:v>0.49420908784397743</c:v>
                </c:pt>
                <c:pt idx="250">
                  <c:v>0.48653021003003821</c:v>
                </c:pt>
                <c:pt idx="251">
                  <c:v>0.47886365877452086</c:v>
                </c:pt>
                <c:pt idx="252">
                  <c:v>0.47121263774584377</c:v>
                </c:pt>
                <c:pt idx="253">
                  <c:v>0.46358028945713237</c:v>
                </c:pt>
                <c:pt idx="254">
                  <c:v>0.45596969345817795</c:v>
                </c:pt>
                <c:pt idx="255">
                  <c:v>0.44838386462622692</c:v>
                </c:pt>
                <c:pt idx="256">
                  <c:v>0.44082575155626913</c:v>
                </c:pt>
                <c:pt idx="257">
                  <c:v>0.43329823505133463</c:v>
                </c:pt>
                <c:pt idx="258">
                  <c:v>0.42580412671313866</c:v>
                </c:pt>
                <c:pt idx="259">
                  <c:v>0.41834616763325699</c:v>
                </c:pt>
                <c:pt idx="260">
                  <c:v>0.41092702718485563</c:v>
                </c:pt>
                <c:pt idx="261">
                  <c:v>0.40354930191483801</c:v>
                </c:pt>
                <c:pt idx="262">
                  <c:v>0.39621551453612486</c:v>
                </c:pt>
                <c:pt idx="263">
                  <c:v>0.38892811301962904</c:v>
                </c:pt>
                <c:pt idx="264">
                  <c:v>0.38168946978534007</c:v>
                </c:pt>
                <c:pt idx="265">
                  <c:v>0.3745018809917946</c:v>
                </c:pt>
                <c:pt idx="266">
                  <c:v>0.36736756592306241</c:v>
                </c:pt>
                <c:pt idx="267">
                  <c:v>0.36028866647225138</c:v>
                </c:pt>
                <c:pt idx="268">
                  <c:v>0.35326724672039644</c:v>
                </c:pt>
                <c:pt idx="269">
                  <c:v>0.34630529260947668</c:v>
                </c:pt>
                <c:pt idx="270">
                  <c:v>0.3394047117081786</c:v>
                </c:pt>
                <c:pt idx="271">
                  <c:v>0.33256733306891278</c:v>
                </c:pt>
                <c:pt idx="272">
                  <c:v>0.32579490717447068</c:v>
                </c:pt>
                <c:pt idx="273">
                  <c:v>0.31908910597261098</c:v>
                </c:pt>
                <c:pt idx="274">
                  <c:v>0.31245152299675477</c:v>
                </c:pt>
                <c:pt idx="275">
                  <c:v>0.30588367357087898</c:v>
                </c:pt>
                <c:pt idx="276">
                  <c:v>0.29938699509660144</c:v>
                </c:pt>
                <c:pt idx="277">
                  <c:v>0.29296284742036804</c:v>
                </c:pt>
                <c:pt idx="278">
                  <c:v>0.28661251327857246</c:v>
                </c:pt>
                <c:pt idx="279">
                  <c:v>0.28033719881836161</c:v>
                </c:pt>
                <c:pt idx="280">
                  <c:v>0.27413803419181421</c:v>
                </c:pt>
                <c:pt idx="281">
                  <c:v>0.26801607422111301</c:v>
                </c:pt>
                <c:pt idx="282">
                  <c:v>0.26197229913227721</c:v>
                </c:pt>
                <c:pt idx="283">
                  <c:v>0.25600761535496325</c:v>
                </c:pt>
                <c:pt idx="284">
                  <c:v>0.25012285638580389</c:v>
                </c:pt>
                <c:pt idx="285">
                  <c:v>0.24431878371270369</c:v>
                </c:pt>
                <c:pt idx="286">
                  <c:v>0.23859608779748387</c:v>
                </c:pt>
                <c:pt idx="287">
                  <c:v>0.23295538911422944</c:v>
                </c:pt>
                <c:pt idx="288">
                  <c:v>0.22739723924067454</c:v>
                </c:pt>
                <c:pt idx="289">
                  <c:v>0.22192212199993619</c:v>
                </c:pt>
                <c:pt idx="290">
                  <c:v>0.21653045464989526</c:v>
                </c:pt>
                <c:pt idx="291">
                  <c:v>0.21122258911751393</c:v>
                </c:pt>
                <c:pt idx="292">
                  <c:v>0.20599881327537228</c:v>
                </c:pt>
                <c:pt idx="293">
                  <c:v>0.20085935225771051</c:v>
                </c:pt>
                <c:pt idx="294">
                  <c:v>0.1958043698132643</c:v>
                </c:pt>
                <c:pt idx="295">
                  <c:v>0.1908339696921966</c:v>
                </c:pt>
                <c:pt idx="296">
                  <c:v>0.18594819706443572</c:v>
                </c:pt>
                <c:pt idx="297">
                  <c:v>0.18114703996675677</c:v>
                </c:pt>
                <c:pt idx="298">
                  <c:v>0.17643043077596002</c:v>
                </c:pt>
                <c:pt idx="299">
                  <c:v>0.1717982477055304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52-4E07-965A-C933D29D5CDA}"/>
            </c:ext>
          </c:extLst>
        </c:ser>
        <c:ser>
          <c:idx val="1"/>
          <c:order val="1"/>
          <c:tx>
            <c:v>Domyślna szerokość pasma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d.'!$J$6:$J$305</c:f>
              <c:numCache>
                <c:formatCode>General</c:formatCode>
                <c:ptCount val="300"/>
                <c:pt idx="0">
                  <c:v>7.2286816673830967E-2</c:v>
                </c:pt>
                <c:pt idx="1">
                  <c:v>7.4051345712255467E-2</c:v>
                </c:pt>
                <c:pt idx="2">
                  <c:v>7.5836224352428191E-2</c:v>
                </c:pt>
                <c:pt idx="3">
                  <c:v>7.7641416245647132E-2</c:v>
                </c:pt>
                <c:pt idx="4">
                  <c:v>7.9466876818004781E-2</c:v>
                </c:pt>
                <c:pt idx="5">
                  <c:v>8.1312550880070431E-2</c:v>
                </c:pt>
                <c:pt idx="6">
                  <c:v>8.317837022209966E-2</c:v>
                </c:pt>
                <c:pt idx="7">
                  <c:v>8.506425122300483E-2</c:v>
                </c:pt>
                <c:pt idx="8">
                  <c:v>8.6970092502134388E-2</c:v>
                </c:pt>
                <c:pt idx="9">
                  <c:v>8.8895772643469748E-2</c:v>
                </c:pt>
                <c:pt idx="10">
                  <c:v>9.0841148022141688E-2</c:v>
                </c:pt>
                <c:pt idx="11">
                  <c:v>9.280605076318979E-2</c:v>
                </c:pt>
                <c:pt idx="12">
                  <c:v>9.479028686223652E-2</c:v>
                </c:pt>
                <c:pt idx="13">
                  <c:v>9.6793634497213649E-2</c:v>
                </c:pt>
                <c:pt idx="14">
                  <c:v>9.8815842559474412E-2</c:v>
                </c:pt>
                <c:pt idx="15">
                  <c:v>0.10085662943154365</c:v>
                </c:pt>
                <c:pt idx="16">
                  <c:v>0.10291568203741605</c:v>
                </c:pt>
                <c:pt idx="17">
                  <c:v>0.10499265518971168</c:v>
                </c:pt>
                <c:pt idx="18">
                  <c:v>0.1070871712561523</c:v>
                </c:pt>
                <c:pt idx="19">
                  <c:v>0.10919882016574757</c:v>
                </c:pt>
                <c:pt idx="20">
                  <c:v>0.11132715977278683</c:v>
                </c:pt>
                <c:pt idx="21">
                  <c:v>0.113471716594243</c:v>
                </c:pt>
                <c:pt idx="22">
                  <c:v>0.1156319869335255</c:v>
                </c:pt>
                <c:pt idx="23">
                  <c:v>0.11780743840069047</c:v>
                </c:pt>
                <c:pt idx="24">
                  <c:v>0.11999751183625273</c:v>
                </c:pt>
                <c:pt idx="25">
                  <c:v>0.12220162364265998</c:v>
                </c:pt>
                <c:pt idx="26">
                  <c:v>0.12441916852432057</c:v>
                </c:pt>
                <c:pt idx="27">
                  <c:v>0.1266495226338335</c:v>
                </c:pt>
                <c:pt idx="28">
                  <c:v>0.12889204711878399</c:v>
                </c:pt>
                <c:pt idx="29">
                  <c:v>0.13114609206016184</c:v>
                </c:pt>
                <c:pt idx="30">
                  <c:v>0.13341100079015594</c:v>
                </c:pt>
                <c:pt idx="31">
                  <c:v>0.13568611457379989</c:v>
                </c:pt>
                <c:pt idx="32">
                  <c:v>0.13797077763571486</c:v>
                </c:pt>
                <c:pt idx="33">
                  <c:v>0.14026434251003514</c:v>
                </c:pt>
                <c:pt idx="34">
                  <c:v>0.14256617568853439</c:v>
                </c:pt>
                <c:pt idx="35">
                  <c:v>0.14487566353901171</c:v>
                </c:pt>
                <c:pt idx="36">
                  <c:v>0.14719221846317146</c:v>
                </c:pt>
                <c:pt idx="37">
                  <c:v>0.14951528526054958</c:v>
                </c:pt>
                <c:pt idx="38">
                  <c:v>0.15184434766252472</c:v>
                </c:pt>
                <c:pt idx="39">
                  <c:v>0.15417893499811836</c:v>
                </c:pt>
                <c:pt idx="40">
                  <c:v>0.1565186289511469</c:v>
                </c:pt>
                <c:pt idx="41">
                  <c:v>0.15886307036635577</c:v>
                </c:pt>
                <c:pt idx="42">
                  <c:v>0.16121196606045396</c:v>
                </c:pt>
                <c:pt idx="43">
                  <c:v>0.16356509559248034</c:v>
                </c:pt>
                <c:pt idx="44">
                  <c:v>0.16592231794669635</c:v>
                </c:pt>
                <c:pt idx="45">
                  <c:v>0.1682835780801992</c:v>
                </c:pt>
                <c:pt idx="46">
                  <c:v>0.170648913286718</c:v>
                </c:pt>
                <c:pt idx="47">
                  <c:v>0.17301845932757881</c:v>
                </c:pt>
                <c:pt idx="48">
                  <c:v>0.17539245628062383</c:v>
                </c:pt>
                <c:pt idx="49">
                  <c:v>0.17777125405793845</c:v>
                </c:pt>
                <c:pt idx="50">
                  <c:v>0.18015531754359729</c:v>
                </c:pt>
                <c:pt idx="51">
                  <c:v>0.18254523130326936</c:v>
                </c:pt>
                <c:pt idx="52">
                  <c:v>0.18494170381845007</c:v>
                </c:pt>
                <c:pt idx="53">
                  <c:v>0.18734557119929551</c:v>
                </c:pt>
                <c:pt idx="54">
                  <c:v>0.18975780033154058</c:v>
                </c:pt>
                <c:pt idx="55">
                  <c:v>0.19217949141477139</c:v>
                </c:pt>
                <c:pt idx="56">
                  <c:v>0.1946118798514121</c:v>
                </c:pt>
                <c:pt idx="57">
                  <c:v>0.19705633744816367</c:v>
                </c:pt>
                <c:pt idx="58">
                  <c:v>0.19951437289428892</c:v>
                </c:pt>
                <c:pt idx="59">
                  <c:v>0.2019876314841044</c:v>
                </c:pt>
                <c:pt idx="60">
                  <c:v>0.20447789405425876</c:v>
                </c:pt>
                <c:pt idx="61">
                  <c:v>0.20698707510989381</c:v>
                </c:pt>
                <c:pt idx="62">
                  <c:v>0.20951722011756599</c:v>
                </c:pt>
                <c:pt idx="63">
                  <c:v>0.21207050194683824</c:v>
                </c:pt>
                <c:pt idx="64">
                  <c:v>0.21464921644675131</c:v>
                </c:pt>
                <c:pt idx="65">
                  <c:v>0.2172557771479042</c:v>
                </c:pt>
                <c:pt idx="66">
                  <c:v>0.21989270908563138</c:v>
                </c:pt>
                <c:pt idx="67">
                  <c:v>0.22256264174472348</c:v>
                </c:pt>
                <c:pt idx="68">
                  <c:v>0.2252683011312836</c:v>
                </c:pt>
                <c:pt idx="69">
                  <c:v>0.22801250098263165</c:v>
                </c:pt>
                <c:pt idx="70">
                  <c:v>0.23079813313162886</c:v>
                </c:pt>
                <c:pt idx="71">
                  <c:v>0.23362815704737086</c:v>
                </c:pt>
                <c:pt idx="72">
                  <c:v>0.23650558857987103</c:v>
                </c:pt>
                <c:pt idx="73">
                  <c:v>0.23943348794208041</c:v>
                </c:pt>
                <c:pt idx="74">
                  <c:v>0.24241494696834431</c:v>
                </c:pt>
                <c:pt idx="75">
                  <c:v>0.24545307569414204</c:v>
                </c:pt>
                <c:pt idx="76">
                  <c:v>0.24855098830764843</c:v>
                </c:pt>
                <c:pt idx="77">
                  <c:v>0.25171178852927067</c:v>
                </c:pt>
                <c:pt idx="78">
                  <c:v>0.25493855448078739</c:v>
                </c:pt>
                <c:pt idx="79">
                  <c:v>0.25823432311103206</c:v>
                </c:pt>
                <c:pt idx="80">
                  <c:v>0.26160207425015453</c:v>
                </c:pt>
                <c:pt idx="81">
                  <c:v>0.2650447143693212</c:v>
                </c:pt>
                <c:pt idx="82">
                  <c:v>0.2685650601272514</c:v>
                </c:pt>
                <c:pt idx="83">
                  <c:v>0.27216582178914933</c:v>
                </c:pt>
                <c:pt idx="84">
                  <c:v>0.27584958660738035</c:v>
                </c:pt>
                <c:pt idx="85">
                  <c:v>0.27961880225656138</c:v>
                </c:pt>
                <c:pt idx="86">
                  <c:v>0.28347576041860062</c:v>
                </c:pt>
                <c:pt idx="87">
                  <c:v>0.28742258061553533</c:v>
                </c:pt>
                <c:pt idx="88">
                  <c:v>0.29146119438977552</c:v>
                </c:pt>
                <c:pt idx="89">
                  <c:v>0.29559332993252618</c:v>
                </c:pt>
                <c:pt idx="90">
                  <c:v>0.29982049726166948</c:v>
                </c:pt>
                <c:pt idx="91">
                  <c:v>0.30414397405025773</c:v>
                </c:pt>
                <c:pt idx="92">
                  <c:v>0.30856479220592342</c:v>
                </c:pt>
                <c:pt idx="93">
                  <c:v>0.31308372529997802</c:v>
                </c:pt>
                <c:pt idx="94">
                  <c:v>0.31770127694269462</c:v>
                </c:pt>
                <c:pt idx="95">
                  <c:v>0.32241767019826895</c:v>
                </c:pt>
                <c:pt idx="96">
                  <c:v>0.32723283812920362</c:v>
                </c:pt>
                <c:pt idx="97">
                  <c:v>0.33214641555537422</c:v>
                </c:pt>
                <c:pt idx="98">
                  <c:v>0.33715773210782285</c:v>
                </c:pt>
                <c:pt idx="99">
                  <c:v>0.34226580665138928</c:v>
                </c:pt>
                <c:pt idx="100">
                  <c:v>0.34746934314365591</c:v>
                </c:pt>
                <c:pt idx="101">
                  <c:v>0.35276672799039427</c:v>
                </c:pt>
                <c:pt idx="102">
                  <c:v>0.35815602894975962</c:v>
                </c:pt>
                <c:pt idx="103">
                  <c:v>0.36363499562895046</c:v>
                </c:pt>
                <c:pt idx="104">
                  <c:v>0.36920106160798644</c:v>
                </c:pt>
                <c:pt idx="105">
                  <c:v>0.37485134821567373</c:v>
                </c:pt>
                <c:pt idx="106">
                  <c:v>0.38058266997282364</c:v>
                </c:pt>
                <c:pt idx="107">
                  <c:v>0.38639154170741402</c:v>
                </c:pt>
                <c:pt idx="108">
                  <c:v>0.39227418733568692</c:v>
                </c:pt>
                <c:pt idx="109">
                  <c:v>0.39822655029226761</c:v>
                </c:pt>
                <c:pt idx="110">
                  <c:v>0.40424430558131208</c:v>
                </c:pt>
                <c:pt idx="111">
                  <c:v>0.41032287340954254</c:v>
                </c:pt>
                <c:pt idx="112">
                  <c:v>0.41645743435089666</c:v>
                </c:pt>
                <c:pt idx="113">
                  <c:v>0.42264294598146623</c:v>
                </c:pt>
                <c:pt idx="114">
                  <c:v>0.42887416091253372</c:v>
                </c:pt>
                <c:pt idx="115">
                  <c:v>0.43514564613892154</c:v>
                </c:pt>
                <c:pt idx="116">
                  <c:v>0.44145180360960851</c:v>
                </c:pt>
                <c:pt idx="117">
                  <c:v>0.44778689191776944</c:v>
                </c:pt>
                <c:pt idx="118">
                  <c:v>0.4541450489980916</c:v>
                </c:pt>
                <c:pt idx="119">
                  <c:v>0.46052031571054197</c:v>
                </c:pt>
                <c:pt idx="120">
                  <c:v>0.46690666018174415</c:v>
                </c:pt>
                <c:pt idx="121">
                  <c:v>0.47329800276786499</c:v>
                </c:pt>
                <c:pt idx="122">
                  <c:v>0.47968824149648609</c:v>
                </c:pt>
                <c:pt idx="123">
                  <c:v>0.48607127783937082</c:v>
                </c:pt>
                <c:pt idx="124">
                  <c:v>0.4924410426634423</c:v>
                </c:pt>
                <c:pt idx="125">
                  <c:v>0.49879152220366629</c:v>
                </c:pt>
                <c:pt idx="126">
                  <c:v>0.50511678389895498</c:v>
                </c:pt>
                <c:pt idx="127">
                  <c:v>0.51141100193071132</c:v>
                </c:pt>
                <c:pt idx="128">
                  <c:v>0.5176684823032196</c:v>
                </c:pt>
                <c:pt idx="129">
                  <c:v>0.5238836873058117</c:v>
                </c:pt>
                <c:pt idx="130">
                  <c:v>0.53005125919858598</c:v>
                </c:pt>
                <c:pt idx="131">
                  <c:v>0.53616604296644177</c:v>
                </c:pt>
                <c:pt idx="132">
                  <c:v>0.5422231079903016</c:v>
                </c:pt>
                <c:pt idx="133">
                  <c:v>0.54821776848962256</c:v>
                </c:pt>
                <c:pt idx="134">
                  <c:v>0.55414560259660595</c:v>
                </c:pt>
                <c:pt idx="135">
                  <c:v>0.56000246992989</c:v>
                </c:pt>
                <c:pt idx="136">
                  <c:v>0.5657845275438933</c:v>
                </c:pt>
                <c:pt idx="137">
                  <c:v>0.57148824413932042</c:v>
                </c:pt>
                <c:pt idx="138">
                  <c:v>0.57711041243060379</c:v>
                </c:pt>
                <c:pt idx="139">
                  <c:v>0.58264815957714866</c:v>
                </c:pt>
                <c:pt idx="140">
                  <c:v>0.58809895559711722</c:v>
                </c:pt>
                <c:pt idx="141">
                  <c:v>0.59346061969504527</c:v>
                </c:pt>
                <c:pt idx="142">
                  <c:v>0.59873132444774868</c:v>
                </c:pt>
                <c:pt idx="143">
                  <c:v>0.60390959780665809</c:v>
                </c:pt>
                <c:pt idx="144">
                  <c:v>0.60899432288881605</c:v>
                </c:pt>
                <c:pt idx="145">
                  <c:v>0.61398473554320521</c:v>
                </c:pt>
                <c:pt idx="146">
                  <c:v>0.61888041969370411</c:v>
                </c:pt>
                <c:pt idx="147">
                  <c:v>0.62368130047474091</c:v>
                </c:pt>
                <c:pt idx="148">
                  <c:v>0.62838763519048157</c:v>
                </c:pt>
                <c:pt idx="149">
                  <c:v>0.63300000214305352</c:v>
                </c:pt>
                <c:pt idx="150">
                  <c:v>0.63751928738978991</c:v>
                </c:pt>
                <c:pt idx="151">
                  <c:v>0.64194666950363521</c:v>
                </c:pt>
                <c:pt idx="152">
                  <c:v>0.64628360242458915</c:v>
                </c:pt>
                <c:pt idx="153">
                  <c:v>0.65053179650331805</c:v>
                </c:pt>
                <c:pt idx="154">
                  <c:v>0.65469319785066171</c:v>
                </c:pt>
                <c:pt idx="155">
                  <c:v>0.65876996611868599</c:v>
                </c:pt>
                <c:pt idx="156">
                  <c:v>0.66276445085003166</c:v>
                </c:pt>
                <c:pt idx="157">
                  <c:v>0.66667916654254866</c:v>
                </c:pt>
                <c:pt idx="158">
                  <c:v>0.67051676658546522</c:v>
                </c:pt>
                <c:pt idx="159">
                  <c:v>0.67428001623157363</c:v>
                </c:pt>
                <c:pt idx="160">
                  <c:v>0.67797176477706733</c:v>
                </c:pt>
                <c:pt idx="161">
                  <c:v>0.68159491712663511</c:v>
                </c:pt>
                <c:pt idx="162">
                  <c:v>0.68515240492620966</c:v>
                </c:pt>
                <c:pt idx="163">
                  <c:v>0.68864715744932314</c:v>
                </c:pt>
                <c:pt idx="164">
                  <c:v>0.69208207242528808</c:v>
                </c:pt>
                <c:pt idx="165">
                  <c:v>0.69545998699842126</c:v>
                </c:pt>
                <c:pt idx="166">
                  <c:v>0.69878364900721013</c:v>
                </c:pt>
                <c:pt idx="167">
                  <c:v>0.70205568877071156</c:v>
                </c:pt>
                <c:pt idx="168">
                  <c:v>0.70527859156656381</c:v>
                </c:pt>
                <c:pt idx="169">
                  <c:v>0.70845467098081416</c:v>
                </c:pt>
                <c:pt idx="170">
                  <c:v>0.71158604330433217</c:v>
                </c:pt>
                <c:pt idx="171">
                  <c:v>0.71467460314394471</c:v>
                </c:pt>
                <c:pt idx="172">
                  <c:v>0.71772200040862588</c:v>
                </c:pt>
                <c:pt idx="173">
                  <c:v>0.72072961882216435</c:v>
                </c:pt>
                <c:pt idx="174">
                  <c:v>0.72369855610378853</c:v>
                </c:pt>
                <c:pt idx="175">
                  <c:v>0.72662960594728709</c:v>
                </c:pt>
                <c:pt idx="176">
                  <c:v>0.72952324191737905</c:v>
                </c:pt>
                <c:pt idx="177">
                  <c:v>0.73237960336943031</c:v>
                </c:pt>
                <c:pt idx="178">
                  <c:v>0.73519848348531536</c:v>
                </c:pt>
                <c:pt idx="179">
                  <c:v>0.73797931950424744</c:v>
                </c:pt>
                <c:pt idx="180">
                  <c:v>0.74072118521296437</c:v>
                </c:pt>
                <c:pt idx="181">
                  <c:v>0.74342278574477205</c:v>
                </c:pt>
                <c:pt idx="182">
                  <c:v>0.74608245472180268</c:v>
                </c:pt>
                <c:pt idx="183">
                  <c:v>0.74869815375949633</c:v>
                </c:pt>
                <c:pt idx="184">
                  <c:v>0.75126747433689578</c:v>
                </c:pt>
                <c:pt idx="185">
                  <c:v>0.75378764202097304</c:v>
                </c:pt>
                <c:pt idx="186">
                  <c:v>0.7562555230180027</c:v>
                </c:pt>
                <c:pt idx="187">
                  <c:v>0.75866763301002049</c:v>
                </c:pt>
                <c:pt idx="188">
                  <c:v>0.76102014821985831</c:v>
                </c:pt>
                <c:pt idx="189">
                  <c:v>0.76330891863412753</c:v>
                </c:pt>
                <c:pt idx="190">
                  <c:v>0.76552948330001647</c:v>
                </c:pt>
                <c:pt idx="191">
                  <c:v>0.76767708759893849</c:v>
                </c:pt>
                <c:pt idx="192">
                  <c:v>0.76974670238796605</c:v>
                </c:pt>
                <c:pt idx="193">
                  <c:v>0.77173304488879646</c:v>
                </c:pt>
                <c:pt idx="194">
                  <c:v>0.77363060119366256</c:v>
                </c:pt>
                <c:pt idx="195">
                  <c:v>0.77543365024831856</c:v>
                </c:pt>
                <c:pt idx="196">
                  <c:v>0.77713628916396127</c:v>
                </c:pt>
                <c:pt idx="197">
                  <c:v>0.77873245970279314</c:v>
                </c:pt>
                <c:pt idx="198">
                  <c:v>0.78021597577592916</c:v>
                </c:pt>
                <c:pt idx="199">
                  <c:v>0.78158055178750152</c:v>
                </c:pt>
                <c:pt idx="200">
                  <c:v>0.78281983165518276</c:v>
                </c:pt>
                <c:pt idx="201">
                  <c:v>0.78392741833489943</c:v>
                </c:pt>
                <c:pt idx="202">
                  <c:v>0.78489690367629039</c:v>
                </c:pt>
                <c:pt idx="203">
                  <c:v>0.78572189843543028</c:v>
                </c:pt>
                <c:pt idx="204">
                  <c:v>0.78639606227250114</c:v>
                </c:pt>
                <c:pt idx="205">
                  <c:v>0.78691313356438386</c:v>
                </c:pt>
                <c:pt idx="206">
                  <c:v>0.78726695886560172</c:v>
                </c:pt>
                <c:pt idx="207">
                  <c:v>0.7874515218555237</c:v>
                </c:pt>
                <c:pt idx="208">
                  <c:v>0.78746097161527329</c:v>
                </c:pt>
                <c:pt idx="209">
                  <c:v>0.7872896500842792</c:v>
                </c:pt>
                <c:pt idx="210">
                  <c:v>0.78693211855378042</c:v>
                </c:pt>
                <c:pt idx="211">
                  <c:v>0.78638318306280663</c:v>
                </c:pt>
                <c:pt idx="212">
                  <c:v>0.78563791857111498</c:v>
                </c:pt>
                <c:pt idx="213">
                  <c:v>0.78469169179315879</c:v>
                </c:pt>
                <c:pt idx="214">
                  <c:v>0.78354018258738467</c:v>
                </c:pt>
                <c:pt idx="215">
                  <c:v>0.7821794038058052</c:v>
                </c:pt>
                <c:pt idx="216">
                  <c:v>0.78060571951989854</c:v>
                </c:pt>
                <c:pt idx="217">
                  <c:v>0.77881586155024918</c:v>
                </c:pt>
                <c:pt idx="218">
                  <c:v>0.77680694423897023</c:v>
                </c:pt>
                <c:pt idx="219">
                  <c:v>0.77457647741564672</c:v>
                </c:pt>
                <c:pt idx="220">
                  <c:v>0.77212237751933399</c:v>
                </c:pt>
                <c:pt idx="221">
                  <c:v>0.76944297685081497</c:v>
                </c:pt>
                <c:pt idx="222">
                  <c:v>0.7665370309409365</c:v>
                </c:pt>
                <c:pt idx="223">
                  <c:v>0.76340372403217494</c:v>
                </c:pt>
                <c:pt idx="224">
                  <c:v>0.76004267268166159</c:v>
                </c:pt>
                <c:pt idx="225">
                  <c:v>0.7564539275045955</c:v>
                </c:pt>
                <c:pt idx="226">
                  <c:v>0.75263797308725477</c:v>
                </c:pt>
                <c:pt idx="227">
                  <c:v>0.74859572610859382</c:v>
                </c:pt>
                <c:pt idx="228">
                  <c:v>0.74432853171866109</c:v>
                </c:pt>
                <c:pt idx="229">
                  <c:v>0.73983815823072241</c:v>
                </c:pt>
                <c:pt idx="230">
                  <c:v>0.73512679019197924</c:v>
                </c:pt>
                <c:pt idx="231">
                  <c:v>0.73019701990514452</c:v>
                </c:pt>
                <c:pt idx="232">
                  <c:v>0.72505183747976065</c:v>
                </c:pt>
                <c:pt idx="233">
                  <c:v>0.71969461949810654</c:v>
                </c:pt>
                <c:pt idx="234">
                  <c:v>0.71412911638571053</c:v>
                </c:pt>
                <c:pt idx="235">
                  <c:v>0.70835943858097816</c:v>
                </c:pt>
                <c:pt idx="236">
                  <c:v>0.70239004160212659</c:v>
                </c:pt>
                <c:pt idx="237">
                  <c:v>0.69622571011260204</c:v>
                </c:pt>
                <c:pt idx="238">
                  <c:v>0.68987154108840021</c:v>
                </c:pt>
                <c:pt idx="239">
                  <c:v>0.68333292619220831</c:v>
                </c:pt>
                <c:pt idx="240">
                  <c:v>0.67661553346012127</c:v>
                </c:pt>
                <c:pt idx="241">
                  <c:v>0.66972528840682322</c:v>
                </c:pt>
                <c:pt idx="242">
                  <c:v>0.66266835465459506</c:v>
                </c:pt>
                <c:pt idx="243">
                  <c:v>0.65545111419040225</c:v>
                </c:pt>
                <c:pt idx="244">
                  <c:v>0.64808014735357677</c:v>
                </c:pt>
                <c:pt idx="245">
                  <c:v>0.64056221265434365</c:v>
                </c:pt>
                <c:pt idx="246">
                  <c:v>0.63290422652067391</c:v>
                </c:pt>
                <c:pt idx="247">
                  <c:v>0.62511324306766369</c:v>
                </c:pt>
                <c:pt idx="248">
                  <c:v>0.61719643397997714</c:v>
                </c:pt>
                <c:pt idx="249">
                  <c:v>0.60916106859381203</c:v>
                </c:pt>
                <c:pt idx="250">
                  <c:v>0.60101449426041953</c:v>
                </c:pt>
                <c:pt idx="251">
                  <c:v>0.59276411706849819</c:v>
                </c:pt>
                <c:pt idx="252">
                  <c:v>0.58441738299779356</c:v>
                </c:pt>
                <c:pt idx="253">
                  <c:v>0.57598175957104503</c:v>
                </c:pt>
                <c:pt idx="254">
                  <c:v>0.56746471806603627</c:v>
                </c:pt>
                <c:pt idx="255">
                  <c:v>0.55887371634400462</c:v>
                </c:pt>
                <c:pt idx="256">
                  <c:v>0.55021618234506342</c:v>
                </c:pt>
                <c:pt idx="257">
                  <c:v>0.54149949829561583</c:v>
                </c:pt>
                <c:pt idx="258">
                  <c:v>0.532730985667073</c:v>
                </c:pt>
                <c:pt idx="259">
                  <c:v>0.52391789091950502</c:v>
                </c:pt>
                <c:pt idx="260">
                  <c:v>0.51506737205824593</c:v>
                </c:pt>
                <c:pt idx="261">
                  <c:v>0.50618648602591454</c:v>
                </c:pt>
                <c:pt idx="262">
                  <c:v>0.49728217694689419</c:v>
                </c:pt>
                <c:pt idx="263">
                  <c:v>0.4883612652359906</c:v>
                </c:pt>
                <c:pt idx="264">
                  <c:v>0.47943043757786946</c:v>
                </c:pt>
                <c:pt idx="265">
                  <c:v>0.47049623777889282</c:v>
                </c:pt>
                <c:pt idx="266">
                  <c:v>0.46156505848824192</c:v>
                </c:pt>
                <c:pt idx="267">
                  <c:v>0.45264313378065435</c:v>
                </c:pt>
                <c:pt idx="268">
                  <c:v>0.44373653258884627</c:v>
                </c:pt>
                <c:pt idx="269">
                  <c:v>0.43485115296962223</c:v>
                </c:pt>
                <c:pt idx="270">
                  <c:v>0.42599271718394133</c:v>
                </c:pt>
                <c:pt idx="271">
                  <c:v>0.41716676756769722</c:v>
                </c:pt>
                <c:pt idx="272">
                  <c:v>0.40837866316679122</c:v>
                </c:pt>
                <c:pt idx="273">
                  <c:v>0.39963357710718328</c:v>
                </c:pt>
                <c:pt idx="274">
                  <c:v>0.39093649466799874</c:v>
                </c:pt>
                <c:pt idx="275">
                  <c:v>0.38229221202350183</c:v>
                </c:pt>
                <c:pt idx="276">
                  <c:v>0.3737053356177652</c:v>
                </c:pt>
                <c:pt idx="277">
                  <c:v>0.36518028213420234</c:v>
                </c:pt>
                <c:pt idx="278">
                  <c:v>0.35672127902078116</c:v>
                </c:pt>
                <c:pt idx="279">
                  <c:v>0.34833236553069069</c:v>
                </c:pt>
                <c:pt idx="280">
                  <c:v>0.34001739423749344</c:v>
                </c:pt>
                <c:pt idx="281">
                  <c:v>0.33178003298335135</c:v>
                </c:pt>
                <c:pt idx="282">
                  <c:v>0.32362376721875802</c:v>
                </c:pt>
                <c:pt idx="283">
                  <c:v>0.31555190269234196</c:v>
                </c:pt>
                <c:pt idx="284">
                  <c:v>0.30756756844969962</c:v>
                </c:pt>
                <c:pt idx="285">
                  <c:v>0.29967372010087706</c:v>
                </c:pt>
                <c:pt idx="286">
                  <c:v>0.29187314331702235</c:v>
                </c:pt>
                <c:pt idx="287">
                  <c:v>0.28416845751786507</c:v>
                </c:pt>
                <c:pt idx="288">
                  <c:v>0.27656211971303402</c:v>
                </c:pt>
                <c:pt idx="289">
                  <c:v>0.26905642846177302</c:v>
                </c:pt>
                <c:pt idx="290">
                  <c:v>0.26165352791735141</c:v>
                </c:pt>
                <c:pt idx="291">
                  <c:v>0.2543554119243619</c:v>
                </c:pt>
                <c:pt idx="292">
                  <c:v>0.24716392813914573</c:v>
                </c:pt>
                <c:pt idx="293">
                  <c:v>0.2400807821457456</c:v>
                </c:pt>
                <c:pt idx="294">
                  <c:v>0.23310754154207008</c:v>
                </c:pt>
                <c:pt idx="295">
                  <c:v>0.22624563997330305</c:v>
                </c:pt>
                <c:pt idx="296">
                  <c:v>0.21949638109201305</c:v>
                </c:pt>
                <c:pt idx="297">
                  <c:v>0.21286094242688644</c:v>
                </c:pt>
                <c:pt idx="298">
                  <c:v>0.20634037914448361</c:v>
                </c:pt>
                <c:pt idx="299">
                  <c:v>0.19993562769091497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52-4E07-965A-C933D29D5CDA}"/>
            </c:ext>
          </c:extLst>
        </c:ser>
        <c:ser>
          <c:idx val="2"/>
          <c:order val="2"/>
          <c:tx>
            <c:v>Mała szerokość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d.'!$K$6:$K$305</c:f>
              <c:numCache>
                <c:formatCode>General</c:formatCode>
                <c:ptCount val="300"/>
                <c:pt idx="0">
                  <c:v>0.15957691702127935</c:v>
                </c:pt>
                <c:pt idx="1">
                  <c:v>0.15801033198519182</c:v>
                </c:pt>
                <c:pt idx="2">
                  <c:v>0.1534022463284169</c:v>
                </c:pt>
                <c:pt idx="3">
                  <c:v>0.14601880905590478</c:v>
                </c:pt>
                <c:pt idx="4">
                  <c:v>0.1362751927547543</c:v>
                </c:pt>
                <c:pt idx="5">
                  <c:v>0.12469696792695137</c:v>
                </c:pt>
                <c:pt idx="6">
                  <c:v>0.11187330062550886</c:v>
                </c:pt>
                <c:pt idx="7">
                  <c:v>9.840776540988555E-2</c:v>
                </c:pt>
                <c:pt idx="8">
                  <c:v>8.4872446485084255E-2</c:v>
                </c:pt>
                <c:pt idx="9">
                  <c:v>7.177006089135983E-2</c:v>
                </c:pt>
                <c:pt idx="10">
                  <c:v>5.9507310784628113E-2</c:v>
                </c:pt>
                <c:pt idx="11">
                  <c:v>4.8380872636466829E-2</c:v>
                </c:pt>
                <c:pt idx="12">
                  <c:v>3.8575686948531612E-2</c:v>
                </c:pt>
                <c:pt idx="13">
                  <c:v>3.0173796242726907E-2</c:v>
                </c:pt>
                <c:pt idx="14">
                  <c:v>2.3171065217519795E-2</c:v>
                </c:pt>
                <c:pt idx="15">
                  <c:v>1.7498760224807411E-2</c:v>
                </c:pt>
                <c:pt idx="16">
                  <c:v>1.3047111002011324E-2</c:v>
                </c:pt>
                <c:pt idx="17">
                  <c:v>9.6884905787394827E-3</c:v>
                </c:pt>
                <c:pt idx="18">
                  <c:v>7.2985529775337794E-3</c:v>
                </c:pt>
                <c:pt idx="19">
                  <c:v>5.7743847761633675E-3</c:v>
                </c:pt>
                <c:pt idx="20">
                  <c:v>5.0493084791159533E-3</c:v>
                </c:pt>
                <c:pt idx="21">
                  <c:v>5.1043269120000382E-3</c:v>
                </c:pt>
                <c:pt idx="22">
                  <c:v>5.976282548970948E-3</c:v>
                </c:pt>
                <c:pt idx="23">
                  <c:v>7.7626471244984499E-3</c:v>
                </c:pt>
                <c:pt idx="24">
                  <c:v>1.0622530088629433E-2</c:v>
                </c:pt>
                <c:pt idx="25">
                  <c:v>1.4773114062957886E-2</c:v>
                </c:pt>
                <c:pt idx="26">
                  <c:v>2.0480429817770207E-2</c:v>
                </c:pt>
                <c:pt idx="27">
                  <c:v>2.8043314609295798E-2</c:v>
                </c:pt>
                <c:pt idx="28">
                  <c:v>3.7769677570228276E-2</c:v>
                </c:pt>
                <c:pt idx="29">
                  <c:v>4.9944897279533364E-2</c:v>
                </c:pt>
                <c:pt idx="30">
                  <c:v>6.4793296279096177E-2</c:v>
                </c:pt>
                <c:pt idx="31">
                  <c:v>8.243507397359251E-2</c:v>
                </c:pt>
                <c:pt idx="32">
                  <c:v>0.10284262740154324</c:v>
                </c:pt>
                <c:pt idx="33">
                  <c:v>0.12580155456463474</c:v>
                </c:pt>
                <c:pt idx="34">
                  <c:v>0.15088247705210017</c:v>
                </c:pt>
                <c:pt idx="35">
                  <c:v>0.17742981793417756</c:v>
                </c:pt>
                <c:pt idx="36">
                  <c:v>0.20457260846415018</c:v>
                </c:pt>
                <c:pt idx="37">
                  <c:v>0.23126023057070524</c:v>
                </c:pt>
                <c:pt idx="38">
                  <c:v>0.25632291473961527</c:v>
                </c:pt>
                <c:pt idx="39">
                  <c:v>0.27855321740715122</c:v>
                </c:pt>
                <c:pt idx="40">
                  <c:v>0.29680118814598544</c:v>
                </c:pt>
                <c:pt idx="41">
                  <c:v>0.3100731664950086</c:v>
                </c:pt>
                <c:pt idx="42">
                  <c:v>0.31762271680448939</c:v>
                </c:pt>
                <c:pt idx="43">
                  <c:v>0.3190225060629161</c:v>
                </c:pt>
                <c:pt idx="44">
                  <c:v>0.31420803102687939</c:v>
                </c:pt>
                <c:pt idx="45">
                  <c:v>0.30348772990487838</c:v>
                </c:pt>
                <c:pt idx="46">
                  <c:v>0.28751857791006585</c:v>
                </c:pt>
                <c:pt idx="47">
                  <c:v>0.26725097105278883</c:v>
                </c:pt>
                <c:pt idx="48">
                  <c:v>0.24385071597845415</c:v>
                </c:pt>
                <c:pt idx="49">
                  <c:v>0.21860856845012253</c:v>
                </c:pt>
                <c:pt idx="50">
                  <c:v>0.19284858096302565</c:v>
                </c:pt>
                <c:pt idx="51">
                  <c:v>0.16784547059608532</c:v>
                </c:pt>
                <c:pt idx="52">
                  <c:v>0.14475859837450422</c:v>
                </c:pt>
                <c:pt idx="53">
                  <c:v>0.12458653917358166</c:v>
                </c:pt>
                <c:pt idx="54">
                  <c:v>0.10814234674679638</c:v>
                </c:pt>
                <c:pt idx="55">
                  <c:v>9.6046214287032611E-2</c:v>
                </c:pt>
                <c:pt idx="56">
                  <c:v>8.8729893871851193E-2</c:v>
                </c:pt>
                <c:pt idx="57">
                  <c:v>8.6446329027928814E-2</c:v>
                </c:pt>
                <c:pt idx="58">
                  <c:v>8.9278549089515935E-2</c:v>
                </c:pt>
                <c:pt idx="59">
                  <c:v>9.7143766010967775E-2</c:v>
                </c:pt>
                <c:pt idx="60">
                  <c:v>0.10979136509276519</c:v>
                </c:pt>
                <c:pt idx="61">
                  <c:v>0.12679650121141889</c:v>
                </c:pt>
                <c:pt idx="62">
                  <c:v>0.14755366296036124</c:v>
                </c:pt>
                <c:pt idx="63">
                  <c:v>0.17127626900253853</c:v>
                </c:pt>
                <c:pt idx="64">
                  <c:v>0.19700869538318747</c:v>
                </c:pt>
                <c:pt idx="65">
                  <c:v>0.22365592457509842</c:v>
                </c:pt>
                <c:pt idx="66">
                  <c:v>0.25003337386701491</c:v>
                </c:pt>
                <c:pt idx="67">
                  <c:v>0.27493581360223363</c:v>
                </c:pt>
                <c:pt idx="68">
                  <c:v>0.29722027668921602</c:v>
                </c:pt>
                <c:pt idx="69">
                  <c:v>0.31589427527754194</c:v>
                </c:pt>
                <c:pt idx="70">
                  <c:v>0.3301982504903424</c:v>
                </c:pt>
                <c:pt idx="71">
                  <c:v>0.33967058422987295</c:v>
                </c:pt>
                <c:pt idx="72">
                  <c:v>0.34418498160506306</c:v>
                </c:pt>
                <c:pt idx="73">
                  <c:v>0.34395347290606559</c:v>
                </c:pt>
                <c:pt idx="74">
                  <c:v>0.33949316690246101</c:v>
                </c:pt>
                <c:pt idx="75">
                  <c:v>0.33156037557634832</c:v>
                </c:pt>
                <c:pt idx="76">
                  <c:v>0.32106082726312368</c:v>
                </c:pt>
                <c:pt idx="77">
                  <c:v>0.30894843398965149</c:v>
                </c:pt>
                <c:pt idx="78">
                  <c:v>0.29612676117092218</c:v>
                </c:pt>
                <c:pt idx="79">
                  <c:v>0.28336663408932494</c:v>
                </c:pt>
                <c:pt idx="80">
                  <c:v>0.27125033430779877</c:v>
                </c:pt>
                <c:pt idx="81">
                  <c:v>0.26014815074979503</c:v>
                </c:pt>
                <c:pt idx="82">
                  <c:v>0.25022753169370476</c:v>
                </c:pt>
                <c:pt idx="83">
                  <c:v>0.24148975194017783</c:v>
                </c:pt>
                <c:pt idx="84">
                  <c:v>0.23382481963174984</c:v>
                </c:pt>
                <c:pt idx="85">
                  <c:v>0.22707301286108628</c:v>
                </c:pt>
                <c:pt idx="86">
                  <c:v>0.22108130059693351</c:v>
                </c:pt>
                <c:pt idx="87">
                  <c:v>0.21574488804747718</c:v>
                </c:pt>
                <c:pt idx="88">
                  <c:v>0.21102776638157883</c:v>
                </c:pt>
                <c:pt idx="89">
                  <c:v>0.20696068756146993</c:v>
                </c:pt>
                <c:pt idx="90">
                  <c:v>0.20361953944858943</c:v>
                </c:pt>
                <c:pt idx="91">
                  <c:v>0.20109081252148178</c:v>
                </c:pt>
                <c:pt idx="92">
                  <c:v>0.19943306734586469</c:v>
                </c:pt>
                <c:pt idx="93">
                  <c:v>0.19864367739836306</c:v>
                </c:pt>
                <c:pt idx="94">
                  <c:v>0.19863864144916871</c:v>
                </c:pt>
                <c:pt idx="95">
                  <c:v>0.19925028705073713</c:v>
                </c:pt>
                <c:pt idx="96">
                  <c:v>0.20024384625402855</c:v>
                </c:pt>
                <c:pt idx="97">
                  <c:v>0.20134994824586355</c:v>
                </c:pt>
                <c:pt idx="98">
                  <c:v>0.20230681245855303</c:v>
                </c:pt>
                <c:pt idx="99">
                  <c:v>0.202903965819766</c:v>
                </c:pt>
                <c:pt idx="100">
                  <c:v>0.20301901405267664</c:v>
                </c:pt>
                <c:pt idx="101">
                  <c:v>0.20264040705373618</c:v>
                </c:pt>
                <c:pt idx="102">
                  <c:v>0.20187195850238485</c:v>
                </c:pt>
                <c:pt idx="103">
                  <c:v>0.20091854211099763</c:v>
                </c:pt>
                <c:pt idx="104">
                  <c:v>0.20005615839130092</c:v>
                </c:pt>
                <c:pt idx="105">
                  <c:v>0.19959268881436834</c:v>
                </c:pt>
                <c:pt idx="106">
                  <c:v>0.19982749200660593</c:v>
                </c:pt>
                <c:pt idx="107">
                  <c:v>0.20101815752322574</c:v>
                </c:pt>
                <c:pt idx="108">
                  <c:v>0.20336115004347927</c:v>
                </c:pt>
                <c:pt idx="109">
                  <c:v>0.20699002895207305</c:v>
                </c:pt>
                <c:pt idx="110">
                  <c:v>0.21199099494477708</c:v>
                </c:pt>
                <c:pt idx="111">
                  <c:v>0.21843147632943588</c:v>
                </c:pt>
                <c:pt idx="112">
                  <c:v>0.22639416090213721</c:v>
                </c:pt>
                <c:pt idx="113">
                  <c:v>0.23600704152649243</c:v>
                </c:pt>
                <c:pt idx="114">
                  <c:v>0.24746016237454668</c:v>
                </c:pt>
                <c:pt idx="115">
                  <c:v>0.26100195555056671</c:v>
                </c:pt>
                <c:pt idx="116">
                  <c:v>0.27691206046929429</c:v>
                </c:pt>
                <c:pt idx="117">
                  <c:v>0.29545264763305001</c:v>
                </c:pt>
                <c:pt idx="118">
                  <c:v>0.31680555974488878</c:v>
                </c:pt>
                <c:pt idx="119">
                  <c:v>0.34100694337923165</c:v>
                </c:pt>
                <c:pt idx="120">
                  <c:v>0.3678934565853984</c:v>
                </c:pt>
                <c:pt idx="121">
                  <c:v>0.39707387209488942</c:v>
                </c:pt>
                <c:pt idx="122">
                  <c:v>0.42793668825848702</c:v>
                </c:pt>
                <c:pt idx="123">
                  <c:v>0.45969851794126054</c:v>
                </c:pt>
                <c:pt idx="124">
                  <c:v>0.4914904308051839</c:v>
                </c:pt>
                <c:pt idx="125">
                  <c:v>0.52247141764565042</c:v>
                </c:pt>
                <c:pt idx="126">
                  <c:v>0.55195130454619046</c:v>
                </c:pt>
                <c:pt idx="127">
                  <c:v>0.57950128680428259</c:v>
                </c:pt>
                <c:pt idx="128">
                  <c:v>0.60502991596033584</c:v>
                </c:pt>
                <c:pt idx="129">
                  <c:v>0.62880634252387968</c:v>
                </c:pt>
                <c:pt idx="130">
                  <c:v>0.65142055682044953</c:v>
                </c:pt>
                <c:pt idx="131">
                  <c:v>0.67368111344769799</c:v>
                </c:pt>
                <c:pt idx="132">
                  <c:v>0.69646253228399513</c:v>
                </c:pt>
                <c:pt idx="133">
                  <c:v>0.72052504544565188</c:v>
                </c:pt>
                <c:pt idx="134">
                  <c:v>0.74633646923435848</c:v>
                </c:pt>
                <c:pt idx="135">
                  <c:v>0.77392808430340354</c:v>
                </c:pt>
                <c:pt idx="136">
                  <c:v>0.80281273281063947</c:v>
                </c:pt>
                <c:pt idx="137">
                  <c:v>0.83198419686901748</c:v>
                </c:pt>
                <c:pt idx="138">
                  <c:v>0.86000370700216189</c:v>
                </c:pt>
                <c:pt idx="139">
                  <c:v>0.88516441648723354</c:v>
                </c:pt>
                <c:pt idx="140">
                  <c:v>0.90571060913838952</c:v>
                </c:pt>
                <c:pt idx="141">
                  <c:v>0.92007796882602155</c:v>
                </c:pt>
                <c:pt idx="142">
                  <c:v>0.92711651788322602</c:v>
                </c:pt>
                <c:pt idx="143">
                  <c:v>0.92625988298975948</c:v>
                </c:pt>
                <c:pt idx="144">
                  <c:v>0.91761314812125605</c:v>
                </c:pt>
                <c:pt idx="145">
                  <c:v>0.9019452156345622</c:v>
                </c:pt>
                <c:pt idx="146">
                  <c:v>0.88058783402643503</c:v>
                </c:pt>
                <c:pt idx="147">
                  <c:v>0.85525926264623364</c:v>
                </c:pt>
                <c:pt idx="148">
                  <c:v>0.82784299890598656</c:v>
                </c:pt>
                <c:pt idx="149">
                  <c:v>0.80015880827716568</c:v>
                </c:pt>
                <c:pt idx="150">
                  <c:v>0.7737632781951721</c:v>
                </c:pt>
                <c:pt idx="151">
                  <c:v>0.74981038315703963</c:v>
                </c:pt>
                <c:pt idx="152">
                  <c:v>0.72899049028968099</c:v>
                </c:pt>
                <c:pt idx="153">
                  <c:v>0.71155122383839975</c:v>
                </c:pt>
                <c:pt idx="154">
                  <c:v>0.69738852100532878</c:v>
                </c:pt>
                <c:pt idx="155">
                  <c:v>0.68618387454287511</c:v>
                </c:pt>
                <c:pt idx="156">
                  <c:v>0.67755640663473948</c:v>
                </c:pt>
                <c:pt idx="157">
                  <c:v>0.67119729727612099</c:v>
                </c:pt>
                <c:pt idx="158">
                  <c:v>0.66695924009434748</c:v>
                </c:pt>
                <c:pt idx="159">
                  <c:v>0.66488388074021443</c:v>
                </c:pt>
                <c:pt idx="160">
                  <c:v>0.66516352875974927</c:v>
                </c:pt>
                <c:pt idx="161">
                  <c:v>0.66804721138550138</c:v>
                </c:pt>
                <c:pt idx="162">
                  <c:v>0.67371270865841748</c:v>
                </c:pt>
                <c:pt idx="163">
                  <c:v>0.68213338303922988</c:v>
                </c:pt>
                <c:pt idx="164">
                  <c:v>0.69297006277298989</c:v>
                </c:pt>
                <c:pt idx="165">
                  <c:v>0.7055137259104175</c:v>
                </c:pt>
                <c:pt idx="166">
                  <c:v>0.71869516345994977</c:v>
                </c:pt>
                <c:pt idx="167">
                  <c:v>0.73116503333386018</c:v>
                </c:pt>
                <c:pt idx="168">
                  <c:v>0.74143420754825973</c:v>
                </c:pt>
                <c:pt idx="169">
                  <c:v>0.74805264770542512</c:v>
                </c:pt>
                <c:pt idx="170">
                  <c:v>0.74979743566627366</c:v>
                </c:pt>
                <c:pt idx="171">
                  <c:v>0.74583846396333231</c:v>
                </c:pt>
                <c:pt idx="172">
                  <c:v>0.73585401847017295</c:v>
                </c:pt>
                <c:pt idx="173">
                  <c:v>0.72007730401266856</c:v>
                </c:pt>
                <c:pt idx="174">
                  <c:v>0.69926714560840963</c:v>
                </c:pt>
                <c:pt idx="175">
                  <c:v>0.67460929892021104</c:v>
                </c:pt>
                <c:pt idx="176">
                  <c:v>0.6475665255929921</c:v>
                </c:pt>
                <c:pt idx="177">
                  <c:v>0.61970367034537788</c:v>
                </c:pt>
                <c:pt idx="178">
                  <c:v>0.59251700271869312</c:v>
                </c:pt>
                <c:pt idx="179">
                  <c:v>0.56729464555967024</c:v>
                </c:pt>
                <c:pt idx="180">
                  <c:v>0.54502764697820949</c:v>
                </c:pt>
                <c:pt idx="181">
                  <c:v>0.52638070428384287</c:v>
                </c:pt>
                <c:pt idx="182">
                  <c:v>0.51171983582315617</c:v>
                </c:pt>
                <c:pt idx="183">
                  <c:v>0.50118369489866765</c:v>
                </c:pt>
                <c:pt idx="184">
                  <c:v>0.49477772655100394</c:v>
                </c:pt>
                <c:pt idx="185">
                  <c:v>0.49246733560394618</c:v>
                </c:pt>
                <c:pt idx="186">
                  <c:v>0.49424813431144982</c:v>
                </c:pt>
                <c:pt idx="187">
                  <c:v>0.50017769053059058</c:v>
                </c:pt>
                <c:pt idx="188">
                  <c:v>0.51036267496612875</c:v>
                </c:pt>
                <c:pt idx="189">
                  <c:v>0.52490598595324478</c:v>
                </c:pt>
                <c:pt idx="190">
                  <c:v>0.54382815133278606</c:v>
                </c:pt>
                <c:pt idx="191">
                  <c:v>0.56698406956052683</c:v>
                </c:pt>
                <c:pt idx="192">
                  <c:v>0.59399849413722761</c:v>
                </c:pt>
                <c:pt idx="193">
                  <c:v>0.62424095045116434</c:v>
                </c:pt>
                <c:pt idx="194">
                  <c:v>0.65685334021730846</c:v>
                </c:pt>
                <c:pt idx="195">
                  <c:v>0.69083262483945163</c:v>
                </c:pt>
                <c:pt idx="196">
                  <c:v>0.72515872443879936</c:v>
                </c:pt>
                <c:pt idx="197">
                  <c:v>0.75894656044219033</c:v>
                </c:pt>
                <c:pt idx="198">
                  <c:v>0.79159338927822098</c:v>
                </c:pt>
                <c:pt idx="199">
                  <c:v>0.82289008090675853</c:v>
                </c:pt>
                <c:pt idx="200">
                  <c:v>0.85306871966646503</c:v>
                </c:pt>
                <c:pt idx="201">
                  <c:v>0.88276860117047951</c:v>
                </c:pt>
                <c:pt idx="202">
                  <c:v>0.91291691191382807</c:v>
                </c:pt>
                <c:pt idx="203">
                  <c:v>0.94453664551394045</c:v>
                </c:pt>
                <c:pt idx="204">
                  <c:v>0.97850958254279452</c:v>
                </c:pt>
                <c:pt idx="205">
                  <c:v>1.0153333729398291</c:v>
                </c:pt>
                <c:pt idx="206">
                  <c:v>1.0549164367777111</c:v>
                </c:pt>
                <c:pt idx="207">
                  <c:v>1.0964511908137089</c:v>
                </c:pt>
                <c:pt idx="208">
                  <c:v>1.1383951275173299</c:v>
                </c:pt>
                <c:pt idx="209">
                  <c:v>1.1785721574714181</c:v>
                </c:pt>
                <c:pt idx="210">
                  <c:v>1.2143862926165225</c:v>
                </c:pt>
                <c:pt idx="211">
                  <c:v>1.243119875465329</c:v>
                </c:pt>
                <c:pt idx="212">
                  <c:v>1.2622728882452519</c:v>
                </c:pt>
                <c:pt idx="213">
                  <c:v>1.269891464059252</c:v>
                </c:pt>
                <c:pt idx="214">
                  <c:v>1.2648343140118314</c:v>
                </c:pt>
                <c:pt idx="215">
                  <c:v>1.2469354288657377</c:v>
                </c:pt>
                <c:pt idx="216">
                  <c:v>1.2170384225991424</c:v>
                </c:pt>
                <c:pt idx="217">
                  <c:v>1.1768991466891483</c:v>
                </c:pt>
                <c:pt idx="218">
                  <c:v>1.1289747937708918</c:v>
                </c:pt>
                <c:pt idx="219">
                  <c:v>1.0761356683984236</c:v>
                </c:pt>
                <c:pt idx="220">
                  <c:v>1.0213469171995733</c:v>
                </c:pt>
                <c:pt idx="221">
                  <c:v>0.96736993014411354</c:v>
                </c:pt>
                <c:pt idx="222">
                  <c:v>0.91652669092345129</c:v>
                </c:pt>
                <c:pt idx="223">
                  <c:v>0.87055658374992806</c:v>
                </c:pt>
                <c:pt idx="224">
                  <c:v>0.83057689742902563</c:v>
                </c:pt>
                <c:pt idx="225">
                  <c:v>0.79713907738143863</c:v>
                </c:pt>
                <c:pt idx="226">
                  <c:v>0.77035625689113441</c:v>
                </c:pt>
                <c:pt idx="227">
                  <c:v>0.75006668922675901</c:v>
                </c:pt>
                <c:pt idx="228">
                  <c:v>0.73599416599997447</c:v>
                </c:pt>
                <c:pt idx="229">
                  <c:v>0.72787065764148862</c:v>
                </c:pt>
                <c:pt idx="230">
                  <c:v>0.72549711778676862</c:v>
                </c:pt>
                <c:pt idx="231">
                  <c:v>0.72873334545476598</c:v>
                </c:pt>
                <c:pt idx="232">
                  <c:v>0.7374239769806995</c:v>
                </c:pt>
                <c:pt idx="233">
                  <c:v>0.75128192794563919</c:v>
                </c:pt>
                <c:pt idx="234">
                  <c:v>0.76976021289377217</c:v>
                </c:pt>
                <c:pt idx="235">
                  <c:v>0.79194625732996937</c:v>
                </c:pt>
                <c:pt idx="236">
                  <c:v>0.81650904338979047</c:v>
                </c:pt>
                <c:pt idx="237">
                  <c:v>0.84171948303247168</c:v>
                </c:pt>
                <c:pt idx="238">
                  <c:v>0.86555024225884514</c:v>
                </c:pt>
                <c:pt idx="239">
                  <c:v>0.88584559215801972</c:v>
                </c:pt>
                <c:pt idx="240">
                  <c:v>0.900537755283914</c:v>
                </c:pt>
                <c:pt idx="241">
                  <c:v>0.90787636326535137</c:v>
                </c:pt>
                <c:pt idx="242">
                  <c:v>0.90663393359445421</c:v>
                </c:pt>
                <c:pt idx="243">
                  <c:v>0.89625341228842714</c:v>
                </c:pt>
                <c:pt idx="244">
                  <c:v>0.87691319762494402</c:v>
                </c:pt>
                <c:pt idx="245">
                  <c:v>0.84949885296643435</c:v>
                </c:pt>
                <c:pt idx="246">
                  <c:v>0.81548630718354909</c:v>
                </c:pt>
                <c:pt idx="247">
                  <c:v>0.77675580977891978</c:v>
                </c:pt>
                <c:pt idx="248">
                  <c:v>0.73536662016808663</c:v>
                </c:pt>
                <c:pt idx="249">
                  <c:v>0.69332752462644054</c:v>
                </c:pt>
                <c:pt idx="250">
                  <c:v>0.65239707248119394</c:v>
                </c:pt>
                <c:pt idx="251">
                  <c:v>0.61394040630518321</c:v>
                </c:pt>
                <c:pt idx="252">
                  <c:v>0.57885829643738873</c:v>
                </c:pt>
                <c:pt idx="253">
                  <c:v>0.54759075600791818</c:v>
                </c:pt>
                <c:pt idx="254">
                  <c:v>0.52018492273443329</c:v>
                </c:pt>
                <c:pt idx="255">
                  <c:v>0.49640700737051791</c:v>
                </c:pt>
                <c:pt idx="256">
                  <c:v>0.47587262155023596</c:v>
                </c:pt>
                <c:pt idx="257">
                  <c:v>0.4581693881593944</c:v>
                </c:pt>
                <c:pt idx="258">
                  <c:v>0.44295010330697548</c:v>
                </c:pt>
                <c:pt idx="259">
                  <c:v>0.42998270260748539</c:v>
                </c:pt>
                <c:pt idx="260">
                  <c:v>0.41915314485513111</c:v>
                </c:pt>
                <c:pt idx="261">
                  <c:v>0.41042709835012325</c:v>
                </c:pt>
                <c:pt idx="262">
                  <c:v>0.40378418402367222</c:v>
                </c:pt>
                <c:pt idx="263">
                  <c:v>0.39914315052557164</c:v>
                </c:pt>
                <c:pt idx="264">
                  <c:v>0.39629707041568546</c:v>
                </c:pt>
                <c:pt idx="265">
                  <c:v>0.39487455829310431</c:v>
                </c:pt>
                <c:pt idx="266">
                  <c:v>0.39433692668147147</c:v>
                </c:pt>
                <c:pt idx="267">
                  <c:v>0.39401343446488701</c:v>
                </c:pt>
                <c:pt idx="268">
                  <c:v>0.39316891203984683</c:v>
                </c:pt>
                <c:pt idx="269">
                  <c:v>0.3910915776831892</c:v>
                </c:pt>
                <c:pt idx="270">
                  <c:v>0.3871849674139653</c:v>
                </c:pt>
                <c:pt idx="271">
                  <c:v>0.38104722303835364</c:v>
                </c:pt>
                <c:pt idx="272">
                  <c:v>0.3725235212994758</c:v>
                </c:pt>
                <c:pt idx="273">
                  <c:v>0.36172257279578746</c:v>
                </c:pt>
                <c:pt idx="274">
                  <c:v>0.34899479571691217</c:v>
                </c:pt>
                <c:pt idx="275">
                  <c:v>0.33487665588454479</c:v>
                </c:pt>
                <c:pt idx="276">
                  <c:v>0.3200114592311088</c:v>
                </c:pt>
                <c:pt idx="277">
                  <c:v>0.3050605502530252</c:v>
                </c:pt>
                <c:pt idx="278">
                  <c:v>0.29061982613037857</c:v>
                </c:pt>
                <c:pt idx="279">
                  <c:v>0.27715467753143513</c:v>
                </c:pt>
                <c:pt idx="280">
                  <c:v>0.26496239075489603</c:v>
                </c:pt>
                <c:pt idx="281">
                  <c:v>0.25416557098222603</c:v>
                </c:pt>
                <c:pt idx="282">
                  <c:v>0.24473436545435132</c:v>
                </c:pt>
                <c:pt idx="283">
                  <c:v>0.2365302659591885</c:v>
                </c:pt>
                <c:pt idx="284">
                  <c:v>0.22936093115033493</c:v>
                </c:pt>
                <c:pt idx="285">
                  <c:v>0.22303430961880852</c:v>
                </c:pt>
                <c:pt idx="286">
                  <c:v>0.21740144783384074</c:v>
                </c:pt>
                <c:pt idx="287">
                  <c:v>0.21238039201751027</c:v>
                </c:pt>
                <c:pt idx="288">
                  <c:v>0.2079578623838628</c:v>
                </c:pt>
                <c:pt idx="289">
                  <c:v>0.20417002288717365</c:v>
                </c:pt>
                <c:pt idx="290">
                  <c:v>0.20106779987143586</c:v>
                </c:pt>
                <c:pt idx="291">
                  <c:v>0.19867507311002458</c:v>
                </c:pt>
                <c:pt idx="292">
                  <c:v>0.19694920051725004</c:v>
                </c:pt>
                <c:pt idx="293">
                  <c:v>0.1957526171993966</c:v>
                </c:pt>
                <c:pt idx="294">
                  <c:v>0.19484189584040765</c:v>
                </c:pt>
                <c:pt idx="295">
                  <c:v>0.19387718592106529</c:v>
                </c:pt>
                <c:pt idx="296">
                  <c:v>0.19245106226709183</c:v>
                </c:pt>
                <c:pt idx="297">
                  <c:v>0.19013224885491695</c:v>
                </c:pt>
                <c:pt idx="298">
                  <c:v>0.1865170823781086</c:v>
                </c:pt>
                <c:pt idx="299">
                  <c:v>0.18128036780715751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52-4E07-965A-C933D29D5CDA}"/>
            </c:ext>
          </c:extLst>
        </c:ser>
        <c:ser>
          <c:idx val="3"/>
          <c:order val="3"/>
          <c:tx>
            <c:v>Duża szerokość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d.'!$L$6:$L$305</c:f>
              <c:numCache>
                <c:formatCode>General</c:formatCode>
                <c:ptCount val="300"/>
                <c:pt idx="0">
                  <c:v>0.10266543780633337</c:v>
                </c:pt>
                <c:pt idx="1">
                  <c:v>0.10444345226795215</c:v>
                </c:pt>
                <c:pt idx="2">
                  <c:v>0.10624227302444557</c:v>
                </c:pt>
                <c:pt idx="3">
                  <c:v>0.1080620027473327</c:v>
                </c:pt>
                <c:pt idx="4">
                  <c:v>0.10990274331647223</c:v>
                </c:pt>
                <c:pt idx="5">
                  <c:v>0.11176459576568541</c:v>
                </c:pt>
                <c:pt idx="6">
                  <c:v>0.11364766022390062</c:v>
                </c:pt>
                <c:pt idx="7">
                  <c:v>0.11555203585171187</c:v>
                </c:pt>
                <c:pt idx="8">
                  <c:v>0.1174778207732452</c:v>
                </c:pt>
                <c:pt idx="9">
                  <c:v>0.1194251120032362</c:v>
                </c:pt>
                <c:pt idx="10">
                  <c:v>0.12139400536922895</c:v>
                </c:pt>
                <c:pt idx="11">
                  <c:v>0.12338459542881074</c:v>
                </c:pt>
                <c:pt idx="12">
                  <c:v>0.12539697538180714</c:v>
                </c:pt>
                <c:pt idx="13">
                  <c:v>0.127431236977368</c:v>
                </c:pt>
                <c:pt idx="14">
                  <c:v>0.12948747041588429</c:v>
                </c:pt>
                <c:pt idx="15">
                  <c:v>0.13156576424568162</c:v>
                </c:pt>
                <c:pt idx="16">
                  <c:v>0.13366620525444914</c:v>
                </c:pt>
                <c:pt idx="17">
                  <c:v>0.13578887835536527</c:v>
                </c:pt>
                <c:pt idx="18">
                  <c:v>0.13793386646789785</c:v>
                </c:pt>
                <c:pt idx="19">
                  <c:v>0.14010125039325919</c:v>
                </c:pt>
                <c:pt idx="20">
                  <c:v>0.14229110868451181</c:v>
                </c:pt>
                <c:pt idx="21">
                  <c:v>0.14450351751132529</c:v>
                </c:pt>
                <c:pt idx="22">
                  <c:v>0.14673855051940002</c:v>
                </c:pt>
                <c:pt idx="23">
                  <c:v>0.14899627868457882</c:v>
                </c:pt>
                <c:pt idx="24">
                  <c:v>0.15127677016168189</c:v>
                </c:pt>
                <c:pt idx="25">
                  <c:v>0.15358009012810939</c:v>
                </c:pt>
                <c:pt idx="26">
                  <c:v>0.15590630062226549</c:v>
                </c:pt>
                <c:pt idx="27">
                  <c:v>0.1582554603768723</c:v>
                </c:pt>
                <c:pt idx="28">
                  <c:v>0.16062762464724795</c:v>
                </c:pt>
                <c:pt idx="29">
                  <c:v>0.16302284503463887</c:v>
                </c:pt>
                <c:pt idx="30">
                  <c:v>0.16544116930470468</c:v>
                </c:pt>
                <c:pt idx="31">
                  <c:v>0.167882641201265</c:v>
                </c:pt>
                <c:pt idx="32">
                  <c:v>0.17034730025543043</c:v>
                </c:pt>
                <c:pt idx="33">
                  <c:v>0.17283518159024955</c:v>
                </c:pt>
                <c:pt idx="34">
                  <c:v>0.1753463157210142</c:v>
                </c:pt>
                <c:pt idx="35">
                  <c:v>0.17788072835137883</c:v>
                </c:pt>
                <c:pt idx="36">
                  <c:v>0.18043844016545704</c:v>
                </c:pt>
                <c:pt idx="37">
                  <c:v>0.18301946661607263</c:v>
                </c:pt>
                <c:pt idx="38">
                  <c:v>0.18562381770934983</c:v>
                </c:pt>
                <c:pt idx="39">
                  <c:v>0.18825149778583947</c:v>
                </c:pt>
                <c:pt idx="40">
                  <c:v>0.19090250529838934</c:v>
                </c:pt>
                <c:pt idx="41">
                  <c:v>0.19357683258697278</c:v>
                </c:pt>
                <c:pt idx="42">
                  <c:v>0.19627446565070508</c:v>
                </c:pt>
                <c:pt idx="43">
                  <c:v>0.19899538391727933</c:v>
                </c:pt>
                <c:pt idx="44">
                  <c:v>0.2017395600100719</c:v>
                </c:pt>
                <c:pt idx="45">
                  <c:v>0.20450695951316616</c:v>
                </c:pt>
                <c:pt idx="46">
                  <c:v>0.2072975407345618</c:v>
                </c:pt>
                <c:pt idx="47">
                  <c:v>0.21011125446783505</c:v>
                </c:pt>
                <c:pt idx="48">
                  <c:v>0.21294804375253409</c:v>
                </c:pt>
                <c:pt idx="49">
                  <c:v>0.21580784363358901</c:v>
                </c:pt>
                <c:pt idx="50">
                  <c:v>0.21869058092003441</c:v>
                </c:pt>
                <c:pt idx="51">
                  <c:v>0.22159617394334152</c:v>
                </c:pt>
                <c:pt idx="52">
                  <c:v>0.22452453231566452</c:v>
                </c:pt>
                <c:pt idx="53">
                  <c:v>0.22747555668831404</c:v>
                </c:pt>
                <c:pt idx="54">
                  <c:v>0.23044913851077192</c:v>
                </c:pt>
                <c:pt idx="55">
                  <c:v>0.23344515979057043</c:v>
                </c:pt>
                <c:pt idx="56">
                  <c:v>0.23646349285435911</c:v>
                </c:pt>
                <c:pt idx="57">
                  <c:v>0.23950400011048764</c:v>
                </c:pt>
                <c:pt idx="58">
                  <c:v>0.24256653381343901</c:v>
                </c:pt>
                <c:pt idx="59">
                  <c:v>0.24565093583044487</c:v>
                </c:pt>
                <c:pt idx="60">
                  <c:v>0.24875703741061964</c:v>
                </c:pt>
                <c:pt idx="61">
                  <c:v>0.25188465895695328</c:v>
                </c:pt>
                <c:pt idx="62">
                  <c:v>0.25503360980149875</c:v>
                </c:pt>
                <c:pt idx="63">
                  <c:v>0.25820368798409621</c:v>
                </c:pt>
                <c:pt idx="64">
                  <c:v>0.26139468003497018</c:v>
                </c:pt>
                <c:pt idx="65">
                  <c:v>0.26460636076154009</c:v>
                </c:pt>
                <c:pt idx="66">
                  <c:v>0.26783849303978036</c:v>
                </c:pt>
                <c:pt idx="67">
                  <c:v>0.27109082761046377</c:v>
                </c:pt>
                <c:pt idx="68">
                  <c:v>0.27436310288062438</c:v>
                </c:pt>
                <c:pt idx="69">
                  <c:v>0.27765504473056535</c:v>
                </c:pt>
                <c:pt idx="70">
                  <c:v>0.28096636632674049</c:v>
                </c:pt>
                <c:pt idx="71">
                  <c:v>0.28429676794083103</c:v>
                </c:pt>
                <c:pt idx="72">
                  <c:v>0.28764593677533634</c:v>
                </c:pt>
                <c:pt idx="73">
                  <c:v>0.2910135467959874</c:v>
                </c:pt>
                <c:pt idx="74">
                  <c:v>0.29439925857129551</c:v>
                </c:pt>
                <c:pt idx="75">
                  <c:v>0.29780271911953138</c:v>
                </c:pt>
                <c:pt idx="76">
                  <c:v>0.30122356176343301</c:v>
                </c:pt>
                <c:pt idx="77">
                  <c:v>0.30466140599292768</c:v>
                </c:pt>
                <c:pt idx="78">
                  <c:v>0.3081158573361491</c:v>
                </c:pt>
                <c:pt idx="79">
                  <c:v>0.31158650723901932</c:v>
                </c:pt>
                <c:pt idx="80">
                  <c:v>0.31507293295366173</c:v>
                </c:pt>
                <c:pt idx="81">
                  <c:v>0.31857469743589995</c:v>
                </c:pt>
                <c:pt idx="82">
                  <c:v>0.32209134925208538</c:v>
                </c:pt>
                <c:pt idx="83">
                  <c:v>0.32562242249549556</c:v>
                </c:pt>
                <c:pt idx="84">
                  <c:v>0.32916743671252452</c:v>
                </c:pt>
                <c:pt idx="85">
                  <c:v>0.33272589683888565</c:v>
                </c:pt>
                <c:pt idx="86">
                  <c:v>0.33629729314603413</c:v>
                </c:pt>
                <c:pt idx="87">
                  <c:v>0.3398811011980028</c:v>
                </c:pt>
                <c:pt idx="88">
                  <c:v>0.34347678181883717</c:v>
                </c:pt>
                <c:pt idx="89">
                  <c:v>0.34708378107080801</c:v>
                </c:pt>
                <c:pt idx="90">
                  <c:v>0.35070153024355949</c:v>
                </c:pt>
                <c:pt idx="91">
                  <c:v>0.35432944585434833</c:v>
                </c:pt>
                <c:pt idx="92">
                  <c:v>0.35796692965951588</c:v>
                </c:pt>
                <c:pt idx="93">
                  <c:v>0.36161336867731803</c:v>
                </c:pt>
                <c:pt idx="94">
                  <c:v>0.36526813522223617</c:v>
                </c:pt>
                <c:pt idx="95">
                  <c:v>0.3689305869508715</c:v>
                </c:pt>
                <c:pt idx="96">
                  <c:v>0.37260006691951919</c:v>
                </c:pt>
                <c:pt idx="97">
                  <c:v>0.37627590365350416</c:v>
                </c:pt>
                <c:pt idx="98">
                  <c:v>0.37995741122835242</c:v>
                </c:pt>
                <c:pt idx="99">
                  <c:v>0.38364388936285321</c:v>
                </c:pt>
                <c:pt idx="100">
                  <c:v>0.3873346235240655</c:v>
                </c:pt>
                <c:pt idx="101">
                  <c:v>0.39102888504430289</c:v>
                </c:pt>
                <c:pt idx="102">
                  <c:v>0.39472593125012057</c:v>
                </c:pt>
                <c:pt idx="103">
                  <c:v>0.39842500560332578</c:v>
                </c:pt>
                <c:pt idx="104">
                  <c:v>0.40212533785400484</c:v>
                </c:pt>
                <c:pt idx="105">
                  <c:v>0.40582614420557123</c:v>
                </c:pt>
                <c:pt idx="106">
                  <c:v>0.40952662749180513</c:v>
                </c:pt>
                <c:pt idx="107">
                  <c:v>0.41322597736586469</c:v>
                </c:pt>
                <c:pt idx="108">
                  <c:v>0.41692337050122508</c:v>
                </c:pt>
                <c:pt idx="109">
                  <c:v>0.42061797080449792</c:v>
                </c:pt>
                <c:pt idx="110">
                  <c:v>0.42430892964007366</c:v>
                </c:pt>
                <c:pt idx="111">
                  <c:v>0.4279953860665151</c:v>
                </c:pt>
                <c:pt idx="112">
                  <c:v>0.43167646708462842</c:v>
                </c:pt>
                <c:pt idx="113">
                  <c:v>0.4353512878971228</c:v>
                </c:pt>
                <c:pt idx="114">
                  <c:v>0.43901895217976178</c:v>
                </c:pt>
                <c:pt idx="115">
                  <c:v>0.4426785523639053</c:v>
                </c:pt>
                <c:pt idx="116">
                  <c:v>0.44632916993032928</c:v>
                </c:pt>
                <c:pt idx="117">
                  <c:v>0.44996987571419989</c:v>
                </c:pt>
                <c:pt idx="118">
                  <c:v>0.45359973022107747</c:v>
                </c:pt>
                <c:pt idx="119">
                  <c:v>0.45721778395381041</c:v>
                </c:pt>
                <c:pt idx="120">
                  <c:v>0.4608230777501871</c:v>
                </c:pt>
                <c:pt idx="121">
                  <c:v>0.46441464313117697</c:v>
                </c:pt>
                <c:pt idx="122">
                  <c:v>0.46799150265962591</c:v>
                </c:pt>
                <c:pt idx="123">
                  <c:v>0.47155267030922726</c:v>
                </c:pt>
                <c:pt idx="124">
                  <c:v>0.47509715184360751</c:v>
                </c:pt>
                <c:pt idx="125">
                  <c:v>0.47862394520535045</c:v>
                </c:pt>
                <c:pt idx="126">
                  <c:v>0.48213204091477735</c:v>
                </c:pt>
                <c:pt idx="127">
                  <c:v>0.4856204224782994</c:v>
                </c:pt>
                <c:pt idx="128">
                  <c:v>0.4890880668061498</c:v>
                </c:pt>
                <c:pt idx="129">
                  <c:v>0.49253394463930178</c:v>
                </c:pt>
                <c:pt idx="130">
                  <c:v>0.49595702098536465</c:v>
                </c:pt>
                <c:pt idx="131">
                  <c:v>0.4993562555632643</c:v>
                </c:pt>
                <c:pt idx="132">
                  <c:v>0.50273060325647845</c:v>
                </c:pt>
                <c:pt idx="133">
                  <c:v>0.50607901457463511</c:v>
                </c:pt>
                <c:pt idx="134">
                  <c:v>0.50940043612323271</c:v>
                </c:pt>
                <c:pt idx="135">
                  <c:v>0.51269381108127365</c:v>
                </c:pt>
                <c:pt idx="136">
                  <c:v>0.51595807968657392</c:v>
                </c:pt>
                <c:pt idx="137">
                  <c:v>0.51919217972852316</c:v>
                </c:pt>
                <c:pt idx="138">
                  <c:v>0.52239504704805617</c:v>
                </c:pt>
                <c:pt idx="139">
                  <c:v>0.52556561604459107</c:v>
                </c:pt>
                <c:pt idx="140">
                  <c:v>0.52870282018970116</c:v>
                </c:pt>
                <c:pt idx="141">
                  <c:v>0.53180559254726112</c:v>
                </c:pt>
                <c:pt idx="142">
                  <c:v>0.53487286629982012</c:v>
                </c:pt>
                <c:pt idx="143">
                  <c:v>0.53790357528094568</c:v>
                </c:pt>
                <c:pt idx="144">
                  <c:v>0.54089665451327673</c:v>
                </c:pt>
                <c:pt idx="145">
                  <c:v>0.54385104075201895</c:v>
                </c:pt>
                <c:pt idx="146">
                  <c:v>0.54676567303361834</c:v>
                </c:pt>
                <c:pt idx="147">
                  <c:v>0.54963949322933259</c:v>
                </c:pt>
                <c:pt idx="148">
                  <c:v>0.55247144660343028</c:v>
                </c:pt>
                <c:pt idx="149">
                  <c:v>0.55526048237572656</c:v>
                </c:pt>
                <c:pt idx="150">
                  <c:v>0.55800555428817589</c:v>
                </c:pt>
                <c:pt idx="151">
                  <c:v>0.56070562117522116</c:v>
                </c:pt>
                <c:pt idx="152">
                  <c:v>0.56335964753761014</c:v>
                </c:pt>
                <c:pt idx="153">
                  <c:v>0.56596660411937483</c:v>
                </c:pt>
                <c:pt idx="154">
                  <c:v>0.56852546848765606</c:v>
                </c:pt>
                <c:pt idx="155">
                  <c:v>0.57103522561507825</c:v>
                </c:pt>
                <c:pt idx="156">
                  <c:v>0.57349486846433895</c:v>
                </c:pt>
                <c:pt idx="157">
                  <c:v>0.57590339857469575</c:v>
                </c:pt>
                <c:pt idx="158">
                  <c:v>0.57825982665002307</c:v>
                </c:pt>
                <c:pt idx="159">
                  <c:v>0.58056317314809303</c:v>
                </c:pt>
                <c:pt idx="160">
                  <c:v>0.58281246887074756</c:v>
                </c:pt>
                <c:pt idx="161">
                  <c:v>0.58500675555460713</c:v>
                </c:pt>
                <c:pt idx="162">
                  <c:v>0.58714508646195951</c:v>
                </c:pt>
                <c:pt idx="163">
                  <c:v>0.58922652697147326</c:v>
                </c:pt>
                <c:pt idx="164">
                  <c:v>0.591250155168356</c:v>
                </c:pt>
                <c:pt idx="165">
                  <c:v>0.59321506243359645</c:v>
                </c:pt>
                <c:pt idx="166">
                  <c:v>0.59512035403189278</c:v>
                </c:pt>
                <c:pt idx="167">
                  <c:v>0.59696514969789138</c:v>
                </c:pt>
                <c:pt idx="168">
                  <c:v>0.59874858422033084</c:v>
                </c:pt>
                <c:pt idx="169">
                  <c:v>0.60046980802369265</c:v>
                </c:pt>
                <c:pt idx="170">
                  <c:v>0.60212798774694809</c:v>
                </c:pt>
                <c:pt idx="171">
                  <c:v>0.60372230681898431</c:v>
                </c:pt>
                <c:pt idx="172">
                  <c:v>0.60525196603028553</c:v>
                </c:pt>
                <c:pt idx="173">
                  <c:v>0.60671618410044192</c:v>
                </c:pt>
                <c:pt idx="174">
                  <c:v>0.60811419824104629</c:v>
                </c:pt>
                <c:pt idx="175">
                  <c:v>0.60944526471353866</c:v>
                </c:pt>
                <c:pt idx="176">
                  <c:v>0.61070865938154473</c:v>
                </c:pt>
                <c:pt idx="177">
                  <c:v>0.61190367825725955</c:v>
                </c:pt>
                <c:pt idx="178">
                  <c:v>0.61302963804140997</c:v>
                </c:pt>
                <c:pt idx="179">
                  <c:v>0.61408587665633085</c:v>
                </c:pt>
                <c:pt idx="180">
                  <c:v>0.61507175377168344</c:v>
                </c:pt>
                <c:pt idx="181">
                  <c:v>0.61598665132233976</c:v>
                </c:pt>
                <c:pt idx="182">
                  <c:v>0.61682997401794937</c:v>
                </c:pt>
                <c:pt idx="183">
                  <c:v>0.61760114984370695</c:v>
                </c:pt>
                <c:pt idx="184">
                  <c:v>0.61829963055182646</c:v>
                </c:pt>
                <c:pt idx="185">
                  <c:v>0.61892489214323765</c:v>
                </c:pt>
                <c:pt idx="186">
                  <c:v>0.6194764353389971</c:v>
                </c:pt>
                <c:pt idx="187">
                  <c:v>0.61995378604093376</c:v>
                </c:pt>
                <c:pt idx="188">
                  <c:v>0.62035649578101415</c:v>
                </c:pt>
                <c:pt idx="189">
                  <c:v>0.62068414215893952</c:v>
                </c:pt>
                <c:pt idx="190">
                  <c:v>0.62093632926746689</c:v>
                </c:pt>
                <c:pt idx="191">
                  <c:v>0.6211126881049589</c:v>
                </c:pt>
                <c:pt idx="192">
                  <c:v>0.62121287697466598</c:v>
                </c:pt>
                <c:pt idx="193">
                  <c:v>0.62123658187023445</c:v>
                </c:pt>
                <c:pt idx="194">
                  <c:v>0.62118351684696027</c:v>
                </c:pt>
                <c:pt idx="195">
                  <c:v>0.62105342437828559</c:v>
                </c:pt>
                <c:pt idx="196">
                  <c:v>0.62084607569705508</c:v>
                </c:pt>
                <c:pt idx="197">
                  <c:v>0.6205612711210563</c:v>
                </c:pt>
                <c:pt idx="198">
                  <c:v>0.62019884036235473</c:v>
                </c:pt>
                <c:pt idx="199">
                  <c:v>0.61975864281996751</c:v>
                </c:pt>
                <c:pt idx="200">
                  <c:v>0.61924056785540882</c:v>
                </c:pt>
                <c:pt idx="201">
                  <c:v>0.61864453505064521</c:v>
                </c:pt>
                <c:pt idx="202">
                  <c:v>0.61797049444803331</c:v>
                </c:pt>
                <c:pt idx="203">
                  <c:v>0.61721842677178862</c:v>
                </c:pt>
                <c:pt idx="204">
                  <c:v>0.6163883436305756</c:v>
                </c:pt>
                <c:pt idx="205">
                  <c:v>0.61548028770079977</c:v>
                </c:pt>
                <c:pt idx="206">
                  <c:v>0.61449433289020727</c:v>
                </c:pt>
                <c:pt idx="207">
                  <c:v>0.6134305844814093</c:v>
                </c:pt>
                <c:pt idx="208">
                  <c:v>0.61228917925495807</c:v>
                </c:pt>
                <c:pt idx="209">
                  <c:v>0.61107028559162635</c:v>
                </c:pt>
                <c:pt idx="210">
                  <c:v>0.60977410355354777</c:v>
                </c:pt>
                <c:pt idx="211">
                  <c:v>0.60840086494390522</c:v>
                </c:pt>
                <c:pt idx="212">
                  <c:v>0.60695083334486044</c:v>
                </c:pt>
                <c:pt idx="213">
                  <c:v>0.6054243041334495</c:v>
                </c:pt>
                <c:pt idx="214">
                  <c:v>0.60382160447517808</c:v>
                </c:pt>
                <c:pt idx="215">
                  <c:v>0.60214309329507942</c:v>
                </c:pt>
                <c:pt idx="216">
                  <c:v>0.60038916122601582</c:v>
                </c:pt>
                <c:pt idx="217">
                  <c:v>0.59856023053402774</c:v>
                </c:pt>
                <c:pt idx="218">
                  <c:v>0.59665675502055759</c:v>
                </c:pt>
                <c:pt idx="219">
                  <c:v>0.59467921990140415</c:v>
                </c:pt>
                <c:pt idx="220">
                  <c:v>0.59262814166227595</c:v>
                </c:pt>
                <c:pt idx="221">
                  <c:v>0.59050406789085441</c:v>
                </c:pt>
                <c:pt idx="222">
                  <c:v>0.58830757708528802</c:v>
                </c:pt>
                <c:pt idx="223">
                  <c:v>0.58603927843907722</c:v>
                </c:pt>
                <c:pt idx="224">
                  <c:v>0.58369981160232431</c:v>
                </c:pt>
                <c:pt idx="225">
                  <c:v>0.58128984641936854</c:v>
                </c:pt>
                <c:pt idx="226">
                  <c:v>0.57881008264283196</c:v>
                </c:pt>
                <c:pt idx="227">
                  <c:v>0.57626124962414604</c:v>
                </c:pt>
                <c:pt idx="228">
                  <c:v>0.57364410598065896</c:v>
                </c:pt>
                <c:pt idx="229">
                  <c:v>0.57095943923943648</c:v>
                </c:pt>
                <c:pt idx="230">
                  <c:v>0.56820806545791469</c:v>
                </c:pt>
                <c:pt idx="231">
                  <c:v>0.56539082882158709</c:v>
                </c:pt>
                <c:pt idx="232">
                  <c:v>0.56250860121893365</c:v>
                </c:pt>
                <c:pt idx="233">
                  <c:v>0.55956228179383305</c:v>
                </c:pt>
                <c:pt idx="234">
                  <c:v>0.55655279647573408</c:v>
                </c:pt>
                <c:pt idx="235">
                  <c:v>0.55348109748787533</c:v>
                </c:pt>
                <c:pt idx="236">
                  <c:v>0.55034816283389187</c:v>
                </c:pt>
                <c:pt idx="237">
                  <c:v>0.5471549957631624</c:v>
                </c:pt>
                <c:pt idx="238">
                  <c:v>0.54390262421528479</c:v>
                </c:pt>
                <c:pt idx="239">
                  <c:v>0.54059210024409554</c:v>
                </c:pt>
                <c:pt idx="240">
                  <c:v>0.53722449942167771</c:v>
                </c:pt>
                <c:pt idx="241">
                  <c:v>0.53380092022282932</c:v>
                </c:pt>
                <c:pt idx="242">
                  <c:v>0.53032248339049026</c:v>
                </c:pt>
                <c:pt idx="243">
                  <c:v>0.52679033128265651</c:v>
                </c:pt>
                <c:pt idx="244">
                  <c:v>0.52320562720132946</c:v>
                </c:pt>
                <c:pt idx="245">
                  <c:v>0.51956955470408428</c:v>
                </c:pt>
                <c:pt idx="246">
                  <c:v>0.51588331689885569</c:v>
                </c:pt>
                <c:pt idx="247">
                  <c:v>0.51214813572256956</c:v>
                </c:pt>
                <c:pt idx="248">
                  <c:v>0.50836525120427334</c:v>
                </c:pt>
                <c:pt idx="249">
                  <c:v>0.50453592071343412</c:v>
                </c:pt>
                <c:pt idx="250">
                  <c:v>0.50066141819410259</c:v>
                </c:pt>
                <c:pt idx="251">
                  <c:v>0.49674303338565762</c:v>
                </c:pt>
                <c:pt idx="252">
                  <c:v>0.4927820710308668</c:v>
                </c:pt>
                <c:pt idx="253">
                  <c:v>0.48877985007201263</c:v>
                </c:pt>
                <c:pt idx="254">
                  <c:v>0.48473770283586698</c:v>
                </c:pt>
                <c:pt idx="255">
                  <c:v>0.4806569742082859</c:v>
                </c:pt>
                <c:pt idx="256">
                  <c:v>0.4765390207992426</c:v>
                </c:pt>
                <c:pt idx="257">
                  <c:v>0.47238521009910944</c:v>
                </c:pt>
                <c:pt idx="258">
                  <c:v>0.46819691962701837</c:v>
                </c:pt>
                <c:pt idx="259">
                  <c:v>0.4639755360721462</c:v>
                </c:pt>
                <c:pt idx="260">
                  <c:v>0.45972245442877363</c:v>
                </c:pt>
                <c:pt idx="261">
                  <c:v>0.45543907712598214</c:v>
                </c:pt>
                <c:pt idx="262">
                  <c:v>0.45112681315286118</c:v>
                </c:pt>
                <c:pt idx="263">
                  <c:v>0.44678707718009347</c:v>
                </c:pt>
                <c:pt idx="264">
                  <c:v>0.44242128867881081</c:v>
                </c:pt>
                <c:pt idx="265">
                  <c:v>0.43803087103759675</c:v>
                </c:pt>
                <c:pt idx="266">
                  <c:v>0.43361725067853307</c:v>
                </c:pt>
                <c:pt idx="267">
                  <c:v>0.42918185617317073</c:v>
                </c:pt>
                <c:pt idx="268">
                  <c:v>0.42472611735931759</c:v>
                </c:pt>
                <c:pt idx="269">
                  <c:v>0.42025146445953709</c:v>
                </c:pt>
                <c:pt idx="270">
                  <c:v>0.4157593272022293</c:v>
                </c:pt>
                <c:pt idx="271">
                  <c:v>0.4112511339461889</c:v>
                </c:pt>
                <c:pt idx="272">
                  <c:v>0.40672831080950267</c:v>
                </c:pt>
                <c:pt idx="273">
                  <c:v>0.40219228080366609</c:v>
                </c:pt>
                <c:pt idx="274">
                  <c:v>0.39764446297376793</c:v>
                </c:pt>
                <c:pt idx="275">
                  <c:v>0.39308627154560266</c:v>
                </c:pt>
                <c:pt idx="276">
                  <c:v>0.38851911508054254</c:v>
                </c:pt>
                <c:pt idx="277">
                  <c:v>0.3839443956390044</c:v>
                </c:pt>
                <c:pt idx="278">
                  <c:v>0.37936350795331814</c:v>
                </c:pt>
                <c:pt idx="279">
                  <c:v>0.37477783861080199</c:v>
                </c:pt>
                <c:pt idx="280">
                  <c:v>0.37018876524782912</c:v>
                </c:pt>
                <c:pt idx="281">
                  <c:v>0.36559765575564823</c:v>
                </c:pt>
                <c:pt idx="282">
                  <c:v>0.36100586749871544</c:v>
                </c:pt>
                <c:pt idx="283">
                  <c:v>0.35641474654625976</c:v>
                </c:pt>
                <c:pt idx="284">
                  <c:v>0.35182562691780367</c:v>
                </c:pt>
                <c:pt idx="285">
                  <c:v>0.34723982984332002</c:v>
                </c:pt>
                <c:pt idx="286">
                  <c:v>0.34265866303869791</c:v>
                </c:pt>
                <c:pt idx="287">
                  <c:v>0.33808341999716451</c:v>
                </c:pt>
                <c:pt idx="288">
                  <c:v>0.33351537929728192</c:v>
                </c:pt>
                <c:pt idx="289">
                  <c:v>0.32895580392812107</c:v>
                </c:pt>
                <c:pt idx="290">
                  <c:v>0.32440594063218131</c:v>
                </c:pt>
                <c:pt idx="291">
                  <c:v>0.31986701926660666</c:v>
                </c:pt>
                <c:pt idx="292">
                  <c:v>0.31534025218321898</c:v>
                </c:pt>
                <c:pt idx="293">
                  <c:v>0.31082683362785868</c:v>
                </c:pt>
                <c:pt idx="294">
                  <c:v>0.30632793915950485</c:v>
                </c:pt>
                <c:pt idx="295">
                  <c:v>0.30184472508960836</c:v>
                </c:pt>
                <c:pt idx="296">
                  <c:v>0.29737832794204838</c:v>
                </c:pt>
                <c:pt idx="297">
                  <c:v>0.29292986393409887</c:v>
                </c:pt>
                <c:pt idx="298">
                  <c:v>0.28850042847874752</c:v>
                </c:pt>
                <c:pt idx="299">
                  <c:v>0.28409109570869784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52-4E07-965A-C933D29D5CDA}"/>
            </c:ext>
          </c:extLst>
        </c:ser>
        <c:ser>
          <c:idx val="4"/>
          <c:order val="4"/>
          <c:tx>
            <c:v>Za duża szerokość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d.'!$M$6:$M$305</c:f>
              <c:numCache>
                <c:formatCode>General</c:formatCode>
                <c:ptCount val="300"/>
                <c:pt idx="0">
                  <c:v>7.6978915165678924E-2</c:v>
                </c:pt>
                <c:pt idx="1">
                  <c:v>7.7005883410513079E-2</c:v>
                </c:pt>
                <c:pt idx="2">
                  <c:v>7.7032710429897844E-2</c:v>
                </c:pt>
                <c:pt idx="3">
                  <c:v>7.7059396069570407E-2</c:v>
                </c:pt>
                <c:pt idx="4">
                  <c:v>7.7085940176044337E-2</c:v>
                </c:pt>
                <c:pt idx="5">
                  <c:v>7.7112342596610511E-2</c:v>
                </c:pt>
                <c:pt idx="6">
                  <c:v>7.7138603179338905E-2</c:v>
                </c:pt>
                <c:pt idx="7">
                  <c:v>7.7164721773079842E-2</c:v>
                </c:pt>
                <c:pt idx="8">
                  <c:v>7.7190698227465604E-2</c:v>
                </c:pt>
                <c:pt idx="9">
                  <c:v>7.7216532392911777E-2</c:v>
                </c:pt>
                <c:pt idx="10">
                  <c:v>7.7242224120618791E-2</c:v>
                </c:pt>
                <c:pt idx="11">
                  <c:v>7.7267773262573058E-2</c:v>
                </c:pt>
                <c:pt idx="12">
                  <c:v>7.7293179671548834E-2</c:v>
                </c:pt>
                <c:pt idx="13">
                  <c:v>7.7318443201109338E-2</c:v>
                </c:pt>
                <c:pt idx="14">
                  <c:v>7.7343563705608159E-2</c:v>
                </c:pt>
                <c:pt idx="15">
                  <c:v>7.7368541040190808E-2</c:v>
                </c:pt>
                <c:pt idx="16">
                  <c:v>7.7393375060795869E-2</c:v>
                </c:pt>
                <c:pt idx="17">
                  <c:v>7.741806562415679E-2</c:v>
                </c:pt>
                <c:pt idx="18">
                  <c:v>7.74426125878028E-2</c:v>
                </c:pt>
                <c:pt idx="19">
                  <c:v>7.7467015810060588E-2</c:v>
                </c:pt>
                <c:pt idx="20">
                  <c:v>7.7491275150055522E-2</c:v>
                </c:pt>
                <c:pt idx="21">
                  <c:v>7.7515390467713052E-2</c:v>
                </c:pt>
                <c:pt idx="22">
                  <c:v>7.7539361623760003E-2</c:v>
                </c:pt>
                <c:pt idx="23">
                  <c:v>7.7563188479726097E-2</c:v>
                </c:pt>
                <c:pt idx="24">
                  <c:v>7.7586870897945054E-2</c:v>
                </c:pt>
                <c:pt idx="25">
                  <c:v>7.7610408741556031E-2</c:v>
                </c:pt>
                <c:pt idx="26">
                  <c:v>7.7633801874504915E-2</c:v>
                </c:pt>
                <c:pt idx="27">
                  <c:v>7.7657050161545768E-2</c:v>
                </c:pt>
                <c:pt idx="28">
                  <c:v>7.768015346824178E-2</c:v>
                </c:pt>
                <c:pt idx="29">
                  <c:v>7.7703111660966981E-2</c:v>
                </c:pt>
                <c:pt idx="30">
                  <c:v>7.7725924606907221E-2</c:v>
                </c:pt>
                <c:pt idx="31">
                  <c:v>7.7748592174061701E-2</c:v>
                </c:pt>
                <c:pt idx="32">
                  <c:v>7.7771114231243957E-2</c:v>
                </c:pt>
                <c:pt idx="33">
                  <c:v>7.7793490648083399E-2</c:v>
                </c:pt>
                <c:pt idx="34">
                  <c:v>7.7815721295026355E-2</c:v>
                </c:pt>
                <c:pt idx="35">
                  <c:v>7.7837806043337565E-2</c:v>
                </c:pt>
                <c:pt idx="36">
                  <c:v>7.7859744765101116E-2</c:v>
                </c:pt>
                <c:pt idx="37">
                  <c:v>7.7881537333221937E-2</c:v>
                </c:pt>
                <c:pt idx="38">
                  <c:v>7.7903183621426855E-2</c:v>
                </c:pt>
                <c:pt idx="39">
                  <c:v>7.7924683504265971E-2</c:v>
                </c:pt>
                <c:pt idx="40">
                  <c:v>7.7946036857113668E-2</c:v>
                </c:pt>
                <c:pt idx="41">
                  <c:v>7.796724355617006E-2</c:v>
                </c:pt>
                <c:pt idx="42">
                  <c:v>7.7988303478461946E-2</c:v>
                </c:pt>
                <c:pt idx="43">
                  <c:v>7.8009216501844197E-2</c:v>
                </c:pt>
                <c:pt idx="44">
                  <c:v>7.8029982505000858E-2</c:v>
                </c:pt>
                <c:pt idx="45">
                  <c:v>7.805060136744621E-2</c:v>
                </c:pt>
                <c:pt idx="46">
                  <c:v>7.8071072969526104E-2</c:v>
                </c:pt>
                <c:pt idx="47">
                  <c:v>7.8091397192419157E-2</c:v>
                </c:pt>
                <c:pt idx="48">
                  <c:v>7.811157391813757E-2</c:v>
                </c:pt>
                <c:pt idx="49">
                  <c:v>7.8131603029528721E-2</c:v>
                </c:pt>
                <c:pt idx="50">
                  <c:v>7.815148441027589E-2</c:v>
                </c:pt>
                <c:pt idx="51">
                  <c:v>7.8171217944899785E-2</c:v>
                </c:pt>
                <c:pt idx="52">
                  <c:v>7.8190803518759261E-2</c:v>
                </c:pt>
                <c:pt idx="53">
                  <c:v>7.8210241018052587E-2</c:v>
                </c:pt>
                <c:pt idx="54">
                  <c:v>7.8229530329818747E-2</c:v>
                </c:pt>
                <c:pt idx="55">
                  <c:v>7.8248671341938317E-2</c:v>
                </c:pt>
                <c:pt idx="56">
                  <c:v>7.8267663943134488E-2</c:v>
                </c:pt>
                <c:pt idx="57">
                  <c:v>7.8286508022974349E-2</c:v>
                </c:pt>
                <c:pt idx="58">
                  <c:v>7.8305203471869783E-2</c:v>
                </c:pt>
                <c:pt idx="59">
                  <c:v>7.8323750181078733E-2</c:v>
                </c:pt>
                <c:pt idx="60">
                  <c:v>7.834214804270602E-2</c:v>
                </c:pt>
                <c:pt idx="61">
                  <c:v>7.8360396949704481E-2</c:v>
                </c:pt>
                <c:pt idx="62">
                  <c:v>7.8378496795876079E-2</c:v>
                </c:pt>
                <c:pt idx="63">
                  <c:v>7.8396447475872988E-2</c:v>
                </c:pt>
                <c:pt idx="64">
                  <c:v>7.8414248885198296E-2</c:v>
                </c:pt>
                <c:pt idx="65">
                  <c:v>7.8431900920207326E-2</c:v>
                </c:pt>
                <c:pt idx="66">
                  <c:v>7.8449403478108443E-2</c:v>
                </c:pt>
                <c:pt idx="67">
                  <c:v>7.8466756456964437E-2</c:v>
                </c:pt>
                <c:pt idx="68">
                  <c:v>7.8483959755692917E-2</c:v>
                </c:pt>
                <c:pt idx="69">
                  <c:v>7.8501013274067791E-2</c:v>
                </c:pt>
                <c:pt idx="70">
                  <c:v>7.8517916912719948E-2</c:v>
                </c:pt>
                <c:pt idx="71">
                  <c:v>7.8534670573138315E-2</c:v>
                </c:pt>
                <c:pt idx="72">
                  <c:v>7.8551274157671019E-2</c:v>
                </c:pt>
                <c:pt idx="73">
                  <c:v>7.8567727569525764E-2</c:v>
                </c:pt>
                <c:pt idx="74">
                  <c:v>7.8584030712771633E-2</c:v>
                </c:pt>
                <c:pt idx="75">
                  <c:v>7.8600183492339187E-2</c:v>
                </c:pt>
                <c:pt idx="76">
                  <c:v>7.8616185814021716E-2</c:v>
                </c:pt>
                <c:pt idx="77">
                  <c:v>7.8632037584476469E-2</c:v>
                </c:pt>
                <c:pt idx="78">
                  <c:v>7.8647738711224977E-2</c:v>
                </c:pt>
                <c:pt idx="79">
                  <c:v>7.8663289102654382E-2</c:v>
                </c:pt>
                <c:pt idx="80">
                  <c:v>7.8678688668018248E-2</c:v>
                </c:pt>
                <c:pt idx="81">
                  <c:v>7.8693937317437249E-2</c:v>
                </c:pt>
                <c:pt idx="82">
                  <c:v>7.8709034961900209E-2</c:v>
                </c:pt>
                <c:pt idx="83">
                  <c:v>7.872398151326504E-2</c:v>
                </c:pt>
                <c:pt idx="84">
                  <c:v>7.8738776884259398E-2</c:v>
                </c:pt>
                <c:pt idx="85">
                  <c:v>7.8753420988481607E-2</c:v>
                </c:pt>
                <c:pt idx="86">
                  <c:v>7.8767913740401638E-2</c:v>
                </c:pt>
                <c:pt idx="87">
                  <c:v>7.8782255055361808E-2</c:v>
                </c:pt>
                <c:pt idx="88">
                  <c:v>7.8796444849577485E-2</c:v>
                </c:pt>
                <c:pt idx="89">
                  <c:v>7.8810483040138268E-2</c:v>
                </c:pt>
                <c:pt idx="90">
                  <c:v>7.8824369545008308E-2</c:v>
                </c:pt>
                <c:pt idx="91">
                  <c:v>7.8838104283027649E-2</c:v>
                </c:pt>
                <c:pt idx="92">
                  <c:v>7.8851687173912527E-2</c:v>
                </c:pt>
                <c:pt idx="93">
                  <c:v>7.8865118138256474E-2</c:v>
                </c:pt>
                <c:pt idx="94">
                  <c:v>7.8878397097530903E-2</c:v>
                </c:pt>
                <c:pt idx="95">
                  <c:v>7.8891523974085984E-2</c:v>
                </c:pt>
                <c:pt idx="96">
                  <c:v>7.8904498691151445E-2</c:v>
                </c:pt>
                <c:pt idx="97">
                  <c:v>7.8917321172837174E-2</c:v>
                </c:pt>
                <c:pt idx="98">
                  <c:v>7.8929991344134004E-2</c:v>
                </c:pt>
                <c:pt idx="99">
                  <c:v>7.8942509130914482E-2</c:v>
                </c:pt>
                <c:pt idx="100">
                  <c:v>7.8954874459933669E-2</c:v>
                </c:pt>
                <c:pt idx="101">
                  <c:v>7.8967087258829546E-2</c:v>
                </c:pt>
                <c:pt idx="102">
                  <c:v>7.8979147456124249E-2</c:v>
                </c:pt>
                <c:pt idx="103">
                  <c:v>7.899105498122419E-2</c:v>
                </c:pt>
                <c:pt idx="104">
                  <c:v>7.9002809764421159E-2</c:v>
                </c:pt>
                <c:pt idx="105">
                  <c:v>7.9014411736892748E-2</c:v>
                </c:pt>
                <c:pt idx="106">
                  <c:v>7.902586083070326E-2</c:v>
                </c:pt>
                <c:pt idx="107">
                  <c:v>7.9037156978804118E-2</c:v>
                </c:pt>
                <c:pt idx="108">
                  <c:v>7.904830011503472E-2</c:v>
                </c:pt>
                <c:pt idx="109">
                  <c:v>7.9059290174123012E-2</c:v>
                </c:pt>
                <c:pt idx="110">
                  <c:v>7.9070127091686038E-2</c:v>
                </c:pt>
                <c:pt idx="111">
                  <c:v>7.9080810804230739E-2</c:v>
                </c:pt>
                <c:pt idx="112">
                  <c:v>7.9091341249154401E-2</c:v>
                </c:pt>
                <c:pt idx="113">
                  <c:v>7.9101718364745527E-2</c:v>
                </c:pt>
                <c:pt idx="114">
                  <c:v>7.9111942090184087E-2</c:v>
                </c:pt>
                <c:pt idx="115">
                  <c:v>7.912201236554231E-2</c:v>
                </c:pt>
                <c:pt idx="116">
                  <c:v>7.9131929131785281E-2</c:v>
                </c:pt>
                <c:pt idx="117">
                  <c:v>7.9141692330771563E-2</c:v>
                </c:pt>
                <c:pt idx="118">
                  <c:v>7.9151301905253629E-2</c:v>
                </c:pt>
                <c:pt idx="119">
                  <c:v>7.9160757798878392E-2</c:v>
                </c:pt>
                <c:pt idx="120">
                  <c:v>7.9170059956187991E-2</c:v>
                </c:pt>
                <c:pt idx="121">
                  <c:v>7.9179208322620015E-2</c:v>
                </c:pt>
                <c:pt idx="122">
                  <c:v>7.9188202844508421E-2</c:v>
                </c:pt>
                <c:pt idx="123">
                  <c:v>7.9197043469083669E-2</c:v>
                </c:pt>
                <c:pt idx="124">
                  <c:v>7.9205730144473477E-2</c:v>
                </c:pt>
                <c:pt idx="125">
                  <c:v>7.9214262819703299E-2</c:v>
                </c:pt>
                <c:pt idx="126">
                  <c:v>7.9222641444696762E-2</c:v>
                </c:pt>
                <c:pt idx="127">
                  <c:v>7.9230865970276107E-2</c:v>
                </c:pt>
                <c:pt idx="128">
                  <c:v>7.9238936348162994E-2</c:v>
                </c:pt>
                <c:pt idx="129">
                  <c:v>7.9246852530978337E-2</c:v>
                </c:pt>
                <c:pt idx="130">
                  <c:v>7.9254614472243481E-2</c:v>
                </c:pt>
                <c:pt idx="131">
                  <c:v>7.9262222126380302E-2</c:v>
                </c:pt>
                <c:pt idx="132">
                  <c:v>7.9269675448711482E-2</c:v>
                </c:pt>
                <c:pt idx="133">
                  <c:v>7.9276974395461261E-2</c:v>
                </c:pt>
                <c:pt idx="134">
                  <c:v>7.9284118923755934E-2</c:v>
                </c:pt>
                <c:pt idx="135">
                  <c:v>7.929110899162381E-2</c:v>
                </c:pt>
                <c:pt idx="136">
                  <c:v>7.9297944557996047E-2</c:v>
                </c:pt>
                <c:pt idx="137">
                  <c:v>7.9304625582706789E-2</c:v>
                </c:pt>
                <c:pt idx="138">
                  <c:v>7.9311152026493942E-2</c:v>
                </c:pt>
                <c:pt idx="139">
                  <c:v>7.9317523850998981E-2</c:v>
                </c:pt>
                <c:pt idx="140">
                  <c:v>7.9323741018767935E-2</c:v>
                </c:pt>
                <c:pt idx="141">
                  <c:v>7.9329803493251194E-2</c:v>
                </c:pt>
                <c:pt idx="142">
                  <c:v>7.9335711238804313E-2</c:v>
                </c:pt>
                <c:pt idx="143">
                  <c:v>7.9341464220688135E-2</c:v>
                </c:pt>
                <c:pt idx="144">
                  <c:v>7.9347062405069127E-2</c:v>
                </c:pt>
                <c:pt idx="145">
                  <c:v>7.9352505759019851E-2</c:v>
                </c:pt>
                <c:pt idx="146">
                  <c:v>7.9357794250519115E-2</c:v>
                </c:pt>
                <c:pt idx="147">
                  <c:v>7.9362927848452405E-2</c:v>
                </c:pt>
                <c:pt idx="148">
                  <c:v>7.9367906522612233E-2</c:v>
                </c:pt>
                <c:pt idx="149">
                  <c:v>7.9372730243698245E-2</c:v>
                </c:pt>
                <c:pt idx="150">
                  <c:v>7.9377398983317637E-2</c:v>
                </c:pt>
                <c:pt idx="151">
                  <c:v>7.9381912713985467E-2</c:v>
                </c:pt>
                <c:pt idx="152">
                  <c:v>7.9386271409124881E-2</c:v>
                </c:pt>
                <c:pt idx="153">
                  <c:v>7.9390475043067288E-2</c:v>
                </c:pt>
                <c:pt idx="154">
                  <c:v>7.9394523591052701E-2</c:v>
                </c:pt>
                <c:pt idx="155">
                  <c:v>7.9398417029230103E-2</c:v>
                </c:pt>
                <c:pt idx="156">
                  <c:v>7.9402155334657373E-2</c:v>
                </c:pt>
                <c:pt idx="157">
                  <c:v>7.9405738485301774E-2</c:v>
                </c:pt>
                <c:pt idx="158">
                  <c:v>7.940916646004012E-2</c:v>
                </c:pt>
                <c:pt idx="159">
                  <c:v>7.9412439238658844E-2</c:v>
                </c:pt>
                <c:pt idx="160">
                  <c:v>7.9415556801854387E-2</c:v>
                </c:pt>
                <c:pt idx="161">
                  <c:v>7.9418519131233212E-2</c:v>
                </c:pt>
                <c:pt idx="162">
                  <c:v>7.9421326209312179E-2</c:v>
                </c:pt>
                <c:pt idx="163">
                  <c:v>7.9423978019518532E-2</c:v>
                </c:pt>
                <c:pt idx="164">
                  <c:v>7.9426474546190201E-2</c:v>
                </c:pt>
                <c:pt idx="165">
                  <c:v>7.9428815774575751E-2</c:v>
                </c:pt>
                <c:pt idx="166">
                  <c:v>7.9431001690834849E-2</c:v>
                </c:pt>
                <c:pt idx="167">
                  <c:v>7.9433032282038185E-2</c:v>
                </c:pt>
                <c:pt idx="168">
                  <c:v>7.943490753616754E-2</c:v>
                </c:pt>
                <c:pt idx="169">
                  <c:v>7.9436627442116048E-2</c:v>
                </c:pt>
                <c:pt idx="170">
                  <c:v>7.943819198968835E-2</c:v>
                </c:pt>
                <c:pt idx="171">
                  <c:v>7.9439601169600443E-2</c:v>
                </c:pt>
                <c:pt idx="172">
                  <c:v>7.9440854973480093E-2</c:v>
                </c:pt>
                <c:pt idx="173">
                  <c:v>7.9441953393866657E-2</c:v>
                </c:pt>
                <c:pt idx="174">
                  <c:v>7.9442896424211179E-2</c:v>
                </c:pt>
                <c:pt idx="175">
                  <c:v>7.9443684058876834E-2</c:v>
                </c:pt>
                <c:pt idx="176">
                  <c:v>7.9444316293138292E-2</c:v>
                </c:pt>
                <c:pt idx="177">
                  <c:v>7.9444793123182506E-2</c:v>
                </c:pt>
                <c:pt idx="178">
                  <c:v>7.9445114546108156E-2</c:v>
                </c:pt>
                <c:pt idx="179">
                  <c:v>7.9445280559926001E-2</c:v>
                </c:pt>
                <c:pt idx="180">
                  <c:v>7.9445291163558959E-2</c:v>
                </c:pt>
                <c:pt idx="181">
                  <c:v>7.9445146356841745E-2</c:v>
                </c:pt>
                <c:pt idx="182">
                  <c:v>7.9444846140521275E-2</c:v>
                </c:pt>
                <c:pt idx="183">
                  <c:v>7.9444390516256333E-2</c:v>
                </c:pt>
                <c:pt idx="184">
                  <c:v>7.9443779486617974E-2</c:v>
                </c:pt>
                <c:pt idx="185">
                  <c:v>7.9443013055089079E-2</c:v>
                </c:pt>
                <c:pt idx="186">
                  <c:v>7.9442091226064437E-2</c:v>
                </c:pt>
                <c:pt idx="187">
                  <c:v>7.9441014004850846E-2</c:v>
                </c:pt>
                <c:pt idx="188">
                  <c:v>7.9439781397666928E-2</c:v>
                </c:pt>
                <c:pt idx="189">
                  <c:v>7.9438393411643243E-2</c:v>
                </c:pt>
                <c:pt idx="190">
                  <c:v>7.9436850054821789E-2</c:v>
                </c:pt>
                <c:pt idx="191">
                  <c:v>7.9435151336156556E-2</c:v>
                </c:pt>
                <c:pt idx="192">
                  <c:v>7.9433297265512876E-2</c:v>
                </c:pt>
                <c:pt idx="193">
                  <c:v>7.9431287853667612E-2</c:v>
                </c:pt>
                <c:pt idx="194">
                  <c:v>7.9429123112309097E-2</c:v>
                </c:pt>
                <c:pt idx="195">
                  <c:v>7.9426803054036821E-2</c:v>
                </c:pt>
                <c:pt idx="196">
                  <c:v>7.9424327692361435E-2</c:v>
                </c:pt>
                <c:pt idx="197">
                  <c:v>7.9421697041704625E-2</c:v>
                </c:pt>
                <c:pt idx="198">
                  <c:v>7.9418911117398863E-2</c:v>
                </c:pt>
                <c:pt idx="199">
                  <c:v>7.9415969935687419E-2</c:v>
                </c:pt>
                <c:pt idx="200">
                  <c:v>7.9412873513724128E-2</c:v>
                </c:pt>
                <c:pt idx="201">
                  <c:v>7.940962186957308E-2</c:v>
                </c:pt>
                <c:pt idx="202">
                  <c:v>7.9406215022208765E-2</c:v>
                </c:pt>
                <c:pt idx="203">
                  <c:v>7.9402652991515721E-2</c:v>
                </c:pt>
                <c:pt idx="204">
                  <c:v>7.9398935798288051E-2</c:v>
                </c:pt>
                <c:pt idx="205">
                  <c:v>7.939506346422967E-2</c:v>
                </c:pt>
                <c:pt idx="206">
                  <c:v>7.9391036011954075E-2</c:v>
                </c:pt>
                <c:pt idx="207">
                  <c:v>7.9386853464983725E-2</c:v>
                </c:pt>
                <c:pt idx="208">
                  <c:v>7.9382515847750121E-2</c:v>
                </c:pt>
                <c:pt idx="209">
                  <c:v>7.9378023185593588E-2</c:v>
                </c:pt>
                <c:pt idx="210">
                  <c:v>7.9373375504762783E-2</c:v>
                </c:pt>
                <c:pt idx="211">
                  <c:v>7.9368572832414774E-2</c:v>
                </c:pt>
                <c:pt idx="212">
                  <c:v>7.9363615196614487E-2</c:v>
                </c:pt>
                <c:pt idx="213">
                  <c:v>7.9358502626334579E-2</c:v>
                </c:pt>
                <c:pt idx="214">
                  <c:v>7.935323515145512E-2</c:v>
                </c:pt>
                <c:pt idx="215">
                  <c:v>7.9347812802763332E-2</c:v>
                </c:pt>
                <c:pt idx="216">
                  <c:v>7.9342235611953207E-2</c:v>
                </c:pt>
                <c:pt idx="217">
                  <c:v>7.9336503611625309E-2</c:v>
                </c:pt>
                <c:pt idx="218">
                  <c:v>7.9330616835286305E-2</c:v>
                </c:pt>
                <c:pt idx="219">
                  <c:v>7.9324575317348905E-2</c:v>
                </c:pt>
                <c:pt idx="220">
                  <c:v>7.9318379093131178E-2</c:v>
                </c:pt>
                <c:pt idx="221">
                  <c:v>7.9312028198856521E-2</c:v>
                </c:pt>
                <c:pt idx="222">
                  <c:v>7.9305522671653028E-2</c:v>
                </c:pt>
                <c:pt idx="223">
                  <c:v>7.9298862549553414E-2</c:v>
                </c:pt>
                <c:pt idx="224">
                  <c:v>7.9292047871494464E-2</c:v>
                </c:pt>
                <c:pt idx="225">
                  <c:v>7.9285078677316601E-2</c:v>
                </c:pt>
                <c:pt idx="226">
                  <c:v>7.927795500776369E-2</c:v>
                </c:pt>
                <c:pt idx="227">
                  <c:v>7.927067690448257E-2</c:v>
                </c:pt>
                <c:pt idx="228">
                  <c:v>7.9263244410022429E-2</c:v>
                </c:pt>
                <c:pt idx="229">
                  <c:v>7.9255657567834772E-2</c:v>
                </c:pt>
                <c:pt idx="230">
                  <c:v>7.9247916422272691E-2</c:v>
                </c:pt>
                <c:pt idx="231">
                  <c:v>7.9240021018590664E-2</c:v>
                </c:pt>
                <c:pt idx="232">
                  <c:v>7.9231971402943802E-2</c:v>
                </c:pt>
                <c:pt idx="233">
                  <c:v>7.9223767622387753E-2</c:v>
                </c:pt>
                <c:pt idx="234">
                  <c:v>7.9215409724878075E-2</c:v>
                </c:pt>
                <c:pt idx="235">
                  <c:v>7.9206897759269687E-2</c:v>
                </c:pt>
                <c:pt idx="236">
                  <c:v>7.9198231775316583E-2</c:v>
                </c:pt>
                <c:pt idx="237">
                  <c:v>7.9189411823671202E-2</c:v>
                </c:pt>
                <c:pt idx="238">
                  <c:v>7.9180437955883892E-2</c:v>
                </c:pt>
                <c:pt idx="239">
                  <c:v>7.9171310224402686E-2</c:v>
                </c:pt>
                <c:pt idx="240">
                  <c:v>7.9162028682572341E-2</c:v>
                </c:pt>
                <c:pt idx="241">
                  <c:v>7.9152593384634359E-2</c:v>
                </c:pt>
                <c:pt idx="242">
                  <c:v>7.9143004385726037E-2</c:v>
                </c:pt>
                <c:pt idx="243">
                  <c:v>7.9133261741879984E-2</c:v>
                </c:pt>
                <c:pt idx="244">
                  <c:v>7.9123365510023858E-2</c:v>
                </c:pt>
                <c:pt idx="245">
                  <c:v>7.9113315747979543E-2</c:v>
                </c:pt>
                <c:pt idx="246">
                  <c:v>7.9103112514462587E-2</c:v>
                </c:pt>
                <c:pt idx="247">
                  <c:v>7.9092755869081599E-2</c:v>
                </c:pt>
                <c:pt idx="248">
                  <c:v>7.9082245872338169E-2</c:v>
                </c:pt>
                <c:pt idx="249">
                  <c:v>7.9071582585625508E-2</c:v>
                </c:pt>
                <c:pt idx="250">
                  <c:v>7.9060766071228333E-2</c:v>
                </c:pt>
                <c:pt idx="251">
                  <c:v>7.9049796392322208E-2</c:v>
                </c:pt>
                <c:pt idx="252">
                  <c:v>7.9038673612972815E-2</c:v>
                </c:pt>
                <c:pt idx="253">
                  <c:v>7.9027397798135363E-2</c:v>
                </c:pt>
                <c:pt idx="254">
                  <c:v>7.9015969013654083E-2</c:v>
                </c:pt>
                <c:pt idx="255">
                  <c:v>7.9004387326261388E-2</c:v>
                </c:pt>
                <c:pt idx="256">
                  <c:v>7.899265280357734E-2</c:v>
                </c:pt>
                <c:pt idx="257">
                  <c:v>7.8980765514109014E-2</c:v>
                </c:pt>
                <c:pt idx="258">
                  <c:v>7.8968725527249761E-2</c:v>
                </c:pt>
                <c:pt idx="259">
                  <c:v>7.8956532913278477E-2</c:v>
                </c:pt>
                <c:pt idx="260">
                  <c:v>7.8944187743359207E-2</c:v>
                </c:pt>
                <c:pt idx="261">
                  <c:v>7.8931690089540069E-2</c:v>
                </c:pt>
                <c:pt idx="262">
                  <c:v>7.8919040024752779E-2</c:v>
                </c:pt>
                <c:pt idx="263">
                  <c:v>7.8906237622811945E-2</c:v>
                </c:pt>
                <c:pt idx="264">
                  <c:v>7.8893282958414301E-2</c:v>
                </c:pt>
                <c:pt idx="265">
                  <c:v>7.8880176107137795E-2</c:v>
                </c:pt>
                <c:pt idx="266">
                  <c:v>7.8866917145441404E-2</c:v>
                </c:pt>
                <c:pt idx="267">
                  <c:v>7.8853506150663583E-2</c:v>
                </c:pt>
                <c:pt idx="268">
                  <c:v>7.8839943201022375E-2</c:v>
                </c:pt>
                <c:pt idx="269">
                  <c:v>7.8826228375613927E-2</c:v>
                </c:pt>
                <c:pt idx="270">
                  <c:v>7.8812361754412211E-2</c:v>
                </c:pt>
                <c:pt idx="271">
                  <c:v>7.8798343418267927E-2</c:v>
                </c:pt>
                <c:pt idx="272">
                  <c:v>7.8784173448907965E-2</c:v>
                </c:pt>
                <c:pt idx="273">
                  <c:v>7.8769851928934417E-2</c:v>
                </c:pt>
                <c:pt idx="274">
                  <c:v>7.8755378941823856E-2</c:v>
                </c:pt>
                <c:pt idx="275">
                  <c:v>7.8740754571926627E-2</c:v>
                </c:pt>
                <c:pt idx="276">
                  <c:v>7.8725978904465838E-2</c:v>
                </c:pt>
                <c:pt idx="277">
                  <c:v>7.8711052025536563E-2</c:v>
                </c:pt>
                <c:pt idx="278">
                  <c:v>7.8695974022105181E-2</c:v>
                </c:pt>
                <c:pt idx="279">
                  <c:v>7.8680744982008347E-2</c:v>
                </c:pt>
                <c:pt idx="280">
                  <c:v>7.8665364993952311E-2</c:v>
                </c:pt>
                <c:pt idx="281">
                  <c:v>7.8649834147511671E-2</c:v>
                </c:pt>
                <c:pt idx="282">
                  <c:v>7.8634152533129109E-2</c:v>
                </c:pt>
                <c:pt idx="283">
                  <c:v>7.861832024211407E-2</c:v>
                </c:pt>
                <c:pt idx="284">
                  <c:v>7.8602337366641892E-2</c:v>
                </c:pt>
                <c:pt idx="285">
                  <c:v>7.8586203999753107E-2</c:v>
                </c:pt>
                <c:pt idx="286">
                  <c:v>7.8569920235352544E-2</c:v>
                </c:pt>
                <c:pt idx="287">
                  <c:v>7.8553486168207995E-2</c:v>
                </c:pt>
                <c:pt idx="288">
                  <c:v>7.8536901893950004E-2</c:v>
                </c:pt>
                <c:pt idx="289">
                  <c:v>7.8520167509070343E-2</c:v>
                </c:pt>
                <c:pt idx="290">
                  <c:v>7.8503283110921238E-2</c:v>
                </c:pt>
                <c:pt idx="291">
                  <c:v>7.8486248797714681E-2</c:v>
                </c:pt>
                <c:pt idx="292">
                  <c:v>7.8469064668521077E-2</c:v>
                </c:pt>
                <c:pt idx="293">
                  <c:v>7.8451730823268617E-2</c:v>
                </c:pt>
                <c:pt idx="294">
                  <c:v>7.8434247362742016E-2</c:v>
                </c:pt>
                <c:pt idx="295">
                  <c:v>7.8416614388581871E-2</c:v>
                </c:pt>
                <c:pt idx="296">
                  <c:v>7.8398832003283334E-2</c:v>
                </c:pt>
                <c:pt idx="297">
                  <c:v>7.8380900310195359E-2</c:v>
                </c:pt>
                <c:pt idx="298">
                  <c:v>7.8362819413519691E-2</c:v>
                </c:pt>
                <c:pt idx="299">
                  <c:v>7.8344589418309685E-2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52-4E07-965A-C933D29D5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520304"/>
        <c:axId val="753521136"/>
      </c:scatterChart>
      <c:valAx>
        <c:axId val="753520304"/>
        <c:scaling>
          <c:orientation val="minMax"/>
          <c:max val="5.0999999999999996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3521136"/>
        <c:crosses val="autoZero"/>
        <c:crossBetween val="midCat"/>
      </c:valAx>
      <c:valAx>
        <c:axId val="753521136"/>
        <c:scaling>
          <c:orientation val="minMax"/>
          <c:max val="1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352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Jądro gaussowskie vs Epanecznikowa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Epanecznikow - domyślnie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d.'!$X$6:$X$305</c:f>
              <c:numCache>
                <c:formatCode>General</c:formatCode>
                <c:ptCount val="300"/>
                <c:pt idx="0">
                  <c:v>7.0057484349638252E-2</c:v>
                </c:pt>
                <c:pt idx="1">
                  <c:v>7.2580730657368558E-2</c:v>
                </c:pt>
                <c:pt idx="2">
                  <c:v>7.5047981855236964E-2</c:v>
                </c:pt>
                <c:pt idx="3">
                  <c:v>7.7459237943243456E-2</c:v>
                </c:pt>
                <c:pt idx="4">
                  <c:v>7.9814498921387991E-2</c:v>
                </c:pt>
                <c:pt idx="5">
                  <c:v>8.211376478967064E-2</c:v>
                </c:pt>
                <c:pt idx="6">
                  <c:v>8.4357035548091347E-2</c:v>
                </c:pt>
                <c:pt idx="7">
                  <c:v>8.6544311196650139E-2</c:v>
                </c:pt>
                <c:pt idx="8">
                  <c:v>8.8675591735347017E-2</c:v>
                </c:pt>
                <c:pt idx="9">
                  <c:v>9.0750877164181981E-2</c:v>
                </c:pt>
                <c:pt idx="10">
                  <c:v>9.2770167483155017E-2</c:v>
                </c:pt>
                <c:pt idx="11">
                  <c:v>9.473346269226611E-2</c:v>
                </c:pt>
                <c:pt idx="12">
                  <c:v>9.6640762791515303E-2</c:v>
                </c:pt>
                <c:pt idx="13">
                  <c:v>9.8567163960112836E-2</c:v>
                </c:pt>
                <c:pt idx="14">
                  <c:v>0.10116800349150898</c:v>
                </c:pt>
                <c:pt idx="15">
                  <c:v>0.10370164889107084</c:v>
                </c:pt>
                <c:pt idx="16">
                  <c:v>0.10616810015879835</c:v>
                </c:pt>
                <c:pt idx="17">
                  <c:v>0.10856735729469158</c:v>
                </c:pt>
                <c:pt idx="18">
                  <c:v>0.1108994202987505</c:v>
                </c:pt>
                <c:pt idx="19">
                  <c:v>0.11316428917097511</c:v>
                </c:pt>
                <c:pt idx="20">
                  <c:v>0.11536196391136543</c:v>
                </c:pt>
                <c:pt idx="21">
                  <c:v>0.11749244451992145</c:v>
                </c:pt>
                <c:pt idx="22">
                  <c:v>0.11955573099664317</c:v>
                </c:pt>
                <c:pt idx="23">
                  <c:v>0.12155182334153056</c:v>
                </c:pt>
                <c:pt idx="24">
                  <c:v>0.12348072155458367</c:v>
                </c:pt>
                <c:pt idx="25">
                  <c:v>0.12534242563580245</c:v>
                </c:pt>
                <c:pt idx="26">
                  <c:v>0.12713693558518693</c:v>
                </c:pt>
                <c:pt idx="27">
                  <c:v>0.12886425140273713</c:v>
                </c:pt>
                <c:pt idx="28">
                  <c:v>0.13121422192958471</c:v>
                </c:pt>
                <c:pt idx="29">
                  <c:v>0.13360414654716765</c:v>
                </c:pt>
                <c:pt idx="30">
                  <c:v>0.13591567801094392</c:v>
                </c:pt>
                <c:pt idx="31">
                  <c:v>0.13814881632091347</c:v>
                </c:pt>
                <c:pt idx="32">
                  <c:v>0.14030356147707632</c:v>
                </c:pt>
                <c:pt idx="33">
                  <c:v>0.14237991347943249</c:v>
                </c:pt>
                <c:pt idx="34">
                  <c:v>0.14437787232798199</c:v>
                </c:pt>
                <c:pt idx="35">
                  <c:v>0.14629743802272474</c:v>
                </c:pt>
                <c:pt idx="36">
                  <c:v>0.1481386105636609</c:v>
                </c:pt>
                <c:pt idx="37">
                  <c:v>0.14990138995079033</c:v>
                </c:pt>
                <c:pt idx="38">
                  <c:v>0.15158577618411306</c:v>
                </c:pt>
                <c:pt idx="39">
                  <c:v>0.1531917692636291</c:v>
                </c:pt>
                <c:pt idx="40">
                  <c:v>0.15471936918933848</c:v>
                </c:pt>
                <c:pt idx="41">
                  <c:v>0.15616857596124112</c:v>
                </c:pt>
                <c:pt idx="42">
                  <c:v>0.15803782656532836</c:v>
                </c:pt>
                <c:pt idx="43">
                  <c:v>0.16012991052712194</c:v>
                </c:pt>
                <c:pt idx="44">
                  <c:v>0.1621324023131365</c:v>
                </c:pt>
                <c:pt idx="45">
                  <c:v>0.16404530192337197</c:v>
                </c:pt>
                <c:pt idx="46">
                  <c:v>0.16586860935782838</c:v>
                </c:pt>
                <c:pt idx="47">
                  <c:v>0.16760232461650568</c:v>
                </c:pt>
                <c:pt idx="48">
                  <c:v>0.16924644769940392</c:v>
                </c:pt>
                <c:pt idx="49">
                  <c:v>0.17080097860652305</c:v>
                </c:pt>
                <c:pt idx="50">
                  <c:v>0.17226591733786317</c:v>
                </c:pt>
                <c:pt idx="51">
                  <c:v>0.17364126389342419</c:v>
                </c:pt>
                <c:pt idx="52">
                  <c:v>0.17492701827320617</c:v>
                </c:pt>
                <c:pt idx="53">
                  <c:v>0.17612318047720901</c:v>
                </c:pt>
                <c:pt idx="54">
                  <c:v>0.17722975050543285</c:v>
                </c:pt>
                <c:pt idx="55">
                  <c:v>0.17824672835787758</c:v>
                </c:pt>
                <c:pt idx="56">
                  <c:v>0.18009328483152182</c:v>
                </c:pt>
                <c:pt idx="57">
                  <c:v>0.18333806812633022</c:v>
                </c:pt>
                <c:pt idx="58">
                  <c:v>0.18645966217944238</c:v>
                </c:pt>
                <c:pt idx="59">
                  <c:v>0.18945806699085832</c:v>
                </c:pt>
                <c:pt idx="60">
                  <c:v>0.19233328256057805</c:v>
                </c:pt>
                <c:pt idx="61">
                  <c:v>0.19508530888860151</c:v>
                </c:pt>
                <c:pt idx="62">
                  <c:v>0.19771414597492878</c:v>
                </c:pt>
                <c:pt idx="63">
                  <c:v>0.20021979381955979</c:v>
                </c:pt>
                <c:pt idx="64">
                  <c:v>0.20260225242249458</c:v>
                </c:pt>
                <c:pt idx="65">
                  <c:v>0.20486152178373315</c:v>
                </c:pt>
                <c:pt idx="66">
                  <c:v>0.20699760190327551</c:v>
                </c:pt>
                <c:pt idx="67">
                  <c:v>0.20901049278112166</c:v>
                </c:pt>
                <c:pt idx="68">
                  <c:v>0.21090019441727156</c:v>
                </c:pt>
                <c:pt idx="69">
                  <c:v>0.21266670681172525</c:v>
                </c:pt>
                <c:pt idx="70">
                  <c:v>0.21487857336516603</c:v>
                </c:pt>
                <c:pt idx="71">
                  <c:v>0.2204236891017784</c:v>
                </c:pt>
                <c:pt idx="72">
                  <c:v>0.22578962048683257</c:v>
                </c:pt>
                <c:pt idx="73">
                  <c:v>0.23136660213164284</c:v>
                </c:pt>
                <c:pt idx="74">
                  <c:v>0.23719729292855093</c:v>
                </c:pt>
                <c:pt idx="75">
                  <c:v>0.24285999839587316</c:v>
                </c:pt>
                <c:pt idx="76">
                  <c:v>0.24835471853360985</c:v>
                </c:pt>
                <c:pt idx="77">
                  <c:v>0.25368145334176068</c:v>
                </c:pt>
                <c:pt idx="78">
                  <c:v>0.25884020282032577</c:v>
                </c:pt>
                <c:pt idx="79">
                  <c:v>0.26383096696930503</c:v>
                </c:pt>
                <c:pt idx="80">
                  <c:v>0.26865374578869855</c:v>
                </c:pt>
                <c:pt idx="81">
                  <c:v>0.27330853927850635</c:v>
                </c:pt>
                <c:pt idx="82">
                  <c:v>0.27779534743872836</c:v>
                </c:pt>
                <c:pt idx="83">
                  <c:v>0.28211417026936458</c:v>
                </c:pt>
                <c:pt idx="84">
                  <c:v>0.28626500777041519</c:v>
                </c:pt>
                <c:pt idx="85">
                  <c:v>0.29243202502688748</c:v>
                </c:pt>
                <c:pt idx="86">
                  <c:v>0.29863628319958874</c:v>
                </c:pt>
                <c:pt idx="87">
                  <c:v>0.30463895897678717</c:v>
                </c:pt>
                <c:pt idx="88">
                  <c:v>0.31044005235848265</c:v>
                </c:pt>
                <c:pt idx="89">
                  <c:v>0.31603956334467531</c:v>
                </c:pt>
                <c:pt idx="90">
                  <c:v>0.32143749193536492</c:v>
                </c:pt>
                <c:pt idx="91">
                  <c:v>0.32663383813055175</c:v>
                </c:pt>
                <c:pt idx="92">
                  <c:v>0.33162860193023552</c:v>
                </c:pt>
                <c:pt idx="93">
                  <c:v>0.33642178333441641</c:v>
                </c:pt>
                <c:pt idx="94">
                  <c:v>0.34101338234309453</c:v>
                </c:pt>
                <c:pt idx="95">
                  <c:v>0.34540339895626959</c:v>
                </c:pt>
                <c:pt idx="96">
                  <c:v>0.34959183317394177</c:v>
                </c:pt>
                <c:pt idx="97">
                  <c:v>0.35357868499611117</c:v>
                </c:pt>
                <c:pt idx="98">
                  <c:v>0.35736395442277746</c:v>
                </c:pt>
                <c:pt idx="99">
                  <c:v>0.36309472203887483</c:v>
                </c:pt>
                <c:pt idx="100">
                  <c:v>0.36967334751751035</c:v>
                </c:pt>
                <c:pt idx="101">
                  <c:v>0.37600559451275345</c:v>
                </c:pt>
                <c:pt idx="102">
                  <c:v>0.38209146302460412</c:v>
                </c:pt>
                <c:pt idx="103">
                  <c:v>0.38793095305306236</c:v>
                </c:pt>
                <c:pt idx="104">
                  <c:v>0.39352406459812789</c:v>
                </c:pt>
                <c:pt idx="105">
                  <c:v>0.3988707976598011</c:v>
                </c:pt>
                <c:pt idx="106">
                  <c:v>0.40397115223808194</c:v>
                </c:pt>
                <c:pt idx="107">
                  <c:v>0.40882512833297013</c:v>
                </c:pt>
                <c:pt idx="108">
                  <c:v>0.41343272594446601</c:v>
                </c:pt>
                <c:pt idx="109">
                  <c:v>0.41779394507256962</c:v>
                </c:pt>
                <c:pt idx="110">
                  <c:v>0.42190878571728063</c:v>
                </c:pt>
                <c:pt idx="111">
                  <c:v>0.42577724787859905</c:v>
                </c:pt>
                <c:pt idx="112">
                  <c:v>0.42939933155652532</c:v>
                </c:pt>
                <c:pt idx="113">
                  <c:v>0.43346473754893899</c:v>
                </c:pt>
                <c:pt idx="114">
                  <c:v>0.43819765754917345</c:v>
                </c:pt>
                <c:pt idx="115">
                  <c:v>0.44266180102207092</c:v>
                </c:pt>
                <c:pt idx="116">
                  <c:v>0.44810571059840976</c:v>
                </c:pt>
                <c:pt idx="117">
                  <c:v>0.45368495668770009</c:v>
                </c:pt>
                <c:pt idx="118">
                  <c:v>0.459017824293598</c:v>
                </c:pt>
                <c:pt idx="119">
                  <c:v>0.46410431341610375</c:v>
                </c:pt>
                <c:pt idx="120">
                  <c:v>0.46894442405521664</c:v>
                </c:pt>
                <c:pt idx="121">
                  <c:v>0.47353815621093731</c:v>
                </c:pt>
                <c:pt idx="122">
                  <c:v>0.47788550988326567</c:v>
                </c:pt>
                <c:pt idx="123">
                  <c:v>0.48198648507220115</c:v>
                </c:pt>
                <c:pt idx="124">
                  <c:v>0.48584108177774454</c:v>
                </c:pt>
                <c:pt idx="125">
                  <c:v>0.48944929999989523</c:v>
                </c:pt>
                <c:pt idx="126">
                  <c:v>0.4928111397386537</c:v>
                </c:pt>
                <c:pt idx="127">
                  <c:v>0.49653578413984112</c:v>
                </c:pt>
                <c:pt idx="128">
                  <c:v>0.50262271922521329</c:v>
                </c:pt>
                <c:pt idx="129">
                  <c:v>0.50841847973930332</c:v>
                </c:pt>
                <c:pt idx="130">
                  <c:v>0.51392306568211132</c:v>
                </c:pt>
                <c:pt idx="131">
                  <c:v>0.51913647705363752</c:v>
                </c:pt>
                <c:pt idx="132">
                  <c:v>0.5240587138538817</c:v>
                </c:pt>
                <c:pt idx="133">
                  <c:v>0.52868977608284362</c:v>
                </c:pt>
                <c:pt idx="134">
                  <c:v>0.53302966374052374</c:v>
                </c:pt>
                <c:pt idx="135">
                  <c:v>0.53707837682692194</c:v>
                </c:pt>
                <c:pt idx="136">
                  <c:v>0.54083591534203801</c:v>
                </c:pt>
                <c:pt idx="137">
                  <c:v>0.54430227928587227</c:v>
                </c:pt>
                <c:pt idx="138">
                  <c:v>0.5474774686584245</c:v>
                </c:pt>
                <c:pt idx="139">
                  <c:v>0.5503614834596946</c:v>
                </c:pt>
                <c:pt idx="140">
                  <c:v>0.552954323689683</c:v>
                </c:pt>
                <c:pt idx="141">
                  <c:v>0.55525598934838905</c:v>
                </c:pt>
                <c:pt idx="142">
                  <c:v>0.56263013118233896</c:v>
                </c:pt>
                <c:pt idx="143">
                  <c:v>0.569920961129743</c:v>
                </c:pt>
                <c:pt idx="144">
                  <c:v>0.57731165942022233</c:v>
                </c:pt>
                <c:pt idx="145">
                  <c:v>0.58550534385330477</c:v>
                </c:pt>
                <c:pt idx="146">
                  <c:v>0.59335185860524353</c:v>
                </c:pt>
                <c:pt idx="147">
                  <c:v>0.60085120367603817</c:v>
                </c:pt>
                <c:pt idx="148">
                  <c:v>0.60800337906568891</c:v>
                </c:pt>
                <c:pt idx="149">
                  <c:v>0.61480838477419542</c:v>
                </c:pt>
                <c:pt idx="150">
                  <c:v>0.62126622080155824</c:v>
                </c:pt>
                <c:pt idx="151">
                  <c:v>0.62737688714777717</c:v>
                </c:pt>
                <c:pt idx="152">
                  <c:v>0.6331403838128522</c:v>
                </c:pt>
                <c:pt idx="153">
                  <c:v>0.638556710796783</c:v>
                </c:pt>
                <c:pt idx="154">
                  <c:v>0.64362586809957012</c:v>
                </c:pt>
                <c:pt idx="155">
                  <c:v>0.64834785572121301</c:v>
                </c:pt>
                <c:pt idx="156">
                  <c:v>0.65444790739731884</c:v>
                </c:pt>
                <c:pt idx="157">
                  <c:v>0.66087134642862355</c:v>
                </c:pt>
                <c:pt idx="158">
                  <c:v>0.66695491240408311</c:v>
                </c:pt>
                <c:pt idx="159">
                  <c:v>0.67343514647539027</c:v>
                </c:pt>
                <c:pt idx="160">
                  <c:v>0.6795458128216092</c:v>
                </c:pt>
                <c:pt idx="161">
                  <c:v>0.68528691144273923</c:v>
                </c:pt>
                <c:pt idx="162">
                  <c:v>0.69065844233878038</c:v>
                </c:pt>
                <c:pt idx="163">
                  <c:v>0.69566040550973318</c:v>
                </c:pt>
                <c:pt idx="164">
                  <c:v>0.70029280095559698</c:v>
                </c:pt>
                <c:pt idx="165">
                  <c:v>0.70455562867637189</c:v>
                </c:pt>
                <c:pt idx="166">
                  <c:v>0.70844888867205857</c:v>
                </c:pt>
                <c:pt idx="167">
                  <c:v>0.71197258094265636</c:v>
                </c:pt>
                <c:pt idx="168">
                  <c:v>0.71512670548816526</c:v>
                </c:pt>
                <c:pt idx="169">
                  <c:v>0.71791126230858548</c:v>
                </c:pt>
                <c:pt idx="170">
                  <c:v>0.72224267709198897</c:v>
                </c:pt>
                <c:pt idx="171">
                  <c:v>0.72829441525116256</c:v>
                </c:pt>
                <c:pt idx="172">
                  <c:v>0.7339205905753855</c:v>
                </c:pt>
                <c:pt idx="173">
                  <c:v>0.73978456937852011</c:v>
                </c:pt>
                <c:pt idx="174">
                  <c:v>0.74538648015513631</c:v>
                </c:pt>
                <c:pt idx="175">
                  <c:v>0.75057402711877419</c:v>
                </c:pt>
                <c:pt idx="176">
                  <c:v>0.75534721026943352</c:v>
                </c:pt>
                <c:pt idx="177">
                  <c:v>0.75970602960711475</c:v>
                </c:pt>
                <c:pt idx="178">
                  <c:v>0.76365048513181766</c:v>
                </c:pt>
                <c:pt idx="179">
                  <c:v>0.76718057684354224</c:v>
                </c:pt>
                <c:pt idx="180">
                  <c:v>0.77029630474228861</c:v>
                </c:pt>
                <c:pt idx="181">
                  <c:v>0.77299766882805676</c:v>
                </c:pt>
                <c:pt idx="182">
                  <c:v>0.77528466910084681</c:v>
                </c:pt>
                <c:pt idx="183">
                  <c:v>0.77715730556065821</c:v>
                </c:pt>
                <c:pt idx="184">
                  <c:v>0.77899729320382916</c:v>
                </c:pt>
                <c:pt idx="185">
                  <c:v>0.78164906162086256</c:v>
                </c:pt>
                <c:pt idx="186">
                  <c:v>0.78386406818097265</c:v>
                </c:pt>
                <c:pt idx="187">
                  <c:v>0.78611045815173552</c:v>
                </c:pt>
                <c:pt idx="188">
                  <c:v>0.78827613568649113</c:v>
                </c:pt>
                <c:pt idx="189">
                  <c:v>0.79001625038629619</c:v>
                </c:pt>
                <c:pt idx="190">
                  <c:v>0.79133080225115071</c:v>
                </c:pt>
                <c:pt idx="191">
                  <c:v>0.79221979128105446</c:v>
                </c:pt>
                <c:pt idx="192">
                  <c:v>0.79268321747600723</c:v>
                </c:pt>
                <c:pt idx="193">
                  <c:v>0.79272108083600989</c:v>
                </c:pt>
                <c:pt idx="194">
                  <c:v>0.79233338136106157</c:v>
                </c:pt>
                <c:pt idx="195">
                  <c:v>0.79152011905116226</c:v>
                </c:pt>
                <c:pt idx="196">
                  <c:v>0.79028129390631296</c:v>
                </c:pt>
                <c:pt idx="197">
                  <c:v>0.78861690592651246</c:v>
                </c:pt>
                <c:pt idx="198">
                  <c:v>0.78652695511176174</c:v>
                </c:pt>
                <c:pt idx="199">
                  <c:v>0.78562022389990771</c:v>
                </c:pt>
                <c:pt idx="200">
                  <c:v>0.78426994182209497</c:v>
                </c:pt>
                <c:pt idx="201">
                  <c:v>0.78329237612482694</c:v>
                </c:pt>
                <c:pt idx="202">
                  <c:v>0.78351075705328888</c:v>
                </c:pt>
                <c:pt idx="203">
                  <c:v>0.78331477416877238</c:v>
                </c:pt>
                <c:pt idx="204">
                  <c:v>0.78270442747127777</c:v>
                </c:pt>
                <c:pt idx="205">
                  <c:v>0.78167971696080485</c:v>
                </c:pt>
                <c:pt idx="206">
                  <c:v>0.78024064263735371</c:v>
                </c:pt>
                <c:pt idx="207">
                  <c:v>0.77838720450092425</c:v>
                </c:pt>
                <c:pt idx="208">
                  <c:v>0.77611940255151646</c:v>
                </c:pt>
                <c:pt idx="209">
                  <c:v>0.77343723678913068</c:v>
                </c:pt>
                <c:pt idx="210">
                  <c:v>0.77034070721376646</c:v>
                </c:pt>
                <c:pt idx="211">
                  <c:v>0.76682981382542337</c:v>
                </c:pt>
                <c:pt idx="212">
                  <c:v>0.76290455662410295</c:v>
                </c:pt>
                <c:pt idx="213">
                  <c:v>0.7591782958927028</c:v>
                </c:pt>
                <c:pt idx="214">
                  <c:v>0.75522237470264797</c:v>
                </c:pt>
                <c:pt idx="215">
                  <c:v>0.75123892953052063</c:v>
                </c:pt>
                <c:pt idx="216">
                  <c:v>0.75052619177499236</c:v>
                </c:pt>
                <c:pt idx="217">
                  <c:v>0.74944388629437542</c:v>
                </c:pt>
                <c:pt idx="218">
                  <c:v>0.74799201308867003</c:v>
                </c:pt>
                <c:pt idx="219">
                  <c:v>0.74617057215787574</c:v>
                </c:pt>
                <c:pt idx="220">
                  <c:v>0.7439795635019929</c:v>
                </c:pt>
                <c:pt idx="221">
                  <c:v>0.74141898712102094</c:v>
                </c:pt>
                <c:pt idx="222">
                  <c:v>0.73848884301496032</c:v>
                </c:pt>
                <c:pt idx="223">
                  <c:v>0.73518913118381146</c:v>
                </c:pt>
                <c:pt idx="224">
                  <c:v>0.73151985162757338</c:v>
                </c:pt>
                <c:pt idx="225">
                  <c:v>0.72748100434624663</c:v>
                </c:pt>
                <c:pt idx="226">
                  <c:v>0.72307258933983121</c:v>
                </c:pt>
                <c:pt idx="227">
                  <c:v>0.71871630109000983</c:v>
                </c:pt>
                <c:pt idx="228">
                  <c:v>0.71436948070444273</c:v>
                </c:pt>
                <c:pt idx="229">
                  <c:v>0.70964189357181406</c:v>
                </c:pt>
                <c:pt idx="230">
                  <c:v>0.7066409998129598</c:v>
                </c:pt>
                <c:pt idx="231">
                  <c:v>0.70363406241337401</c:v>
                </c:pt>
                <c:pt idx="232">
                  <c:v>0.70027995533264487</c:v>
                </c:pt>
                <c:pt idx="233">
                  <c:v>0.69657867857077116</c:v>
                </c:pt>
                <c:pt idx="234">
                  <c:v>0.69253023212775355</c:v>
                </c:pt>
                <c:pt idx="235">
                  <c:v>0.68813461600359249</c:v>
                </c:pt>
                <c:pt idx="236">
                  <c:v>0.68339183019828742</c:v>
                </c:pt>
                <c:pt idx="237">
                  <c:v>0.67830187471183778</c:v>
                </c:pt>
                <c:pt idx="238">
                  <c:v>0.6728647495442448</c:v>
                </c:pt>
                <c:pt idx="239">
                  <c:v>0.6670804546955077</c:v>
                </c:pt>
                <c:pt idx="240">
                  <c:v>0.6609489901656268</c:v>
                </c:pt>
                <c:pt idx="241">
                  <c:v>0.65447035595460157</c:v>
                </c:pt>
                <c:pt idx="242">
                  <c:v>0.64764455206243254</c:v>
                </c:pt>
                <c:pt idx="243">
                  <c:v>0.64047157848911951</c:v>
                </c:pt>
                <c:pt idx="244">
                  <c:v>0.63497998998514205</c:v>
                </c:pt>
                <c:pt idx="245">
                  <c:v>0.6304115889505495</c:v>
                </c:pt>
                <c:pt idx="246">
                  <c:v>0.62554081432270259</c:v>
                </c:pt>
                <c:pt idx="247">
                  <c:v>0.62036766610160143</c:v>
                </c:pt>
                <c:pt idx="248">
                  <c:v>0.61489214428724559</c:v>
                </c:pt>
                <c:pt idx="249">
                  <c:v>0.60911424887963539</c:v>
                </c:pt>
                <c:pt idx="250">
                  <c:v>0.60303397987877094</c:v>
                </c:pt>
                <c:pt idx="251">
                  <c:v>0.59665133728465203</c:v>
                </c:pt>
                <c:pt idx="252">
                  <c:v>0.58996632109727842</c:v>
                </c:pt>
                <c:pt idx="253">
                  <c:v>0.58297893131665057</c:v>
                </c:pt>
                <c:pt idx="254">
                  <c:v>0.57568916794276837</c:v>
                </c:pt>
                <c:pt idx="255">
                  <c:v>0.56809703097563202</c:v>
                </c:pt>
                <c:pt idx="256">
                  <c:v>0.56020252041524099</c:v>
                </c:pt>
                <c:pt idx="257">
                  <c:v>0.55200563626159538</c:v>
                </c:pt>
                <c:pt idx="258">
                  <c:v>0.54413122958166749</c:v>
                </c:pt>
                <c:pt idx="259">
                  <c:v>0.53697372132441157</c:v>
                </c:pt>
                <c:pt idx="260">
                  <c:v>0.52953623751784595</c:v>
                </c:pt>
                <c:pt idx="261">
                  <c:v>0.52181877816197086</c:v>
                </c:pt>
                <c:pt idx="262">
                  <c:v>0.51382134325678597</c:v>
                </c:pt>
                <c:pt idx="263">
                  <c:v>0.50554393280229137</c:v>
                </c:pt>
                <c:pt idx="264">
                  <c:v>0.49698654679848719</c:v>
                </c:pt>
                <c:pt idx="265">
                  <c:v>0.48814918524537343</c:v>
                </c:pt>
                <c:pt idx="266">
                  <c:v>0.47903184814295013</c:v>
                </c:pt>
                <c:pt idx="267">
                  <c:v>0.46963453549121698</c:v>
                </c:pt>
                <c:pt idx="268">
                  <c:v>0.45995724729017434</c:v>
                </c:pt>
                <c:pt idx="269">
                  <c:v>0.44999998353982196</c:v>
                </c:pt>
                <c:pt idx="270">
                  <c:v>0.43976274424015988</c:v>
                </c:pt>
                <c:pt idx="271">
                  <c:v>0.42924552939118826</c:v>
                </c:pt>
                <c:pt idx="272">
                  <c:v>0.41892172797107946</c:v>
                </c:pt>
                <c:pt idx="273">
                  <c:v>0.41112214245407347</c:v>
                </c:pt>
                <c:pt idx="274">
                  <c:v>0.40308737747564732</c:v>
                </c:pt>
                <c:pt idx="275">
                  <c:v>0.3948174330358008</c:v>
                </c:pt>
                <c:pt idx="276">
                  <c:v>0.38631230913453452</c:v>
                </c:pt>
                <c:pt idx="277">
                  <c:v>0.37757200577184807</c:v>
                </c:pt>
                <c:pt idx="278">
                  <c:v>0.36859652294774153</c:v>
                </c:pt>
                <c:pt idx="279">
                  <c:v>0.35938586066221473</c:v>
                </c:pt>
                <c:pt idx="280">
                  <c:v>0.34994001891526799</c:v>
                </c:pt>
                <c:pt idx="281">
                  <c:v>0.34025899770690116</c:v>
                </c:pt>
                <c:pt idx="282">
                  <c:v>0.33034279703711411</c:v>
                </c:pt>
                <c:pt idx="283">
                  <c:v>0.32019141690590708</c:v>
                </c:pt>
                <c:pt idx="284">
                  <c:v>0.30980485731328</c:v>
                </c:pt>
                <c:pt idx="285">
                  <c:v>0.29918311825923277</c:v>
                </c:pt>
                <c:pt idx="286">
                  <c:v>0.28832619974376533</c:v>
                </c:pt>
                <c:pt idx="287">
                  <c:v>0.2824255292293219</c:v>
                </c:pt>
                <c:pt idx="288">
                  <c:v>0.27689374566172381</c:v>
                </c:pt>
                <c:pt idx="289">
                  <c:v>0.27120517578651226</c:v>
                </c:pt>
                <c:pt idx="290">
                  <c:v>0.26535981960368749</c:v>
                </c:pt>
                <c:pt idx="291">
                  <c:v>0.25935767711324925</c:v>
                </c:pt>
                <c:pt idx="292">
                  <c:v>0.25319874831519756</c:v>
                </c:pt>
                <c:pt idx="293">
                  <c:v>0.24688303320953253</c:v>
                </c:pt>
                <c:pt idx="294">
                  <c:v>0.24041053179625413</c:v>
                </c:pt>
                <c:pt idx="295">
                  <c:v>0.23378124407536227</c:v>
                </c:pt>
                <c:pt idx="296">
                  <c:v>0.22699517004685704</c:v>
                </c:pt>
                <c:pt idx="297">
                  <c:v>0.22005230971073836</c:v>
                </c:pt>
                <c:pt idx="298">
                  <c:v>0.21295266306700639</c:v>
                </c:pt>
                <c:pt idx="299">
                  <c:v>0.20569623011566088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E5-4A37-AA20-5F3068EC4D8C}"/>
            </c:ext>
          </c:extLst>
        </c:ser>
        <c:ser>
          <c:idx val="1"/>
          <c:order val="1"/>
          <c:tx>
            <c:v>Epanecznikow - mała szerokość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d.'!$Y$6:$Y$305</c:f>
              <c:numCache>
                <c:formatCode>General</c:formatCode>
                <c:ptCount val="300"/>
                <c:pt idx="0">
                  <c:v>0.13416407864998736</c:v>
                </c:pt>
                <c:pt idx="1">
                  <c:v>0.13363463169807729</c:v>
                </c:pt>
                <c:pt idx="2">
                  <c:v>0.13204629084234704</c:v>
                </c:pt>
                <c:pt idx="3">
                  <c:v>0.12939905608279662</c:v>
                </c:pt>
                <c:pt idx="4">
                  <c:v>0.12569292741942603</c:v>
                </c:pt>
                <c:pt idx="5">
                  <c:v>0.12092790485223527</c:v>
                </c:pt>
                <c:pt idx="6">
                  <c:v>0.11510398838122435</c:v>
                </c:pt>
                <c:pt idx="7">
                  <c:v>0.10822117800639328</c:v>
                </c:pt>
                <c:pt idx="8">
                  <c:v>0.10027947372774203</c:v>
                </c:pt>
                <c:pt idx="9">
                  <c:v>9.1278875545270588E-2</c:v>
                </c:pt>
                <c:pt idx="10">
                  <c:v>8.1219383458979E-2</c:v>
                </c:pt>
                <c:pt idx="11">
                  <c:v>7.0100997468867249E-2</c:v>
                </c:pt>
                <c:pt idx="12">
                  <c:v>5.7923717574935328E-2</c:v>
                </c:pt>
                <c:pt idx="13">
                  <c:v>4.4687543777183238E-2</c:v>
                </c:pt>
                <c:pt idx="14">
                  <c:v>3.0392476075610974E-2</c:v>
                </c:pt>
                <c:pt idx="15">
                  <c:v>1.5038514470218567E-2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6.84619329537124E-3</c:v>
                </c:pt>
                <c:pt idx="28">
                  <c:v>3.9066822083044066E-2</c:v>
                </c:pt>
                <c:pt idx="29">
                  <c:v>6.9169663063076536E-2</c:v>
                </c:pt>
                <c:pt idx="30">
                  <c:v>9.7154716235468702E-2</c:v>
                </c:pt>
                <c:pt idx="31">
                  <c:v>0.12302198160022051</c:v>
                </c:pt>
                <c:pt idx="32">
                  <c:v>0.14677145915733197</c:v>
                </c:pt>
                <c:pt idx="33">
                  <c:v>0.16840314890680311</c:v>
                </c:pt>
                <c:pt idx="34">
                  <c:v>0.18791705084863392</c:v>
                </c:pt>
                <c:pt idx="35">
                  <c:v>0.2053131649828244</c:v>
                </c:pt>
                <c:pt idx="36">
                  <c:v>0.22059149130937455</c:v>
                </c:pt>
                <c:pt idx="37">
                  <c:v>0.23375202982828433</c:v>
                </c:pt>
                <c:pt idx="38">
                  <c:v>0.24479478053955381</c:v>
                </c:pt>
                <c:pt idx="39">
                  <c:v>0.25371974344318293</c:v>
                </c:pt>
                <c:pt idx="40">
                  <c:v>0.2605269185391717</c:v>
                </c:pt>
                <c:pt idx="41">
                  <c:v>0.26521630582752015</c:v>
                </c:pt>
                <c:pt idx="42">
                  <c:v>0.26778790530822832</c:v>
                </c:pt>
                <c:pt idx="43">
                  <c:v>0.26824171698129606</c:v>
                </c:pt>
                <c:pt idx="44">
                  <c:v>0.26657774084672359</c:v>
                </c:pt>
                <c:pt idx="45">
                  <c:v>0.26279597690451073</c:v>
                </c:pt>
                <c:pt idx="46">
                  <c:v>0.25689642515465749</c:v>
                </c:pt>
                <c:pt idx="47">
                  <c:v>0.24887908559716393</c:v>
                </c:pt>
                <c:pt idx="48">
                  <c:v>0.23874395823203007</c:v>
                </c:pt>
                <c:pt idx="49">
                  <c:v>0.22649104305925583</c:v>
                </c:pt>
                <c:pt idx="50">
                  <c:v>0.21212034007884131</c:v>
                </c:pt>
                <c:pt idx="51">
                  <c:v>0.19563184929078645</c:v>
                </c:pt>
                <c:pt idx="52">
                  <c:v>0.1770255706950912</c:v>
                </c:pt>
                <c:pt idx="53">
                  <c:v>0.15630150429175566</c:v>
                </c:pt>
                <c:pt idx="54">
                  <c:v>0.13345965008077976</c:v>
                </c:pt>
                <c:pt idx="55">
                  <c:v>0.10850000806216356</c:v>
                </c:pt>
                <c:pt idx="56">
                  <c:v>0.10541036694933512</c:v>
                </c:pt>
                <c:pt idx="57">
                  <c:v>0.10732646068006274</c:v>
                </c:pt>
                <c:pt idx="58">
                  <c:v>0.10500697879550974</c:v>
                </c:pt>
                <c:pt idx="59">
                  <c:v>0.11096835938438074</c:v>
                </c:pt>
                <c:pt idx="60">
                  <c:v>0.13572630732608426</c:v>
                </c:pt>
                <c:pt idx="61">
                  <c:v>0.15836646746014746</c:v>
                </c:pt>
                <c:pt idx="62">
                  <c:v>0.17888883978657033</c:v>
                </c:pt>
                <c:pt idx="63">
                  <c:v>0.19729342430535288</c:v>
                </c:pt>
                <c:pt idx="64">
                  <c:v>0.21358022101649507</c:v>
                </c:pt>
                <c:pt idx="65">
                  <c:v>0.22774922991999694</c:v>
                </c:pt>
                <c:pt idx="66">
                  <c:v>0.23980045101585848</c:v>
                </c:pt>
                <c:pt idx="67">
                  <c:v>0.24973388430407967</c:v>
                </c:pt>
                <c:pt idx="68">
                  <c:v>0.2575495297846605</c:v>
                </c:pt>
                <c:pt idx="69">
                  <c:v>0.26324738745760107</c:v>
                </c:pt>
                <c:pt idx="70">
                  <c:v>0.27496155133858685</c:v>
                </c:pt>
                <c:pt idx="71">
                  <c:v>0.29223160667470705</c:v>
                </c:pt>
                <c:pt idx="72">
                  <c:v>0.30632498029936667</c:v>
                </c:pt>
                <c:pt idx="73">
                  <c:v>0.31724167221256583</c:v>
                </c:pt>
                <c:pt idx="74">
                  <c:v>0.32498168241430453</c:v>
                </c:pt>
                <c:pt idx="75">
                  <c:v>0.3295450109045826</c:v>
                </c:pt>
                <c:pt idx="76">
                  <c:v>0.33093165768340022</c:v>
                </c:pt>
                <c:pt idx="77">
                  <c:v>0.32914162275075737</c:v>
                </c:pt>
                <c:pt idx="78">
                  <c:v>0.32417490610665406</c:v>
                </c:pt>
                <c:pt idx="79">
                  <c:v>0.31603150775109012</c:v>
                </c:pt>
                <c:pt idx="80">
                  <c:v>0.30471142768406578</c:v>
                </c:pt>
                <c:pt idx="81">
                  <c:v>0.29021466590558087</c:v>
                </c:pt>
                <c:pt idx="82">
                  <c:v>0.2725412224156355</c:v>
                </c:pt>
                <c:pt idx="83">
                  <c:v>0.25169109721422961</c:v>
                </c:pt>
                <c:pt idx="84">
                  <c:v>0.23187855597693752</c:v>
                </c:pt>
                <c:pt idx="85">
                  <c:v>0.22073495822721897</c:v>
                </c:pt>
                <c:pt idx="86">
                  <c:v>0.20535578486221973</c:v>
                </c:pt>
                <c:pt idx="87">
                  <c:v>0.1857410358819398</c:v>
                </c:pt>
                <c:pt idx="88">
                  <c:v>0.19276371149457172</c:v>
                </c:pt>
                <c:pt idx="89">
                  <c:v>0.20133570976359658</c:v>
                </c:pt>
                <c:pt idx="90">
                  <c:v>0.20778992022498119</c:v>
                </c:pt>
                <c:pt idx="91">
                  <c:v>0.21212634287872545</c:v>
                </c:pt>
                <c:pt idx="92">
                  <c:v>0.21434497772482936</c:v>
                </c:pt>
                <c:pt idx="93">
                  <c:v>0.21444582476329294</c:v>
                </c:pt>
                <c:pt idx="94">
                  <c:v>0.21242888399411616</c:v>
                </c:pt>
                <c:pt idx="95">
                  <c:v>0.20829415541729904</c:v>
                </c:pt>
                <c:pt idx="96">
                  <c:v>0.20204163903284167</c:v>
                </c:pt>
                <c:pt idx="97">
                  <c:v>0.19367133484074386</c:v>
                </c:pt>
                <c:pt idx="98">
                  <c:v>0.18341765217738679</c:v>
                </c:pt>
                <c:pt idx="99">
                  <c:v>0.18712378084076461</c:v>
                </c:pt>
                <c:pt idx="100">
                  <c:v>0.18765322779268193</c:v>
                </c:pt>
                <c:pt idx="101">
                  <c:v>0.18500599303313872</c:v>
                </c:pt>
                <c:pt idx="102">
                  <c:v>0.19041061393052325</c:v>
                </c:pt>
                <c:pt idx="103">
                  <c:v>0.19948684739184408</c:v>
                </c:pt>
                <c:pt idx="104">
                  <c:v>0.20644529304552464</c:v>
                </c:pt>
                <c:pt idx="105">
                  <c:v>0.21128595089156482</c:v>
                </c:pt>
                <c:pt idx="106">
                  <c:v>0.21400882092996473</c:v>
                </c:pt>
                <c:pt idx="107">
                  <c:v>0.21461390316072423</c:v>
                </c:pt>
                <c:pt idx="108">
                  <c:v>0.21310119758384344</c:v>
                </c:pt>
                <c:pt idx="109">
                  <c:v>0.20947070419932232</c:v>
                </c:pt>
                <c:pt idx="110">
                  <c:v>0.20372242300716084</c:v>
                </c:pt>
                <c:pt idx="111">
                  <c:v>0.19585635400735907</c:v>
                </c:pt>
                <c:pt idx="112">
                  <c:v>0.18587249719991686</c:v>
                </c:pt>
                <c:pt idx="113">
                  <c:v>0.21204680577985871</c:v>
                </c:pt>
                <c:pt idx="114">
                  <c:v>0.24434306984638821</c:v>
                </c:pt>
                <c:pt idx="115">
                  <c:v>0.27134486439381683</c:v>
                </c:pt>
                <c:pt idx="116">
                  <c:v>0.30013279205390764</c:v>
                </c:pt>
                <c:pt idx="117">
                  <c:v>0.33437036161077166</c:v>
                </c:pt>
                <c:pt idx="118">
                  <c:v>0.36437235555235509</c:v>
                </c:pt>
                <c:pt idx="119">
                  <c:v>0.39013877387865775</c:v>
                </c:pt>
                <c:pt idx="120">
                  <c:v>0.41166961658967977</c:v>
                </c:pt>
                <c:pt idx="121">
                  <c:v>0.42896488368542113</c:v>
                </c:pt>
                <c:pt idx="122">
                  <c:v>0.44202457516588189</c:v>
                </c:pt>
                <c:pt idx="123">
                  <c:v>0.45084869103106179</c:v>
                </c:pt>
                <c:pt idx="124">
                  <c:v>0.45543723128096114</c:v>
                </c:pt>
                <c:pt idx="125">
                  <c:v>0.45579019591557995</c:v>
                </c:pt>
                <c:pt idx="126">
                  <c:v>0.45190758493491789</c:v>
                </c:pt>
                <c:pt idx="127">
                  <c:v>0.48834367995795491</c:v>
                </c:pt>
                <c:pt idx="128">
                  <c:v>0.55477666654289204</c:v>
                </c:pt>
                <c:pt idx="129">
                  <c:v>0.61167960799344789</c:v>
                </c:pt>
                <c:pt idx="130">
                  <c:v>0.66204520020384405</c:v>
                </c:pt>
                <c:pt idx="131">
                  <c:v>0.71746064783712593</c:v>
                </c:pt>
                <c:pt idx="132">
                  <c:v>0.76440494423984651</c:v>
                </c:pt>
                <c:pt idx="133">
                  <c:v>0.80287808941200545</c:v>
                </c:pt>
                <c:pt idx="134">
                  <c:v>0.83288008335360342</c:v>
                </c:pt>
                <c:pt idx="135">
                  <c:v>0.85441092606463986</c:v>
                </c:pt>
                <c:pt idx="136">
                  <c:v>0.8674706175451149</c:v>
                </c:pt>
                <c:pt idx="137">
                  <c:v>0.87205915779502885</c:v>
                </c:pt>
                <c:pt idx="138">
                  <c:v>0.86817654681438128</c:v>
                </c:pt>
                <c:pt idx="139">
                  <c:v>0.85582278460317252</c:v>
                </c:pt>
                <c:pt idx="140">
                  <c:v>0.83499787116140223</c:v>
                </c:pt>
                <c:pt idx="141">
                  <c:v>0.82071090723957629</c:v>
                </c:pt>
                <c:pt idx="142">
                  <c:v>0.83097209340282363</c:v>
                </c:pt>
                <c:pt idx="143">
                  <c:v>0.82958544662404854</c:v>
                </c:pt>
                <c:pt idx="144">
                  <c:v>0.81655096690325035</c:v>
                </c:pt>
                <c:pt idx="145">
                  <c:v>0.84072454227374993</c:v>
                </c:pt>
                <c:pt idx="146">
                  <c:v>0.85953251494639293</c:v>
                </c:pt>
                <c:pt idx="147">
                  <c:v>0.8698693363884733</c:v>
                </c:pt>
                <c:pt idx="148">
                  <c:v>0.87173500659999181</c:v>
                </c:pt>
                <c:pt idx="149">
                  <c:v>0.86512952558094747</c:v>
                </c:pt>
                <c:pt idx="150">
                  <c:v>0.85005289333134093</c:v>
                </c:pt>
                <c:pt idx="151">
                  <c:v>0.82650510985117176</c:v>
                </c:pt>
                <c:pt idx="152">
                  <c:v>0.79448617514044051</c:v>
                </c:pt>
                <c:pt idx="153">
                  <c:v>0.75399608919914674</c:v>
                </c:pt>
                <c:pt idx="154">
                  <c:v>0.70503485202729044</c:v>
                </c:pt>
                <c:pt idx="155">
                  <c:v>0.65174319500141797</c:v>
                </c:pt>
                <c:pt idx="156">
                  <c:v>0.65088599517455004</c:v>
                </c:pt>
                <c:pt idx="157">
                  <c:v>0.63732206850183837</c:v>
                </c:pt>
                <c:pt idx="158">
                  <c:v>0.61105141498328319</c:v>
                </c:pt>
                <c:pt idx="159">
                  <c:v>0.63240067299687563</c:v>
                </c:pt>
                <c:pt idx="160">
                  <c:v>0.67135284160171083</c:v>
                </c:pt>
                <c:pt idx="161">
                  <c:v>0.70289275287980413</c:v>
                </c:pt>
                <c:pt idx="162">
                  <c:v>0.72702040683115532</c:v>
                </c:pt>
                <c:pt idx="163">
                  <c:v>0.74373580345576429</c:v>
                </c:pt>
                <c:pt idx="164">
                  <c:v>0.75303894275363126</c:v>
                </c:pt>
                <c:pt idx="165">
                  <c:v>0.75492982472475612</c:v>
                </c:pt>
                <c:pt idx="166">
                  <c:v>0.74940844936913864</c:v>
                </c:pt>
                <c:pt idx="167">
                  <c:v>0.73647481668677917</c:v>
                </c:pt>
                <c:pt idx="168">
                  <c:v>0.7161289266776778</c:v>
                </c:pt>
                <c:pt idx="169">
                  <c:v>0.68837077934183422</c:v>
                </c:pt>
                <c:pt idx="170">
                  <c:v>0.68024238798598291</c:v>
                </c:pt>
                <c:pt idx="171">
                  <c:v>0.66856934328436501</c:v>
                </c:pt>
                <c:pt idx="172">
                  <c:v>0.6473662534483644</c:v>
                </c:pt>
                <c:pt idx="173">
                  <c:v>0.64034928049550033</c:v>
                </c:pt>
                <c:pt idx="174">
                  <c:v>0.6537115130913399</c:v>
                </c:pt>
                <c:pt idx="175">
                  <c:v>0.66072038226425767</c:v>
                </c:pt>
                <c:pt idx="176">
                  <c:v>0.66137588801425351</c:v>
                </c:pt>
                <c:pt idx="177">
                  <c:v>0.65567803034132788</c:v>
                </c:pt>
                <c:pt idx="178">
                  <c:v>0.6436268092454801</c:v>
                </c:pt>
                <c:pt idx="179">
                  <c:v>0.62522222472671063</c:v>
                </c:pt>
                <c:pt idx="180">
                  <c:v>0.60046427678501946</c:v>
                </c:pt>
                <c:pt idx="181">
                  <c:v>0.56935296542040648</c:v>
                </c:pt>
                <c:pt idx="182">
                  <c:v>0.53188829063287169</c:v>
                </c:pt>
                <c:pt idx="183">
                  <c:v>0.48807025242241492</c:v>
                </c:pt>
                <c:pt idx="184">
                  <c:v>0.47663972083697698</c:v>
                </c:pt>
                <c:pt idx="185">
                  <c:v>0.4829426607406852</c:v>
                </c:pt>
                <c:pt idx="186">
                  <c:v>0.47865666160619058</c:v>
                </c:pt>
                <c:pt idx="187">
                  <c:v>0.47900362344080533</c:v>
                </c:pt>
                <c:pt idx="188">
                  <c:v>0.52403182611278998</c:v>
                </c:pt>
                <c:pt idx="189">
                  <c:v>0.5627066653618531</c:v>
                </c:pt>
                <c:pt idx="190">
                  <c:v>0.59502814118799419</c:v>
                </c:pt>
                <c:pt idx="191">
                  <c:v>0.62099625359121369</c:v>
                </c:pt>
                <c:pt idx="192">
                  <c:v>0.64061100257151116</c:v>
                </c:pt>
                <c:pt idx="193">
                  <c:v>0.65387238812888682</c:v>
                </c:pt>
                <c:pt idx="194">
                  <c:v>0.66078041026334078</c:v>
                </c:pt>
                <c:pt idx="195">
                  <c:v>0.66133506897487293</c:v>
                </c:pt>
                <c:pt idx="196">
                  <c:v>0.65553636426348327</c:v>
                </c:pt>
                <c:pt idx="197">
                  <c:v>0.64338429612917192</c:v>
                </c:pt>
                <c:pt idx="198">
                  <c:v>0.66540466717259628</c:v>
                </c:pt>
                <c:pt idx="199">
                  <c:v>0.75225917904548545</c:v>
                </c:pt>
                <c:pt idx="200">
                  <c:v>0.8253480701687107</c:v>
                </c:pt>
                <c:pt idx="201">
                  <c:v>0.88467134054227237</c:v>
                </c:pt>
                <c:pt idx="202">
                  <c:v>0.96450197624245415</c:v>
                </c:pt>
                <c:pt idx="203">
                  <c:v>1.0331535976734769</c:v>
                </c:pt>
                <c:pt idx="204">
                  <c:v>1.0901573861624763</c:v>
                </c:pt>
                <c:pt idx="205">
                  <c:v>1.1355133417094525</c:v>
                </c:pt>
                <c:pt idx="206">
                  <c:v>1.1692214643144057</c:v>
                </c:pt>
                <c:pt idx="207">
                  <c:v>1.191281753977335</c:v>
                </c:pt>
                <c:pt idx="208">
                  <c:v>1.2016942106982416</c:v>
                </c:pt>
                <c:pt idx="209">
                  <c:v>1.2004588344771245</c:v>
                </c:pt>
                <c:pt idx="210">
                  <c:v>1.187575625313984</c:v>
                </c:pt>
                <c:pt idx="211">
                  <c:v>1.1630445832088203</c:v>
                </c:pt>
                <c:pt idx="212">
                  <c:v>1.1323663738575662</c:v>
                </c:pt>
                <c:pt idx="213">
                  <c:v>1.1331731501652447</c:v>
                </c:pt>
                <c:pt idx="214">
                  <c:v>1.1191554118194385</c:v>
                </c:pt>
                <c:pt idx="215">
                  <c:v>1.0903131588201482</c:v>
                </c:pt>
                <c:pt idx="216">
                  <c:v>1.0982644675786348</c:v>
                </c:pt>
                <c:pt idx="217">
                  <c:v>1.112483900001366</c:v>
                </c:pt>
                <c:pt idx="218">
                  <c:v>1.1161143933858941</c:v>
                </c:pt>
                <c:pt idx="219">
                  <c:v>1.1091559477322201</c:v>
                </c:pt>
                <c:pt idx="220">
                  <c:v>1.091608563040342</c:v>
                </c:pt>
                <c:pt idx="221">
                  <c:v>1.0634722393102618</c:v>
                </c:pt>
                <c:pt idx="222">
                  <c:v>1.0247469765419779</c:v>
                </c:pt>
                <c:pt idx="223">
                  <c:v>0.97543277473549139</c:v>
                </c:pt>
                <c:pt idx="224">
                  <c:v>0.91552963389080178</c:v>
                </c:pt>
                <c:pt idx="225">
                  <c:v>0.84503755400790892</c:v>
                </c:pt>
                <c:pt idx="226">
                  <c:v>0.76395653508681305</c:v>
                </c:pt>
                <c:pt idx="227">
                  <c:v>0.74369138273647084</c:v>
                </c:pt>
                <c:pt idx="228">
                  <c:v>0.71845441136208421</c:v>
                </c:pt>
                <c:pt idx="229">
                  <c:v>0.67733403143039328</c:v>
                </c:pt>
                <c:pt idx="230">
                  <c:v>0.68145825510740787</c:v>
                </c:pt>
                <c:pt idx="231">
                  <c:v>0.73404998566381108</c:v>
                </c:pt>
                <c:pt idx="232">
                  <c:v>0.77817056498965165</c:v>
                </c:pt>
                <c:pt idx="233">
                  <c:v>0.81381999308493014</c:v>
                </c:pt>
                <c:pt idx="234">
                  <c:v>0.84099826994964633</c:v>
                </c:pt>
                <c:pt idx="235">
                  <c:v>0.85970539558379988</c:v>
                </c:pt>
                <c:pt idx="236">
                  <c:v>0.86994136998739091</c:v>
                </c:pt>
                <c:pt idx="237">
                  <c:v>0.87170619316041975</c:v>
                </c:pt>
                <c:pt idx="238">
                  <c:v>0.86499986510288629</c:v>
                </c:pt>
                <c:pt idx="239">
                  <c:v>0.84982238581479019</c:v>
                </c:pt>
                <c:pt idx="240">
                  <c:v>0.8261737552961318</c:v>
                </c:pt>
                <c:pt idx="241">
                  <c:v>0.81496832870736757</c:v>
                </c:pt>
                <c:pt idx="242">
                  <c:v>0.80569040116912438</c:v>
                </c:pt>
                <c:pt idx="243">
                  <c:v>0.7858235345926784</c:v>
                </c:pt>
                <c:pt idx="244">
                  <c:v>0.76922969466626823</c:v>
                </c:pt>
                <c:pt idx="245">
                  <c:v>0.78120528048327642</c:v>
                </c:pt>
                <c:pt idx="246">
                  <c:v>0.78576860897354228</c:v>
                </c:pt>
                <c:pt idx="247">
                  <c:v>0.78291968013706648</c:v>
                </c:pt>
                <c:pt idx="248">
                  <c:v>0.77265849397384823</c:v>
                </c:pt>
                <c:pt idx="249">
                  <c:v>0.75498505048388798</c:v>
                </c:pt>
                <c:pt idx="250">
                  <c:v>0.72989934966718573</c:v>
                </c:pt>
                <c:pt idx="251">
                  <c:v>0.69740139152374114</c:v>
                </c:pt>
                <c:pt idx="252">
                  <c:v>0.65749117605355456</c:v>
                </c:pt>
                <c:pt idx="253">
                  <c:v>0.61016870325662598</c:v>
                </c:pt>
                <c:pt idx="254">
                  <c:v>0.55543397313295517</c:v>
                </c:pt>
                <c:pt idx="255">
                  <c:v>0.50643371776170365</c:v>
                </c:pt>
                <c:pt idx="256">
                  <c:v>0.46869171361838313</c:v>
                </c:pt>
                <c:pt idx="257">
                  <c:v>0.42141966434068018</c:v>
                </c:pt>
                <c:pt idx="258">
                  <c:v>0.36746139638526143</c:v>
                </c:pt>
                <c:pt idx="259">
                  <c:v>0.38823588630782407</c:v>
                </c:pt>
                <c:pt idx="260">
                  <c:v>0.40477480061510557</c:v>
                </c:pt>
                <c:pt idx="261">
                  <c:v>0.4170781393071058</c:v>
                </c:pt>
                <c:pt idx="262">
                  <c:v>0.42514590238382488</c:v>
                </c:pt>
                <c:pt idx="263">
                  <c:v>0.42897808984526281</c:v>
                </c:pt>
                <c:pt idx="264">
                  <c:v>0.42857470169141948</c:v>
                </c:pt>
                <c:pt idx="265">
                  <c:v>0.423935737922295</c:v>
                </c:pt>
                <c:pt idx="266">
                  <c:v>0.41506119853788914</c:v>
                </c:pt>
                <c:pt idx="267">
                  <c:v>0.40195108353820219</c:v>
                </c:pt>
                <c:pt idx="268">
                  <c:v>0.38460539292323409</c:v>
                </c:pt>
                <c:pt idx="269">
                  <c:v>0.36565365319283744</c:v>
                </c:pt>
                <c:pt idx="270">
                  <c:v>0.3559975492603713</c:v>
                </c:pt>
                <c:pt idx="271">
                  <c:v>0.34104697580880344</c:v>
                </c:pt>
                <c:pt idx="272">
                  <c:v>0.32080193283813424</c:v>
                </c:pt>
                <c:pt idx="273">
                  <c:v>0.32275464364835899</c:v>
                </c:pt>
                <c:pt idx="274">
                  <c:v>0.32837686604244581</c:v>
                </c:pt>
                <c:pt idx="275">
                  <c:v>0.33082240672507174</c:v>
                </c:pt>
                <c:pt idx="276">
                  <c:v>0.33009126569623665</c:v>
                </c:pt>
                <c:pt idx="277">
                  <c:v>0.32618344295594071</c:v>
                </c:pt>
                <c:pt idx="278">
                  <c:v>0.3190989385041838</c:v>
                </c:pt>
                <c:pt idx="279">
                  <c:v>0.30883775234096611</c:v>
                </c:pt>
                <c:pt idx="280">
                  <c:v>0.29539988446628751</c:v>
                </c:pt>
                <c:pt idx="281">
                  <c:v>0.27878533488014789</c:v>
                </c:pt>
                <c:pt idx="282">
                  <c:v>0.25899410358254749</c:v>
                </c:pt>
                <c:pt idx="283">
                  <c:v>0.23602619057348617</c:v>
                </c:pt>
                <c:pt idx="284">
                  <c:v>0.22492011032321757</c:v>
                </c:pt>
                <c:pt idx="285">
                  <c:v>0.21095279549662546</c:v>
                </c:pt>
                <c:pt idx="286">
                  <c:v>0.19274990505475209</c:v>
                </c:pt>
                <c:pt idx="287">
                  <c:v>0.18943575922546982</c:v>
                </c:pt>
                <c:pt idx="288">
                  <c:v>0.19871368676369883</c:v>
                </c:pt>
                <c:pt idx="289">
                  <c:v>0.2058738264942872</c:v>
                </c:pt>
                <c:pt idx="290">
                  <c:v>0.21091617841723498</c:v>
                </c:pt>
                <c:pt idx="291">
                  <c:v>0.21384074253254218</c:v>
                </c:pt>
                <c:pt idx="292">
                  <c:v>0.21464751884020875</c:v>
                </c:pt>
                <c:pt idx="293">
                  <c:v>0.21333650734023471</c:v>
                </c:pt>
                <c:pt idx="294">
                  <c:v>0.2099077080326201</c:v>
                </c:pt>
                <c:pt idx="295">
                  <c:v>0.20436112091736489</c:v>
                </c:pt>
                <c:pt idx="296">
                  <c:v>0.19669674599446907</c:v>
                </c:pt>
                <c:pt idx="297">
                  <c:v>0.18691458326393259</c:v>
                </c:pt>
                <c:pt idx="298">
                  <c:v>0.17501463272575557</c:v>
                </c:pt>
                <c:pt idx="299">
                  <c:v>0.16099689437993794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E5-4A37-AA20-5F3068EC4D8C}"/>
            </c:ext>
          </c:extLst>
        </c:ser>
        <c:ser>
          <c:idx val="2"/>
          <c:order val="2"/>
          <c:tx>
            <c:v>Epanecznikow - duża szerokość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d.'!$Z$6:$Z$305</c:f>
              <c:numCache>
                <c:formatCode>General</c:formatCode>
                <c:ptCount val="300"/>
                <c:pt idx="0">
                  <c:v>9.7172336799990849E-2</c:v>
                </c:pt>
                <c:pt idx="1">
                  <c:v>9.9518379221427478E-2</c:v>
                </c:pt>
                <c:pt idx="2">
                  <c:v>0.10184118117309576</c:v>
                </c:pt>
                <c:pt idx="3">
                  <c:v>0.10414074265499569</c:v>
                </c:pt>
                <c:pt idx="4">
                  <c:v>0.1064170636671273</c:v>
                </c:pt>
                <c:pt idx="5">
                  <c:v>0.10867014420949055</c:v>
                </c:pt>
                <c:pt idx="6">
                  <c:v>0.11089998428208546</c:v>
                </c:pt>
                <c:pt idx="7">
                  <c:v>0.11310658388491203</c:v>
                </c:pt>
                <c:pt idx="8">
                  <c:v>0.11528994301797021</c:v>
                </c:pt>
                <c:pt idx="9">
                  <c:v>0.11745006168126008</c:v>
                </c:pt>
                <c:pt idx="10">
                  <c:v>0.11958693987478161</c:v>
                </c:pt>
                <c:pt idx="11">
                  <c:v>0.12170057759853481</c:v>
                </c:pt>
                <c:pt idx="12">
                  <c:v>0.12379097485251962</c:v>
                </c:pt>
                <c:pt idx="13">
                  <c:v>0.12585813163673615</c:v>
                </c:pt>
                <c:pt idx="14">
                  <c:v>0.12830631676270243</c:v>
                </c:pt>
                <c:pt idx="15">
                  <c:v>0.13094628887545029</c:v>
                </c:pt>
                <c:pt idx="16">
                  <c:v>0.13355866293034827</c:v>
                </c:pt>
                <c:pt idx="17">
                  <c:v>0.1361434389273963</c:v>
                </c:pt>
                <c:pt idx="18">
                  <c:v>0.13870061686659452</c:v>
                </c:pt>
                <c:pt idx="19">
                  <c:v>0.14123019674794274</c:v>
                </c:pt>
                <c:pt idx="20">
                  <c:v>0.14373217857144102</c:v>
                </c:pt>
                <c:pt idx="21">
                  <c:v>0.14620656233708951</c:v>
                </c:pt>
                <c:pt idx="22">
                  <c:v>0.148653348044888</c:v>
                </c:pt>
                <c:pt idx="23">
                  <c:v>0.15107253569483661</c:v>
                </c:pt>
                <c:pt idx="24">
                  <c:v>0.15346412528693532</c:v>
                </c:pt>
                <c:pt idx="25">
                  <c:v>0.15582811682118414</c:v>
                </c:pt>
                <c:pt idx="26">
                  <c:v>0.15816451029758297</c:v>
                </c:pt>
                <c:pt idx="27">
                  <c:v>0.16047330571613203</c:v>
                </c:pt>
                <c:pt idx="28">
                  <c:v>0.16309606980247557</c:v>
                </c:pt>
                <c:pt idx="29">
                  <c:v>0.16617678082404466</c:v>
                </c:pt>
                <c:pt idx="30">
                  <c:v>0.16922408367032166</c:v>
                </c:pt>
                <c:pt idx="31">
                  <c:v>0.17223797834130661</c:v>
                </c:pt>
                <c:pt idx="32">
                  <c:v>0.1752184648369996</c:v>
                </c:pt>
                <c:pt idx="33">
                  <c:v>0.17816554315740066</c:v>
                </c:pt>
                <c:pt idx="34">
                  <c:v>0.18107921330250967</c:v>
                </c:pt>
                <c:pt idx="35">
                  <c:v>0.18395947527232667</c:v>
                </c:pt>
                <c:pt idx="36">
                  <c:v>0.18680632906685177</c:v>
                </c:pt>
                <c:pt idx="37">
                  <c:v>0.18961977468608471</c:v>
                </c:pt>
                <c:pt idx="38">
                  <c:v>0.19239981213002585</c:v>
                </c:pt>
                <c:pt idx="39">
                  <c:v>0.19514644139867487</c:v>
                </c:pt>
                <c:pt idx="40">
                  <c:v>0.19785966249203191</c:v>
                </c:pt>
                <c:pt idx="41">
                  <c:v>0.20053947541009695</c:v>
                </c:pt>
                <c:pt idx="42">
                  <c:v>0.203257769651634</c:v>
                </c:pt>
                <c:pt idx="43">
                  <c:v>0.20628501375912292</c:v>
                </c:pt>
                <c:pt idx="44">
                  <c:v>0.20927594463259871</c:v>
                </c:pt>
                <c:pt idx="45">
                  <c:v>0.2122305622720615</c:v>
                </c:pt>
                <c:pt idx="46">
                  <c:v>0.21514886667751126</c:v>
                </c:pt>
                <c:pt idx="47">
                  <c:v>0.21803085784894796</c:v>
                </c:pt>
                <c:pt idx="48">
                  <c:v>0.22087653578637159</c:v>
                </c:pt>
                <c:pt idx="49">
                  <c:v>0.22368590048978226</c:v>
                </c:pt>
                <c:pt idx="50">
                  <c:v>0.22645895195917998</c:v>
                </c:pt>
                <c:pt idx="51">
                  <c:v>0.22919569019456443</c:v>
                </c:pt>
                <c:pt idx="52">
                  <c:v>0.23189611519593595</c:v>
                </c:pt>
                <c:pt idx="53">
                  <c:v>0.23456022696329443</c:v>
                </c:pt>
                <c:pt idx="54">
                  <c:v>0.23718802549663981</c:v>
                </c:pt>
                <c:pt idx="55">
                  <c:v>0.23977951079597223</c:v>
                </c:pt>
                <c:pt idx="56">
                  <c:v>0.24233468286129164</c:v>
                </c:pt>
                <c:pt idx="57">
                  <c:v>0.24562908203158348</c:v>
                </c:pt>
                <c:pt idx="58">
                  <c:v>0.24893569595274598</c:v>
                </c:pt>
                <c:pt idx="59">
                  <c:v>0.25220018652245346</c:v>
                </c:pt>
                <c:pt idx="60">
                  <c:v>0.25542255374070577</c:v>
                </c:pt>
                <c:pt idx="61">
                  <c:v>0.25860279760750293</c:v>
                </c:pt>
                <c:pt idx="62">
                  <c:v>0.26174091812284489</c:v>
                </c:pt>
                <c:pt idx="63">
                  <c:v>0.26483691528673176</c:v>
                </c:pt>
                <c:pt idx="64">
                  <c:v>0.26789078909916353</c:v>
                </c:pt>
                <c:pt idx="65">
                  <c:v>0.27090253956014015</c:v>
                </c:pt>
                <c:pt idx="66">
                  <c:v>0.27387216666966169</c:v>
                </c:pt>
                <c:pt idx="67">
                  <c:v>0.27679967042772824</c:v>
                </c:pt>
                <c:pt idx="68">
                  <c:v>0.27968505083433925</c:v>
                </c:pt>
                <c:pt idx="69">
                  <c:v>0.28252830788949568</c:v>
                </c:pt>
                <c:pt idx="70">
                  <c:v>0.28532944159319668</c:v>
                </c:pt>
                <c:pt idx="71">
                  <c:v>0.28910078709565085</c:v>
                </c:pt>
                <c:pt idx="72">
                  <c:v>0.29326221454548024</c:v>
                </c:pt>
                <c:pt idx="73">
                  <c:v>0.29737135093833117</c:v>
                </c:pt>
                <c:pt idx="74">
                  <c:v>0.30142819627420292</c:v>
                </c:pt>
                <c:pt idx="75">
                  <c:v>0.3054327505530961</c:v>
                </c:pt>
                <c:pt idx="76">
                  <c:v>0.30938501377501049</c:v>
                </c:pt>
                <c:pt idx="77">
                  <c:v>0.31328498593994608</c:v>
                </c:pt>
                <c:pt idx="78">
                  <c:v>0.31713266704790283</c:v>
                </c:pt>
                <c:pt idx="79">
                  <c:v>0.320928057098881</c:v>
                </c:pt>
                <c:pt idx="80">
                  <c:v>0.32467115609288016</c:v>
                </c:pt>
                <c:pt idx="81">
                  <c:v>0.32836196402990059</c:v>
                </c:pt>
                <c:pt idx="82">
                  <c:v>0.33200048090994233</c:v>
                </c:pt>
                <c:pt idx="83">
                  <c:v>0.33558670673300534</c:v>
                </c:pt>
                <c:pt idx="84">
                  <c:v>0.33912064149908955</c:v>
                </c:pt>
                <c:pt idx="85">
                  <c:v>0.34288809876818882</c:v>
                </c:pt>
                <c:pt idx="86">
                  <c:v>0.34693757770516098</c:v>
                </c:pt>
                <c:pt idx="87">
                  <c:v>0.3509304079970727</c:v>
                </c:pt>
                <c:pt idx="88">
                  <c:v>0.35486658964392415</c:v>
                </c:pt>
                <c:pt idx="89">
                  <c:v>0.35874612264571532</c:v>
                </c:pt>
                <c:pt idx="90">
                  <c:v>0.3625690070024461</c:v>
                </c:pt>
                <c:pt idx="91">
                  <c:v>0.36633524271411655</c:v>
                </c:pt>
                <c:pt idx="92">
                  <c:v>0.37004482978072656</c:v>
                </c:pt>
                <c:pt idx="93">
                  <c:v>0.37369776820227651</c:v>
                </c:pt>
                <c:pt idx="94">
                  <c:v>0.37729405797876597</c:v>
                </c:pt>
                <c:pt idx="95">
                  <c:v>0.3808336991101951</c:v>
                </c:pt>
                <c:pt idx="96">
                  <c:v>0.38431669159656401</c:v>
                </c:pt>
                <c:pt idx="97">
                  <c:v>0.38774303543787236</c:v>
                </c:pt>
                <c:pt idx="98">
                  <c:v>0.39111273063412028</c:v>
                </c:pt>
                <c:pt idx="99">
                  <c:v>0.39465498080141953</c:v>
                </c:pt>
                <c:pt idx="100">
                  <c:v>0.39894665171724242</c:v>
                </c:pt>
                <c:pt idx="101">
                  <c:v>0.40317441134120235</c:v>
                </c:pt>
                <c:pt idx="102">
                  <c:v>0.4073382596732994</c:v>
                </c:pt>
                <c:pt idx="103">
                  <c:v>0.4114381967135336</c:v>
                </c:pt>
                <c:pt idx="104">
                  <c:v>0.41547422246190463</c:v>
                </c:pt>
                <c:pt idx="105">
                  <c:v>0.41944633691841327</c:v>
                </c:pt>
                <c:pt idx="106">
                  <c:v>0.42335454008305823</c:v>
                </c:pt>
                <c:pt idx="107">
                  <c:v>0.42719883195584057</c:v>
                </c:pt>
                <c:pt idx="108">
                  <c:v>0.43097921253676008</c:v>
                </c:pt>
                <c:pt idx="109">
                  <c:v>0.43469568182581658</c:v>
                </c:pt>
                <c:pt idx="110">
                  <c:v>0.43834823982301002</c:v>
                </c:pt>
                <c:pt idx="111">
                  <c:v>0.44193688652834068</c:v>
                </c:pt>
                <c:pt idx="112">
                  <c:v>0.44546162194180827</c:v>
                </c:pt>
                <c:pt idx="113">
                  <c:v>0.44892244606341275</c:v>
                </c:pt>
                <c:pt idx="114">
                  <c:v>0.45272681561137201</c:v>
                </c:pt>
                <c:pt idx="115">
                  <c:v>0.45647171297505568</c:v>
                </c:pt>
                <c:pt idx="116">
                  <c:v>0.4601497939881557</c:v>
                </c:pt>
                <c:pt idx="117">
                  <c:v>0.46376105865067146</c:v>
                </c:pt>
                <c:pt idx="118">
                  <c:v>0.46730550696260326</c:v>
                </c:pt>
                <c:pt idx="119">
                  <c:v>0.47078313892395113</c:v>
                </c:pt>
                <c:pt idx="120">
                  <c:v>0.47419395453471508</c:v>
                </c:pt>
                <c:pt idx="121">
                  <c:v>0.47753795379489494</c:v>
                </c:pt>
                <c:pt idx="122">
                  <c:v>0.48081513670449078</c:v>
                </c:pt>
                <c:pt idx="123">
                  <c:v>0.48402550326350285</c:v>
                </c:pt>
                <c:pt idx="124">
                  <c:v>0.48716905347193074</c:v>
                </c:pt>
                <c:pt idx="125">
                  <c:v>0.49024578732977442</c:v>
                </c:pt>
                <c:pt idx="126">
                  <c:v>0.49325570483703468</c:v>
                </c:pt>
                <c:pt idx="127">
                  <c:v>0.49619880599371058</c:v>
                </c:pt>
                <c:pt idx="128">
                  <c:v>0.49938404890004606</c:v>
                </c:pt>
                <c:pt idx="129">
                  <c:v>0.50260610486200674</c:v>
                </c:pt>
                <c:pt idx="130">
                  <c:v>0.5057584394146627</c:v>
                </c:pt>
                <c:pt idx="131">
                  <c:v>0.5088410525580136</c:v>
                </c:pt>
                <c:pt idx="132">
                  <c:v>0.51185394429205933</c:v>
                </c:pt>
                <c:pt idx="133">
                  <c:v>0.5147971146168</c:v>
                </c:pt>
                <c:pt idx="134">
                  <c:v>0.51767056353223584</c:v>
                </c:pt>
                <c:pt idx="135">
                  <c:v>0.5204742910383664</c:v>
                </c:pt>
                <c:pt idx="136">
                  <c:v>0.52320829713519235</c:v>
                </c:pt>
                <c:pt idx="137">
                  <c:v>0.52587258182271257</c:v>
                </c:pt>
                <c:pt idx="138">
                  <c:v>0.5284671451009284</c:v>
                </c:pt>
                <c:pt idx="139">
                  <c:v>0.53099198696983863</c:v>
                </c:pt>
                <c:pt idx="140">
                  <c:v>0.53344710742944479</c:v>
                </c:pt>
                <c:pt idx="141">
                  <c:v>0.53583250647974512</c:v>
                </c:pt>
                <c:pt idx="142">
                  <c:v>0.53825333151894106</c:v>
                </c:pt>
                <c:pt idx="143">
                  <c:v>0.54070592734418221</c:v>
                </c:pt>
                <c:pt idx="144">
                  <c:v>0.54324005379064588</c:v>
                </c:pt>
                <c:pt idx="145">
                  <c:v>0.5457601922311508</c:v>
                </c:pt>
                <c:pt idx="146">
                  <c:v>0.54821060926235099</c:v>
                </c:pt>
                <c:pt idx="147">
                  <c:v>0.55059130488424635</c:v>
                </c:pt>
                <c:pt idx="148">
                  <c:v>0.55290227909683631</c:v>
                </c:pt>
                <c:pt idx="149">
                  <c:v>0.55514353190012145</c:v>
                </c:pt>
                <c:pt idx="150">
                  <c:v>0.55731506329410141</c:v>
                </c:pt>
                <c:pt idx="151">
                  <c:v>0.55941687327877643</c:v>
                </c:pt>
                <c:pt idx="152">
                  <c:v>0.56144896185414639</c:v>
                </c:pt>
                <c:pt idx="153">
                  <c:v>0.5634113290202114</c:v>
                </c:pt>
                <c:pt idx="154">
                  <c:v>0.56530397477697114</c:v>
                </c:pt>
                <c:pt idx="155">
                  <c:v>0.56712689912442593</c:v>
                </c:pt>
                <c:pt idx="156">
                  <c:v>0.56893583546592108</c:v>
                </c:pt>
                <c:pt idx="157">
                  <c:v>0.57082630242864008</c:v>
                </c:pt>
                <c:pt idx="158">
                  <c:v>0.57264559545269367</c:v>
                </c:pt>
                <c:pt idx="159">
                  <c:v>0.57439371453808152</c:v>
                </c:pt>
                <c:pt idx="160">
                  <c:v>0.57607065968480409</c:v>
                </c:pt>
                <c:pt idx="161">
                  <c:v>0.57767643089286091</c:v>
                </c:pt>
                <c:pt idx="162">
                  <c:v>0.57921102816225212</c:v>
                </c:pt>
                <c:pt idx="163">
                  <c:v>0.58067445149297769</c:v>
                </c:pt>
                <c:pt idx="164">
                  <c:v>0.58206670088503809</c:v>
                </c:pt>
                <c:pt idx="165">
                  <c:v>0.58338777633843253</c:v>
                </c:pt>
                <c:pt idx="166">
                  <c:v>0.58463767785316156</c:v>
                </c:pt>
                <c:pt idx="167">
                  <c:v>0.58581640542922497</c:v>
                </c:pt>
                <c:pt idx="168">
                  <c:v>0.58692395906662298</c:v>
                </c:pt>
                <c:pt idx="169">
                  <c:v>0.58796033876535536</c:v>
                </c:pt>
                <c:pt idx="170">
                  <c:v>0.5889255445254219</c:v>
                </c:pt>
                <c:pt idx="171">
                  <c:v>0.58981957634682303</c:v>
                </c:pt>
                <c:pt idx="172">
                  <c:v>0.59064243422955898</c:v>
                </c:pt>
                <c:pt idx="173">
                  <c:v>0.59139411817362864</c:v>
                </c:pt>
                <c:pt idx="174">
                  <c:v>0.59207462817903367</c:v>
                </c:pt>
                <c:pt idx="175">
                  <c:v>0.59268396424577208</c:v>
                </c:pt>
                <c:pt idx="176">
                  <c:v>0.59322212637384586</c:v>
                </c:pt>
                <c:pt idx="177">
                  <c:v>0.59368911456325379</c:v>
                </c:pt>
                <c:pt idx="178">
                  <c:v>0.59408492881399599</c:v>
                </c:pt>
                <c:pt idx="179">
                  <c:v>0.59440956912607257</c:v>
                </c:pt>
                <c:pt idx="180">
                  <c:v>0.59466303549948352</c:v>
                </c:pt>
                <c:pt idx="181">
                  <c:v>0.59484532793422928</c:v>
                </c:pt>
                <c:pt idx="182">
                  <c:v>0.59495644643030954</c:v>
                </c:pt>
                <c:pt idx="183">
                  <c:v>0.59499639098772394</c:v>
                </c:pt>
                <c:pt idx="184">
                  <c:v>0.59496516160647273</c:v>
                </c:pt>
                <c:pt idx="185">
                  <c:v>0.59486275828655566</c:v>
                </c:pt>
                <c:pt idx="186">
                  <c:v>0.59469652519428073</c:v>
                </c:pt>
                <c:pt idx="187">
                  <c:v>0.59486947994028017</c:v>
                </c:pt>
                <c:pt idx="188">
                  <c:v>0.594974165806335</c:v>
                </c:pt>
                <c:pt idx="189">
                  <c:v>0.59501058279244545</c:v>
                </c:pt>
                <c:pt idx="190">
                  <c:v>0.59497873089861097</c:v>
                </c:pt>
                <c:pt idx="191">
                  <c:v>0.5948786101248319</c:v>
                </c:pt>
                <c:pt idx="192">
                  <c:v>0.59471022047110911</c:v>
                </c:pt>
                <c:pt idx="193">
                  <c:v>0.59447356193744127</c:v>
                </c:pt>
                <c:pt idx="194">
                  <c:v>0.59416863452382895</c:v>
                </c:pt>
                <c:pt idx="195">
                  <c:v>0.59379543823027248</c:v>
                </c:pt>
                <c:pt idx="196">
                  <c:v>0.59335397305677107</c:v>
                </c:pt>
                <c:pt idx="197">
                  <c:v>0.59284423900332506</c:v>
                </c:pt>
                <c:pt idx="198">
                  <c:v>0.59226623606993467</c:v>
                </c:pt>
                <c:pt idx="199">
                  <c:v>0.59161996425659991</c:v>
                </c:pt>
                <c:pt idx="200">
                  <c:v>0.59090542356332043</c:v>
                </c:pt>
                <c:pt idx="201">
                  <c:v>0.59012261399009658</c:v>
                </c:pt>
                <c:pt idx="202">
                  <c:v>0.58927153553692813</c:v>
                </c:pt>
                <c:pt idx="203">
                  <c:v>0.58835218820381541</c:v>
                </c:pt>
                <c:pt idx="204">
                  <c:v>0.58736457199075753</c:v>
                </c:pt>
                <c:pt idx="205">
                  <c:v>0.58630868689775573</c:v>
                </c:pt>
                <c:pt idx="206">
                  <c:v>0.58518453292480921</c:v>
                </c:pt>
                <c:pt idx="207">
                  <c:v>0.58399211007191831</c:v>
                </c:pt>
                <c:pt idx="208">
                  <c:v>0.58273141833908271</c:v>
                </c:pt>
                <c:pt idx="209">
                  <c:v>0.58140245772630272</c:v>
                </c:pt>
                <c:pt idx="210">
                  <c:v>0.58000522823357781</c:v>
                </c:pt>
                <c:pt idx="211">
                  <c:v>0.57853972986090885</c:v>
                </c:pt>
                <c:pt idx="212">
                  <c:v>0.57700596260829518</c:v>
                </c:pt>
                <c:pt idx="213">
                  <c:v>0.57540392647573735</c:v>
                </c:pt>
                <c:pt idx="214">
                  <c:v>0.57373362146323437</c:v>
                </c:pt>
                <c:pt idx="215">
                  <c:v>0.57222082777940875</c:v>
                </c:pt>
                <c:pt idx="216">
                  <c:v>0.57083321264768938</c:v>
                </c:pt>
                <c:pt idx="217">
                  <c:v>0.56938023369474644</c:v>
                </c:pt>
                <c:pt idx="218">
                  <c:v>0.56786189092058048</c:v>
                </c:pt>
                <c:pt idx="219">
                  <c:v>0.56627818432519095</c:v>
                </c:pt>
                <c:pt idx="220">
                  <c:v>0.56462911390857762</c:v>
                </c:pt>
                <c:pt idx="221">
                  <c:v>0.56291467967074094</c:v>
                </c:pt>
                <c:pt idx="222">
                  <c:v>0.5611348816116809</c:v>
                </c:pt>
                <c:pt idx="223">
                  <c:v>0.55928971973139741</c:v>
                </c:pt>
                <c:pt idx="224">
                  <c:v>0.55737919402989033</c:v>
                </c:pt>
                <c:pt idx="225">
                  <c:v>0.55540330450715969</c:v>
                </c:pt>
                <c:pt idx="226">
                  <c:v>0.5533620511632058</c:v>
                </c:pt>
                <c:pt idx="227">
                  <c:v>0.55125543399802834</c:v>
                </c:pt>
                <c:pt idx="228">
                  <c:v>0.54908345301162753</c:v>
                </c:pt>
                <c:pt idx="229">
                  <c:v>0.54690930434748186</c:v>
                </c:pt>
                <c:pt idx="230">
                  <c:v>0.54481586369864632</c:v>
                </c:pt>
                <c:pt idx="231">
                  <c:v>0.54265851175794788</c:v>
                </c:pt>
                <c:pt idx="232">
                  <c:v>0.54043724852538622</c:v>
                </c:pt>
                <c:pt idx="233">
                  <c:v>0.53815207400096188</c:v>
                </c:pt>
                <c:pt idx="234">
                  <c:v>0.5358029881846742</c:v>
                </c:pt>
                <c:pt idx="235">
                  <c:v>0.53338999107652407</c:v>
                </c:pt>
                <c:pt idx="236">
                  <c:v>0.53091308267651061</c:v>
                </c:pt>
                <c:pt idx="237">
                  <c:v>0.52837226298463447</c:v>
                </c:pt>
                <c:pt idx="238">
                  <c:v>0.52576753200089532</c:v>
                </c:pt>
                <c:pt idx="239">
                  <c:v>0.52309888972529273</c:v>
                </c:pt>
                <c:pt idx="240">
                  <c:v>0.52036633615782801</c:v>
                </c:pt>
                <c:pt idx="241">
                  <c:v>0.51756987129849974</c:v>
                </c:pt>
                <c:pt idx="242">
                  <c:v>0.51470949514730857</c:v>
                </c:pt>
                <c:pt idx="243">
                  <c:v>0.51179879222983593</c:v>
                </c:pt>
                <c:pt idx="244">
                  <c:v>0.50901951563460723</c:v>
                </c:pt>
                <c:pt idx="245">
                  <c:v>0.50617778027687654</c:v>
                </c:pt>
                <c:pt idx="246">
                  <c:v>0.50327358615664286</c:v>
                </c:pt>
                <c:pt idx="247">
                  <c:v>0.50030693327390685</c:v>
                </c:pt>
                <c:pt idx="248">
                  <c:v>0.49727782162866879</c:v>
                </c:pt>
                <c:pt idx="249">
                  <c:v>0.49418625122092802</c:v>
                </c:pt>
                <c:pt idx="250">
                  <c:v>0.49103222205068481</c:v>
                </c:pt>
                <c:pt idx="251">
                  <c:v>0.48781573411793916</c:v>
                </c:pt>
                <c:pt idx="252">
                  <c:v>0.48453678742269091</c:v>
                </c:pt>
                <c:pt idx="253">
                  <c:v>0.48119538196494049</c:v>
                </c:pt>
                <c:pt idx="254">
                  <c:v>0.47779151774468787</c:v>
                </c:pt>
                <c:pt idx="255">
                  <c:v>0.47432519476193247</c:v>
                </c:pt>
                <c:pt idx="256">
                  <c:v>0.47079641301667463</c:v>
                </c:pt>
                <c:pt idx="257">
                  <c:v>0.46720517250891425</c:v>
                </c:pt>
                <c:pt idx="258">
                  <c:v>0.46372410478863435</c:v>
                </c:pt>
                <c:pt idx="259">
                  <c:v>0.4602179755845941</c:v>
                </c:pt>
                <c:pt idx="260">
                  <c:v>0.4566508401474122</c:v>
                </c:pt>
                <c:pt idx="261">
                  <c:v>0.45302269847708809</c:v>
                </c:pt>
                <c:pt idx="262">
                  <c:v>0.4493335505736224</c:v>
                </c:pt>
                <c:pt idx="263">
                  <c:v>0.4455833964370145</c:v>
                </c:pt>
                <c:pt idx="264">
                  <c:v>0.44177223606726496</c:v>
                </c:pt>
                <c:pt idx="265">
                  <c:v>0.43790006946437326</c:v>
                </c:pt>
                <c:pt idx="266">
                  <c:v>0.43396689662833993</c:v>
                </c:pt>
                <c:pt idx="267">
                  <c:v>0.42997271755916444</c:v>
                </c:pt>
                <c:pt idx="268">
                  <c:v>0.42591753225684709</c:v>
                </c:pt>
                <c:pt idx="269">
                  <c:v>0.42180134072138786</c:v>
                </c:pt>
                <c:pt idx="270">
                  <c:v>0.41762414295278677</c:v>
                </c:pt>
                <c:pt idx="271">
                  <c:v>0.41338593895104353</c:v>
                </c:pt>
                <c:pt idx="272">
                  <c:v>0.40945524504904768</c:v>
                </c:pt>
                <c:pt idx="273">
                  <c:v>0.40572407754622392</c:v>
                </c:pt>
                <c:pt idx="274">
                  <c:v>0.4019362613983396</c:v>
                </c:pt>
                <c:pt idx="275">
                  <c:v>0.3980917966053949</c:v>
                </c:pt>
                <c:pt idx="276">
                  <c:v>0.39419068316738998</c:v>
                </c:pt>
                <c:pt idx="277">
                  <c:v>0.39023292108432506</c:v>
                </c:pt>
                <c:pt idx="278">
                  <c:v>0.38621851035619947</c:v>
                </c:pt>
                <c:pt idx="279">
                  <c:v>0.38214745098301373</c:v>
                </c:pt>
                <c:pt idx="280">
                  <c:v>0.37801974296476748</c:v>
                </c:pt>
                <c:pt idx="281">
                  <c:v>0.37383538630146085</c:v>
                </c:pt>
                <c:pt idx="282">
                  <c:v>0.36959438099309377</c:v>
                </c:pt>
                <c:pt idx="283">
                  <c:v>0.36529672703966648</c:v>
                </c:pt>
                <c:pt idx="284">
                  <c:v>0.36094242444117897</c:v>
                </c:pt>
                <c:pt idx="285">
                  <c:v>0.35653147319763095</c:v>
                </c:pt>
                <c:pt idx="286">
                  <c:v>0.35242951505007769</c:v>
                </c:pt>
                <c:pt idx="287">
                  <c:v>0.34895195225679437</c:v>
                </c:pt>
                <c:pt idx="288">
                  <c:v>0.3454250034652534</c:v>
                </c:pt>
                <c:pt idx="289">
                  <c:v>0.34184866867545466</c:v>
                </c:pt>
                <c:pt idx="290">
                  <c:v>0.33822294788739837</c:v>
                </c:pt>
                <c:pt idx="291">
                  <c:v>0.33454784110108399</c:v>
                </c:pt>
                <c:pt idx="292">
                  <c:v>0.33082334831651222</c:v>
                </c:pt>
                <c:pt idx="293">
                  <c:v>0.32704946953368252</c:v>
                </c:pt>
                <c:pt idx="294">
                  <c:v>0.32322620475259517</c:v>
                </c:pt>
                <c:pt idx="295">
                  <c:v>0.31935355397325005</c:v>
                </c:pt>
                <c:pt idx="296">
                  <c:v>0.31543151719564699</c:v>
                </c:pt>
                <c:pt idx="297">
                  <c:v>0.31146009441978645</c:v>
                </c:pt>
                <c:pt idx="298">
                  <c:v>0.30743928564566814</c:v>
                </c:pt>
                <c:pt idx="299">
                  <c:v>0.30336909087329195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E5-4A37-AA20-5F3068EC4D8C}"/>
            </c:ext>
          </c:extLst>
        </c:ser>
        <c:ser>
          <c:idx val="3"/>
          <c:order val="3"/>
          <c:tx>
            <c:v>Gaussowskie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d.'!$J$6:$J$305</c:f>
              <c:numCache>
                <c:formatCode>General</c:formatCode>
                <c:ptCount val="300"/>
                <c:pt idx="0">
                  <c:v>7.2286816673830967E-2</c:v>
                </c:pt>
                <c:pt idx="1">
                  <c:v>7.4051345712255467E-2</c:v>
                </c:pt>
                <c:pt idx="2">
                  <c:v>7.5836224352428191E-2</c:v>
                </c:pt>
                <c:pt idx="3">
                  <c:v>7.7641416245647132E-2</c:v>
                </c:pt>
                <c:pt idx="4">
                  <c:v>7.9466876818004781E-2</c:v>
                </c:pt>
                <c:pt idx="5">
                  <c:v>8.1312550880070431E-2</c:v>
                </c:pt>
                <c:pt idx="6">
                  <c:v>8.317837022209966E-2</c:v>
                </c:pt>
                <c:pt idx="7">
                  <c:v>8.506425122300483E-2</c:v>
                </c:pt>
                <c:pt idx="8">
                  <c:v>8.6970092502134388E-2</c:v>
                </c:pt>
                <c:pt idx="9">
                  <c:v>8.8895772643469748E-2</c:v>
                </c:pt>
                <c:pt idx="10">
                  <c:v>9.0841148022141688E-2</c:v>
                </c:pt>
                <c:pt idx="11">
                  <c:v>9.280605076318979E-2</c:v>
                </c:pt>
                <c:pt idx="12">
                  <c:v>9.479028686223652E-2</c:v>
                </c:pt>
                <c:pt idx="13">
                  <c:v>9.6793634497213649E-2</c:v>
                </c:pt>
                <c:pt idx="14">
                  <c:v>9.8815842559474412E-2</c:v>
                </c:pt>
                <c:pt idx="15">
                  <c:v>0.10085662943154365</c:v>
                </c:pt>
                <c:pt idx="16">
                  <c:v>0.10291568203741605</c:v>
                </c:pt>
                <c:pt idx="17">
                  <c:v>0.10499265518971168</c:v>
                </c:pt>
                <c:pt idx="18">
                  <c:v>0.1070871712561523</c:v>
                </c:pt>
                <c:pt idx="19">
                  <c:v>0.10919882016574757</c:v>
                </c:pt>
                <c:pt idx="20">
                  <c:v>0.11132715977278683</c:v>
                </c:pt>
                <c:pt idx="21">
                  <c:v>0.113471716594243</c:v>
                </c:pt>
                <c:pt idx="22">
                  <c:v>0.1156319869335255</c:v>
                </c:pt>
                <c:pt idx="23">
                  <c:v>0.11780743840069047</c:v>
                </c:pt>
                <c:pt idx="24">
                  <c:v>0.11999751183625273</c:v>
                </c:pt>
                <c:pt idx="25">
                  <c:v>0.12220162364265998</c:v>
                </c:pt>
                <c:pt idx="26">
                  <c:v>0.12441916852432057</c:v>
                </c:pt>
                <c:pt idx="27">
                  <c:v>0.1266495226338335</c:v>
                </c:pt>
                <c:pt idx="28">
                  <c:v>0.12889204711878399</c:v>
                </c:pt>
                <c:pt idx="29">
                  <c:v>0.13114609206016184</c:v>
                </c:pt>
                <c:pt idx="30">
                  <c:v>0.13341100079015594</c:v>
                </c:pt>
                <c:pt idx="31">
                  <c:v>0.13568611457379989</c:v>
                </c:pt>
                <c:pt idx="32">
                  <c:v>0.13797077763571486</c:v>
                </c:pt>
                <c:pt idx="33">
                  <c:v>0.14026434251003514</c:v>
                </c:pt>
                <c:pt idx="34">
                  <c:v>0.14256617568853439</c:v>
                </c:pt>
                <c:pt idx="35">
                  <c:v>0.14487566353901171</c:v>
                </c:pt>
                <c:pt idx="36">
                  <c:v>0.14719221846317146</c:v>
                </c:pt>
                <c:pt idx="37">
                  <c:v>0.14951528526054958</c:v>
                </c:pt>
                <c:pt idx="38">
                  <c:v>0.15184434766252472</c:v>
                </c:pt>
                <c:pt idx="39">
                  <c:v>0.15417893499811836</c:v>
                </c:pt>
                <c:pt idx="40">
                  <c:v>0.1565186289511469</c:v>
                </c:pt>
                <c:pt idx="41">
                  <c:v>0.15886307036635577</c:v>
                </c:pt>
                <c:pt idx="42">
                  <c:v>0.16121196606045396</c:v>
                </c:pt>
                <c:pt idx="43">
                  <c:v>0.16356509559248034</c:v>
                </c:pt>
                <c:pt idx="44">
                  <c:v>0.16592231794669635</c:v>
                </c:pt>
                <c:pt idx="45">
                  <c:v>0.1682835780801992</c:v>
                </c:pt>
                <c:pt idx="46">
                  <c:v>0.170648913286718</c:v>
                </c:pt>
                <c:pt idx="47">
                  <c:v>0.17301845932757881</c:v>
                </c:pt>
                <c:pt idx="48">
                  <c:v>0.17539245628062383</c:v>
                </c:pt>
                <c:pt idx="49">
                  <c:v>0.17777125405793845</c:v>
                </c:pt>
                <c:pt idx="50">
                  <c:v>0.18015531754359729</c:v>
                </c:pt>
                <c:pt idx="51">
                  <c:v>0.18254523130326936</c:v>
                </c:pt>
                <c:pt idx="52">
                  <c:v>0.18494170381845007</c:v>
                </c:pt>
                <c:pt idx="53">
                  <c:v>0.18734557119929551</c:v>
                </c:pt>
                <c:pt idx="54">
                  <c:v>0.18975780033154058</c:v>
                </c:pt>
                <c:pt idx="55">
                  <c:v>0.19217949141477139</c:v>
                </c:pt>
                <c:pt idx="56">
                  <c:v>0.1946118798514121</c:v>
                </c:pt>
                <c:pt idx="57">
                  <c:v>0.19705633744816367</c:v>
                </c:pt>
                <c:pt idx="58">
                  <c:v>0.19951437289428892</c:v>
                </c:pt>
                <c:pt idx="59">
                  <c:v>0.2019876314841044</c:v>
                </c:pt>
                <c:pt idx="60">
                  <c:v>0.20447789405425876</c:v>
                </c:pt>
                <c:pt idx="61">
                  <c:v>0.20698707510989381</c:v>
                </c:pt>
                <c:pt idx="62">
                  <c:v>0.20951722011756599</c:v>
                </c:pt>
                <c:pt idx="63">
                  <c:v>0.21207050194683824</c:v>
                </c:pt>
                <c:pt idx="64">
                  <c:v>0.21464921644675131</c:v>
                </c:pt>
                <c:pt idx="65">
                  <c:v>0.2172557771479042</c:v>
                </c:pt>
                <c:pt idx="66">
                  <c:v>0.21989270908563138</c:v>
                </c:pt>
                <c:pt idx="67">
                  <c:v>0.22256264174472348</c:v>
                </c:pt>
                <c:pt idx="68">
                  <c:v>0.2252683011312836</c:v>
                </c:pt>
                <c:pt idx="69">
                  <c:v>0.22801250098263165</c:v>
                </c:pt>
                <c:pt idx="70">
                  <c:v>0.23079813313162886</c:v>
                </c:pt>
                <c:pt idx="71">
                  <c:v>0.23362815704737086</c:v>
                </c:pt>
                <c:pt idx="72">
                  <c:v>0.23650558857987103</c:v>
                </c:pt>
                <c:pt idx="73">
                  <c:v>0.23943348794208041</c:v>
                </c:pt>
                <c:pt idx="74">
                  <c:v>0.24241494696834431</c:v>
                </c:pt>
                <c:pt idx="75">
                  <c:v>0.24545307569414204</c:v>
                </c:pt>
                <c:pt idx="76">
                  <c:v>0.24855098830764843</c:v>
                </c:pt>
                <c:pt idx="77">
                  <c:v>0.25171178852927067</c:v>
                </c:pt>
                <c:pt idx="78">
                  <c:v>0.25493855448078739</c:v>
                </c:pt>
                <c:pt idx="79">
                  <c:v>0.25823432311103206</c:v>
                </c:pt>
                <c:pt idx="80">
                  <c:v>0.26160207425015453</c:v>
                </c:pt>
                <c:pt idx="81">
                  <c:v>0.2650447143693212</c:v>
                </c:pt>
                <c:pt idx="82">
                  <c:v>0.2685650601272514</c:v>
                </c:pt>
                <c:pt idx="83">
                  <c:v>0.27216582178914933</c:v>
                </c:pt>
                <c:pt idx="84">
                  <c:v>0.27584958660738035</c:v>
                </c:pt>
                <c:pt idx="85">
                  <c:v>0.27961880225656138</c:v>
                </c:pt>
                <c:pt idx="86">
                  <c:v>0.28347576041860062</c:v>
                </c:pt>
                <c:pt idx="87">
                  <c:v>0.28742258061553533</c:v>
                </c:pt>
                <c:pt idx="88">
                  <c:v>0.29146119438977552</c:v>
                </c:pt>
                <c:pt idx="89">
                  <c:v>0.29559332993252618</c:v>
                </c:pt>
                <c:pt idx="90">
                  <c:v>0.29982049726166948</c:v>
                </c:pt>
                <c:pt idx="91">
                  <c:v>0.30414397405025773</c:v>
                </c:pt>
                <c:pt idx="92">
                  <c:v>0.30856479220592342</c:v>
                </c:pt>
                <c:pt idx="93">
                  <c:v>0.31308372529997802</c:v>
                </c:pt>
                <c:pt idx="94">
                  <c:v>0.31770127694269462</c:v>
                </c:pt>
                <c:pt idx="95">
                  <c:v>0.32241767019826895</c:v>
                </c:pt>
                <c:pt idx="96">
                  <c:v>0.32723283812920362</c:v>
                </c:pt>
                <c:pt idx="97">
                  <c:v>0.33214641555537422</c:v>
                </c:pt>
                <c:pt idx="98">
                  <c:v>0.33715773210782285</c:v>
                </c:pt>
                <c:pt idx="99">
                  <c:v>0.34226580665138928</c:v>
                </c:pt>
                <c:pt idx="100">
                  <c:v>0.34746934314365591</c:v>
                </c:pt>
                <c:pt idx="101">
                  <c:v>0.35276672799039427</c:v>
                </c:pt>
                <c:pt idx="102">
                  <c:v>0.35815602894975962</c:v>
                </c:pt>
                <c:pt idx="103">
                  <c:v>0.36363499562895046</c:v>
                </c:pt>
                <c:pt idx="104">
                  <c:v>0.36920106160798644</c:v>
                </c:pt>
                <c:pt idx="105">
                  <c:v>0.37485134821567373</c:v>
                </c:pt>
                <c:pt idx="106">
                  <c:v>0.38058266997282364</c:v>
                </c:pt>
                <c:pt idx="107">
                  <c:v>0.38639154170741402</c:v>
                </c:pt>
                <c:pt idx="108">
                  <c:v>0.39227418733568692</c:v>
                </c:pt>
                <c:pt idx="109">
                  <c:v>0.39822655029226761</c:v>
                </c:pt>
                <c:pt idx="110">
                  <c:v>0.40424430558131208</c:v>
                </c:pt>
                <c:pt idx="111">
                  <c:v>0.41032287340954254</c:v>
                </c:pt>
                <c:pt idx="112">
                  <c:v>0.41645743435089666</c:v>
                </c:pt>
                <c:pt idx="113">
                  <c:v>0.42264294598146623</c:v>
                </c:pt>
                <c:pt idx="114">
                  <c:v>0.42887416091253372</c:v>
                </c:pt>
                <c:pt idx="115">
                  <c:v>0.43514564613892154</c:v>
                </c:pt>
                <c:pt idx="116">
                  <c:v>0.44145180360960851</c:v>
                </c:pt>
                <c:pt idx="117">
                  <c:v>0.44778689191776944</c:v>
                </c:pt>
                <c:pt idx="118">
                  <c:v>0.4541450489980916</c:v>
                </c:pt>
                <c:pt idx="119">
                  <c:v>0.46052031571054197</c:v>
                </c:pt>
                <c:pt idx="120">
                  <c:v>0.46690666018174415</c:v>
                </c:pt>
                <c:pt idx="121">
                  <c:v>0.47329800276786499</c:v>
                </c:pt>
                <c:pt idx="122">
                  <c:v>0.47968824149648609</c:v>
                </c:pt>
                <c:pt idx="123">
                  <c:v>0.48607127783937082</c:v>
                </c:pt>
                <c:pt idx="124">
                  <c:v>0.4924410426634423</c:v>
                </c:pt>
                <c:pt idx="125">
                  <c:v>0.49879152220366629</c:v>
                </c:pt>
                <c:pt idx="126">
                  <c:v>0.50511678389895498</c:v>
                </c:pt>
                <c:pt idx="127">
                  <c:v>0.51141100193071132</c:v>
                </c:pt>
                <c:pt idx="128">
                  <c:v>0.5176684823032196</c:v>
                </c:pt>
                <c:pt idx="129">
                  <c:v>0.5238836873058117</c:v>
                </c:pt>
                <c:pt idx="130">
                  <c:v>0.53005125919858598</c:v>
                </c:pt>
                <c:pt idx="131">
                  <c:v>0.53616604296644177</c:v>
                </c:pt>
                <c:pt idx="132">
                  <c:v>0.5422231079903016</c:v>
                </c:pt>
                <c:pt idx="133">
                  <c:v>0.54821776848962256</c:v>
                </c:pt>
                <c:pt idx="134">
                  <c:v>0.55414560259660595</c:v>
                </c:pt>
                <c:pt idx="135">
                  <c:v>0.56000246992989</c:v>
                </c:pt>
                <c:pt idx="136">
                  <c:v>0.5657845275438933</c:v>
                </c:pt>
                <c:pt idx="137">
                  <c:v>0.57148824413932042</c:v>
                </c:pt>
                <c:pt idx="138">
                  <c:v>0.57711041243060379</c:v>
                </c:pt>
                <c:pt idx="139">
                  <c:v>0.58264815957714866</c:v>
                </c:pt>
                <c:pt idx="140">
                  <c:v>0.58809895559711722</c:v>
                </c:pt>
                <c:pt idx="141">
                  <c:v>0.59346061969504527</c:v>
                </c:pt>
                <c:pt idx="142">
                  <c:v>0.59873132444774868</c:v>
                </c:pt>
                <c:pt idx="143">
                  <c:v>0.60390959780665809</c:v>
                </c:pt>
                <c:pt idx="144">
                  <c:v>0.60899432288881605</c:v>
                </c:pt>
                <c:pt idx="145">
                  <c:v>0.61398473554320521</c:v>
                </c:pt>
                <c:pt idx="146">
                  <c:v>0.61888041969370411</c:v>
                </c:pt>
                <c:pt idx="147">
                  <c:v>0.62368130047474091</c:v>
                </c:pt>
                <c:pt idx="148">
                  <c:v>0.62838763519048157</c:v>
                </c:pt>
                <c:pt idx="149">
                  <c:v>0.63300000214305352</c:v>
                </c:pt>
                <c:pt idx="150">
                  <c:v>0.63751928738978991</c:v>
                </c:pt>
                <c:pt idx="151">
                  <c:v>0.64194666950363521</c:v>
                </c:pt>
                <c:pt idx="152">
                  <c:v>0.64628360242458915</c:v>
                </c:pt>
                <c:pt idx="153">
                  <c:v>0.65053179650331805</c:v>
                </c:pt>
                <c:pt idx="154">
                  <c:v>0.65469319785066171</c:v>
                </c:pt>
                <c:pt idx="155">
                  <c:v>0.65876996611868599</c:v>
                </c:pt>
                <c:pt idx="156">
                  <c:v>0.66276445085003166</c:v>
                </c:pt>
                <c:pt idx="157">
                  <c:v>0.66667916654254866</c:v>
                </c:pt>
                <c:pt idx="158">
                  <c:v>0.67051676658546522</c:v>
                </c:pt>
                <c:pt idx="159">
                  <c:v>0.67428001623157363</c:v>
                </c:pt>
                <c:pt idx="160">
                  <c:v>0.67797176477706733</c:v>
                </c:pt>
                <c:pt idx="161">
                  <c:v>0.68159491712663511</c:v>
                </c:pt>
                <c:pt idx="162">
                  <c:v>0.68515240492620966</c:v>
                </c:pt>
                <c:pt idx="163">
                  <c:v>0.68864715744932314</c:v>
                </c:pt>
                <c:pt idx="164">
                  <c:v>0.69208207242528808</c:v>
                </c:pt>
                <c:pt idx="165">
                  <c:v>0.69545998699842126</c:v>
                </c:pt>
                <c:pt idx="166">
                  <c:v>0.69878364900721013</c:v>
                </c:pt>
                <c:pt idx="167">
                  <c:v>0.70205568877071156</c:v>
                </c:pt>
                <c:pt idx="168">
                  <c:v>0.70527859156656381</c:v>
                </c:pt>
                <c:pt idx="169">
                  <c:v>0.70845467098081416</c:v>
                </c:pt>
                <c:pt idx="170">
                  <c:v>0.71158604330433217</c:v>
                </c:pt>
                <c:pt idx="171">
                  <c:v>0.71467460314394471</c:v>
                </c:pt>
                <c:pt idx="172">
                  <c:v>0.71772200040862588</c:v>
                </c:pt>
                <c:pt idx="173">
                  <c:v>0.72072961882216435</c:v>
                </c:pt>
                <c:pt idx="174">
                  <c:v>0.72369855610378853</c:v>
                </c:pt>
                <c:pt idx="175">
                  <c:v>0.72662960594728709</c:v>
                </c:pt>
                <c:pt idx="176">
                  <c:v>0.72952324191737905</c:v>
                </c:pt>
                <c:pt idx="177">
                  <c:v>0.73237960336943031</c:v>
                </c:pt>
                <c:pt idx="178">
                  <c:v>0.73519848348531536</c:v>
                </c:pt>
                <c:pt idx="179">
                  <c:v>0.73797931950424744</c:v>
                </c:pt>
                <c:pt idx="180">
                  <c:v>0.74072118521296437</c:v>
                </c:pt>
                <c:pt idx="181">
                  <c:v>0.74342278574477205</c:v>
                </c:pt>
                <c:pt idx="182">
                  <c:v>0.74608245472180268</c:v>
                </c:pt>
                <c:pt idx="183">
                  <c:v>0.74869815375949633</c:v>
                </c:pt>
                <c:pt idx="184">
                  <c:v>0.75126747433689578</c:v>
                </c:pt>
                <c:pt idx="185">
                  <c:v>0.75378764202097304</c:v>
                </c:pt>
                <c:pt idx="186">
                  <c:v>0.7562555230180027</c:v>
                </c:pt>
                <c:pt idx="187">
                  <c:v>0.75866763301002049</c:v>
                </c:pt>
                <c:pt idx="188">
                  <c:v>0.76102014821985831</c:v>
                </c:pt>
                <c:pt idx="189">
                  <c:v>0.76330891863412753</c:v>
                </c:pt>
                <c:pt idx="190">
                  <c:v>0.76552948330001647</c:v>
                </c:pt>
                <c:pt idx="191">
                  <c:v>0.76767708759893849</c:v>
                </c:pt>
                <c:pt idx="192">
                  <c:v>0.76974670238796605</c:v>
                </c:pt>
                <c:pt idx="193">
                  <c:v>0.77173304488879646</c:v>
                </c:pt>
                <c:pt idx="194">
                  <c:v>0.77363060119366256</c:v>
                </c:pt>
                <c:pt idx="195">
                  <c:v>0.77543365024831856</c:v>
                </c:pt>
                <c:pt idx="196">
                  <c:v>0.77713628916396127</c:v>
                </c:pt>
                <c:pt idx="197">
                  <c:v>0.77873245970279314</c:v>
                </c:pt>
                <c:pt idx="198">
                  <c:v>0.78021597577592916</c:v>
                </c:pt>
                <c:pt idx="199">
                  <c:v>0.78158055178750152</c:v>
                </c:pt>
                <c:pt idx="200">
                  <c:v>0.78281983165518276</c:v>
                </c:pt>
                <c:pt idx="201">
                  <c:v>0.78392741833489943</c:v>
                </c:pt>
                <c:pt idx="202">
                  <c:v>0.78489690367629039</c:v>
                </c:pt>
                <c:pt idx="203">
                  <c:v>0.78572189843543028</c:v>
                </c:pt>
                <c:pt idx="204">
                  <c:v>0.78639606227250114</c:v>
                </c:pt>
                <c:pt idx="205">
                  <c:v>0.78691313356438386</c:v>
                </c:pt>
                <c:pt idx="206">
                  <c:v>0.78726695886560172</c:v>
                </c:pt>
                <c:pt idx="207">
                  <c:v>0.7874515218555237</c:v>
                </c:pt>
                <c:pt idx="208">
                  <c:v>0.78746097161527329</c:v>
                </c:pt>
                <c:pt idx="209">
                  <c:v>0.7872896500842792</c:v>
                </c:pt>
                <c:pt idx="210">
                  <c:v>0.78693211855378042</c:v>
                </c:pt>
                <c:pt idx="211">
                  <c:v>0.78638318306280663</c:v>
                </c:pt>
                <c:pt idx="212">
                  <c:v>0.78563791857111498</c:v>
                </c:pt>
                <c:pt idx="213">
                  <c:v>0.78469169179315879</c:v>
                </c:pt>
                <c:pt idx="214">
                  <c:v>0.78354018258738467</c:v>
                </c:pt>
                <c:pt idx="215">
                  <c:v>0.7821794038058052</c:v>
                </c:pt>
                <c:pt idx="216">
                  <c:v>0.78060571951989854</c:v>
                </c:pt>
                <c:pt idx="217">
                  <c:v>0.77881586155024918</c:v>
                </c:pt>
                <c:pt idx="218">
                  <c:v>0.77680694423897023</c:v>
                </c:pt>
                <c:pt idx="219">
                  <c:v>0.77457647741564672</c:v>
                </c:pt>
                <c:pt idx="220">
                  <c:v>0.77212237751933399</c:v>
                </c:pt>
                <c:pt idx="221">
                  <c:v>0.76944297685081497</c:v>
                </c:pt>
                <c:pt idx="222">
                  <c:v>0.7665370309409365</c:v>
                </c:pt>
                <c:pt idx="223">
                  <c:v>0.76340372403217494</c:v>
                </c:pt>
                <c:pt idx="224">
                  <c:v>0.76004267268166159</c:v>
                </c:pt>
                <c:pt idx="225">
                  <c:v>0.7564539275045955</c:v>
                </c:pt>
                <c:pt idx="226">
                  <c:v>0.75263797308725477</c:v>
                </c:pt>
                <c:pt idx="227">
                  <c:v>0.74859572610859382</c:v>
                </c:pt>
                <c:pt idx="228">
                  <c:v>0.74432853171866109</c:v>
                </c:pt>
                <c:pt idx="229">
                  <c:v>0.73983815823072241</c:v>
                </c:pt>
                <c:pt idx="230">
                  <c:v>0.73512679019197924</c:v>
                </c:pt>
                <c:pt idx="231">
                  <c:v>0.73019701990514452</c:v>
                </c:pt>
                <c:pt idx="232">
                  <c:v>0.72505183747976065</c:v>
                </c:pt>
                <c:pt idx="233">
                  <c:v>0.71969461949810654</c:v>
                </c:pt>
                <c:pt idx="234">
                  <c:v>0.71412911638571053</c:v>
                </c:pt>
                <c:pt idx="235">
                  <c:v>0.70835943858097816</c:v>
                </c:pt>
                <c:pt idx="236">
                  <c:v>0.70239004160212659</c:v>
                </c:pt>
                <c:pt idx="237">
                  <c:v>0.69622571011260204</c:v>
                </c:pt>
                <c:pt idx="238">
                  <c:v>0.68987154108840021</c:v>
                </c:pt>
                <c:pt idx="239">
                  <c:v>0.68333292619220831</c:v>
                </c:pt>
                <c:pt idx="240">
                  <c:v>0.67661553346012127</c:v>
                </c:pt>
                <c:pt idx="241">
                  <c:v>0.66972528840682322</c:v>
                </c:pt>
                <c:pt idx="242">
                  <c:v>0.66266835465459506</c:v>
                </c:pt>
                <c:pt idx="243">
                  <c:v>0.65545111419040225</c:v>
                </c:pt>
                <c:pt idx="244">
                  <c:v>0.64808014735357677</c:v>
                </c:pt>
                <c:pt idx="245">
                  <c:v>0.64056221265434365</c:v>
                </c:pt>
                <c:pt idx="246">
                  <c:v>0.63290422652067391</c:v>
                </c:pt>
                <c:pt idx="247">
                  <c:v>0.62511324306766369</c:v>
                </c:pt>
                <c:pt idx="248">
                  <c:v>0.61719643397997714</c:v>
                </c:pt>
                <c:pt idx="249">
                  <c:v>0.60916106859381203</c:v>
                </c:pt>
                <c:pt idx="250">
                  <c:v>0.60101449426041953</c:v>
                </c:pt>
                <c:pt idx="251">
                  <c:v>0.59276411706849819</c:v>
                </c:pt>
                <c:pt idx="252">
                  <c:v>0.58441738299779356</c:v>
                </c:pt>
                <c:pt idx="253">
                  <c:v>0.57598175957104503</c:v>
                </c:pt>
                <c:pt idx="254">
                  <c:v>0.56746471806603627</c:v>
                </c:pt>
                <c:pt idx="255">
                  <c:v>0.55887371634400462</c:v>
                </c:pt>
                <c:pt idx="256">
                  <c:v>0.55021618234506342</c:v>
                </c:pt>
                <c:pt idx="257">
                  <c:v>0.54149949829561583</c:v>
                </c:pt>
                <c:pt idx="258">
                  <c:v>0.532730985667073</c:v>
                </c:pt>
                <c:pt idx="259">
                  <c:v>0.52391789091950502</c:v>
                </c:pt>
                <c:pt idx="260">
                  <c:v>0.51506737205824593</c:v>
                </c:pt>
                <c:pt idx="261">
                  <c:v>0.50618648602591454</c:v>
                </c:pt>
                <c:pt idx="262">
                  <c:v>0.49728217694689419</c:v>
                </c:pt>
                <c:pt idx="263">
                  <c:v>0.4883612652359906</c:v>
                </c:pt>
                <c:pt idx="264">
                  <c:v>0.47943043757786946</c:v>
                </c:pt>
                <c:pt idx="265">
                  <c:v>0.47049623777889282</c:v>
                </c:pt>
                <c:pt idx="266">
                  <c:v>0.46156505848824192</c:v>
                </c:pt>
                <c:pt idx="267">
                  <c:v>0.45264313378065435</c:v>
                </c:pt>
                <c:pt idx="268">
                  <c:v>0.44373653258884627</c:v>
                </c:pt>
                <c:pt idx="269">
                  <c:v>0.43485115296962223</c:v>
                </c:pt>
                <c:pt idx="270">
                  <c:v>0.42599271718394133</c:v>
                </c:pt>
                <c:pt idx="271">
                  <c:v>0.41716676756769722</c:v>
                </c:pt>
                <c:pt idx="272">
                  <c:v>0.40837866316679122</c:v>
                </c:pt>
                <c:pt idx="273">
                  <c:v>0.39963357710718328</c:v>
                </c:pt>
                <c:pt idx="274">
                  <c:v>0.39093649466799874</c:v>
                </c:pt>
                <c:pt idx="275">
                  <c:v>0.38229221202350183</c:v>
                </c:pt>
                <c:pt idx="276">
                  <c:v>0.3737053356177652</c:v>
                </c:pt>
                <c:pt idx="277">
                  <c:v>0.36518028213420234</c:v>
                </c:pt>
                <c:pt idx="278">
                  <c:v>0.35672127902078116</c:v>
                </c:pt>
                <c:pt idx="279">
                  <c:v>0.34833236553069069</c:v>
                </c:pt>
                <c:pt idx="280">
                  <c:v>0.34001739423749344</c:v>
                </c:pt>
                <c:pt idx="281">
                  <c:v>0.33178003298335135</c:v>
                </c:pt>
                <c:pt idx="282">
                  <c:v>0.32362376721875802</c:v>
                </c:pt>
                <c:pt idx="283">
                  <c:v>0.31555190269234196</c:v>
                </c:pt>
                <c:pt idx="284">
                  <c:v>0.30756756844969962</c:v>
                </c:pt>
                <c:pt idx="285">
                  <c:v>0.29967372010087706</c:v>
                </c:pt>
                <c:pt idx="286">
                  <c:v>0.29187314331702235</c:v>
                </c:pt>
                <c:pt idx="287">
                  <c:v>0.28416845751786507</c:v>
                </c:pt>
                <c:pt idx="288">
                  <c:v>0.27656211971303402</c:v>
                </c:pt>
                <c:pt idx="289">
                  <c:v>0.26905642846177302</c:v>
                </c:pt>
                <c:pt idx="290">
                  <c:v>0.26165352791735141</c:v>
                </c:pt>
                <c:pt idx="291">
                  <c:v>0.2543554119243619</c:v>
                </c:pt>
                <c:pt idx="292">
                  <c:v>0.24716392813914573</c:v>
                </c:pt>
                <c:pt idx="293">
                  <c:v>0.2400807821457456</c:v>
                </c:pt>
                <c:pt idx="294">
                  <c:v>0.23310754154207008</c:v>
                </c:pt>
                <c:pt idx="295">
                  <c:v>0.22624563997330305</c:v>
                </c:pt>
                <c:pt idx="296">
                  <c:v>0.21949638109201305</c:v>
                </c:pt>
                <c:pt idx="297">
                  <c:v>0.21286094242688644</c:v>
                </c:pt>
                <c:pt idx="298">
                  <c:v>0.20634037914448361</c:v>
                </c:pt>
                <c:pt idx="299">
                  <c:v>0.19993562769091497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E5-4A37-AA20-5F3068EC4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381680"/>
        <c:axId val="699380016"/>
      </c:scatterChart>
      <c:valAx>
        <c:axId val="699381680"/>
        <c:scaling>
          <c:orientation val="minMax"/>
          <c:max val="5.0999999999999996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9380016"/>
        <c:crosses val="autoZero"/>
        <c:crossBetween val="midCat"/>
      </c:valAx>
      <c:valAx>
        <c:axId val="699380016"/>
        <c:scaling>
          <c:orientation val="minMax"/>
          <c:max val="1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938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Estymacja dystrybuanty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JED - domyślna szerokość pasma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d.'!$AB$6:$AB$305</c:f>
              <c:numCache>
                <c:formatCode>General</c:formatCode>
                <c:ptCount val="300"/>
                <c:pt idx="0">
                  <c:v>1.4383575051291071E-2</c:v>
                </c:pt>
                <c:pt idx="1">
                  <c:v>1.4884511254975284E-2</c:v>
                </c:pt>
                <c:pt idx="2">
                  <c:v>1.5402972617123971E-2</c:v>
                </c:pt>
                <c:pt idx="3">
                  <c:v>1.5938565861045802E-2</c:v>
                </c:pt>
                <c:pt idx="4">
                  <c:v>1.6490897710049426E-2</c:v>
                </c:pt>
                <c:pt idx="5">
                  <c:v>1.7059574887443519E-2</c:v>
                </c:pt>
                <c:pt idx="6">
                  <c:v>1.7644204116536735E-2</c:v>
                </c:pt>
                <c:pt idx="7">
                  <c:v>1.8244392120637744E-2</c:v>
                </c:pt>
                <c:pt idx="8">
                  <c:v>1.8859745623055195E-2</c:v>
                </c:pt>
                <c:pt idx="9">
                  <c:v>1.9489871347097763E-2</c:v>
                </c:pt>
                <c:pt idx="10">
                  <c:v>2.0134376016074099E-2</c:v>
                </c:pt>
                <c:pt idx="11">
                  <c:v>2.0792866353292874E-2</c:v>
                </c:pt>
                <c:pt idx="12">
                  <c:v>2.1464949082062746E-2</c:v>
                </c:pt>
                <c:pt idx="13">
                  <c:v>2.2150255330695555E-2</c:v>
                </c:pt>
                <c:pt idx="14">
                  <c:v>2.2851705781522541E-2</c:v>
                </c:pt>
                <c:pt idx="15">
                  <c:v>2.3571187032274298E-2</c:v>
                </c:pt>
                <c:pt idx="16">
                  <c:v>2.4308227150921215E-2</c:v>
                </c:pt>
                <c:pt idx="17">
                  <c:v>2.5062354205433693E-2</c:v>
                </c:pt>
                <c:pt idx="18">
                  <c:v>2.5833096263782121E-2</c:v>
                </c:pt>
                <c:pt idx="19">
                  <c:v>2.6619981393936891E-2</c:v>
                </c:pt>
                <c:pt idx="20">
                  <c:v>2.7422537663868408E-2</c:v>
                </c:pt>
                <c:pt idx="21">
                  <c:v>2.8240293141547062E-2</c:v>
                </c:pt>
                <c:pt idx="22">
                  <c:v>2.907277589494324E-2</c:v>
                </c:pt>
                <c:pt idx="23">
                  <c:v>2.9919513992027347E-2</c:v>
                </c:pt>
                <c:pt idx="24">
                  <c:v>3.078003550076977E-2</c:v>
                </c:pt>
                <c:pt idx="25">
                  <c:v>3.165386848914091E-2</c:v>
                </c:pt>
                <c:pt idx="26">
                  <c:v>3.2540541025111155E-2</c:v>
                </c:pt>
                <c:pt idx="27">
                  <c:v>3.3439581176650905E-2</c:v>
                </c:pt>
                <c:pt idx="28">
                  <c:v>3.4352590991378815E-2</c:v>
                </c:pt>
                <c:pt idx="29">
                  <c:v>3.5282601043895537E-2</c:v>
                </c:pt>
                <c:pt idx="30">
                  <c:v>3.6229121226463858E-2</c:v>
                </c:pt>
                <c:pt idx="31">
                  <c:v>3.7191600951715899E-2</c:v>
                </c:pt>
                <c:pt idx="32">
                  <c:v>3.8169489632283782E-2</c:v>
                </c:pt>
                <c:pt idx="33">
                  <c:v>3.9162236680799649E-2</c:v>
                </c:pt>
                <c:pt idx="34">
                  <c:v>4.0169291509895615E-2</c:v>
                </c:pt>
                <c:pt idx="35">
                  <c:v>4.1190103532203814E-2</c:v>
                </c:pt>
                <c:pt idx="36">
                  <c:v>4.222412216035637E-2</c:v>
                </c:pt>
                <c:pt idx="37">
                  <c:v>4.3270796806985416E-2</c:v>
                </c:pt>
                <c:pt idx="38">
                  <c:v>4.4329576884723068E-2</c:v>
                </c:pt>
                <c:pt idx="39">
                  <c:v>4.5399911806201454E-2</c:v>
                </c:pt>
                <c:pt idx="40">
                  <c:v>4.6481250984052702E-2</c:v>
                </c:pt>
                <c:pt idx="41">
                  <c:v>4.7573043830908948E-2</c:v>
                </c:pt>
                <c:pt idx="42">
                  <c:v>4.8675820100557272E-2</c:v>
                </c:pt>
                <c:pt idx="43">
                  <c:v>4.9793183988777426E-2</c:v>
                </c:pt>
                <c:pt idx="44">
                  <c:v>5.0924926821931359E-2</c:v>
                </c:pt>
                <c:pt idx="45">
                  <c:v>5.2070419357312915E-2</c:v>
                </c:pt>
                <c:pt idx="46">
                  <c:v>5.3229032352215981E-2</c:v>
                </c:pt>
                <c:pt idx="47">
                  <c:v>5.4400136563934387E-2</c:v>
                </c:pt>
                <c:pt idx="48">
                  <c:v>5.5583102749762005E-2</c:v>
                </c:pt>
                <c:pt idx="49">
                  <c:v>5.6777301666992699E-2</c:v>
                </c:pt>
                <c:pt idx="50">
                  <c:v>5.7982104072920322E-2</c:v>
                </c:pt>
                <c:pt idx="51">
                  <c:v>5.9196880724838738E-2</c:v>
                </c:pt>
                <c:pt idx="52">
                  <c:v>6.0421002380041784E-2</c:v>
                </c:pt>
                <c:pt idx="53">
                  <c:v>6.1653839795823367E-2</c:v>
                </c:pt>
                <c:pt idx="54">
                  <c:v>6.289476372947729E-2</c:v>
                </c:pt>
                <c:pt idx="55">
                  <c:v>6.4143144938297453E-2</c:v>
                </c:pt>
                <c:pt idx="56">
                  <c:v>6.5399576140176746E-2</c:v>
                </c:pt>
                <c:pt idx="57">
                  <c:v>6.6675912189417652E-2</c:v>
                </c:pt>
                <c:pt idx="58">
                  <c:v>6.7974605082188055E-2</c:v>
                </c:pt>
                <c:pt idx="59">
                  <c:v>6.9294789609766996E-2</c:v>
                </c:pt>
                <c:pt idx="60">
                  <c:v>7.0635600563433529E-2</c:v>
                </c:pt>
                <c:pt idx="61">
                  <c:v>7.1996172734466735E-2</c:v>
                </c:pt>
                <c:pt idx="62">
                  <c:v>7.3375640914145654E-2</c:v>
                </c:pt>
                <c:pt idx="63">
                  <c:v>7.4773139893749327E-2</c:v>
                </c:pt>
                <c:pt idx="64">
                  <c:v>7.6187804464556821E-2</c:v>
                </c:pt>
                <c:pt idx="65">
                  <c:v>7.7618769417847219E-2</c:v>
                </c:pt>
                <c:pt idx="66">
                  <c:v>7.9065169544899547E-2</c:v>
                </c:pt>
                <c:pt idx="67">
                  <c:v>8.0526139636992872E-2</c:v>
                </c:pt>
                <c:pt idx="68">
                  <c:v>8.2000814485406262E-2</c:v>
                </c:pt>
                <c:pt idx="69">
                  <c:v>8.3488328881418744E-2</c:v>
                </c:pt>
                <c:pt idx="70">
                  <c:v>8.4988097508458871E-2</c:v>
                </c:pt>
                <c:pt idx="71">
                  <c:v>8.6516855812311041E-2</c:v>
                </c:pt>
                <c:pt idx="72">
                  <c:v>8.8083930502376437E-2</c:v>
                </c:pt>
                <c:pt idx="73">
                  <c:v>8.9688718660041647E-2</c:v>
                </c:pt>
                <c:pt idx="74">
                  <c:v>9.1334275473572965E-2</c:v>
                </c:pt>
                <c:pt idx="75">
                  <c:v>9.3020193712112481E-2</c:v>
                </c:pt>
                <c:pt idx="76">
                  <c:v>9.4745293545586126E-2</c:v>
                </c:pt>
                <c:pt idx="77">
                  <c:v>9.6508395143919928E-2</c:v>
                </c:pt>
                <c:pt idx="78">
                  <c:v>9.8308318677039847E-2</c:v>
                </c:pt>
                <c:pt idx="79">
                  <c:v>0.10014388431487188</c:v>
                </c:pt>
                <c:pt idx="80">
                  <c:v>0.102013912227342</c:v>
                </c:pt>
                <c:pt idx="81">
                  <c:v>0.10391722258437622</c:v>
                </c:pt>
                <c:pt idx="82">
                  <c:v>0.10585263555590052</c:v>
                </c:pt>
                <c:pt idx="83">
                  <c:v>0.10781897131184083</c:v>
                </c:pt>
                <c:pt idx="84">
                  <c:v>0.10981505002212323</c:v>
                </c:pt>
                <c:pt idx="85">
                  <c:v>0.11184662512075313</c:v>
                </c:pt>
                <c:pt idx="86">
                  <c:v>0.11392240104234844</c:v>
                </c:pt>
                <c:pt idx="87">
                  <c:v>0.11604104412329963</c:v>
                </c:pt>
                <c:pt idx="88">
                  <c:v>0.11820113856751777</c:v>
                </c:pt>
                <c:pt idx="89">
                  <c:v>0.12040126857891414</c:v>
                </c:pt>
                <c:pt idx="90">
                  <c:v>0.1226400183613999</c:v>
                </c:pt>
                <c:pt idx="91">
                  <c:v>0.12491597211888621</c:v>
                </c:pt>
                <c:pt idx="92">
                  <c:v>0.12722771405528432</c:v>
                </c:pt>
                <c:pt idx="93">
                  <c:v>0.12957382837450529</c:v>
                </c:pt>
                <c:pt idx="94">
                  <c:v>0.13195289928046045</c:v>
                </c:pt>
                <c:pt idx="95">
                  <c:v>0.13436351097706084</c:v>
                </c:pt>
                <c:pt idx="96">
                  <c:v>0.1368042476682178</c:v>
                </c:pt>
                <c:pt idx="97">
                  <c:v>0.13927369355784239</c:v>
                </c:pt>
                <c:pt idx="98">
                  <c:v>0.14177043284984581</c:v>
                </c:pt>
                <c:pt idx="99">
                  <c:v>0.14429806356183245</c:v>
                </c:pt>
                <c:pt idx="100">
                  <c:v>0.14687147355938693</c:v>
                </c:pt>
                <c:pt idx="101">
                  <c:v>0.14949022274121418</c:v>
                </c:pt>
                <c:pt idx="102">
                  <c:v>0.15215258068987234</c:v>
                </c:pt>
                <c:pt idx="103">
                  <c:v>0.15485681698791962</c:v>
                </c:pt>
                <c:pt idx="104">
                  <c:v>0.15760120121791404</c:v>
                </c:pt>
                <c:pt idx="105">
                  <c:v>0.16038400296241367</c:v>
                </c:pt>
                <c:pt idx="106">
                  <c:v>0.1632034918039767</c:v>
                </c:pt>
                <c:pt idx="107">
                  <c:v>0.16605793732516128</c:v>
                </c:pt>
                <c:pt idx="108">
                  <c:v>0.16894560910852541</c:v>
                </c:pt>
                <c:pt idx="109">
                  <c:v>0.17186477673662726</c:v>
                </c:pt>
                <c:pt idx="110">
                  <c:v>0.17481370979202501</c:v>
                </c:pt>
                <c:pt idx="111">
                  <c:v>0.1777906778572767</c:v>
                </c:pt>
                <c:pt idx="112">
                  <c:v>0.1807939505149404</c:v>
                </c:pt>
                <c:pt idx="113">
                  <c:v>0.18382282979563147</c:v>
                </c:pt>
                <c:pt idx="114">
                  <c:v>0.18688400889511411</c:v>
                </c:pt>
                <c:pt idx="115">
                  <c:v>0.18997748537468617</c:v>
                </c:pt>
                <c:pt idx="116">
                  <c:v>0.19310471813191907</c:v>
                </c:pt>
                <c:pt idx="117">
                  <c:v>0.19627168574691889</c:v>
                </c:pt>
                <c:pt idx="118">
                  <c:v>0.19947697349362442</c:v>
                </c:pt>
                <c:pt idx="119">
                  <c:v>0.20271885095459349</c:v>
                </c:pt>
                <c:pt idx="120">
                  <c:v>0.20599558771238435</c:v>
                </c:pt>
                <c:pt idx="121">
                  <c:v>0.20930545334955503</c:v>
                </c:pt>
                <c:pt idx="122">
                  <c:v>0.21264671744866365</c:v>
                </c:pt>
                <c:pt idx="123">
                  <c:v>0.21601764959226838</c:v>
                </c:pt>
                <c:pt idx="124">
                  <c:v>0.21941651936292722</c:v>
                </c:pt>
                <c:pt idx="125">
                  <c:v>0.22284159634319853</c:v>
                </c:pt>
                <c:pt idx="126">
                  <c:v>0.22629115011564011</c:v>
                </c:pt>
                <c:pt idx="127">
                  <c:v>0.22976385210876998</c:v>
                </c:pt>
                <c:pt idx="128">
                  <c:v>0.23327277312577085</c:v>
                </c:pt>
                <c:pt idx="129">
                  <c:v>0.23682342267246884</c:v>
                </c:pt>
                <c:pt idx="130">
                  <c:v>0.24041375571006895</c:v>
                </c:pt>
                <c:pt idx="131">
                  <c:v>0.24404172719977621</c:v>
                </c:pt>
                <c:pt idx="132">
                  <c:v>0.2477052921027959</c:v>
                </c:pt>
                <c:pt idx="133">
                  <c:v>0.25140240538033259</c:v>
                </c:pt>
                <c:pt idx="134">
                  <c:v>0.25513102199359178</c:v>
                </c:pt>
                <c:pt idx="135">
                  <c:v>0.25888909690377832</c:v>
                </c:pt>
                <c:pt idx="136">
                  <c:v>0.26267458507209723</c:v>
                </c:pt>
                <c:pt idx="137">
                  <c:v>0.26648544145975361</c:v>
                </c:pt>
                <c:pt idx="138">
                  <c:v>0.27031962102795248</c:v>
                </c:pt>
                <c:pt idx="139">
                  <c:v>0.27417507873789893</c:v>
                </c:pt>
                <c:pt idx="140">
                  <c:v>0.2780497695507978</c:v>
                </c:pt>
                <c:pt idx="141">
                  <c:v>0.28194164842785446</c:v>
                </c:pt>
                <c:pt idx="142">
                  <c:v>0.28586659712130397</c:v>
                </c:pt>
                <c:pt idx="143">
                  <c:v>0.28984399953361034</c:v>
                </c:pt>
                <c:pt idx="144">
                  <c:v>0.29387178579793477</c:v>
                </c:pt>
                <c:pt idx="145">
                  <c:v>0.29795546007262186</c:v>
                </c:pt>
                <c:pt idx="146">
                  <c:v>0.30209546280598554</c:v>
                </c:pt>
                <c:pt idx="147">
                  <c:v>0.3062893556825394</c:v>
                </c:pt>
                <c:pt idx="148">
                  <c:v>0.31053470038679704</c:v>
                </c:pt>
                <c:pt idx="149">
                  <c:v>0.31482905860327237</c:v>
                </c:pt>
                <c:pt idx="150">
                  <c:v>0.31916999201647894</c:v>
                </c:pt>
                <c:pt idx="151">
                  <c:v>0.32355506231093079</c:v>
                </c:pt>
                <c:pt idx="152">
                  <c:v>0.32798183117114121</c:v>
                </c:pt>
                <c:pt idx="153">
                  <c:v>0.33244786028162404</c:v>
                </c:pt>
                <c:pt idx="154">
                  <c:v>0.33695071132689308</c:v>
                </c:pt>
                <c:pt idx="155">
                  <c:v>0.34148794599146187</c:v>
                </c:pt>
                <c:pt idx="156">
                  <c:v>0.34606144410554412</c:v>
                </c:pt>
                <c:pt idx="157">
                  <c:v>0.35068068106440042</c:v>
                </c:pt>
                <c:pt idx="158">
                  <c:v>0.35534370256469572</c:v>
                </c:pt>
                <c:pt idx="159">
                  <c:v>0.36005097425759003</c:v>
                </c:pt>
                <c:pt idx="160">
                  <c:v>0.36480246148706763</c:v>
                </c:pt>
                <c:pt idx="161">
                  <c:v>0.36959556862696563</c:v>
                </c:pt>
                <c:pt idx="162">
                  <c:v>0.37442770005112136</c:v>
                </c:pt>
                <c:pt idx="163">
                  <c:v>0.37929626013337175</c:v>
                </c:pt>
                <c:pt idx="164">
                  <c:v>0.38419865324755442</c:v>
                </c:pt>
                <c:pt idx="165">
                  <c:v>0.38913228376750586</c:v>
                </c:pt>
                <c:pt idx="166">
                  <c:v>0.39409455606706378</c:v>
                </c:pt>
                <c:pt idx="167">
                  <c:v>0.39908287452006497</c:v>
                </c:pt>
                <c:pt idx="168">
                  <c:v>0.40409464350034718</c:v>
                </c:pt>
                <c:pt idx="169">
                  <c:v>0.40912726738174676</c:v>
                </c:pt>
                <c:pt idx="170">
                  <c:v>0.4141813404707605</c:v>
                </c:pt>
                <c:pt idx="171">
                  <c:v>0.41927544890038093</c:v>
                </c:pt>
                <c:pt idx="172">
                  <c:v>0.42441056672517696</c:v>
                </c:pt>
                <c:pt idx="173">
                  <c:v>0.42958559367845017</c:v>
                </c:pt>
                <c:pt idx="174">
                  <c:v>0.43480131981784026</c:v>
                </c:pt>
                <c:pt idx="175">
                  <c:v>0.44005493535732176</c:v>
                </c:pt>
                <c:pt idx="176">
                  <c:v>0.44534353004937843</c:v>
                </c:pt>
                <c:pt idx="177">
                  <c:v>0.4506641936464944</c:v>
                </c:pt>
                <c:pt idx="178">
                  <c:v>0.45601401590115404</c:v>
                </c:pt>
                <c:pt idx="179">
                  <c:v>0.4613900865658413</c:v>
                </c:pt>
                <c:pt idx="180">
                  <c:v>0.46678949539304015</c:v>
                </c:pt>
                <c:pt idx="181">
                  <c:v>0.4722093321352348</c:v>
                </c:pt>
                <c:pt idx="182">
                  <c:v>0.4776466865449091</c:v>
                </c:pt>
                <c:pt idx="183">
                  <c:v>0.48309864837454769</c:v>
                </c:pt>
                <c:pt idx="184">
                  <c:v>0.48856262306801485</c:v>
                </c:pt>
                <c:pt idx="185">
                  <c:v>0.49404340937534225</c:v>
                </c:pt>
                <c:pt idx="186">
                  <c:v>0.49954128636402795</c:v>
                </c:pt>
                <c:pt idx="187">
                  <c:v>0.50505412912058689</c:v>
                </c:pt>
                <c:pt idx="188">
                  <c:v>0.51058316054876862</c:v>
                </c:pt>
                <c:pt idx="189">
                  <c:v>0.51612590796974711</c:v>
                </c:pt>
                <c:pt idx="190">
                  <c:v>0.52167938248066859</c:v>
                </c:pt>
                <c:pt idx="191">
                  <c:v>0.52724059517867872</c:v>
                </c:pt>
                <c:pt idx="192">
                  <c:v>0.53280655716092296</c:v>
                </c:pt>
                <c:pt idx="193">
                  <c:v>0.53837427952454775</c:v>
                </c:pt>
                <c:pt idx="194">
                  <c:v>0.54394077336669877</c:v>
                </c:pt>
                <c:pt idx="195">
                  <c:v>0.54950304978452169</c:v>
                </c:pt>
                <c:pt idx="196">
                  <c:v>0.55505811987516218</c:v>
                </c:pt>
                <c:pt idx="197">
                  <c:v>0.56060299473576647</c:v>
                </c:pt>
                <c:pt idx="198">
                  <c:v>0.56613468546347978</c:v>
                </c:pt>
                <c:pt idx="199">
                  <c:v>0.57165585039048294</c:v>
                </c:pt>
                <c:pt idx="200">
                  <c:v>0.57716910479570704</c:v>
                </c:pt>
                <c:pt idx="201">
                  <c:v>0.58267227024477641</c:v>
                </c:pt>
                <c:pt idx="202">
                  <c:v>0.5881746642364295</c:v>
                </c:pt>
                <c:pt idx="203">
                  <c:v>0.59367713688342116</c:v>
                </c:pt>
                <c:pt idx="204">
                  <c:v>0.59917677793823554</c:v>
                </c:pt>
                <c:pt idx="205">
                  <c:v>0.60467067715335565</c:v>
                </c:pt>
                <c:pt idx="206">
                  <c:v>0.61015592428126708</c:v>
                </c:pt>
                <c:pt idx="207">
                  <c:v>0.61562960907445263</c:v>
                </c:pt>
                <c:pt idx="208">
                  <c:v>0.62108882128539722</c:v>
                </c:pt>
                <c:pt idx="209">
                  <c:v>0.62653065066658442</c:v>
                </c:pt>
                <c:pt idx="210">
                  <c:v>0.6319521869704986</c:v>
                </c:pt>
                <c:pt idx="211">
                  <c:v>0.63735051994962399</c:v>
                </c:pt>
                <c:pt idx="212">
                  <c:v>0.64272273935644464</c:v>
                </c:pt>
                <c:pt idx="213">
                  <c:v>0.64806757306153595</c:v>
                </c:pt>
                <c:pt idx="214">
                  <c:v>0.65338595158200874</c:v>
                </c:pt>
                <c:pt idx="215">
                  <c:v>0.65867518847664963</c:v>
                </c:pt>
                <c:pt idx="216">
                  <c:v>0.66394916189378284</c:v>
                </c:pt>
                <c:pt idx="217">
                  <c:v>0.669216831647377</c:v>
                </c:pt>
                <c:pt idx="218">
                  <c:v>0.67447560211127078</c:v>
                </c:pt>
                <c:pt idx="219">
                  <c:v>0.67972287765930017</c:v>
                </c:pt>
                <c:pt idx="220">
                  <c:v>0.68495606266530285</c:v>
                </c:pt>
                <c:pt idx="221">
                  <c:v>0.69017256150311601</c:v>
                </c:pt>
                <c:pt idx="222">
                  <c:v>0.69536977854657678</c:v>
                </c:pt>
                <c:pt idx="223">
                  <c:v>0.70054511816952214</c:v>
                </c:pt>
                <c:pt idx="224">
                  <c:v>0.7056959847457891</c:v>
                </c:pt>
                <c:pt idx="225">
                  <c:v>0.71081978264921575</c:v>
                </c:pt>
                <c:pt idx="226">
                  <c:v>0.71591391625363832</c:v>
                </c:pt>
                <c:pt idx="227">
                  <c:v>0.72097656253210995</c:v>
                </c:pt>
                <c:pt idx="228">
                  <c:v>0.7260093608768089</c:v>
                </c:pt>
                <c:pt idx="229">
                  <c:v>0.73101029257303252</c:v>
                </c:pt>
                <c:pt idx="230">
                  <c:v>0.73598303445616775</c:v>
                </c:pt>
                <c:pt idx="231">
                  <c:v>0.74093570860343194</c:v>
                </c:pt>
                <c:pt idx="232">
                  <c:v>0.74586604463462791</c:v>
                </c:pt>
                <c:pt idx="233">
                  <c:v>0.75077160423426947</c:v>
                </c:pt>
                <c:pt idx="234">
                  <c:v>0.75564994908687055</c:v>
                </c:pt>
                <c:pt idx="235">
                  <c:v>0.76049864087694485</c:v>
                </c:pt>
                <c:pt idx="236">
                  <c:v>0.76531524128900552</c:v>
                </c:pt>
                <c:pt idx="237">
                  <c:v>0.77009731200756704</c:v>
                </c:pt>
                <c:pt idx="238">
                  <c:v>0.77484241471714299</c:v>
                </c:pt>
                <c:pt idx="239">
                  <c:v>0.7795481111022462</c:v>
                </c:pt>
                <c:pt idx="240">
                  <c:v>0.7842119628473917</c:v>
                </c:pt>
                <c:pt idx="241">
                  <c:v>0.78883153163709241</c:v>
                </c:pt>
                <c:pt idx="242">
                  <c:v>0.79340437915586226</c:v>
                </c:pt>
                <c:pt idx="243">
                  <c:v>0.79792806708821462</c:v>
                </c:pt>
                <c:pt idx="244">
                  <c:v>0.80240458005851512</c:v>
                </c:pt>
                <c:pt idx="245">
                  <c:v>0.80684843983530907</c:v>
                </c:pt>
                <c:pt idx="246">
                  <c:v>0.81125915200526166</c:v>
                </c:pt>
                <c:pt idx="247">
                  <c:v>0.81563459287423934</c:v>
                </c:pt>
                <c:pt idx="248">
                  <c:v>0.81997263874810944</c:v>
                </c:pt>
                <c:pt idx="249">
                  <c:v>0.82427116593273853</c:v>
                </c:pt>
                <c:pt idx="250">
                  <c:v>0.82852805073399338</c:v>
                </c:pt>
                <c:pt idx="251">
                  <c:v>0.83274116945774102</c:v>
                </c:pt>
                <c:pt idx="252">
                  <c:v>0.83690839840984732</c:v>
                </c:pt>
                <c:pt idx="253">
                  <c:v>0.84102761389618041</c:v>
                </c:pt>
                <c:pt idx="254">
                  <c:v>0.84509669222260586</c:v>
                </c:pt>
                <c:pt idx="255">
                  <c:v>0.84911350969499111</c:v>
                </c:pt>
                <c:pt idx="256">
                  <c:v>0.85307594261920272</c:v>
                </c:pt>
                <c:pt idx="257">
                  <c:v>0.85698186730110759</c:v>
                </c:pt>
                <c:pt idx="258">
                  <c:v>0.86083000118470865</c:v>
                </c:pt>
                <c:pt idx="259">
                  <c:v>0.86462668745284432</c:v>
                </c:pt>
                <c:pt idx="260">
                  <c:v>0.86837212040436784</c:v>
                </c:pt>
                <c:pt idx="261">
                  <c:v>0.87206433365582259</c:v>
                </c:pt>
                <c:pt idx="262">
                  <c:v>0.87570136082375205</c:v>
                </c:pt>
                <c:pt idx="263">
                  <c:v>0.87928123552469895</c:v>
                </c:pt>
                <c:pt idx="264">
                  <c:v>0.88280199137520754</c:v>
                </c:pt>
                <c:pt idx="265">
                  <c:v>0.88626166199182022</c:v>
                </c:pt>
                <c:pt idx="266">
                  <c:v>0.88965828099108069</c:v>
                </c:pt>
                <c:pt idx="267">
                  <c:v>0.89298988198953255</c:v>
                </c:pt>
                <c:pt idx="268">
                  <c:v>0.8962544986037182</c:v>
                </c:pt>
                <c:pt idx="269">
                  <c:v>0.89945016445018244</c:v>
                </c:pt>
                <c:pt idx="270">
                  <c:v>0.90257491314546667</c:v>
                </c:pt>
                <c:pt idx="271">
                  <c:v>0.90562677830611593</c:v>
                </c:pt>
                <c:pt idx="272">
                  <c:v>0.90860403546719537</c:v>
                </c:pt>
                <c:pt idx="273">
                  <c:v>0.91151904289312269</c:v>
                </c:pt>
                <c:pt idx="274">
                  <c:v>0.91437844474038665</c:v>
                </c:pt>
                <c:pt idx="275">
                  <c:v>0.9171805892468845</c:v>
                </c:pt>
                <c:pt idx="276">
                  <c:v>0.91992382465051181</c:v>
                </c:pt>
                <c:pt idx="277">
                  <c:v>0.92260649918916571</c:v>
                </c:pt>
                <c:pt idx="278">
                  <c:v>0.92522696110074198</c:v>
                </c:pt>
                <c:pt idx="279">
                  <c:v>0.92778355862313755</c:v>
                </c:pt>
                <c:pt idx="280">
                  <c:v>0.93027463999424842</c:v>
                </c:pt>
                <c:pt idx="281">
                  <c:v>0.93269855345197084</c:v>
                </c:pt>
                <c:pt idx="282">
                  <c:v>0.9350536472342017</c:v>
                </c:pt>
                <c:pt idx="283">
                  <c:v>0.93733826957883692</c:v>
                </c:pt>
                <c:pt idx="284">
                  <c:v>0.93955076872377308</c:v>
                </c:pt>
                <c:pt idx="285">
                  <c:v>0.94168949290690651</c:v>
                </c:pt>
                <c:pt idx="286">
                  <c:v>0.9437527903661338</c:v>
                </c:pt>
                <c:pt idx="287">
                  <c:v>0.94575551904767241</c:v>
                </c:pt>
                <c:pt idx="288">
                  <c:v>0.94771977548994513</c:v>
                </c:pt>
                <c:pt idx="289">
                  <c:v>0.94964462935323757</c:v>
                </c:pt>
                <c:pt idx="290">
                  <c:v>0.95152897946281467</c:v>
                </c:pt>
                <c:pt idx="291">
                  <c:v>0.9533717246439406</c:v>
                </c:pt>
                <c:pt idx="292">
                  <c:v>0.95517176372187951</c:v>
                </c:pt>
                <c:pt idx="293">
                  <c:v>0.95692799552189556</c:v>
                </c:pt>
                <c:pt idx="294">
                  <c:v>0.95863931886925313</c:v>
                </c:pt>
                <c:pt idx="295">
                  <c:v>0.96030463258921661</c:v>
                </c:pt>
                <c:pt idx="296">
                  <c:v>0.96192283550705016</c:v>
                </c:pt>
                <c:pt idx="297">
                  <c:v>0.9634928264480177</c:v>
                </c:pt>
                <c:pt idx="298">
                  <c:v>0.96501350423738375</c:v>
                </c:pt>
                <c:pt idx="299">
                  <c:v>0.96648376770041278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9-494E-BBDE-4AB0F40C829E}"/>
            </c:ext>
          </c:extLst>
        </c:ser>
        <c:ser>
          <c:idx val="1"/>
          <c:order val="1"/>
          <c:tx>
            <c:v>JED - mała szerokość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d.'!$AC$6:$AC$305</c:f>
              <c:numCache>
                <c:formatCode>General</c:formatCode>
                <c:ptCount val="300"/>
                <c:pt idx="0">
                  <c:v>0.01</c:v>
                </c:pt>
                <c:pt idx="1">
                  <c:v>1.0941050007687724E-2</c:v>
                </c:pt>
                <c:pt idx="2">
                  <c:v>1.1874662967890429E-2</c:v>
                </c:pt>
                <c:pt idx="3">
                  <c:v>1.2793401833123079E-2</c:v>
                </c:pt>
                <c:pt idx="4">
                  <c:v>1.3689829555900659E-2</c:v>
                </c:pt>
                <c:pt idx="5">
                  <c:v>1.4556509088738141E-2</c:v>
                </c:pt>
                <c:pt idx="6">
                  <c:v>1.53860033841505E-2</c:v>
                </c:pt>
                <c:pt idx="7">
                  <c:v>1.6170875394652715E-2</c:v>
                </c:pt>
                <c:pt idx="8">
                  <c:v>1.6903688072759757E-2</c:v>
                </c:pt>
                <c:pt idx="9">
                  <c:v>1.7577004370986603E-2</c:v>
                </c:pt>
                <c:pt idx="10">
                  <c:v>1.8183387241848231E-2</c:v>
                </c:pt>
                <c:pt idx="11">
                  <c:v>1.8715399637859613E-2</c:v>
                </c:pt>
                <c:pt idx="12">
                  <c:v>1.9165604511535726E-2</c:v>
                </c:pt>
                <c:pt idx="13">
                  <c:v>1.9526564815391546E-2</c:v>
                </c:pt>
                <c:pt idx="14">
                  <c:v>1.9790843501942053E-2</c:v>
                </c:pt>
                <c:pt idx="15">
                  <c:v>1.9951003523702212E-2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2.0004924458699821E-2</c:v>
                </c:pt>
                <c:pt idx="28">
                  <c:v>2.0167396963762272E-2</c:v>
                </c:pt>
                <c:pt idx="29">
                  <c:v>2.0548731151955452E-2</c:v>
                </c:pt>
                <c:pt idx="30">
                  <c:v>2.1134052928309319E-2</c:v>
                </c:pt>
                <c:pt idx="31">
                  <c:v>2.1908488197853817E-2</c:v>
                </c:pt>
                <c:pt idx="32">
                  <c:v>2.2857162865618907E-2</c:v>
                </c:pt>
                <c:pt idx="33">
                  <c:v>2.3965202836634523E-2</c:v>
                </c:pt>
                <c:pt idx="34">
                  <c:v>2.5217734015930637E-2</c:v>
                </c:pt>
                <c:pt idx="35">
                  <c:v>2.6599882308537191E-2</c:v>
                </c:pt>
                <c:pt idx="36">
                  <c:v>2.8096773619484133E-2</c:v>
                </c:pt>
                <c:pt idx="37">
                  <c:v>2.9693533853801416E-2</c:v>
                </c:pt>
                <c:pt idx="38">
                  <c:v>3.1375288916518994E-2</c:v>
                </c:pt>
                <c:pt idx="39">
                  <c:v>3.3127164712666815E-2</c:v>
                </c:pt>
                <c:pt idx="40">
                  <c:v>3.4934287147274833E-2</c:v>
                </c:pt>
                <c:pt idx="41">
                  <c:v>3.6781782125372996E-2</c:v>
                </c:pt>
                <c:pt idx="42">
                  <c:v>3.8654775551991261E-2</c:v>
                </c:pt>
                <c:pt idx="43">
                  <c:v>4.053839333215957E-2</c:v>
                </c:pt>
                <c:pt idx="44">
                  <c:v>4.2417761370907886E-2</c:v>
                </c:pt>
                <c:pt idx="45">
                  <c:v>4.4278005573266145E-2</c:v>
                </c:pt>
                <c:pt idx="46">
                  <c:v>4.610425184426431E-2</c:v>
                </c:pt>
                <c:pt idx="47">
                  <c:v>4.7881626088932323E-2</c:v>
                </c:pt>
                <c:pt idx="48">
                  <c:v>4.9595254212300148E-2</c:v>
                </c:pt>
                <c:pt idx="49">
                  <c:v>5.1230262119397726E-2</c:v>
                </c:pt>
                <c:pt idx="50">
                  <c:v>5.2771775715255008E-2</c:v>
                </c:pt>
                <c:pt idx="51">
                  <c:v>5.4204920904901963E-2</c:v>
                </c:pt>
                <c:pt idx="52">
                  <c:v>5.5514823593368519E-2</c:v>
                </c:pt>
                <c:pt idx="53">
                  <c:v>5.6686609685684626E-2</c:v>
                </c:pt>
                <c:pt idx="54">
                  <c:v>5.7705405086880254E-2</c:v>
                </c:pt>
                <c:pt idx="55">
                  <c:v>5.8556335701985346E-2</c:v>
                </c:pt>
                <c:pt idx="56">
                  <c:v>5.9286348065128787E-2</c:v>
                </c:pt>
                <c:pt idx="57">
                  <c:v>6.0035896208083764E-2</c:v>
                </c:pt>
                <c:pt idx="58">
                  <c:v>6.0784027770565442E-2</c:v>
                </c:pt>
                <c:pt idx="59">
                  <c:v>6.1517066160534359E-2</c:v>
                </c:pt>
                <c:pt idx="60">
                  <c:v>6.2384624732147467E-2</c:v>
                </c:pt>
                <c:pt idx="61">
                  <c:v>6.3418631509377807E-2</c:v>
                </c:pt>
                <c:pt idx="62">
                  <c:v>6.4604212397255348E-2</c:v>
                </c:pt>
                <c:pt idx="63">
                  <c:v>6.5926493300810018E-2</c:v>
                </c:pt>
                <c:pt idx="64">
                  <c:v>6.7370600125071775E-2</c:v>
                </c:pt>
                <c:pt idx="65">
                  <c:v>6.8921658775070588E-2</c:v>
                </c:pt>
                <c:pt idx="66">
                  <c:v>7.0564795155836399E-2</c:v>
                </c:pt>
                <c:pt idx="67">
                  <c:v>7.2285135172399123E-2</c:v>
                </c:pt>
                <c:pt idx="68">
                  <c:v>7.4067804729788772E-2</c:v>
                </c:pt>
                <c:pt idx="69">
                  <c:v>7.589792973303526E-2</c:v>
                </c:pt>
                <c:pt idx="70">
                  <c:v>7.7774708614896146E-2</c:v>
                </c:pt>
                <c:pt idx="71">
                  <c:v>7.97683833146067E-2</c:v>
                </c:pt>
                <c:pt idx="72">
                  <c:v>8.1872197146119319E-2</c:v>
                </c:pt>
                <c:pt idx="73">
                  <c:v>8.4063838966978888E-2</c:v>
                </c:pt>
                <c:pt idx="74">
                  <c:v>8.6320997634730418E-2</c:v>
                </c:pt>
                <c:pt idx="75">
                  <c:v>8.862136200691878E-2</c:v>
                </c:pt>
                <c:pt idx="76">
                  <c:v>9.0942620941088917E-2</c:v>
                </c:pt>
                <c:pt idx="77">
                  <c:v>9.3262463294785755E-2</c:v>
                </c:pt>
                <c:pt idx="78">
                  <c:v>9.5558577925554222E-2</c:v>
                </c:pt>
                <c:pt idx="79">
                  <c:v>9.780865369093926E-2</c:v>
                </c:pt>
                <c:pt idx="80">
                  <c:v>9.9990379448485739E-2</c:v>
                </c:pt>
                <c:pt idx="81">
                  <c:v>0.10208144405573866</c:v>
                </c:pt>
                <c:pt idx="82">
                  <c:v>0.10405953637024291</c:v>
                </c:pt>
                <c:pt idx="83">
                  <c:v>0.10590234524954339</c:v>
                </c:pt>
                <c:pt idx="84">
                  <c:v>0.10759129899834602</c:v>
                </c:pt>
                <c:pt idx="85">
                  <c:v>0.10918322346539291</c:v>
                </c:pt>
                <c:pt idx="86">
                  <c:v>0.11068200776631791</c:v>
                </c:pt>
                <c:pt idx="87">
                  <c:v>0.11205790371118091</c:v>
                </c:pt>
                <c:pt idx="88">
                  <c:v>0.11337686991268738</c:v>
                </c:pt>
                <c:pt idx="89">
                  <c:v>0.11476207059893287</c:v>
                </c:pt>
                <c:pt idx="90">
                  <c:v>0.11620003890781025</c:v>
                </c:pt>
                <c:pt idx="91">
                  <c:v>0.11767590074434944</c:v>
                </c:pt>
                <c:pt idx="92">
                  <c:v>0.11917478201358041</c:v>
                </c:pt>
                <c:pt idx="93">
                  <c:v>0.1206818086205331</c:v>
                </c:pt>
                <c:pt idx="94">
                  <c:v>0.12218210647023747</c:v>
                </c:pt>
                <c:pt idx="95">
                  <c:v>0.12366080146772347</c:v>
                </c:pt>
                <c:pt idx="96">
                  <c:v>0.12510301951802105</c:v>
                </c:pt>
                <c:pt idx="97">
                  <c:v>0.12649388652616014</c:v>
                </c:pt>
                <c:pt idx="98">
                  <c:v>0.12781853985128944</c:v>
                </c:pt>
                <c:pt idx="99">
                  <c:v>0.12912163157024781</c:v>
                </c:pt>
                <c:pt idx="100">
                  <c:v>0.13043959738417629</c:v>
                </c:pt>
                <c:pt idx="101">
                  <c:v>0.13175012615061979</c:v>
                </c:pt>
                <c:pt idx="102">
                  <c:v>0.13305647331171863</c:v>
                </c:pt>
                <c:pt idx="103">
                  <c:v>0.13442691795136683</c:v>
                </c:pt>
                <c:pt idx="104">
                  <c:v>0.13585367166483026</c:v>
                </c:pt>
                <c:pt idx="105">
                  <c:v>0.13732186035713886</c:v>
                </c:pt>
                <c:pt idx="106">
                  <c:v>0.13881660993332257</c:v>
                </c:pt>
                <c:pt idx="107">
                  <c:v>0.14032304629841139</c:v>
                </c:pt>
                <c:pt idx="108">
                  <c:v>0.14182629535743521</c:v>
                </c:pt>
                <c:pt idx="109">
                  <c:v>0.14331148301542398</c:v>
                </c:pt>
                <c:pt idx="110">
                  <c:v>0.14476373517740773</c:v>
                </c:pt>
                <c:pt idx="111">
                  <c:v>0.14616817774841634</c:v>
                </c:pt>
                <c:pt idx="112">
                  <c:v>0.14750993663347978</c:v>
                </c:pt>
                <c:pt idx="113">
                  <c:v>0.14887928654696589</c:v>
                </c:pt>
                <c:pt idx="114">
                  <c:v>0.15048509223784678</c:v>
                </c:pt>
                <c:pt idx="115">
                  <c:v>0.15229913525830852</c:v>
                </c:pt>
                <c:pt idx="116">
                  <c:v>0.15429449667514189</c:v>
                </c:pt>
                <c:pt idx="117">
                  <c:v>0.15652516402323743</c:v>
                </c:pt>
                <c:pt idx="118">
                  <c:v>0.15898142181171215</c:v>
                </c:pt>
                <c:pt idx="119">
                  <c:v>0.16163352185062596</c:v>
                </c:pt>
                <c:pt idx="120">
                  <c:v>0.16445171595003871</c:v>
                </c:pt>
                <c:pt idx="121">
                  <c:v>0.16740625592001032</c:v>
                </c:pt>
                <c:pt idx="122">
                  <c:v>0.1704673935706007</c:v>
                </c:pt>
                <c:pt idx="123">
                  <c:v>0.17360538071186973</c:v>
                </c:pt>
                <c:pt idx="124">
                  <c:v>0.17679046915387733</c:v>
                </c:pt>
                <c:pt idx="125">
                  <c:v>0.17999291070668341</c:v>
                </c:pt>
                <c:pt idx="126">
                  <c:v>0.18318295718034791</c:v>
                </c:pt>
                <c:pt idx="127">
                  <c:v>0.18641547498889119</c:v>
                </c:pt>
                <c:pt idx="128">
                  <c:v>0.19008418442609645</c:v>
                </c:pt>
                <c:pt idx="129">
                  <c:v>0.19418601334302504</c:v>
                </c:pt>
                <c:pt idx="130">
                  <c:v>0.1986558804912272</c:v>
                </c:pt>
                <c:pt idx="131">
                  <c:v>0.20350525705279349</c:v>
                </c:pt>
                <c:pt idx="132">
                  <c:v>0.20871409090946955</c:v>
                </c:pt>
                <c:pt idx="133">
                  <c:v>0.2142228856813751</c:v>
                </c:pt>
                <c:pt idx="134">
                  <c:v>0.21997214498862994</c:v>
                </c:pt>
                <c:pt idx="135">
                  <c:v>0.22590237245135389</c:v>
                </c:pt>
                <c:pt idx="136">
                  <c:v>0.23195407168966675</c:v>
                </c:pt>
                <c:pt idx="137">
                  <c:v>0.23806774632368832</c:v>
                </c:pt>
                <c:pt idx="138">
                  <c:v>0.24418389997353851</c:v>
                </c:pt>
                <c:pt idx="139">
                  <c:v>0.25024303625933692</c:v>
                </c:pt>
                <c:pt idx="140">
                  <c:v>0.25618565880120353</c:v>
                </c:pt>
                <c:pt idx="141">
                  <c:v>0.26196811382467661</c:v>
                </c:pt>
                <c:pt idx="142">
                  <c:v>0.26777515570240018</c:v>
                </c:pt>
                <c:pt idx="143">
                  <c:v>0.27361336235053774</c:v>
                </c:pt>
                <c:pt idx="144">
                  <c:v>0.27940092624675378</c:v>
                </c:pt>
                <c:pt idx="145">
                  <c:v>0.28521551381645782</c:v>
                </c:pt>
                <c:pt idx="146">
                  <c:v>0.29119127422296809</c:v>
                </c:pt>
                <c:pt idx="147">
                  <c:v>0.29726938256867724</c:v>
                </c:pt>
                <c:pt idx="148">
                  <c:v>0.303390342473705</c:v>
                </c:pt>
                <c:pt idx="149">
                  <c:v>0.30949465755817124</c:v>
                </c:pt>
                <c:pt idx="150">
                  <c:v>0.31552283144219573</c:v>
                </c:pt>
                <c:pt idx="151">
                  <c:v>0.32141536774589829</c:v>
                </c:pt>
                <c:pt idx="152">
                  <c:v>0.32711277008939865</c:v>
                </c:pt>
                <c:pt idx="153">
                  <c:v>0.33255554209281668</c:v>
                </c:pt>
                <c:pt idx="154">
                  <c:v>0.33768418737627198</c:v>
                </c:pt>
                <c:pt idx="155">
                  <c:v>0.34244010486958176</c:v>
                </c:pt>
                <c:pt idx="156">
                  <c:v>0.34702199225046082</c:v>
                </c:pt>
                <c:pt idx="157">
                  <c:v>0.35155323687941809</c:v>
                </c:pt>
                <c:pt idx="158">
                  <c:v>0.35594459418663382</c:v>
                </c:pt>
                <c:pt idx="159">
                  <c:v>0.3602541286664489</c:v>
                </c:pt>
                <c:pt idx="160">
                  <c:v>0.36483686557401002</c:v>
                </c:pt>
                <c:pt idx="161">
                  <c:v>0.3696671499192869</c:v>
                </c:pt>
                <c:pt idx="162">
                  <c:v>0.37469292236988488</c:v>
                </c:pt>
                <c:pt idx="163">
                  <c:v>0.37986212359340832</c:v>
                </c:pt>
                <c:pt idx="164">
                  <c:v>0.38512269425746221</c:v>
                </c:pt>
                <c:pt idx="165">
                  <c:v>0.39042257502965133</c:v>
                </c:pt>
                <c:pt idx="166">
                  <c:v>0.39570970657758048</c:v>
                </c:pt>
                <c:pt idx="167">
                  <c:v>0.40093202956885471</c:v>
                </c:pt>
                <c:pt idx="168">
                  <c:v>0.40603748467107847</c:v>
                </c:pt>
                <c:pt idx="169">
                  <c:v>0.41097401255185673</c:v>
                </c:pt>
                <c:pt idx="170">
                  <c:v>0.41576844240204491</c:v>
                </c:pt>
                <c:pt idx="171">
                  <c:v>0.42051065001319032</c:v>
                </c:pt>
                <c:pt idx="172">
                  <c:v>0.42513740631575864</c:v>
                </c:pt>
                <c:pt idx="173">
                  <c:v>0.42962009464943973</c:v>
                </c:pt>
                <c:pt idx="174">
                  <c:v>0.43416817381955769</c:v>
                </c:pt>
                <c:pt idx="175">
                  <c:v>0.43878779030357939</c:v>
                </c:pt>
                <c:pt idx="176">
                  <c:v>0.44343432181659431</c:v>
                </c:pt>
                <c:pt idx="177">
                  <c:v>0.44806314607369285</c:v>
                </c:pt>
                <c:pt idx="178">
                  <c:v>0.45262964078996437</c:v>
                </c:pt>
                <c:pt idx="179">
                  <c:v>0.45708918368049906</c:v>
                </c:pt>
                <c:pt idx="180">
                  <c:v>0.46139715246038654</c:v>
                </c:pt>
                <c:pt idx="181">
                  <c:v>0.4655089248447169</c:v>
                </c:pt>
                <c:pt idx="182">
                  <c:v>0.46937987854857988</c:v>
                </c:pt>
                <c:pt idx="183">
                  <c:v>0.472965391287065</c:v>
                </c:pt>
                <c:pt idx="184">
                  <c:v>0.47630097157149004</c:v>
                </c:pt>
                <c:pt idx="185">
                  <c:v>0.4796769400162666</c:v>
                </c:pt>
                <c:pt idx="186">
                  <c:v>0.48305999136341049</c:v>
                </c:pt>
                <c:pt idx="187">
                  <c:v>0.48638771085755167</c:v>
                </c:pt>
                <c:pt idx="188">
                  <c:v>0.48991379467236884</c:v>
                </c:pt>
                <c:pt idx="189">
                  <c:v>0.49373381893540369</c:v>
                </c:pt>
                <c:pt idx="190">
                  <c:v>0.49780316136174618</c:v>
                </c:pt>
                <c:pt idx="191">
                  <c:v>0.50207719966648612</c:v>
                </c:pt>
                <c:pt idx="192">
                  <c:v>0.5065113115647133</c:v>
                </c:pt>
                <c:pt idx="193">
                  <c:v>0.51106087477151763</c:v>
                </c:pt>
                <c:pt idx="194">
                  <c:v>0.5156812670019888</c:v>
                </c:pt>
                <c:pt idx="195">
                  <c:v>0.52032786597121694</c:v>
                </c:pt>
                <c:pt idx="196">
                  <c:v>0.52495604939429152</c:v>
                </c:pt>
                <c:pt idx="197">
                  <c:v>0.52952119498630279</c:v>
                </c:pt>
                <c:pt idx="198">
                  <c:v>0.53402828029399074</c:v>
                </c:pt>
                <c:pt idx="199">
                  <c:v>0.53901475528449305</c:v>
                </c:pt>
                <c:pt idx="200">
                  <c:v>0.5445629044326743</c:v>
                </c:pt>
                <c:pt idx="201">
                  <c:v>0.5505760461212289</c:v>
                </c:pt>
                <c:pt idx="202">
                  <c:v>0.55707499242004288</c:v>
                </c:pt>
                <c:pt idx="203">
                  <c:v>0.56409698815039955</c:v>
                </c:pt>
                <c:pt idx="204">
                  <c:v>0.57156024869820132</c:v>
                </c:pt>
                <c:pt idx="205">
                  <c:v>0.57938296654111254</c:v>
                </c:pt>
                <c:pt idx="206">
                  <c:v>0.5874833341567981</c:v>
                </c:pt>
                <c:pt idx="207">
                  <c:v>0.59577954402292277</c:v>
                </c:pt>
                <c:pt idx="208">
                  <c:v>0.60418978861715122</c:v>
                </c:pt>
                <c:pt idx="209">
                  <c:v>0.61263226041714836</c:v>
                </c:pt>
                <c:pt idx="210">
                  <c:v>0.62102515190057828</c:v>
                </c:pt>
                <c:pt idx="211">
                  <c:v>0.62928665554510643</c:v>
                </c:pt>
                <c:pt idx="212">
                  <c:v>0.63733707467769152</c:v>
                </c:pt>
                <c:pt idx="213">
                  <c:v>0.64530165926059591</c:v>
                </c:pt>
                <c:pt idx="214">
                  <c:v>0.65321985083299861</c:v>
                </c:pt>
                <c:pt idx="215">
                  <c:v>0.66098753073010896</c:v>
                </c:pt>
                <c:pt idx="216">
                  <c:v>0.66863512950943149</c:v>
                </c:pt>
                <c:pt idx="217">
                  <c:v>0.67640482466090557</c:v>
                </c:pt>
                <c:pt idx="218">
                  <c:v>0.68423720349832495</c:v>
                </c:pt>
                <c:pt idx="219">
                  <c:v>0.6920578955468395</c:v>
                </c:pt>
                <c:pt idx="220">
                  <c:v>0.69979253033159838</c:v>
                </c:pt>
                <c:pt idx="221">
                  <c:v>0.70736673737775202</c:v>
                </c:pt>
                <c:pt idx="222">
                  <c:v>0.7147061462104497</c:v>
                </c:pt>
                <c:pt idx="223">
                  <c:v>0.72173638635484139</c:v>
                </c:pt>
                <c:pt idx="224">
                  <c:v>0.72838308733607693</c:v>
                </c:pt>
                <c:pt idx="225">
                  <c:v>0.73457187867930573</c:v>
                </c:pt>
                <c:pt idx="226">
                  <c:v>0.74022838990967754</c:v>
                </c:pt>
                <c:pt idx="227">
                  <c:v>0.74549871798752809</c:v>
                </c:pt>
                <c:pt idx="228">
                  <c:v>0.75064263999522385</c:v>
                </c:pt>
                <c:pt idx="229">
                  <c:v>0.75555353451505558</c:v>
                </c:pt>
                <c:pt idx="230">
                  <c:v>0.76022872702959976</c:v>
                </c:pt>
                <c:pt idx="231">
                  <c:v>0.7652045333984131</c:v>
                </c:pt>
                <c:pt idx="232">
                  <c:v>0.77051996493570929</c:v>
                </c:pt>
                <c:pt idx="233">
                  <c:v>0.7761155252616081</c:v>
                </c:pt>
                <c:pt idx="234">
                  <c:v>0.78193171799622918</c:v>
                </c:pt>
                <c:pt idx="235">
                  <c:v>0.78790904675969242</c:v>
                </c:pt>
                <c:pt idx="236">
                  <c:v>0.79398801517211781</c:v>
                </c:pt>
                <c:pt idx="237">
                  <c:v>0.80010912685362501</c:v>
                </c:pt>
                <c:pt idx="238">
                  <c:v>0.80621288542433367</c:v>
                </c:pt>
                <c:pt idx="239">
                  <c:v>0.81223979450436379</c:v>
                </c:pt>
                <c:pt idx="240">
                  <c:v>0.8181303577138348</c:v>
                </c:pt>
                <c:pt idx="241">
                  <c:v>0.82387188079181006</c:v>
                </c:pt>
                <c:pt idx="242">
                  <c:v>0.82956935480753602</c:v>
                </c:pt>
                <c:pt idx="243">
                  <c:v>0.83516448088406336</c:v>
                </c:pt>
                <c:pt idx="244">
                  <c:v>0.84059608229102434</c:v>
                </c:pt>
                <c:pt idx="245">
                  <c:v>0.84604509188613908</c:v>
                </c:pt>
                <c:pt idx="246">
                  <c:v>0.85155218128066035</c:v>
                </c:pt>
                <c:pt idx="247">
                  <c:v>0.85706529114219332</c:v>
                </c:pt>
                <c:pt idx="248">
                  <c:v>0.86253236213834295</c:v>
                </c:pt>
                <c:pt idx="249">
                  <c:v>0.86790133493671395</c:v>
                </c:pt>
                <c:pt idx="250">
                  <c:v>0.87312015020491074</c:v>
                </c:pt>
                <c:pt idx="251">
                  <c:v>0.87813674861053859</c:v>
                </c:pt>
                <c:pt idx="252">
                  <c:v>0.88289907082120211</c:v>
                </c:pt>
                <c:pt idx="253">
                  <c:v>0.88735505750450616</c:v>
                </c:pt>
                <c:pt idx="254">
                  <c:v>0.89145264932805557</c:v>
                </c:pt>
                <c:pt idx="255">
                  <c:v>0.89515809317825412</c:v>
                </c:pt>
                <c:pt idx="256">
                  <c:v>0.89858802448543673</c:v>
                </c:pt>
                <c:pt idx="257">
                  <c:v>0.90171941145786338</c:v>
                </c:pt>
                <c:pt idx="258">
                  <c:v>0.90448565716599338</c:v>
                </c:pt>
                <c:pt idx="259">
                  <c:v>0.90714192262606164</c:v>
                </c:pt>
                <c:pt idx="260">
                  <c:v>0.90992922177991375</c:v>
                </c:pt>
                <c:pt idx="261">
                  <c:v>0.91281780643760957</c:v>
                </c:pt>
                <c:pt idx="262">
                  <c:v>0.9157779284092088</c:v>
                </c:pt>
                <c:pt idx="263">
                  <c:v>0.9187798395047716</c:v>
                </c:pt>
                <c:pt idx="264">
                  <c:v>0.92179379153435748</c:v>
                </c:pt>
                <c:pt idx="265">
                  <c:v>0.92479003630802681</c:v>
                </c:pt>
                <c:pt idx="266">
                  <c:v>0.9277388256358392</c:v>
                </c:pt>
                <c:pt idx="267">
                  <c:v>0.93061041132785449</c:v>
                </c:pt>
                <c:pt idx="268">
                  <c:v>0.93337504519413306</c:v>
                </c:pt>
                <c:pt idx="269">
                  <c:v>0.93600442906282411</c:v>
                </c:pt>
                <c:pt idx="270">
                  <c:v>0.93854175446329824</c:v>
                </c:pt>
                <c:pt idx="271">
                  <c:v>0.94099266845489848</c:v>
                </c:pt>
                <c:pt idx="272">
                  <c:v>0.94331998580019982</c:v>
                </c:pt>
                <c:pt idx="273">
                  <c:v>0.94556270899351602</c:v>
                </c:pt>
                <c:pt idx="274">
                  <c:v>0.94785115048005419</c:v>
                </c:pt>
                <c:pt idx="275">
                  <c:v>0.95016792357605884</c:v>
                </c:pt>
                <c:pt idx="276">
                  <c:v>0.95249071713907529</c:v>
                </c:pt>
                <c:pt idx="277">
                  <c:v>0.95479722002664824</c:v>
                </c:pt>
                <c:pt idx="278">
                  <c:v>0.95706512109632258</c:v>
                </c:pt>
                <c:pt idx="279">
                  <c:v>0.95927210920564365</c:v>
                </c:pt>
                <c:pt idx="280">
                  <c:v>0.96139587321215569</c:v>
                </c:pt>
                <c:pt idx="281">
                  <c:v>0.96341410197340427</c:v>
                </c:pt>
                <c:pt idx="282">
                  <c:v>0.96530448434693383</c:v>
                </c:pt>
                <c:pt idx="283">
                  <c:v>0.96704470919028962</c:v>
                </c:pt>
                <c:pt idx="284">
                  <c:v>0.9686614618373145</c:v>
                </c:pt>
                <c:pt idx="285">
                  <c:v>0.97019459821471754</c:v>
                </c:pt>
                <c:pt idx="286">
                  <c:v>0.97161476229937183</c:v>
                </c:pt>
                <c:pt idx="287">
                  <c:v>0.97292943332020387</c:v>
                </c:pt>
                <c:pt idx="288">
                  <c:v>0.97429373944446795</c:v>
                </c:pt>
                <c:pt idx="289">
                  <c:v>0.97571577122302044</c:v>
                </c:pt>
                <c:pt idx="290">
                  <c:v>0.97718065456089165</c:v>
                </c:pt>
                <c:pt idx="291">
                  <c:v>0.9786735153631112</c:v>
                </c:pt>
                <c:pt idx="292">
                  <c:v>0.98017947953470896</c:v>
                </c:pt>
                <c:pt idx="293">
                  <c:v>0.98168367298071502</c:v>
                </c:pt>
                <c:pt idx="294">
                  <c:v>0.98317122160615922</c:v>
                </c:pt>
                <c:pt idx="295">
                  <c:v>0.98462725131607187</c:v>
                </c:pt>
                <c:pt idx="296">
                  <c:v>0.98603688801548239</c:v>
                </c:pt>
                <c:pt idx="297">
                  <c:v>0.9873852576094212</c:v>
                </c:pt>
                <c:pt idx="298">
                  <c:v>0.98865748600291792</c:v>
                </c:pt>
                <c:pt idx="299">
                  <c:v>0.98983869910100264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9-494E-BBDE-4AB0F40C829E}"/>
            </c:ext>
          </c:extLst>
        </c:ser>
        <c:ser>
          <c:idx val="2"/>
          <c:order val="2"/>
          <c:tx>
            <c:v>JED - duża szerokość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d.'!$AD$6:$AD$305</c:f>
              <c:numCache>
                <c:formatCode>General</c:formatCode>
                <c:ptCount val="300"/>
                <c:pt idx="0">
                  <c:v>3.2078507835345375E-2</c:v>
                </c:pt>
                <c:pt idx="1">
                  <c:v>3.2769241343387823E-2</c:v>
                </c:pt>
                <c:pt idx="2">
                  <c:v>3.3476370458760583E-2</c:v>
                </c:pt>
                <c:pt idx="3">
                  <c:v>3.4199731954084003E-2</c:v>
                </c:pt>
                <c:pt idx="4">
                  <c:v>3.4939162601978435E-2</c:v>
                </c:pt>
                <c:pt idx="5">
                  <c:v>3.5694499175064218E-2</c:v>
                </c:pt>
                <c:pt idx="6">
                  <c:v>3.6465578445961745E-2</c:v>
                </c:pt>
                <c:pt idx="7">
                  <c:v>3.7252237187291343E-2</c:v>
                </c:pt>
                <c:pt idx="8">
                  <c:v>3.8054312171673384E-2</c:v>
                </c:pt>
                <c:pt idx="9">
                  <c:v>3.8871640171728214E-2</c:v>
                </c:pt>
                <c:pt idx="10">
                  <c:v>3.9704057960076214E-2</c:v>
                </c:pt>
                <c:pt idx="11">
                  <c:v>4.0551402309337709E-2</c:v>
                </c:pt>
                <c:pt idx="12">
                  <c:v>4.1413509992133057E-2</c:v>
                </c:pt>
                <c:pt idx="13">
                  <c:v>4.2290217781082634E-2</c:v>
                </c:pt>
                <c:pt idx="14">
                  <c:v>4.3182284545242436E-2</c:v>
                </c:pt>
                <c:pt idx="15">
                  <c:v>4.4092719547182836E-2</c:v>
                </c:pt>
                <c:pt idx="16">
                  <c:v>4.5021599243022986E-2</c:v>
                </c:pt>
                <c:pt idx="17">
                  <c:v>4.5968729800249575E-2</c:v>
                </c:pt>
                <c:pt idx="18">
                  <c:v>4.6933917386349264E-2</c:v>
                </c:pt>
                <c:pt idx="19">
                  <c:v>4.7916968168808728E-2</c:v>
                </c:pt>
                <c:pt idx="20">
                  <c:v>4.891768831511465E-2</c:v>
                </c:pt>
                <c:pt idx="21">
                  <c:v>4.9935883992753699E-2</c:v>
                </c:pt>
                <c:pt idx="22">
                  <c:v>5.0971361369212535E-2</c:v>
                </c:pt>
                <c:pt idx="23">
                  <c:v>5.2023926611977848E-2</c:v>
                </c:pt>
                <c:pt idx="24">
                  <c:v>5.3093385888536286E-2</c:v>
                </c:pt>
                <c:pt idx="25">
                  <c:v>5.4179545366374572E-2</c:v>
                </c:pt>
                <c:pt idx="26">
                  <c:v>5.5282211212979326E-2</c:v>
                </c:pt>
                <c:pt idx="27">
                  <c:v>5.6401189595837231E-2</c:v>
                </c:pt>
                <c:pt idx="28">
                  <c:v>5.7536779817674501E-2</c:v>
                </c:pt>
                <c:pt idx="29">
                  <c:v>5.8693108712619339E-2</c:v>
                </c:pt>
                <c:pt idx="30">
                  <c:v>5.9870957388705494E-2</c:v>
                </c:pt>
                <c:pt idx="31">
                  <c:v>6.1070091206574639E-2</c:v>
                </c:pt>
                <c:pt idx="32">
                  <c:v>6.2290275526868576E-2</c:v>
                </c:pt>
                <c:pt idx="33">
                  <c:v>6.3531275710229082E-2</c:v>
                </c:pt>
                <c:pt idx="34">
                  <c:v>6.4792857117297875E-2</c:v>
                </c:pt>
                <c:pt idx="35">
                  <c:v>6.6074785108716755E-2</c:v>
                </c:pt>
                <c:pt idx="36">
                  <c:v>6.7376825045127473E-2</c:v>
                </c:pt>
                <c:pt idx="37">
                  <c:v>6.8698742287171793E-2</c:v>
                </c:pt>
                <c:pt idx="38">
                  <c:v>7.0040302195491483E-2</c:v>
                </c:pt>
                <c:pt idx="39">
                  <c:v>7.1401270130728264E-2</c:v>
                </c:pt>
                <c:pt idx="40">
                  <c:v>7.2781411453523959E-2</c:v>
                </c:pt>
                <c:pt idx="41">
                  <c:v>7.4180491524520303E-2</c:v>
                </c:pt>
                <c:pt idx="42">
                  <c:v>7.5598319345298814E-2</c:v>
                </c:pt>
                <c:pt idx="43">
                  <c:v>7.7036534319871508E-2</c:v>
                </c:pt>
                <c:pt idx="44">
                  <c:v>7.8495883353741927E-2</c:v>
                </c:pt>
                <c:pt idx="45">
                  <c:v>7.9976111404129316E-2</c:v>
                </c:pt>
                <c:pt idx="46">
                  <c:v>8.1476963428253057E-2</c:v>
                </c:pt>
                <c:pt idx="47">
                  <c:v>8.2998184383332396E-2</c:v>
                </c:pt>
                <c:pt idx="48">
                  <c:v>8.4539519226586674E-2</c:v>
                </c:pt>
                <c:pt idx="49">
                  <c:v>8.6100712915235175E-2</c:v>
                </c:pt>
                <c:pt idx="50">
                  <c:v>8.7681510406497201E-2</c:v>
                </c:pt>
                <c:pt idx="51">
                  <c:v>8.9281656657592107E-2</c:v>
                </c:pt>
                <c:pt idx="52">
                  <c:v>9.0900896625739136E-2</c:v>
                </c:pt>
                <c:pt idx="53">
                  <c:v>9.2538975268157644E-2</c:v>
                </c:pt>
                <c:pt idx="54">
                  <c:v>9.4195637542066918E-2</c:v>
                </c:pt>
                <c:pt idx="55">
                  <c:v>9.5870628404686256E-2</c:v>
                </c:pt>
                <c:pt idx="56">
                  <c:v>9.7563692813235015E-2</c:v>
                </c:pt>
                <c:pt idx="57">
                  <c:v>9.9277124228121086E-2</c:v>
                </c:pt>
                <c:pt idx="58">
                  <c:v>0.10101391482501086</c:v>
                </c:pt>
                <c:pt idx="59">
                  <c:v>0.10277378120690203</c:v>
                </c:pt>
                <c:pt idx="60">
                  <c:v>0.10455642752416888</c:v>
                </c:pt>
                <c:pt idx="61">
                  <c:v>0.10636155792718605</c:v>
                </c:pt>
                <c:pt idx="62">
                  <c:v>0.10818887656632768</c:v>
                </c:pt>
                <c:pt idx="63">
                  <c:v>0.11003808759196834</c:v>
                </c:pt>
                <c:pt idx="64">
                  <c:v>0.11190889515448232</c:v>
                </c:pt>
                <c:pt idx="65">
                  <c:v>0.11380100340424405</c:v>
                </c:pt>
                <c:pt idx="66">
                  <c:v>0.11571411649162795</c:v>
                </c:pt>
                <c:pt idx="67">
                  <c:v>0.11764793856700838</c:v>
                </c:pt>
                <c:pt idx="68">
                  <c:v>0.11960217378075969</c:v>
                </c:pt>
                <c:pt idx="69">
                  <c:v>0.12157652628325642</c:v>
                </c:pt>
                <c:pt idx="70">
                  <c:v>0.12357070022487289</c:v>
                </c:pt>
                <c:pt idx="71">
                  <c:v>0.12558687834324411</c:v>
                </c:pt>
                <c:pt idx="72">
                  <c:v>0.12763199641233491</c:v>
                </c:pt>
                <c:pt idx="73">
                  <c:v>0.12970615826749529</c:v>
                </c:pt>
                <c:pt idx="74">
                  <c:v>0.13180899664712112</c:v>
                </c:pt>
                <c:pt idx="75">
                  <c:v>0.13394014428960818</c:v>
                </c:pt>
                <c:pt idx="76">
                  <c:v>0.13609923393335221</c:v>
                </c:pt>
                <c:pt idx="77">
                  <c:v>0.13828589831674903</c:v>
                </c:pt>
                <c:pt idx="78">
                  <c:v>0.14049977017819448</c:v>
                </c:pt>
                <c:pt idx="79">
                  <c:v>0.14274048225608438</c:v>
                </c:pt>
                <c:pt idx="80">
                  <c:v>0.14500766728881459</c:v>
                </c:pt>
                <c:pt idx="81">
                  <c:v>0.14730095801478066</c:v>
                </c:pt>
                <c:pt idx="82">
                  <c:v>0.14961998717237865</c:v>
                </c:pt>
                <c:pt idx="83">
                  <c:v>0.15196438750000421</c:v>
                </c:pt>
                <c:pt idx="84">
                  <c:v>0.15433379173605327</c:v>
                </c:pt>
                <c:pt idx="85">
                  <c:v>0.15672829310417236</c:v>
                </c:pt>
                <c:pt idx="86">
                  <c:v>0.15915079100989105</c:v>
                </c:pt>
                <c:pt idx="87">
                  <c:v>0.16160153113865428</c:v>
                </c:pt>
                <c:pt idx="88">
                  <c:v>0.16408011562372424</c:v>
                </c:pt>
                <c:pt idx="89">
                  <c:v>0.16658614659836299</c:v>
                </c:pt>
                <c:pt idx="90">
                  <c:v>0.16911922619583272</c:v>
                </c:pt>
                <c:pt idx="91">
                  <c:v>0.17167895654939547</c:v>
                </c:pt>
                <c:pt idx="92">
                  <c:v>0.17426493979231331</c:v>
                </c:pt>
                <c:pt idx="93">
                  <c:v>0.17687677805784852</c:v>
                </c:pt>
                <c:pt idx="94">
                  <c:v>0.17951407347926313</c:v>
                </c:pt>
                <c:pt idx="95">
                  <c:v>0.18217642818981925</c:v>
                </c:pt>
                <c:pt idx="96">
                  <c:v>0.18486344432277896</c:v>
                </c:pt>
                <c:pt idx="97">
                  <c:v>0.18757472401140451</c:v>
                </c:pt>
                <c:pt idx="98">
                  <c:v>0.19030986938895783</c:v>
                </c:pt>
                <c:pt idx="99">
                  <c:v>0.19306866007401191</c:v>
                </c:pt>
                <c:pt idx="100">
                  <c:v>0.19585559284531839</c:v>
                </c:pt>
                <c:pt idx="101">
                  <c:v>0.19867244334928963</c:v>
                </c:pt>
                <c:pt idx="102">
                  <c:v>0.20151876271063185</c:v>
                </c:pt>
                <c:pt idx="103">
                  <c:v>0.20439410205405065</c:v>
                </c:pt>
                <c:pt idx="104">
                  <c:v>0.20729801250425223</c:v>
                </c:pt>
                <c:pt idx="105">
                  <c:v>0.2102300451859424</c:v>
                </c:pt>
                <c:pt idx="106">
                  <c:v>0.21318975122382738</c:v>
                </c:pt>
                <c:pt idx="107">
                  <c:v>0.21617668174261312</c:v>
                </c:pt>
                <c:pt idx="108">
                  <c:v>0.21919038786700529</c:v>
                </c:pt>
                <c:pt idx="109">
                  <c:v>0.22223042072171018</c:v>
                </c:pt>
                <c:pt idx="110">
                  <c:v>0.22529633143143371</c:v>
                </c:pt>
                <c:pt idx="111">
                  <c:v>0.22838767112088168</c:v>
                </c:pt>
                <c:pt idx="112">
                  <c:v>0.23150399091476029</c:v>
                </c:pt>
                <c:pt idx="113">
                  <c:v>0.23464484193777552</c:v>
                </c:pt>
                <c:pt idx="114">
                  <c:v>0.23781118254749611</c:v>
                </c:pt>
                <c:pt idx="115">
                  <c:v>0.2410040592962488</c:v>
                </c:pt>
                <c:pt idx="116">
                  <c:v>0.24422300336037162</c:v>
                </c:pt>
                <c:pt idx="117">
                  <c:v>0.24746754546114791</c:v>
                </c:pt>
                <c:pt idx="118">
                  <c:v>0.25073721631986112</c:v>
                </c:pt>
                <c:pt idx="119">
                  <c:v>0.25403154665779493</c:v>
                </c:pt>
                <c:pt idx="120">
                  <c:v>0.25735006719623277</c:v>
                </c:pt>
                <c:pt idx="121">
                  <c:v>0.26069230865645832</c:v>
                </c:pt>
                <c:pt idx="122">
                  <c:v>0.26405780175975496</c:v>
                </c:pt>
                <c:pt idx="123">
                  <c:v>0.26744607722740604</c:v>
                </c:pt>
                <c:pt idx="124">
                  <c:v>0.2708566657806955</c:v>
                </c:pt>
                <c:pt idx="125">
                  <c:v>0.27428909814090668</c:v>
                </c:pt>
                <c:pt idx="126">
                  <c:v>0.27774290502932292</c:v>
                </c:pt>
                <c:pt idx="127">
                  <c:v>0.28121761716722804</c:v>
                </c:pt>
                <c:pt idx="128">
                  <c:v>0.28471357347677312</c:v>
                </c:pt>
                <c:pt idx="129">
                  <c:v>0.28823230880351824</c:v>
                </c:pt>
                <c:pt idx="130">
                  <c:v>0.29177342911367571</c:v>
                </c:pt>
                <c:pt idx="131">
                  <c:v>0.29533644472510695</c:v>
                </c:pt>
                <c:pt idx="132">
                  <c:v>0.29892086595567258</c:v>
                </c:pt>
                <c:pt idx="133">
                  <c:v>0.30252620312323414</c:v>
                </c:pt>
                <c:pt idx="134">
                  <c:v>0.30615196654565258</c:v>
                </c:pt>
                <c:pt idx="135">
                  <c:v>0.30979766654078883</c:v>
                </c:pt>
                <c:pt idx="136">
                  <c:v>0.31346281342650406</c:v>
                </c:pt>
                <c:pt idx="137">
                  <c:v>0.31714691752065916</c:v>
                </c:pt>
                <c:pt idx="138">
                  <c:v>0.32084948914111544</c:v>
                </c:pt>
                <c:pt idx="139">
                  <c:v>0.32457003860573402</c:v>
                </c:pt>
                <c:pt idx="140">
                  <c:v>0.32830807623237562</c:v>
                </c:pt>
                <c:pt idx="141">
                  <c:v>0.3320631123389014</c:v>
                </c:pt>
                <c:pt idx="142">
                  <c:v>0.33583484425316174</c:v>
                </c:pt>
                <c:pt idx="143">
                  <c:v>0.33962387327404997</c:v>
                </c:pt>
                <c:pt idx="144">
                  <c:v>0.34343027010923421</c:v>
                </c:pt>
                <c:pt idx="145">
                  <c:v>0.34725455927167403</c:v>
                </c:pt>
                <c:pt idx="146">
                  <c:v>0.35109630356202487</c:v>
                </c:pt>
                <c:pt idx="147">
                  <c:v>0.35495501329814722</c:v>
                </c:pt>
                <c:pt idx="148">
                  <c:v>0.35883019879790257</c:v>
                </c:pt>
                <c:pt idx="149">
                  <c:v>0.36272137037915164</c:v>
                </c:pt>
                <c:pt idx="150">
                  <c:v>0.36662803835975571</c:v>
                </c:pt>
                <c:pt idx="151">
                  <c:v>0.37054971305757578</c:v>
                </c:pt>
                <c:pt idx="152">
                  <c:v>0.37448590479047267</c:v>
                </c:pt>
                <c:pt idx="153">
                  <c:v>0.37843612387630815</c:v>
                </c:pt>
                <c:pt idx="154">
                  <c:v>0.38239988063294272</c:v>
                </c:pt>
                <c:pt idx="155">
                  <c:v>0.38637668537823733</c:v>
                </c:pt>
                <c:pt idx="156">
                  <c:v>0.39036610091284729</c:v>
                </c:pt>
                <c:pt idx="157">
                  <c:v>0.39436865174973251</c:v>
                </c:pt>
                <c:pt idx="158">
                  <c:v>0.39838423017185531</c:v>
                </c:pt>
                <c:pt idx="159">
                  <c:v>0.40241233629536566</c:v>
                </c:pt>
                <c:pt idx="160">
                  <c:v>0.40645247023641345</c:v>
                </c:pt>
                <c:pt idx="161">
                  <c:v>0.41050413211114878</c:v>
                </c:pt>
                <c:pt idx="162">
                  <c:v>0.41456682203572148</c:v>
                </c:pt>
                <c:pt idx="163">
                  <c:v>0.41864004012628109</c:v>
                </c:pt>
                <c:pt idx="164">
                  <c:v>0.42272328649897745</c:v>
                </c:pt>
                <c:pt idx="165">
                  <c:v>0.42681606126996058</c:v>
                </c:pt>
                <c:pt idx="166">
                  <c:v>0.43091786455538011</c:v>
                </c:pt>
                <c:pt idx="167">
                  <c:v>0.43502819647138646</c:v>
                </c:pt>
                <c:pt idx="168">
                  <c:v>0.43914655713412865</c:v>
                </c:pt>
                <c:pt idx="169">
                  <c:v>0.44327244665975718</c:v>
                </c:pt>
                <c:pt idx="170">
                  <c:v>0.44740536516442148</c:v>
                </c:pt>
                <c:pt idx="171">
                  <c:v>0.4515448127642715</c:v>
                </c:pt>
                <c:pt idx="172">
                  <c:v>0.4556902895754571</c:v>
                </c:pt>
                <c:pt idx="173">
                  <c:v>0.45984129571412824</c:v>
                </c:pt>
                <c:pt idx="174">
                  <c:v>0.46399733129643472</c:v>
                </c:pt>
                <c:pt idx="175">
                  <c:v>0.46815789643852623</c:v>
                </c:pt>
                <c:pt idx="176">
                  <c:v>0.47232249125655257</c:v>
                </c:pt>
                <c:pt idx="177">
                  <c:v>0.47649061586666408</c:v>
                </c:pt>
                <c:pt idx="178">
                  <c:v>0.48066177038500996</c:v>
                </c:pt>
                <c:pt idx="179">
                  <c:v>0.48483545492774044</c:v>
                </c:pt>
                <c:pt idx="180">
                  <c:v>0.48901116961100494</c:v>
                </c:pt>
                <c:pt idx="181">
                  <c:v>0.49318841455095402</c:v>
                </c:pt>
                <c:pt idx="182">
                  <c:v>0.49736668986373678</c:v>
                </c:pt>
                <c:pt idx="183">
                  <c:v>0.50154549566550355</c:v>
                </c:pt>
                <c:pt idx="184">
                  <c:v>0.50572433207240419</c:v>
                </c:pt>
                <c:pt idx="185">
                  <c:v>0.50990269920058773</c:v>
                </c:pt>
                <c:pt idx="186">
                  <c:v>0.51408009762125928</c:v>
                </c:pt>
                <c:pt idx="187">
                  <c:v>0.51825754328161167</c:v>
                </c:pt>
                <c:pt idx="188">
                  <c:v>0.52243596393408009</c:v>
                </c:pt>
                <c:pt idx="189">
                  <c:v>0.52661488009823609</c:v>
                </c:pt>
                <c:pt idx="190">
                  <c:v>0.53079381229365297</c:v>
                </c:pt>
                <c:pt idx="191">
                  <c:v>0.53497228103990269</c:v>
                </c:pt>
                <c:pt idx="192">
                  <c:v>0.53914980685655778</c:v>
                </c:pt>
                <c:pt idx="193">
                  <c:v>0.54332591026318977</c:v>
                </c:pt>
                <c:pt idx="194">
                  <c:v>0.54750011177937152</c:v>
                </c:pt>
                <c:pt idx="195">
                  <c:v>0.55167193192467512</c:v>
                </c:pt>
                <c:pt idx="196">
                  <c:v>0.55584089121867342</c:v>
                </c:pt>
                <c:pt idx="197">
                  <c:v>0.56000651018093806</c:v>
                </c:pt>
                <c:pt idx="198">
                  <c:v>0.56416830933104167</c:v>
                </c:pt>
                <c:pt idx="199">
                  <c:v>0.56832580918855657</c:v>
                </c:pt>
                <c:pt idx="200">
                  <c:v>0.57247853027305462</c:v>
                </c:pt>
                <c:pt idx="201">
                  <c:v>0.57662599310410867</c:v>
                </c:pt>
                <c:pt idx="202">
                  <c:v>0.58076771820129047</c:v>
                </c:pt>
                <c:pt idx="203">
                  <c:v>0.58490322608417311</c:v>
                </c:pt>
                <c:pt idx="204">
                  <c:v>0.58903203727232789</c:v>
                </c:pt>
                <c:pt idx="205">
                  <c:v>0.59315367228532789</c:v>
                </c:pt>
                <c:pt idx="206">
                  <c:v>0.59726765164274509</c:v>
                </c:pt>
                <c:pt idx="207">
                  <c:v>0.60137349586415179</c:v>
                </c:pt>
                <c:pt idx="208">
                  <c:v>0.60547072546912029</c:v>
                </c:pt>
                <c:pt idx="209">
                  <c:v>0.60955886097722289</c:v>
                </c:pt>
                <c:pt idx="210">
                  <c:v>0.61363742290803203</c:v>
                </c:pt>
                <c:pt idx="211">
                  <c:v>0.61770593178111999</c:v>
                </c:pt>
                <c:pt idx="212">
                  <c:v>0.62176390811605842</c:v>
                </c:pt>
                <c:pt idx="213">
                  <c:v>0.62581087243242084</c:v>
                </c:pt>
                <c:pt idx="214">
                  <c:v>0.62984634524977845</c:v>
                </c:pt>
                <c:pt idx="215">
                  <c:v>0.63387027612249291</c:v>
                </c:pt>
                <c:pt idx="216">
                  <c:v>0.63788438375164713</c:v>
                </c:pt>
                <c:pt idx="217">
                  <c:v>0.64188851605040398</c:v>
                </c:pt>
                <c:pt idx="218">
                  <c:v>0.64588221394175838</c:v>
                </c:pt>
                <c:pt idx="219">
                  <c:v>0.64986501834870425</c:v>
                </c:pt>
                <c:pt idx="220">
                  <c:v>0.65383647019423663</c:v>
                </c:pt>
                <c:pt idx="221">
                  <c:v>0.65779611040135022</c:v>
                </c:pt>
                <c:pt idx="222">
                  <c:v>0.66174347989304039</c:v>
                </c:pt>
                <c:pt idx="223">
                  <c:v>0.66567811959230117</c:v>
                </c:pt>
                <c:pt idx="224">
                  <c:v>0.66959957042212792</c:v>
                </c:pt>
                <c:pt idx="225">
                  <c:v>0.67350737330551469</c:v>
                </c:pt>
                <c:pt idx="226">
                  <c:v>0.67740106916545639</c:v>
                </c:pt>
                <c:pt idx="227">
                  <c:v>0.68128019892494851</c:v>
                </c:pt>
                <c:pt idx="228">
                  <c:v>0.68514430350698474</c:v>
                </c:pt>
                <c:pt idx="229">
                  <c:v>0.68899299113412549</c:v>
                </c:pt>
                <c:pt idx="230">
                  <c:v>0.69282684602016065</c:v>
                </c:pt>
                <c:pt idx="231">
                  <c:v>0.69664577337369105</c:v>
                </c:pt>
                <c:pt idx="232">
                  <c:v>0.7004493243194222</c:v>
                </c:pt>
                <c:pt idx="233">
                  <c:v>0.70423704998206038</c:v>
                </c:pt>
                <c:pt idx="234">
                  <c:v>0.70800850148631156</c:v>
                </c:pt>
                <c:pt idx="235">
                  <c:v>0.71176322995688113</c:v>
                </c:pt>
                <c:pt idx="236">
                  <c:v>0.71550078651847582</c:v>
                </c:pt>
                <c:pt idx="237">
                  <c:v>0.71922072229580147</c:v>
                </c:pt>
                <c:pt idx="238">
                  <c:v>0.72292258841356383</c:v>
                </c:pt>
                <c:pt idx="239">
                  <c:v>0.72660593599646861</c:v>
                </c:pt>
                <c:pt idx="240">
                  <c:v>0.73027031616922278</c:v>
                </c:pt>
                <c:pt idx="241">
                  <c:v>0.73391528005653117</c:v>
                </c:pt>
                <c:pt idx="242">
                  <c:v>0.73754037878310041</c:v>
                </c:pt>
                <c:pt idx="243">
                  <c:v>0.7411451665867923</c:v>
                </c:pt>
                <c:pt idx="244">
                  <c:v>0.74473001659863558</c:v>
                </c:pt>
                <c:pt idx="245">
                  <c:v>0.7482951272708448</c:v>
                </c:pt>
                <c:pt idx="246">
                  <c:v>0.75184005992983716</c:v>
                </c:pt>
                <c:pt idx="247">
                  <c:v>0.75536437590202965</c:v>
                </c:pt>
                <c:pt idx="248">
                  <c:v>0.75886763651383959</c:v>
                </c:pt>
                <c:pt idx="249">
                  <c:v>0.76234940309168409</c:v>
                </c:pt>
                <c:pt idx="250">
                  <c:v>0.76580923696198056</c:v>
                </c:pt>
                <c:pt idx="251">
                  <c:v>0.76924669945114632</c:v>
                </c:pt>
                <c:pt idx="252">
                  <c:v>0.77266135188559826</c:v>
                </c:pt>
                <c:pt idx="253">
                  <c:v>0.7760527555917538</c:v>
                </c:pt>
                <c:pt idx="254">
                  <c:v>0.77942047189603014</c:v>
                </c:pt>
                <c:pt idx="255">
                  <c:v>0.78276406212484417</c:v>
                </c:pt>
                <c:pt idx="256">
                  <c:v>0.78608308760461365</c:v>
                </c:pt>
                <c:pt idx="257">
                  <c:v>0.78937710966175534</c:v>
                </c:pt>
                <c:pt idx="258">
                  <c:v>0.79264619059682828</c:v>
                </c:pt>
                <c:pt idx="259">
                  <c:v>0.79589083895964674</c:v>
                </c:pt>
                <c:pt idx="260">
                  <c:v>0.79911064809880894</c:v>
                </c:pt>
                <c:pt idx="261">
                  <c:v>0.8023051895424429</c:v>
                </c:pt>
                <c:pt idx="262">
                  <c:v>0.80547403481867719</c:v>
                </c:pt>
                <c:pt idx="263">
                  <c:v>0.80861675545564049</c:v>
                </c:pt>
                <c:pt idx="264">
                  <c:v>0.81173292298146105</c:v>
                </c:pt>
                <c:pt idx="265">
                  <c:v>0.81482210892426676</c:v>
                </c:pt>
                <c:pt idx="266">
                  <c:v>0.81788388481218732</c:v>
                </c:pt>
                <c:pt idx="267">
                  <c:v>0.82091782217335041</c:v>
                </c:pt>
                <c:pt idx="268">
                  <c:v>0.82392349253588437</c:v>
                </c:pt>
                <c:pt idx="269">
                  <c:v>0.82690046742791812</c:v>
                </c:pt>
                <c:pt idx="270">
                  <c:v>0.82984831837757911</c:v>
                </c:pt>
                <c:pt idx="271">
                  <c:v>0.83276661691299647</c:v>
                </c:pt>
                <c:pt idx="272">
                  <c:v>0.83565569637284309</c:v>
                </c:pt>
                <c:pt idx="273">
                  <c:v>0.83851839939036099</c:v>
                </c:pt>
                <c:pt idx="274">
                  <c:v>0.84135469795024331</c:v>
                </c:pt>
                <c:pt idx="275">
                  <c:v>0.84416419418575073</c:v>
                </c:pt>
                <c:pt idx="276">
                  <c:v>0.8469464902301469</c:v>
                </c:pt>
                <c:pt idx="277">
                  <c:v>0.84970118821669272</c:v>
                </c:pt>
                <c:pt idx="278">
                  <c:v>0.85242789027865085</c:v>
                </c:pt>
                <c:pt idx="279">
                  <c:v>0.85512619854928307</c:v>
                </c:pt>
                <c:pt idx="280">
                  <c:v>0.85779571516185182</c:v>
                </c:pt>
                <c:pt idx="281">
                  <c:v>0.86043604224961934</c:v>
                </c:pt>
                <c:pt idx="282">
                  <c:v>0.8630467819458475</c:v>
                </c:pt>
                <c:pt idx="283">
                  <c:v>0.86562753638379863</c:v>
                </c:pt>
                <c:pt idx="284">
                  <c:v>0.8681779076967342</c:v>
                </c:pt>
                <c:pt idx="285">
                  <c:v>0.87069749801791696</c:v>
                </c:pt>
                <c:pt idx="286">
                  <c:v>0.87318635996166349</c:v>
                </c:pt>
                <c:pt idx="287">
                  <c:v>0.87564943415304131</c:v>
                </c:pt>
                <c:pt idx="288">
                  <c:v>0.87808791056126101</c:v>
                </c:pt>
                <c:pt idx="289">
                  <c:v>0.88050144232814243</c:v>
                </c:pt>
                <c:pt idx="290">
                  <c:v>0.8828896825955026</c:v>
                </c:pt>
                <c:pt idx="291">
                  <c:v>0.88525228450516014</c:v>
                </c:pt>
                <c:pt idx="292">
                  <c:v>0.88758890119893352</c:v>
                </c:pt>
                <c:pt idx="293">
                  <c:v>0.88989918581864091</c:v>
                </c:pt>
                <c:pt idx="294">
                  <c:v>0.89218279150609969</c:v>
                </c:pt>
                <c:pt idx="295">
                  <c:v>0.89443937140312979</c:v>
                </c:pt>
                <c:pt idx="296">
                  <c:v>0.89666857865154781</c:v>
                </c:pt>
                <c:pt idx="297">
                  <c:v>0.89887006639317246</c:v>
                </c:pt>
                <c:pt idx="298">
                  <c:v>0.90104348776982324</c:v>
                </c:pt>
                <c:pt idx="299">
                  <c:v>0.90318849592331685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39-494E-BBDE-4AB0F40C829E}"/>
            </c:ext>
          </c:extLst>
        </c:ser>
        <c:ser>
          <c:idx val="3"/>
          <c:order val="3"/>
          <c:tx>
            <c:v>Gaussowska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'Gatunek 1- estymacja g. i d.'!$H$6:$H$305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xVal>
          <c:yVal>
            <c:numRef>
              <c:f>'Gatunek 1- estymacja g. i d.'!$AE$6:$AE$305</c:f>
              <c:numCache>
                <c:formatCode>General</c:formatCode>
                <c:ptCount val="300"/>
                <c:pt idx="0">
                  <c:v>1.4432778232462102E-2</c:v>
                </c:pt>
                <c:pt idx="1">
                  <c:v>1.4946662869610437E-2</c:v>
                </c:pt>
                <c:pt idx="2">
                  <c:v>1.547301200118993E-2</c:v>
                </c:pt>
                <c:pt idx="3">
                  <c:v>1.6011968427299829E-2</c:v>
                </c:pt>
                <c:pt idx="4">
                  <c:v>1.656367466525268E-2</c:v>
                </c:pt>
                <c:pt idx="5">
                  <c:v>1.7128272883427768E-2</c:v>
                </c:pt>
                <c:pt idx="6">
                  <c:v>1.7705904818269332E-2</c:v>
                </c:pt>
                <c:pt idx="7">
                  <c:v>1.8296711674426477E-2</c:v>
                </c:pt>
                <c:pt idx="8">
                  <c:v>1.8900834008233031E-2</c:v>
                </c:pt>
                <c:pt idx="9">
                  <c:v>1.9518411594931742E-2</c:v>
                </c:pt>
                <c:pt idx="10">
                  <c:v>2.0149583280256397E-2</c:v>
                </c:pt>
                <c:pt idx="11">
                  <c:v>2.0794486817195517E-2</c:v>
                </c:pt>
                <c:pt idx="12">
                  <c:v>2.1453258688971032E-2</c:v>
                </c:pt>
                <c:pt idx="13">
                  <c:v>2.2126033919471676E-2</c:v>
                </c:pt>
                <c:pt idx="14">
                  <c:v>2.2812945872583125E-2</c:v>
                </c:pt>
                <c:pt idx="15">
                  <c:v>2.3514126042051973E-2</c:v>
                </c:pt>
                <c:pt idx="16">
                  <c:v>2.4229703833707844E-2</c:v>
                </c:pt>
                <c:pt idx="17">
                  <c:v>2.495980634204404E-2</c:v>
                </c:pt>
                <c:pt idx="18">
                  <c:v>2.5704558123321813E-2</c:v>
                </c:pt>
                <c:pt idx="19">
                  <c:v>2.6464080967513889E-2</c:v>
                </c:pt>
                <c:pt idx="20">
                  <c:v>2.7238493671537925E-2</c:v>
                </c:pt>
                <c:pt idx="21">
                  <c:v>2.8027911816349577E-2</c:v>
                </c:pt>
                <c:pt idx="22">
                  <c:v>2.8832447550564425E-2</c:v>
                </c:pt>
                <c:pt idx="23">
                  <c:v>2.965220938335985E-2</c:v>
                </c:pt>
                <c:pt idx="24">
                  <c:v>3.0487301989467849E-2</c:v>
                </c:pt>
                <c:pt idx="25">
                  <c:v>3.1337826029109873E-2</c:v>
                </c:pt>
                <c:pt idx="26">
                  <c:v>3.2203877985741515E-2</c:v>
                </c:pt>
                <c:pt idx="27">
                  <c:v>3.3085550024470528E-2</c:v>
                </c:pt>
                <c:pt idx="28">
                  <c:v>3.3982929873982888E-2</c:v>
                </c:pt>
                <c:pt idx="29">
                  <c:v>3.4896100734761043E-2</c:v>
                </c:pt>
                <c:pt idx="30">
                  <c:v>3.5825141216303605E-2</c:v>
                </c:pt>
                <c:pt idx="31">
                  <c:v>3.6770125305958509E-2</c:v>
                </c:pt>
                <c:pt idx="32">
                  <c:v>3.7731122371861041E-2</c:v>
                </c:pt>
                <c:pt idx="33">
                  <c:v>3.8708197202325559E-2</c:v>
                </c:pt>
                <c:pt idx="34">
                  <c:v>3.9701410083874268E-2</c:v>
                </c:pt>
                <c:pt idx="35">
                  <c:v>4.0710816919901902E-2</c:v>
                </c:pt>
                <c:pt idx="36">
                  <c:v>4.1736469391767041E-2</c:v>
                </c:pt>
                <c:pt idx="37">
                  <c:v>4.2778415163876898E-2</c:v>
                </c:pt>
                <c:pt idx="38">
                  <c:v>4.3836698134087519E-2</c:v>
                </c:pt>
                <c:pt idx="39">
                  <c:v>4.4911358730481042E-2</c:v>
                </c:pt>
                <c:pt idx="40">
                  <c:v>4.6002434255304488E-2</c:v>
                </c:pt>
                <c:pt idx="41">
                  <c:v>4.7109959276564223E-2</c:v>
                </c:pt>
                <c:pt idx="42">
                  <c:v>4.8233966067466161E-2</c:v>
                </c:pt>
                <c:pt idx="43">
                  <c:v>4.9374485093576961E-2</c:v>
                </c:pt>
                <c:pt idx="44">
                  <c:v>5.0531545547256772E-2</c:v>
                </c:pt>
                <c:pt idx="45">
                  <c:v>5.1705175928581787E-2</c:v>
                </c:pt>
                <c:pt idx="46">
                  <c:v>5.2895404671636601E-2</c:v>
                </c:pt>
                <c:pt idx="47">
                  <c:v>5.4102260814713123E-2</c:v>
                </c:pt>
                <c:pt idx="48">
                  <c:v>5.5325774712608161E-2</c:v>
                </c:pt>
                <c:pt idx="49">
                  <c:v>5.6565978788866031E-2</c:v>
                </c:pt>
                <c:pt idx="50">
                  <c:v>5.7822908325468603E-2</c:v>
                </c:pt>
                <c:pt idx="51">
                  <c:v>5.9096602287133884E-2</c:v>
                </c:pt>
                <c:pt idx="52">
                  <c:v>6.0387104177050531E-2</c:v>
                </c:pt>
                <c:pt idx="53">
                  <c:v>6.1694462920546297E-2</c:v>
                </c:pt>
                <c:pt idx="54">
                  <c:v>6.3018733772871746E-2</c:v>
                </c:pt>
                <c:pt idx="55">
                  <c:v>6.4359979246972704E-2</c:v>
                </c:pt>
                <c:pt idx="56">
                  <c:v>6.57182700568337E-2</c:v>
                </c:pt>
                <c:pt idx="57">
                  <c:v>6.7093686071695011E-2</c:v>
                </c:pt>
                <c:pt idx="58">
                  <c:v>6.8486317276188882E-2</c:v>
                </c:pt>
                <c:pt idx="59">
                  <c:v>6.9896264731198907E-2</c:v>
                </c:pt>
                <c:pt idx="60">
                  <c:v>7.1323641530029042E-2</c:v>
                </c:pt>
                <c:pt idx="61">
                  <c:v>7.2768573744274409E-2</c:v>
                </c:pt>
                <c:pt idx="62">
                  <c:v>7.4231201353617035E-2</c:v>
                </c:pt>
                <c:pt idx="63">
                  <c:v>7.5711679153628642E-2</c:v>
                </c:pt>
                <c:pt idx="64">
                  <c:v>7.7210177635549548E-2</c:v>
                </c:pt>
                <c:pt idx="65">
                  <c:v>7.8726883831932923E-2</c:v>
                </c:pt>
                <c:pt idx="66">
                  <c:v>8.0262002121994969E-2</c:v>
                </c:pt>
                <c:pt idx="67">
                  <c:v>8.1815754990494927E-2</c:v>
                </c:pt>
                <c:pt idx="68">
                  <c:v>8.3388383733993765E-2</c:v>
                </c:pt>
                <c:pt idx="69">
                  <c:v>8.4980149108395242E-2</c:v>
                </c:pt>
                <c:pt idx="70">
                  <c:v>8.6591331911769653E-2</c:v>
                </c:pt>
                <c:pt idx="71">
                  <c:v>8.8222233496595456E-2</c:v>
                </c:pt>
                <c:pt idx="72">
                  <c:v>8.9873176205727906E-2</c:v>
                </c:pt>
                <c:pt idx="73">
                  <c:v>9.154450372661721E-2</c:v>
                </c:pt>
                <c:pt idx="74">
                  <c:v>9.3236581358554366E-2</c:v>
                </c:pt>
                <c:pt idx="75">
                  <c:v>9.4949796188015897E-2</c:v>
                </c:pt>
                <c:pt idx="76">
                  <c:v>9.6684557167516255E-2</c:v>
                </c:pt>
                <c:pt idx="77">
                  <c:v>9.8441295093747869E-2</c:v>
                </c:pt>
                <c:pt idx="78">
                  <c:v>0.1002204624812069</c:v>
                </c:pt>
                <c:pt idx="79">
                  <c:v>0.10202253332794964</c:v>
                </c:pt>
                <c:pt idx="80">
                  <c:v>0.10384800277061705</c:v>
                </c:pt>
                <c:pt idx="81">
                  <c:v>0.10569738662638416</c:v>
                </c:pt>
                <c:pt idx="82">
                  <c:v>0.10757122082005069</c:v>
                </c:pt>
                <c:pt idx="83">
                  <c:v>0.10947006069507199</c:v>
                </c:pt>
                <c:pt idx="84">
                  <c:v>0.11139448020794723</c:v>
                </c:pt>
                <c:pt idx="85">
                  <c:v>0.11334507100601902</c:v>
                </c:pt>
                <c:pt idx="86">
                  <c:v>0.11532244138940063</c:v>
                </c:pt>
                <c:pt idx="87">
                  <c:v>0.11732721515842691</c:v>
                </c:pt>
                <c:pt idx="88">
                  <c:v>0.11936003034871741</c:v>
                </c:pt>
                <c:pt idx="89">
                  <c:v>0.121421537856646</c:v>
                </c:pt>
                <c:pt idx="90">
                  <c:v>0.12351239995871915</c:v>
                </c:pt>
                <c:pt idx="91">
                  <c:v>0.125633288729079</c:v>
                </c:pt>
                <c:pt idx="92">
                  <c:v>0.12778488436005189</c:v>
                </c:pt>
                <c:pt idx="93">
                  <c:v>0.12996787339136565</c:v>
                </c:pt>
                <c:pt idx="94">
                  <c:v>0.13218294685434342</c:v>
                </c:pt>
                <c:pt idx="95">
                  <c:v>0.13443079833804913</c:v>
                </c:pt>
                <c:pt idx="96">
                  <c:v>0.13671212198500574</c:v>
                </c:pt>
                <c:pt idx="97">
                  <c:v>0.13902761042471862</c:v>
                </c:pt>
                <c:pt idx="98">
                  <c:v>0.14137795265382228</c:v>
                </c:pt>
                <c:pt idx="99">
                  <c:v>0.14376383187220557</c:v>
                </c:pt>
                <c:pt idx="100">
                  <c:v>0.14618592328497187</c:v>
                </c:pt>
                <c:pt idx="101">
                  <c:v>0.14864489188053664</c:v>
                </c:pt>
                <c:pt idx="102">
                  <c:v>0.15114139019556228</c:v>
                </c:pt>
                <c:pt idx="103">
                  <c:v>0.15367605607776541</c:v>
                </c:pt>
                <c:pt idx="104">
                  <c:v>0.15624951045790988</c:v>
                </c:pt>
                <c:pt idx="105">
                  <c:v>0.15886235514250477</c:v>
                </c:pt>
                <c:pt idx="106">
                  <c:v>0.16151517063887261</c:v>
                </c:pt>
                <c:pt idx="107">
                  <c:v>0.1642085140243193</c:v>
                </c:pt>
                <c:pt idx="108">
                  <c:v>0.16694291687113275</c:v>
                </c:pt>
                <c:pt idx="109">
                  <c:v>0.16971888323905993</c:v>
                </c:pt>
                <c:pt idx="110">
                  <c:v>0.17253688774675063</c:v>
                </c:pt>
                <c:pt idx="111">
                  <c:v>0.17539737373342251</c:v>
                </c:pt>
                <c:pt idx="112">
                  <c:v>0.17830075152168839</c:v>
                </c:pt>
                <c:pt idx="113">
                  <c:v>0.18124739679209262</c:v>
                </c:pt>
                <c:pt idx="114">
                  <c:v>0.18423764907943727</c:v>
                </c:pt>
                <c:pt idx="115">
                  <c:v>0.18727181040043209</c:v>
                </c:pt>
                <c:pt idx="116">
                  <c:v>0.19035014402158523</c:v>
                </c:pt>
                <c:pt idx="117">
                  <c:v>0.19347287337556371</c:v>
                </c:pt>
                <c:pt idx="118">
                  <c:v>0.19664018113349918</c:v>
                </c:pt>
                <c:pt idx="119">
                  <c:v>0.19985220843988916</c:v>
                </c:pt>
                <c:pt idx="120">
                  <c:v>0.2031090543158782</c:v>
                </c:pt>
                <c:pt idx="121">
                  <c:v>0.20641077523576076</c:v>
                </c:pt>
                <c:pt idx="122">
                  <c:v>0.20975738488057671</c:v>
                </c:pt>
                <c:pt idx="123">
                  <c:v>0.21314885407164494</c:v>
                </c:pt>
                <c:pt idx="124">
                  <c:v>0.21658511088582708</c:v>
                </c:pt>
                <c:pt idx="125">
                  <c:v>0.22006604095322399</c:v>
                </c:pt>
                <c:pt idx="126">
                  <c:v>0.22359148793690387</c:v>
                </c:pt>
                <c:pt idx="127">
                  <c:v>0.22716125419313535</c:v>
                </c:pt>
                <c:pt idx="128">
                  <c:v>0.23077510160947451</c:v>
                </c:pt>
                <c:pt idx="129">
                  <c:v>0.23443275261692345</c:v>
                </c:pt>
                <c:pt idx="130">
                  <c:v>0.23813389137126137</c:v>
                </c:pt>
                <c:pt idx="131">
                  <c:v>0.24187816509754964</c:v>
                </c:pt>
                <c:pt idx="132">
                  <c:v>0.24566518559073119</c:v>
                </c:pt>
                <c:pt idx="133">
                  <c:v>0.24949453086420487</c:v>
                </c:pt>
                <c:pt idx="134">
                  <c:v>0.25336574693725034</c:v>
                </c:pt>
                <c:pt idx="135">
                  <c:v>0.25727834975122527</c:v>
                </c:pt>
                <c:pt idx="136">
                  <c:v>0.26123182720355492</c:v>
                </c:pt>
                <c:pt idx="137">
                  <c:v>0.26522564128769882</c:v>
                </c:pt>
                <c:pt idx="138">
                  <c:v>0.26925923032650773</c:v>
                </c:pt>
                <c:pt idx="139">
                  <c:v>0.27333201128569651</c:v>
                </c:pt>
                <c:pt idx="140">
                  <c:v>0.27744338215353698</c:v>
                </c:pt>
                <c:pt idx="141">
                  <c:v>0.28159272437235539</c:v>
                </c:pt>
                <c:pt idx="142">
                  <c:v>0.28577940530697932</c:v>
                </c:pt>
                <c:pt idx="143">
                  <c:v>0.29000278073493568</c:v>
                </c:pt>
                <c:pt idx="144">
                  <c:v>0.29426219734295833</c:v>
                </c:pt>
                <c:pt idx="145">
                  <c:v>0.2985569952142193</c:v>
                </c:pt>
                <c:pt idx="146">
                  <c:v>0.30288651029065483</c:v>
                </c:pt>
                <c:pt idx="147">
                  <c:v>0.30725007679481636</c:v>
                </c:pt>
                <c:pt idx="148">
                  <c:v>0.31164702959584734</c:v>
                </c:pt>
                <c:pt idx="149">
                  <c:v>0.31607670650444641</c:v>
                </c:pt>
                <c:pt idx="150">
                  <c:v>0.32053845048205531</c:v>
                </c:pt>
                <c:pt idx="151">
                  <c:v>0.32503161174997802</c:v>
                </c:pt>
                <c:pt idx="152">
                  <c:v>0.32955554978470658</c:v>
                </c:pt>
                <c:pt idx="153">
                  <c:v>0.33410963518639392</c:v>
                </c:pt>
                <c:pt idx="154">
                  <c:v>0.33869325140816953</c:v>
                </c:pt>
                <c:pt idx="155">
                  <c:v>0.34330579633483227</c:v>
                </c:pt>
                <c:pt idx="156">
                  <c:v>0.34794668370037973</c:v>
                </c:pt>
                <c:pt idx="157">
                  <c:v>0.35261534433483077</c:v>
                </c:pt>
                <c:pt idx="158">
                  <c:v>0.35731122723185721</c:v>
                </c:pt>
                <c:pt idx="159">
                  <c:v>0.3620338004298761</c:v>
                </c:pt>
                <c:pt idx="160">
                  <c:v>0.36678255170043089</c:v>
                </c:pt>
                <c:pt idx="161">
                  <c:v>0.37155698903891299</c:v>
                </c:pt>
                <c:pt idx="162">
                  <c:v>0.37635664095394994</c:v>
                </c:pt>
                <c:pt idx="163">
                  <c:v>0.3811810565530705</c:v>
                </c:pt>
                <c:pt idx="164">
                  <c:v>0.38602980542357801</c:v>
                </c:pt>
                <c:pt idx="165">
                  <c:v>0.39090247730888833</c:v>
                </c:pt>
                <c:pt idx="166">
                  <c:v>0.39579868158191422</c:v>
                </c:pt>
                <c:pt idx="167">
                  <c:v>0.40071804651840476</c:v>
                </c:pt>
                <c:pt idx="168">
                  <c:v>0.40566021837445171</c:v>
                </c:pt>
                <c:pt idx="169">
                  <c:v>0.41062486027365408</c:v>
                </c:pt>
                <c:pt idx="170">
                  <c:v>0.41561165091068086</c:v>
                </c:pt>
                <c:pt idx="171">
                  <c:v>0.42062028307918381</c:v>
                </c:pt>
                <c:pt idx="172">
                  <c:v>0.42565046203314866</c:v>
                </c:pt>
                <c:pt idx="173">
                  <c:v>0.43070190369188954</c:v>
                </c:pt>
                <c:pt idx="174">
                  <c:v>0.43577433269990523</c:v>
                </c:pt>
                <c:pt idx="175">
                  <c:v>0.44086748035377804</c:v>
                </c:pt>
                <c:pt idx="176">
                  <c:v>0.44598108240917411</c:v>
                </c:pt>
                <c:pt idx="177">
                  <c:v>0.45111487678178441</c:v>
                </c:pt>
                <c:pt idx="178">
                  <c:v>0.45626860115675943</c:v>
                </c:pt>
                <c:pt idx="179">
                  <c:v>0.46144199052177631</c:v>
                </c:pt>
                <c:pt idx="180">
                  <c:v>0.4666347746393989</c:v>
                </c:pt>
                <c:pt idx="181">
                  <c:v>0.47184667547477266</c:v>
                </c:pt>
                <c:pt idx="182">
                  <c:v>0.47707740459500619</c:v>
                </c:pt>
                <c:pt idx="183">
                  <c:v>0.48232666055677015</c:v>
                </c:pt>
                <c:pt idx="184">
                  <c:v>0.48759412629872606</c:v>
                </c:pt>
                <c:pt idx="185">
                  <c:v>0.49287946655536952</c:v>
                </c:pt>
                <c:pt idx="186">
                  <c:v>0.49818232530873408</c:v>
                </c:pt>
                <c:pt idx="187">
                  <c:v>0.50350232329416189</c:v>
                </c:pt>
                <c:pt idx="188">
                  <c:v>0.50883905557600029</c:v>
                </c:pt>
                <c:pt idx="189">
                  <c:v>0.51419208920863457</c:v>
                </c:pt>
                <c:pt idx="190">
                  <c:v>0.51956096099772953</c:v>
                </c:pt>
                <c:pt idx="191">
                  <c:v>0.5249451753759049</c:v>
                </c:pt>
                <c:pt idx="192">
                  <c:v>0.53034420240636271</c:v>
                </c:pt>
                <c:pt idx="193">
                  <c:v>0.53575747592715917</c:v>
                </c:pt>
                <c:pt idx="194">
                  <c:v>0.54118439184794487</c:v>
                </c:pt>
                <c:pt idx="195">
                  <c:v>0.54662430661005013</c:v>
                </c:pt>
                <c:pt idx="196">
                  <c:v>0.55207653581976224</c:v>
                </c:pt>
                <c:pt idx="197">
                  <c:v>0.55754035306359684</c:v>
                </c:pt>
                <c:pt idx="198">
                  <c:v>0.56301498891323887</c:v>
                </c:pt>
                <c:pt idx="199">
                  <c:v>0.56849963012668103</c:v>
                </c:pt>
                <c:pt idx="200">
                  <c:v>0.57399341905091017</c:v>
                </c:pt>
                <c:pt idx="201">
                  <c:v>0.5794954532302925</c:v>
                </c:pt>
                <c:pt idx="202">
                  <c:v>0.58500478522358135</c:v>
                </c:pt>
                <c:pt idx="203">
                  <c:v>0.59052042263126681</c:v>
                </c:pt>
                <c:pt idx="204">
                  <c:v>0.59604132833376766</c:v>
                </c:pt>
                <c:pt idx="205">
                  <c:v>0.60156642093975332</c:v>
                </c:pt>
                <c:pt idx="206">
                  <c:v>0.6070945754427165</c:v>
                </c:pt>
                <c:pt idx="207">
                  <c:v>0.61262462408275042</c:v>
                </c:pt>
                <c:pt idx="208">
                  <c:v>0.61815535740937011</c:v>
                </c:pt>
                <c:pt idx="209">
                  <c:v>0.6236855255401399</c:v>
                </c:pt>
                <c:pt idx="210">
                  <c:v>0.62921383960883626</c:v>
                </c:pt>
                <c:pt idx="211">
                  <c:v>0.63473897339590946</c:v>
                </c:pt>
                <c:pt idx="212">
                  <c:v>0.64025956513308946</c:v>
                </c:pt>
                <c:pt idx="213">
                  <c:v>0.6457742194731253</c:v>
                </c:pt>
                <c:pt idx="214">
                  <c:v>0.65128150961488729</c:v>
                </c:pt>
                <c:pt idx="215">
                  <c:v>0.65677997957334011</c:v>
                </c:pt>
                <c:pt idx="216">
                  <c:v>0.66226814658326805</c:v>
                </c:pt>
                <c:pt idx="217">
                  <c:v>0.66774450362509452</c:v>
                </c:pt>
                <c:pt idx="218">
                  <c:v>0.67320752206065582</c:v>
                </c:pt>
                <c:pt idx="219">
                  <c:v>0.67865565436640751</c:v>
                </c:pt>
                <c:pt idx="220">
                  <c:v>0.68408733695124457</c:v>
                </c:pt>
                <c:pt idx="221">
                  <c:v>0.68950099304587309</c:v>
                </c:pt>
                <c:pt idx="222">
                  <c:v>0.69489503565056254</c:v>
                </c:pt>
                <c:pt idx="223">
                  <c:v>0.70026787052801465</c:v>
                </c:pt>
                <c:pt idx="224">
                  <c:v>0.70561789922813078</c:v>
                </c:pt>
                <c:pt idx="225">
                  <c:v>0.71094352213153811</c:v>
                </c:pt>
                <c:pt idx="226">
                  <c:v>0.71624314149891422</c:v>
                </c:pt>
                <c:pt idx="227">
                  <c:v>0.72151516451338238</c:v>
                </c:pt>
                <c:pt idx="228">
                  <c:v>0.72675800630356324</c:v>
                </c:pt>
                <c:pt idx="229">
                  <c:v>0.73197009293523352</c:v>
                </c:pt>
                <c:pt idx="230">
                  <c:v>0.73714986435996854</c:v>
                </c:pt>
                <c:pt idx="231">
                  <c:v>0.74229577730963703</c:v>
                </c:pt>
                <c:pt idx="232">
                  <c:v>0.74740630812613384</c:v>
                </c:pt>
                <c:pt idx="233">
                  <c:v>0.75247995551632385</c:v>
                </c:pt>
                <c:pt idx="234">
                  <c:v>0.75751524322278041</c:v>
                </c:pt>
                <c:pt idx="235">
                  <c:v>0.76251072260154418</c:v>
                </c:pt>
                <c:pt idx="236">
                  <c:v>0.76746497509881995</c:v>
                </c:pt>
                <c:pt idx="237">
                  <c:v>0.77237661461921003</c:v>
                </c:pt>
                <c:pt idx="238">
                  <c:v>0.77724428977882254</c:v>
                </c:pt>
                <c:pt idx="239">
                  <c:v>0.782066686037306</c:v>
                </c:pt>
                <c:pt idx="240">
                  <c:v>0.78684252770361562</c:v>
                </c:pt>
                <c:pt idx="241">
                  <c:v>0.79157057981105472</c:v>
                </c:pt>
                <c:pt idx="242">
                  <c:v>0.79624964985787505</c:v>
                </c:pt>
                <c:pt idx="243">
                  <c:v>0.80087858941046064</c:v>
                </c:pt>
                <c:pt idx="244">
                  <c:v>0.80545629556684295</c:v>
                </c:pt>
                <c:pt idx="245">
                  <c:v>0.80998171227901183</c:v>
                </c:pt>
                <c:pt idx="246">
                  <c:v>0.81445383153317041</c:v>
                </c:pt>
                <c:pt idx="247">
                  <c:v>0.81887169438777629</c:v>
                </c:pt>
                <c:pt idx="248">
                  <c:v>0.82323439186983349</c:v>
                </c:pt>
                <c:pt idx="249">
                  <c:v>0.82754106573054476</c:v>
                </c:pt>
                <c:pt idx="250">
                  <c:v>0.83179090906201347</c:v>
                </c:pt>
                <c:pt idx="251">
                  <c:v>0.83598316677724527</c:v>
                </c:pt>
                <c:pt idx="252">
                  <c:v>0.84011713595623216</c:v>
                </c:pt>
                <c:pt idx="253">
                  <c:v>0.84419216606137804</c:v>
                </c:pt>
                <c:pt idx="254">
                  <c:v>0.84820765902599349</c:v>
                </c:pt>
                <c:pt idx="255">
                  <c:v>0.85216306921999219</c:v>
                </c:pt>
                <c:pt idx="256">
                  <c:v>0.85605790329729714</c:v>
                </c:pt>
                <c:pt idx="257">
                  <c:v>0.8598917199298044</c:v>
                </c:pt>
                <c:pt idx="258">
                  <c:v>0.86366412943304605</c:v>
                </c:pt>
                <c:pt idx="259">
                  <c:v>0.86737479328895051</c:v>
                </c:pt>
                <c:pt idx="260">
                  <c:v>0.87102342357131646</c:v>
                </c:pt>
                <c:pt idx="261">
                  <c:v>0.87460978227978614</c:v>
                </c:pt>
                <c:pt idx="262">
                  <c:v>0.87813368058825703</c:v>
                </c:pt>
                <c:pt idx="263">
                  <c:v>0.88159497801375819</c:v>
                </c:pt>
                <c:pt idx="264">
                  <c:v>0.88499358151188379</c:v>
                </c:pt>
                <c:pt idx="265">
                  <c:v>0.88832944450492124</c:v>
                </c:pt>
                <c:pt idx="266">
                  <c:v>0.89160256584877273</c:v>
                </c:pt>
                <c:pt idx="267">
                  <c:v>0.89481298874476922</c:v>
                </c:pt>
                <c:pt idx="268">
                  <c:v>0.89796079960238218</c:v>
                </c:pt>
                <c:pt idx="269">
                  <c:v>0.90104612685874297</c:v>
                </c:pt>
                <c:pt idx="270">
                  <c:v>0.9040691397607642</c:v>
                </c:pt>
                <c:pt idx="271">
                  <c:v>0.90703004711549884</c:v>
                </c:pt>
                <c:pt idx="272">
                  <c:v>0.90992909601419347</c:v>
                </c:pt>
                <c:pt idx="273">
                  <c:v>0.91276657053531318</c:v>
                </c:pt>
                <c:pt idx="274">
                  <c:v>0.91554279043158049</c:v>
                </c:pt>
                <c:pt idx="275">
                  <c:v>0.91825810980585043</c:v>
                </c:pt>
                <c:pt idx="276">
                  <c:v>0.92091291578039391</c:v>
                </c:pt>
                <c:pt idx="277">
                  <c:v>0.92350762716390089</c:v>
                </c:pt>
                <c:pt idx="278">
                  <c:v>0.92604269312024468</c:v>
                </c:pt>
                <c:pt idx="279">
                  <c:v>0.92851859184276664</c:v>
                </c:pt>
                <c:pt idx="280">
                  <c:v>0.93093582923756268</c:v>
                </c:pt>
                <c:pt idx="281">
                  <c:v>0.93329493761895943</c:v>
                </c:pt>
                <c:pt idx="282">
                  <c:v>0.93559647442006022</c:v>
                </c:pt>
                <c:pt idx="283">
                  <c:v>0.93784102092099753</c:v>
                </c:pt>
                <c:pt idx="284">
                  <c:v>0.94002918099716437</c:v>
                </c:pt>
                <c:pt idx="285">
                  <c:v>0.94216157988949323</c:v>
                </c:pt>
                <c:pt idx="286">
                  <c:v>0.94423886299849813</c:v>
                </c:pt>
                <c:pt idx="287">
                  <c:v>0.94626169470357557</c:v>
                </c:pt>
                <c:pt idx="288">
                  <c:v>0.94823075720876071</c:v>
                </c:pt>
                <c:pt idx="289">
                  <c:v>0.95014674941590072</c:v>
                </c:pt>
                <c:pt idx="290">
                  <c:v>0.95201038582595643</c:v>
                </c:pt>
                <c:pt idx="291">
                  <c:v>0.95382239546891057</c:v>
                </c:pt>
                <c:pt idx="292">
                  <c:v>0.95558352086255438</c:v>
                </c:pt>
                <c:pt idx="293">
                  <c:v>0.95729451700020884</c:v>
                </c:pt>
                <c:pt idx="294">
                  <c:v>0.95895615036727089</c:v>
                </c:pt>
                <c:pt idx="295">
                  <c:v>0.96056919798627627</c:v>
                </c:pt>
                <c:pt idx="296">
                  <c:v>0.96213444649005286</c:v>
                </c:pt>
                <c:pt idx="297">
                  <c:v>0.96365269122237196</c:v>
                </c:pt>
                <c:pt idx="298">
                  <c:v>0.96512473536540611</c:v>
                </c:pt>
                <c:pt idx="299">
                  <c:v>0.96655138909319094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39-494E-BBDE-4AB0F40C8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022752"/>
        <c:axId val="977030240"/>
      </c:scatterChart>
      <c:valAx>
        <c:axId val="977022752"/>
        <c:scaling>
          <c:orientation val="minMax"/>
          <c:max val="5.0999999999999996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7030240"/>
        <c:crosses val="autoZero"/>
        <c:crossBetween val="midCat"/>
      </c:valAx>
      <c:valAx>
        <c:axId val="9770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7022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37</xdr:row>
      <xdr:rowOff>0</xdr:rowOff>
    </xdr:from>
    <xdr:to>
      <xdr:col>12</xdr:col>
      <xdr:colOff>762000</xdr:colOff>
      <xdr:row>53</xdr:row>
      <xdr:rowOff>7620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7687156-582C-4B23-855A-A78D2409DB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289560</xdr:colOff>
      <xdr:row>37</xdr:row>
      <xdr:rowOff>0</xdr:rowOff>
    </xdr:from>
    <xdr:to>
      <xdr:col>20</xdr:col>
      <xdr:colOff>7620</xdr:colOff>
      <xdr:row>53</xdr:row>
      <xdr:rowOff>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BE66386F-CB65-4C91-B0D9-D98DF4747E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518160</xdr:colOff>
      <xdr:row>53</xdr:row>
      <xdr:rowOff>144780</xdr:rowOff>
    </xdr:from>
    <xdr:to>
      <xdr:col>19</xdr:col>
      <xdr:colOff>487680</xdr:colOff>
      <xdr:row>69</xdr:row>
      <xdr:rowOff>83820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ACF69B24-EF88-4E03-AEFD-623B05493D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3</xdr:row>
      <xdr:rowOff>7620</xdr:rowOff>
    </xdr:from>
    <xdr:to>
      <xdr:col>22</xdr:col>
      <xdr:colOff>7620</xdr:colOff>
      <xdr:row>16</xdr:row>
      <xdr:rowOff>15240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A2BEF90-2D99-46FE-B5E9-E6F43D50D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579120</xdr:colOff>
      <xdr:row>17</xdr:row>
      <xdr:rowOff>7620</xdr:rowOff>
    </xdr:from>
    <xdr:to>
      <xdr:col>22</xdr:col>
      <xdr:colOff>7620</xdr:colOff>
      <xdr:row>35</xdr:row>
      <xdr:rowOff>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C072609-FF44-4288-A030-023691F0B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22860</xdr:colOff>
      <xdr:row>2</xdr:row>
      <xdr:rowOff>365760</xdr:rowOff>
    </xdr:from>
    <xdr:to>
      <xdr:col>40</xdr:col>
      <xdr:colOff>91440</xdr:colOff>
      <xdr:row>17</xdr:row>
      <xdr:rowOff>30480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9493A9D-81B3-4573-82C1-71404F21A2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21</xdr:row>
      <xdr:rowOff>0</xdr:rowOff>
    </xdr:from>
    <xdr:to>
      <xdr:col>12</xdr:col>
      <xdr:colOff>769620</xdr:colOff>
      <xdr:row>37</xdr:row>
      <xdr:rowOff>22860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98B264A-5DB0-46CB-BD81-BA2DE8683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601980</xdr:colOff>
      <xdr:row>21</xdr:row>
      <xdr:rowOff>7620</xdr:rowOff>
    </xdr:from>
    <xdr:to>
      <xdr:col>20</xdr:col>
      <xdr:colOff>7620</xdr:colOff>
      <xdr:row>37</xdr:row>
      <xdr:rowOff>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FDB58872-94CD-4ABD-B5A5-5F238539F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15240</xdr:colOff>
      <xdr:row>5</xdr:row>
      <xdr:rowOff>0</xdr:rowOff>
    </xdr:from>
    <xdr:to>
      <xdr:col>32</xdr:col>
      <xdr:colOff>320040</xdr:colOff>
      <xdr:row>18</xdr:row>
      <xdr:rowOff>30480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D759CC80-239E-422F-A9B0-3A6ABD1F26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0</xdr:rowOff>
    </xdr:from>
    <xdr:to>
      <xdr:col>22</xdr:col>
      <xdr:colOff>45720</xdr:colOff>
      <xdr:row>17</xdr:row>
      <xdr:rowOff>7620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742863FD-EF1B-4E00-A042-45EF81E6C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18</xdr:row>
      <xdr:rowOff>0</xdr:rowOff>
    </xdr:from>
    <xdr:to>
      <xdr:col>22</xdr:col>
      <xdr:colOff>38100</xdr:colOff>
      <xdr:row>35</xdr:row>
      <xdr:rowOff>167640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21A9E405-AFBD-47D0-8886-0D9D803231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15240</xdr:colOff>
      <xdr:row>2</xdr:row>
      <xdr:rowOff>167640</xdr:rowOff>
    </xdr:from>
    <xdr:to>
      <xdr:col>40</xdr:col>
      <xdr:colOff>83820</xdr:colOff>
      <xdr:row>17</xdr:row>
      <xdr:rowOff>30480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394DBAEC-DA05-4320-AFB5-05BFF1B6CD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12848-25D1-4FDF-BAF7-F5F2E3C8A017}">
  <sheetPr codeName="Arkusz1"/>
  <dimension ref="B5:X155"/>
  <sheetViews>
    <sheetView topLeftCell="D1" workbookViewId="0">
      <selection activeCell="I18" sqref="I18"/>
    </sheetView>
  </sheetViews>
  <sheetFormatPr defaultColWidth="8.88671875" defaultRowHeight="13.8" x14ac:dyDescent="0.3"/>
  <cols>
    <col min="1" max="1" width="8.88671875" style="1"/>
    <col min="2" max="2" width="12.6640625" style="1" bestFit="1" customWidth="1"/>
    <col min="3" max="3" width="11.5546875" style="1" bestFit="1" customWidth="1"/>
    <col min="4" max="4" width="12" style="1" bestFit="1" customWidth="1"/>
    <col min="5" max="5" width="10.88671875" style="1" bestFit="1" customWidth="1"/>
    <col min="6" max="6" width="10.5546875" style="1" customWidth="1"/>
    <col min="7" max="7" width="8.88671875" style="1"/>
    <col min="8" max="8" width="13.44140625" style="1" customWidth="1"/>
    <col min="9" max="9" width="12.6640625" style="1" bestFit="1" customWidth="1"/>
    <col min="10" max="11" width="8.88671875" style="1"/>
    <col min="12" max="12" width="12.6640625" style="1" bestFit="1" customWidth="1"/>
    <col min="13" max="13" width="11.33203125" style="1" customWidth="1"/>
    <col min="14" max="15" width="8.88671875" style="1"/>
    <col min="16" max="18" width="12.6640625" style="1" bestFit="1" customWidth="1"/>
    <col min="19" max="19" width="11.33203125" style="1" customWidth="1"/>
    <col min="20" max="20" width="10.6640625" style="1" customWidth="1"/>
    <col min="21" max="23" width="8.88671875" style="1"/>
    <col min="24" max="24" width="11.5546875" style="1" customWidth="1"/>
    <col min="25" max="16384" width="8.88671875" style="1"/>
  </cols>
  <sheetData>
    <row r="5" spans="2:24" ht="41.4" x14ac:dyDescent="0.3">
      <c r="B5" s="13" t="s">
        <v>0</v>
      </c>
      <c r="C5" s="13" t="s">
        <v>1</v>
      </c>
      <c r="D5" s="13" t="s">
        <v>2</v>
      </c>
      <c r="E5" s="13" t="s">
        <v>3</v>
      </c>
      <c r="F5" s="13" t="s">
        <v>4</v>
      </c>
      <c r="H5" s="12" t="s">
        <v>5</v>
      </c>
      <c r="I5" s="3">
        <f>AVERAGE(D6:D155)</f>
        <v>3.7580000000000027</v>
      </c>
      <c r="K5" s="14" t="s">
        <v>24</v>
      </c>
      <c r="L5" s="14" t="s">
        <v>26</v>
      </c>
      <c r="M5" s="12" t="s">
        <v>25</v>
      </c>
      <c r="N5" s="12" t="s">
        <v>27</v>
      </c>
      <c r="O5" s="12" t="s">
        <v>28</v>
      </c>
      <c r="P5" s="12" t="s">
        <v>29</v>
      </c>
      <c r="Q5" s="12" t="s">
        <v>30</v>
      </c>
      <c r="R5" s="12" t="s">
        <v>31</v>
      </c>
      <c r="S5" s="12" t="s">
        <v>32</v>
      </c>
      <c r="T5" s="12" t="s">
        <v>33</v>
      </c>
      <c r="V5" s="14" t="s">
        <v>6</v>
      </c>
      <c r="W5" s="15" t="s">
        <v>16</v>
      </c>
      <c r="X5" s="15" t="s">
        <v>17</v>
      </c>
    </row>
    <row r="6" spans="2:24" ht="27.6" x14ac:dyDescent="0.3">
      <c r="B6" s="2">
        <v>5.0999999999999996</v>
      </c>
      <c r="C6" s="2">
        <v>3.5</v>
      </c>
      <c r="D6" s="2">
        <v>1.4</v>
      </c>
      <c r="E6" s="2">
        <v>0.2</v>
      </c>
      <c r="F6" s="2" t="s">
        <v>7</v>
      </c>
      <c r="H6" s="12" t="s">
        <v>8</v>
      </c>
      <c r="I6" s="4">
        <f>_xlfn.STDEV.S(D6:D155)</f>
        <v>1.7652982332594624</v>
      </c>
      <c r="K6" s="3">
        <v>1</v>
      </c>
      <c r="L6" s="4">
        <f>I10 - $I$9/2</f>
        <v>0.89827586206896548</v>
      </c>
      <c r="M6" s="4">
        <f>L6 + $I$9</f>
        <v>1.1017241379310345</v>
      </c>
      <c r="N6" s="3">
        <f>COUNTIF(D:D, "&lt;=" &amp; M6)</f>
        <v>2</v>
      </c>
      <c r="O6" s="3">
        <f>N6</f>
        <v>2</v>
      </c>
      <c r="P6" s="4">
        <f t="shared" ref="P6:P35" si="0">O6/_n/$I$9</f>
        <v>6.5536723163841806E-2</v>
      </c>
      <c r="Q6" s="4">
        <f>_xlfn.NORM.DIST((L6 + M6)/2, $I$5, $I$6, FALSE)</f>
        <v>6.6689029091961977E-2</v>
      </c>
      <c r="R6" s="3">
        <f>EstymacjaGaussowska(($L6 + $M6)/2, $D$6:$D$155)</f>
        <v>0.15197430392932543</v>
      </c>
      <c r="S6" s="3">
        <f t="shared" ref="S6:S35" si="1">N6/_n</f>
        <v>1.3333333333333334E-2</v>
      </c>
      <c r="T6" s="3">
        <f>_xlfn.NORM.DIST((L6 + M6)/2, $I$5, $I$6, TRUE)</f>
        <v>5.9103692836246752E-2</v>
      </c>
      <c r="V6" s="6">
        <v>1</v>
      </c>
      <c r="W6" s="6">
        <f>SMALL(D$6:D$1048576,$V6)</f>
        <v>1</v>
      </c>
      <c r="X6" s="6">
        <f>_xlfn.NORM.INV(($V6-1/2)/$I$7, $I$5, $I$6)</f>
        <v>-1.0313457054621331</v>
      </c>
    </row>
    <row r="7" spans="2:24" ht="27.6" x14ac:dyDescent="0.3">
      <c r="B7" s="2">
        <v>4.9000000000000004</v>
      </c>
      <c r="C7" s="2">
        <v>3</v>
      </c>
      <c r="D7" s="2">
        <v>1.4</v>
      </c>
      <c r="E7" s="2">
        <v>0.2</v>
      </c>
      <c r="F7" s="2" t="s">
        <v>7</v>
      </c>
      <c r="H7" s="12" t="s">
        <v>9</v>
      </c>
      <c r="I7" s="3">
        <f>COUNT(D6:D155)</f>
        <v>150</v>
      </c>
      <c r="K7" s="3">
        <v>2</v>
      </c>
      <c r="L7" s="4">
        <f>$M6</f>
        <v>1.1017241379310345</v>
      </c>
      <c r="M7" s="4">
        <f>$L7 + $I$9</f>
        <v>1.3051724137931036</v>
      </c>
      <c r="N7" s="3">
        <f t="shared" ref="N7:N35" si="2">COUNTIF(D:D, "&lt;=" &amp; M7)</f>
        <v>11</v>
      </c>
      <c r="O7" s="3">
        <f>N7 - N6</f>
        <v>9</v>
      </c>
      <c r="P7" s="4">
        <f t="shared" si="0"/>
        <v>0.29491525423728809</v>
      </c>
      <c r="Q7" s="4">
        <f t="shared" ref="Q7:Q35" si="3">_xlfn.NORM.DIST((L7 + M7)/2, $I$5, $I$6, FALSE)</f>
        <v>7.931737406002394E-2</v>
      </c>
      <c r="R7" s="3">
        <f t="shared" ref="R7:R35" si="4">EstymacjaGaussowska(($L7 + $M7)/2, $D$6:$D$155)</f>
        <v>0.17604284421074076</v>
      </c>
      <c r="S7" s="3">
        <f t="shared" si="1"/>
        <v>7.3333333333333334E-2</v>
      </c>
      <c r="T7" s="3">
        <f t="shared" ref="T7:T35" si="5">_xlfn.NORM.DIST((L7 + M7)/2, $I$5, $I$6, TRUE)</f>
        <v>7.3935359205173218E-2</v>
      </c>
      <c r="V7" s="6">
        <v>2</v>
      </c>
      <c r="W7" s="6">
        <f t="shared" ref="W7:W70" si="6">SMALL(D$6:D$1048576,$V7)</f>
        <v>1.1000000000000001</v>
      </c>
      <c r="X7" s="6">
        <f t="shared" ref="X7:X70" si="7">_xlfn.NORM.INV(($V7-1/2)/$I$7, $I$5, $I$6)</f>
        <v>-0.34869779199120021</v>
      </c>
    </row>
    <row r="8" spans="2:24" x14ac:dyDescent="0.3">
      <c r="B8" s="2">
        <v>4.7</v>
      </c>
      <c r="C8" s="2">
        <v>3.2</v>
      </c>
      <c r="D8" s="2">
        <v>1.3</v>
      </c>
      <c r="E8" s="2">
        <v>0.2</v>
      </c>
      <c r="F8" s="2" t="s">
        <v>7</v>
      </c>
      <c r="H8" s="12" t="s">
        <v>10</v>
      </c>
      <c r="I8" s="3">
        <v>30</v>
      </c>
      <c r="K8" s="3">
        <v>3</v>
      </c>
      <c r="L8" s="4">
        <f t="shared" ref="L8:L35" si="8">$M7</f>
        <v>1.3051724137931036</v>
      </c>
      <c r="M8" s="4">
        <f t="shared" ref="M8:M35" si="9">L8 + $I$9</f>
        <v>1.5086206896551726</v>
      </c>
      <c r="N8" s="3">
        <f t="shared" si="2"/>
        <v>37</v>
      </c>
      <c r="O8" s="3">
        <f t="shared" ref="O8:O35" si="10">N8 - N7</f>
        <v>26</v>
      </c>
      <c r="P8" s="4">
        <f t="shared" si="0"/>
        <v>0.85197740112994347</v>
      </c>
      <c r="Q8" s="4">
        <f t="shared" si="3"/>
        <v>9.3092319229378898E-2</v>
      </c>
      <c r="R8" s="3">
        <f>EstymacjaGaussowska(($L8 + $M8)/2, $D$6:$D$155)</f>
        <v>0.18791413283096797</v>
      </c>
      <c r="S8" s="3">
        <f t="shared" si="1"/>
        <v>0.24666666666666667</v>
      </c>
      <c r="T8" s="3">
        <f t="shared" si="5"/>
        <v>9.1455580156060853E-2</v>
      </c>
      <c r="V8" s="6">
        <v>3</v>
      </c>
      <c r="W8" s="6">
        <f t="shared" si="6"/>
        <v>1.2</v>
      </c>
      <c r="X8" s="6">
        <f t="shared" si="7"/>
        <v>1.3655077970313734E-3</v>
      </c>
    </row>
    <row r="9" spans="2:24" x14ac:dyDescent="0.3">
      <c r="B9" s="2">
        <v>4.5999999999999996</v>
      </c>
      <c r="C9" s="2">
        <v>3.1</v>
      </c>
      <c r="D9" s="2">
        <v>1.5</v>
      </c>
      <c r="E9" s="2">
        <v>0.2</v>
      </c>
      <c r="F9" s="2" t="s">
        <v>7</v>
      </c>
      <c r="H9" s="12" t="s">
        <v>11</v>
      </c>
      <c r="I9" s="3">
        <f>(I11 - I10)/(_k - 1)</f>
        <v>0.20344827586206898</v>
      </c>
      <c r="K9" s="3">
        <v>4</v>
      </c>
      <c r="L9" s="4">
        <f t="shared" si="8"/>
        <v>1.5086206896551726</v>
      </c>
      <c r="M9" s="4">
        <f t="shared" si="9"/>
        <v>1.7120689655172416</v>
      </c>
      <c r="N9" s="3">
        <f t="shared" si="2"/>
        <v>48</v>
      </c>
      <c r="O9" s="3">
        <f t="shared" si="10"/>
        <v>11</v>
      </c>
      <c r="P9" s="4">
        <f t="shared" si="0"/>
        <v>0.36045197740112989</v>
      </c>
      <c r="Q9" s="4">
        <f t="shared" si="3"/>
        <v>0.10781792314766429</v>
      </c>
      <c r="R9" s="3">
        <f t="shared" si="4"/>
        <v>0.1850614480897407</v>
      </c>
      <c r="S9" s="3">
        <f t="shared" si="1"/>
        <v>0.32</v>
      </c>
      <c r="T9" s="3">
        <f t="shared" si="5"/>
        <v>0.11187893924072326</v>
      </c>
      <c r="V9" s="6">
        <v>4</v>
      </c>
      <c r="W9" s="6">
        <f t="shared" si="6"/>
        <v>1.2</v>
      </c>
      <c r="X9" s="6">
        <f t="shared" si="7"/>
        <v>0.24626929179357449</v>
      </c>
    </row>
    <row r="10" spans="2:24" x14ac:dyDescent="0.3">
      <c r="B10" s="2">
        <v>5</v>
      </c>
      <c r="C10" s="2">
        <v>3.6</v>
      </c>
      <c r="D10" s="2">
        <v>1.4</v>
      </c>
      <c r="E10" s="2">
        <v>0.2</v>
      </c>
      <c r="F10" s="2" t="s">
        <v>7</v>
      </c>
      <c r="H10" s="12" t="s">
        <v>12</v>
      </c>
      <c r="I10" s="3">
        <f>MIN(D:D)</f>
        <v>1</v>
      </c>
      <c r="K10" s="3">
        <v>5</v>
      </c>
      <c r="L10" s="4">
        <f t="shared" si="8"/>
        <v>1.7120689655172416</v>
      </c>
      <c r="M10" s="4">
        <f t="shared" si="9"/>
        <v>1.9155172413793107</v>
      </c>
      <c r="N10" s="3">
        <f t="shared" si="2"/>
        <v>50</v>
      </c>
      <c r="O10" s="3">
        <f t="shared" si="10"/>
        <v>2</v>
      </c>
      <c r="P10" s="4">
        <f t="shared" si="0"/>
        <v>6.5536723163841806E-2</v>
      </c>
      <c r="Q10" s="4">
        <f t="shared" si="3"/>
        <v>0.12322523730078648</v>
      </c>
      <c r="R10" s="3">
        <f t="shared" si="4"/>
        <v>0.16861424038725314</v>
      </c>
      <c r="S10" s="3">
        <f t="shared" si="1"/>
        <v>0.33333333333333331</v>
      </c>
      <c r="T10" s="3">
        <f t="shared" si="5"/>
        <v>0.13537271028457545</v>
      </c>
      <c r="V10" s="6">
        <v>5</v>
      </c>
      <c r="W10" s="6">
        <f t="shared" si="6"/>
        <v>1.3</v>
      </c>
      <c r="X10" s="6">
        <f t="shared" si="7"/>
        <v>0.4378383664049097</v>
      </c>
    </row>
    <row r="11" spans="2:24" x14ac:dyDescent="0.3">
      <c r="B11" s="2">
        <v>5.4</v>
      </c>
      <c r="C11" s="2">
        <v>3.9</v>
      </c>
      <c r="D11" s="2">
        <v>1.7</v>
      </c>
      <c r="E11" s="2">
        <v>0.4</v>
      </c>
      <c r="F11" s="2" t="s">
        <v>7</v>
      </c>
      <c r="H11" s="12" t="s">
        <v>13</v>
      </c>
      <c r="I11" s="3">
        <f>MAX(D:D)</f>
        <v>6.9</v>
      </c>
      <c r="K11" s="3">
        <v>6</v>
      </c>
      <c r="L11" s="4">
        <f t="shared" si="8"/>
        <v>1.9155172413793107</v>
      </c>
      <c r="M11" s="4">
        <f t="shared" si="9"/>
        <v>2.1189655172413797</v>
      </c>
      <c r="N11" s="3">
        <f t="shared" si="2"/>
        <v>50</v>
      </c>
      <c r="O11" s="3">
        <f t="shared" si="10"/>
        <v>0</v>
      </c>
      <c r="P11" s="4">
        <f t="shared" si="0"/>
        <v>0</v>
      </c>
      <c r="Q11" s="4">
        <f t="shared" si="3"/>
        <v>0.13897604676128952</v>
      </c>
      <c r="R11" s="3">
        <f t="shared" si="4"/>
        <v>0.14305175875682727</v>
      </c>
      <c r="S11" s="3">
        <f t="shared" si="1"/>
        <v>0.33333333333333331</v>
      </c>
      <c r="T11" s="3">
        <f t="shared" si="5"/>
        <v>0.16204229521275762</v>
      </c>
      <c r="V11" s="6">
        <v>6</v>
      </c>
      <c r="W11" s="6">
        <f t="shared" si="6"/>
        <v>1.3</v>
      </c>
      <c r="X11" s="6">
        <f t="shared" si="7"/>
        <v>0.59679121228072152</v>
      </c>
    </row>
    <row r="12" spans="2:24" x14ac:dyDescent="0.3">
      <c r="B12" s="2">
        <v>4.5999999999999996</v>
      </c>
      <c r="C12" s="2">
        <v>3.4</v>
      </c>
      <c r="D12" s="2">
        <v>1.4</v>
      </c>
      <c r="E12" s="2">
        <v>0.3</v>
      </c>
      <c r="F12" s="2" t="s">
        <v>7</v>
      </c>
      <c r="K12" s="3">
        <v>7</v>
      </c>
      <c r="L12" s="4">
        <f t="shared" si="8"/>
        <v>2.1189655172413797</v>
      </c>
      <c r="M12" s="4">
        <f t="shared" si="9"/>
        <v>2.3224137931034488</v>
      </c>
      <c r="N12" s="3">
        <f t="shared" si="2"/>
        <v>50</v>
      </c>
      <c r="O12" s="3">
        <f t="shared" si="10"/>
        <v>0</v>
      </c>
      <c r="P12" s="4">
        <f t="shared" si="0"/>
        <v>0</v>
      </c>
      <c r="Q12" s="4">
        <f t="shared" si="3"/>
        <v>0.15467204722770772</v>
      </c>
      <c r="R12" s="3">
        <f t="shared" si="4"/>
        <v>0.1146984331545351</v>
      </c>
      <c r="S12" s="3">
        <f t="shared" si="1"/>
        <v>0.33333333333333331</v>
      </c>
      <c r="T12" s="3">
        <f t="shared" si="5"/>
        <v>0.19191797169463518</v>
      </c>
      <c r="V12" s="6">
        <v>7</v>
      </c>
      <c r="W12" s="6">
        <f t="shared" si="6"/>
        <v>1.3</v>
      </c>
      <c r="X12" s="6">
        <f t="shared" si="7"/>
        <v>0.73360385817313523</v>
      </c>
    </row>
    <row r="13" spans="2:24" x14ac:dyDescent="0.3">
      <c r="B13" s="2">
        <v>5</v>
      </c>
      <c r="C13" s="2">
        <v>3.4</v>
      </c>
      <c r="D13" s="2">
        <v>1.5</v>
      </c>
      <c r="E13" s="2">
        <v>0.2</v>
      </c>
      <c r="F13" s="2" t="s">
        <v>7</v>
      </c>
      <c r="K13" s="3">
        <v>8</v>
      </c>
      <c r="L13" s="4">
        <f t="shared" si="8"/>
        <v>2.3224137931034488</v>
      </c>
      <c r="M13" s="4">
        <f t="shared" si="9"/>
        <v>2.5258620689655178</v>
      </c>
      <c r="N13" s="3">
        <f t="shared" si="2"/>
        <v>50</v>
      </c>
      <c r="O13" s="3">
        <f t="shared" si="10"/>
        <v>0</v>
      </c>
      <c r="P13" s="4">
        <f t="shared" si="0"/>
        <v>0</v>
      </c>
      <c r="Q13" s="4">
        <f t="shared" si="3"/>
        <v>0.16986945886846291</v>
      </c>
      <c r="R13" s="3">
        <f t="shared" si="4"/>
        <v>8.9777725963558416E-2</v>
      </c>
      <c r="S13" s="3">
        <f t="shared" si="1"/>
        <v>0.33333333333333331</v>
      </c>
      <c r="T13" s="3">
        <f t="shared" si="5"/>
        <v>0.22494406525643032</v>
      </c>
      <c r="V13" s="6">
        <v>8</v>
      </c>
      <c r="W13" s="6">
        <f t="shared" si="6"/>
        <v>1.3</v>
      </c>
      <c r="X13" s="6">
        <f t="shared" si="7"/>
        <v>0.85434279837214921</v>
      </c>
    </row>
    <row r="14" spans="2:24" x14ac:dyDescent="0.3">
      <c r="B14" s="2">
        <v>4.4000000000000004</v>
      </c>
      <c r="C14" s="2">
        <v>2.9</v>
      </c>
      <c r="D14" s="2">
        <v>1.4</v>
      </c>
      <c r="E14" s="2">
        <v>0.2</v>
      </c>
      <c r="F14" s="2" t="s">
        <v>7</v>
      </c>
      <c r="K14" s="3">
        <v>9</v>
      </c>
      <c r="L14" s="4">
        <f t="shared" si="8"/>
        <v>2.5258620689655178</v>
      </c>
      <c r="M14" s="4">
        <f t="shared" si="9"/>
        <v>2.7293103448275868</v>
      </c>
      <c r="N14" s="3">
        <f t="shared" si="2"/>
        <v>50</v>
      </c>
      <c r="O14" s="3">
        <f t="shared" si="10"/>
        <v>0</v>
      </c>
      <c r="P14" s="4">
        <f t="shared" si="0"/>
        <v>0</v>
      </c>
      <c r="Q14" s="4">
        <f t="shared" si="3"/>
        <v>0.18409854756427901</v>
      </c>
      <c r="R14" s="3">
        <f t="shared" si="4"/>
        <v>7.2886004812263899E-2</v>
      </c>
      <c r="S14" s="3">
        <f t="shared" si="1"/>
        <v>0.33333333333333331</v>
      </c>
      <c r="T14" s="3">
        <f t="shared" si="5"/>
        <v>0.26097160736762659</v>
      </c>
      <c r="V14" s="6">
        <v>9</v>
      </c>
      <c r="W14" s="6">
        <f t="shared" si="6"/>
        <v>1.3</v>
      </c>
      <c r="X14" s="6">
        <f t="shared" si="7"/>
        <v>0.9628501072388751</v>
      </c>
    </row>
    <row r="15" spans="2:24" x14ac:dyDescent="0.3">
      <c r="B15" s="2">
        <v>4.9000000000000004</v>
      </c>
      <c r="C15" s="2">
        <v>3.1</v>
      </c>
      <c r="D15" s="2">
        <v>1.5</v>
      </c>
      <c r="E15" s="2">
        <v>0.1</v>
      </c>
      <c r="F15" s="2" t="s">
        <v>7</v>
      </c>
      <c r="K15" s="3">
        <v>10</v>
      </c>
      <c r="L15" s="4">
        <f t="shared" si="8"/>
        <v>2.7293103448275868</v>
      </c>
      <c r="M15" s="4">
        <f t="shared" si="9"/>
        <v>2.9327586206896559</v>
      </c>
      <c r="N15" s="3">
        <f t="shared" si="2"/>
        <v>50</v>
      </c>
      <c r="O15" s="3">
        <f t="shared" si="10"/>
        <v>0</v>
      </c>
      <c r="P15" s="4">
        <f t="shared" si="0"/>
        <v>0</v>
      </c>
      <c r="Q15" s="4">
        <f t="shared" si="3"/>
        <v>0.19688698587124326</v>
      </c>
      <c r="R15" s="3">
        <f t="shared" si="4"/>
        <v>6.6364825758659943E-2</v>
      </c>
      <c r="S15" s="3">
        <f t="shared" si="1"/>
        <v>0.33333333333333331</v>
      </c>
      <c r="T15" s="3">
        <f t="shared" si="5"/>
        <v>0.29975537814460251</v>
      </c>
      <c r="V15" s="6">
        <v>10</v>
      </c>
      <c r="W15" s="6">
        <f t="shared" si="6"/>
        <v>1.3</v>
      </c>
      <c r="X15" s="6">
        <f t="shared" si="7"/>
        <v>1.0617196361989234</v>
      </c>
    </row>
    <row r="16" spans="2:24" x14ac:dyDescent="0.3">
      <c r="B16" s="2">
        <v>5.4</v>
      </c>
      <c r="C16" s="2">
        <v>3.7</v>
      </c>
      <c r="D16" s="2">
        <v>1.5</v>
      </c>
      <c r="E16" s="2">
        <v>0.2</v>
      </c>
      <c r="F16" s="2" t="s">
        <v>7</v>
      </c>
      <c r="K16" s="3">
        <v>11</v>
      </c>
      <c r="L16" s="4">
        <f t="shared" si="8"/>
        <v>2.9327586206896559</v>
      </c>
      <c r="M16" s="4">
        <f t="shared" si="9"/>
        <v>3.1362068965517249</v>
      </c>
      <c r="N16" s="3">
        <f t="shared" si="2"/>
        <v>51</v>
      </c>
      <c r="O16" s="3">
        <f t="shared" si="10"/>
        <v>1</v>
      </c>
      <c r="P16" s="4">
        <f t="shared" si="0"/>
        <v>3.2768361581920903E-2</v>
      </c>
      <c r="Q16" s="4">
        <f t="shared" si="3"/>
        <v>0.20778550499191067</v>
      </c>
      <c r="R16" s="3">
        <f t="shared" si="4"/>
        <v>7.0503277058756808E-2</v>
      </c>
      <c r="S16" s="3">
        <f t="shared" si="1"/>
        <v>0.34</v>
      </c>
      <c r="T16" s="3">
        <f t="shared" si="5"/>
        <v>0.34095596462516509</v>
      </c>
      <c r="V16" s="6">
        <v>11</v>
      </c>
      <c r="W16" s="6">
        <f t="shared" si="6"/>
        <v>1.3</v>
      </c>
      <c r="X16" s="6">
        <f t="shared" si="7"/>
        <v>1.1527887052951482</v>
      </c>
    </row>
    <row r="17" spans="2:24" x14ac:dyDescent="0.3">
      <c r="B17" s="2">
        <v>4.8</v>
      </c>
      <c r="C17" s="2">
        <v>3.4</v>
      </c>
      <c r="D17" s="2">
        <v>1.6</v>
      </c>
      <c r="E17" s="2">
        <v>0.2</v>
      </c>
      <c r="F17" s="2" t="s">
        <v>7</v>
      </c>
      <c r="K17" s="3">
        <v>12</v>
      </c>
      <c r="L17" s="4">
        <f t="shared" si="8"/>
        <v>3.1362068965517249</v>
      </c>
      <c r="M17" s="4">
        <f t="shared" si="9"/>
        <v>3.3396551724137939</v>
      </c>
      <c r="N17" s="3">
        <f t="shared" si="2"/>
        <v>53</v>
      </c>
      <c r="O17" s="3">
        <f t="shared" si="10"/>
        <v>2</v>
      </c>
      <c r="P17" s="4">
        <f t="shared" si="0"/>
        <v>6.5536723163841806E-2</v>
      </c>
      <c r="Q17" s="4">
        <f t="shared" si="3"/>
        <v>0.21639393043034447</v>
      </c>
      <c r="R17" s="3">
        <f t="shared" si="4"/>
        <v>8.4152221702907065E-2</v>
      </c>
      <c r="S17" s="3">
        <f t="shared" si="1"/>
        <v>0.35333333333333333</v>
      </c>
      <c r="T17" s="3">
        <f t="shared" si="5"/>
        <v>0.38414711141740687</v>
      </c>
      <c r="V17" s="6">
        <v>12</v>
      </c>
      <c r="W17" s="6">
        <f t="shared" si="6"/>
        <v>1.4</v>
      </c>
      <c r="X17" s="6">
        <f t="shared" si="7"/>
        <v>1.2374084665879637</v>
      </c>
    </row>
    <row r="18" spans="2:24" x14ac:dyDescent="0.3">
      <c r="B18" s="2">
        <v>4.8</v>
      </c>
      <c r="C18" s="2">
        <v>3</v>
      </c>
      <c r="D18" s="2">
        <v>1.4</v>
      </c>
      <c r="E18" s="2">
        <v>0.1</v>
      </c>
      <c r="F18" s="2" t="s">
        <v>7</v>
      </c>
      <c r="K18" s="3">
        <v>13</v>
      </c>
      <c r="L18" s="4">
        <f t="shared" si="8"/>
        <v>3.3396551724137939</v>
      </c>
      <c r="M18" s="4">
        <f t="shared" si="9"/>
        <v>3.543103448275863</v>
      </c>
      <c r="N18" s="3">
        <f t="shared" si="2"/>
        <v>55</v>
      </c>
      <c r="O18" s="3">
        <f t="shared" si="10"/>
        <v>2</v>
      </c>
      <c r="P18" s="4">
        <f t="shared" si="0"/>
        <v>6.5536723163841806E-2</v>
      </c>
      <c r="Q18" s="4">
        <f t="shared" si="3"/>
        <v>0.22238551268685328</v>
      </c>
      <c r="R18" s="3">
        <f t="shared" si="4"/>
        <v>0.10532133933477385</v>
      </c>
      <c r="S18" s="3">
        <f t="shared" si="1"/>
        <v>0.36666666666666664</v>
      </c>
      <c r="T18" s="3">
        <f t="shared" si="5"/>
        <v>0.42882823066068765</v>
      </c>
      <c r="V18" s="6">
        <v>13</v>
      </c>
      <c r="W18" s="6">
        <f t="shared" si="6"/>
        <v>1.4</v>
      </c>
      <c r="X18" s="6">
        <f t="shared" si="7"/>
        <v>1.316602910821032</v>
      </c>
    </row>
    <row r="19" spans="2:24" x14ac:dyDescent="0.3">
      <c r="B19" s="2">
        <v>4.3</v>
      </c>
      <c r="C19" s="2">
        <v>3</v>
      </c>
      <c r="D19" s="2">
        <v>1.1000000000000001</v>
      </c>
      <c r="E19" s="2">
        <v>0.1</v>
      </c>
      <c r="F19" s="2" t="s">
        <v>7</v>
      </c>
      <c r="K19" s="3">
        <v>14</v>
      </c>
      <c r="L19" s="4">
        <f t="shared" si="8"/>
        <v>3.543103448275863</v>
      </c>
      <c r="M19" s="4">
        <f t="shared" si="9"/>
        <v>3.746551724137932</v>
      </c>
      <c r="N19" s="3">
        <f t="shared" si="2"/>
        <v>57</v>
      </c>
      <c r="O19" s="3">
        <f t="shared" si="10"/>
        <v>2</v>
      </c>
      <c r="P19" s="4">
        <f t="shared" si="0"/>
        <v>6.5536723163841806E-2</v>
      </c>
      <c r="Q19" s="4">
        <f t="shared" si="3"/>
        <v>0.22552749578016168</v>
      </c>
      <c r="R19" s="3">
        <f t="shared" si="4"/>
        <v>0.1315500596885876</v>
      </c>
      <c r="S19" s="3">
        <f t="shared" si="1"/>
        <v>0.38</v>
      </c>
      <c r="T19" s="3">
        <f t="shared" si="5"/>
        <v>0.47444151272810547</v>
      </c>
      <c r="V19" s="6">
        <v>14</v>
      </c>
      <c r="W19" s="6">
        <f t="shared" si="6"/>
        <v>1.4</v>
      </c>
      <c r="X19" s="6">
        <f t="shared" si="7"/>
        <v>1.3911675077929333</v>
      </c>
    </row>
    <row r="20" spans="2:24" x14ac:dyDescent="0.3">
      <c r="B20" s="2">
        <v>5.8</v>
      </c>
      <c r="C20" s="2">
        <v>4</v>
      </c>
      <c r="D20" s="2">
        <v>1.2</v>
      </c>
      <c r="E20" s="2">
        <v>0.2</v>
      </c>
      <c r="F20" s="2" t="s">
        <v>7</v>
      </c>
      <c r="K20" s="3">
        <v>15</v>
      </c>
      <c r="L20" s="4">
        <f t="shared" si="8"/>
        <v>3.746551724137932</v>
      </c>
      <c r="M20" s="4">
        <f t="shared" si="9"/>
        <v>3.9500000000000011</v>
      </c>
      <c r="N20" s="3">
        <f t="shared" si="2"/>
        <v>61</v>
      </c>
      <c r="O20" s="3">
        <f t="shared" si="10"/>
        <v>4</v>
      </c>
      <c r="P20" s="4">
        <f t="shared" si="0"/>
        <v>0.13107344632768361</v>
      </c>
      <c r="Q20" s="4">
        <f t="shared" si="3"/>
        <v>0.22569611991396837</v>
      </c>
      <c r="R20" s="3">
        <f t="shared" si="4"/>
        <v>0.16008626471155066</v>
      </c>
      <c r="S20" s="3">
        <f t="shared" si="1"/>
        <v>0.40666666666666668</v>
      </c>
      <c r="T20" s="3">
        <f t="shared" si="5"/>
        <v>0.52039268266446048</v>
      </c>
      <c r="V20" s="6">
        <v>15</v>
      </c>
      <c r="W20" s="6">
        <f t="shared" si="6"/>
        <v>1.4</v>
      </c>
      <c r="X20" s="6">
        <f t="shared" si="7"/>
        <v>1.4617331143759746</v>
      </c>
    </row>
    <row r="21" spans="2:24" x14ac:dyDescent="0.3">
      <c r="B21" s="2">
        <v>5.7</v>
      </c>
      <c r="C21" s="2">
        <v>4.4000000000000004</v>
      </c>
      <c r="D21" s="2">
        <v>1.5</v>
      </c>
      <c r="E21" s="2">
        <v>0.4</v>
      </c>
      <c r="F21" s="2" t="s">
        <v>7</v>
      </c>
      <c r="K21" s="3">
        <v>16</v>
      </c>
      <c r="L21" s="4">
        <f t="shared" si="8"/>
        <v>3.9500000000000011</v>
      </c>
      <c r="M21" s="4">
        <f t="shared" si="9"/>
        <v>4.1534482758620701</v>
      </c>
      <c r="N21" s="3">
        <f t="shared" si="2"/>
        <v>69</v>
      </c>
      <c r="O21" s="3">
        <f t="shared" si="10"/>
        <v>8</v>
      </c>
      <c r="P21" s="4">
        <f t="shared" si="0"/>
        <v>0.26214689265536723</v>
      </c>
      <c r="Q21" s="4">
        <f t="shared" si="3"/>
        <v>0.22288471048004041</v>
      </c>
      <c r="R21" s="3">
        <f t="shared" si="4"/>
        <v>0.18802500634149871</v>
      </c>
      <c r="S21" s="3">
        <f t="shared" si="1"/>
        <v>0.46</v>
      </c>
      <c r="T21" s="3">
        <f t="shared" si="5"/>
        <v>0.56607412366260668</v>
      </c>
      <c r="V21" s="6">
        <v>16</v>
      </c>
      <c r="W21" s="6">
        <f t="shared" si="6"/>
        <v>1.4</v>
      </c>
      <c r="X21" s="6">
        <f t="shared" si="7"/>
        <v>1.5288089009272441</v>
      </c>
    </row>
    <row r="22" spans="2:24" x14ac:dyDescent="0.3">
      <c r="B22" s="2">
        <v>5.4</v>
      </c>
      <c r="C22" s="2">
        <v>3.9</v>
      </c>
      <c r="D22" s="2">
        <v>1.3</v>
      </c>
      <c r="E22" s="2">
        <v>0.4</v>
      </c>
      <c r="F22" s="2" t="s">
        <v>7</v>
      </c>
      <c r="K22" s="3">
        <v>17</v>
      </c>
      <c r="L22" s="4">
        <f t="shared" si="8"/>
        <v>4.1534482758620701</v>
      </c>
      <c r="M22" s="4">
        <f t="shared" si="9"/>
        <v>4.3568965517241391</v>
      </c>
      <c r="N22" s="3">
        <f t="shared" si="2"/>
        <v>75</v>
      </c>
      <c r="O22" s="3">
        <f t="shared" si="10"/>
        <v>6</v>
      </c>
      <c r="P22" s="4">
        <f t="shared" si="0"/>
        <v>0.19661016949152541</v>
      </c>
      <c r="Q22" s="4">
        <f t="shared" si="3"/>
        <v>0.21720411645392834</v>
      </c>
      <c r="R22" s="3">
        <f t="shared" si="4"/>
        <v>0.21253052953241247</v>
      </c>
      <c r="S22" s="3">
        <f t="shared" si="1"/>
        <v>0.5</v>
      </c>
      <c r="T22" s="3">
        <f t="shared" si="5"/>
        <v>0.61088887471457565</v>
      </c>
      <c r="V22" s="6">
        <v>17</v>
      </c>
      <c r="W22" s="6">
        <f t="shared" si="6"/>
        <v>1.4</v>
      </c>
      <c r="X22" s="6">
        <f t="shared" si="7"/>
        <v>1.5928120766563243</v>
      </c>
    </row>
    <row r="23" spans="2:24" x14ac:dyDescent="0.3">
      <c r="B23" s="2">
        <v>5.0999999999999996</v>
      </c>
      <c r="C23" s="2">
        <v>3.5</v>
      </c>
      <c r="D23" s="2">
        <v>1.4</v>
      </c>
      <c r="E23" s="2">
        <v>0.3</v>
      </c>
      <c r="F23" s="2" t="s">
        <v>7</v>
      </c>
      <c r="K23" s="3">
        <v>18</v>
      </c>
      <c r="L23" s="4">
        <f t="shared" si="8"/>
        <v>4.3568965517241391</v>
      </c>
      <c r="M23" s="4">
        <f t="shared" si="9"/>
        <v>4.5603448275862082</v>
      </c>
      <c r="N23" s="3">
        <f t="shared" si="2"/>
        <v>87</v>
      </c>
      <c r="O23" s="3">
        <f t="shared" si="10"/>
        <v>12</v>
      </c>
      <c r="P23" s="4">
        <f t="shared" si="0"/>
        <v>0.39322033898305081</v>
      </c>
      <c r="Q23" s="4">
        <f t="shared" si="3"/>
        <v>0.20887545804808244</v>
      </c>
      <c r="R23" s="3">
        <f t="shared" si="4"/>
        <v>0.23115536089253139</v>
      </c>
      <c r="S23" s="3">
        <f t="shared" si="1"/>
        <v>0.57999999999999996</v>
      </c>
      <c r="T23" s="3">
        <f t="shared" si="5"/>
        <v>0.65427392973700149</v>
      </c>
      <c r="V23" s="6">
        <v>18</v>
      </c>
      <c r="W23" s="6">
        <f t="shared" si="6"/>
        <v>1.4</v>
      </c>
      <c r="X23" s="6">
        <f t="shared" si="7"/>
        <v>1.6540890177607808</v>
      </c>
    </row>
    <row r="24" spans="2:24" x14ac:dyDescent="0.3">
      <c r="B24" s="2">
        <v>5.7</v>
      </c>
      <c r="C24" s="2">
        <v>3.8</v>
      </c>
      <c r="D24" s="2">
        <v>1.7</v>
      </c>
      <c r="E24" s="2">
        <v>0.3</v>
      </c>
      <c r="F24" s="2" t="s">
        <v>7</v>
      </c>
      <c r="K24" s="3">
        <v>19</v>
      </c>
      <c r="L24" s="4">
        <f t="shared" si="8"/>
        <v>4.5603448275862082</v>
      </c>
      <c r="M24" s="4">
        <f t="shared" si="9"/>
        <v>4.7637931034482772</v>
      </c>
      <c r="N24" s="3">
        <f t="shared" si="2"/>
        <v>95</v>
      </c>
      <c r="O24" s="3">
        <f t="shared" si="10"/>
        <v>8</v>
      </c>
      <c r="P24" s="4">
        <f t="shared" si="0"/>
        <v>0.26214689265536723</v>
      </c>
      <c r="Q24" s="4">
        <f t="shared" si="3"/>
        <v>0.1982158449993866</v>
      </c>
      <c r="R24" s="3">
        <f t="shared" si="4"/>
        <v>0.24216844212145125</v>
      </c>
      <c r="S24" s="3">
        <f t="shared" si="1"/>
        <v>0.6333333333333333</v>
      </c>
      <c r="T24" s="3">
        <f t="shared" si="5"/>
        <v>0.6957213292968718</v>
      </c>
      <c r="V24" s="6">
        <v>19</v>
      </c>
      <c r="W24" s="6">
        <f t="shared" si="6"/>
        <v>1.4</v>
      </c>
      <c r="X24" s="6">
        <f t="shared" si="7"/>
        <v>1.712930628121049</v>
      </c>
    </row>
    <row r="25" spans="2:24" x14ac:dyDescent="0.3">
      <c r="B25" s="2">
        <v>5.0999999999999996</v>
      </c>
      <c r="C25" s="2">
        <v>3.8</v>
      </c>
      <c r="D25" s="2">
        <v>1.5</v>
      </c>
      <c r="E25" s="2">
        <v>0.3</v>
      </c>
      <c r="F25" s="2" t="s">
        <v>7</v>
      </c>
      <c r="K25" s="3">
        <v>20</v>
      </c>
      <c r="L25" s="4">
        <f t="shared" si="8"/>
        <v>4.7637931034482772</v>
      </c>
      <c r="M25" s="4">
        <f t="shared" si="9"/>
        <v>4.9672413793103463</v>
      </c>
      <c r="N25" s="3">
        <f t="shared" si="2"/>
        <v>104</v>
      </c>
      <c r="O25" s="3">
        <f t="shared" si="10"/>
        <v>9</v>
      </c>
      <c r="P25" s="4">
        <f t="shared" si="0"/>
        <v>0.29491525423728809</v>
      </c>
      <c r="Q25" s="4">
        <f t="shared" si="3"/>
        <v>0.18561835117192865</v>
      </c>
      <c r="R25" s="3">
        <f t="shared" si="4"/>
        <v>0.24476954585285035</v>
      </c>
      <c r="S25" s="3">
        <f t="shared" si="1"/>
        <v>0.69333333333333336</v>
      </c>
      <c r="T25" s="3">
        <f t="shared" si="5"/>
        <v>0.73479573608788729</v>
      </c>
      <c r="V25" s="6">
        <v>20</v>
      </c>
      <c r="W25" s="6">
        <f t="shared" si="6"/>
        <v>1.4</v>
      </c>
      <c r="X25" s="6">
        <f t="shared" si="7"/>
        <v>1.7695837299486754</v>
      </c>
    </row>
    <row r="26" spans="2:24" x14ac:dyDescent="0.3">
      <c r="B26" s="2">
        <v>5.4</v>
      </c>
      <c r="C26" s="2">
        <v>3.4</v>
      </c>
      <c r="D26" s="2">
        <v>1.7</v>
      </c>
      <c r="E26" s="2">
        <v>0.2</v>
      </c>
      <c r="F26" s="2" t="s">
        <v>7</v>
      </c>
      <c r="K26" s="3">
        <v>21</v>
      </c>
      <c r="L26" s="4">
        <f t="shared" si="8"/>
        <v>4.9672413793103463</v>
      </c>
      <c r="M26" s="4">
        <f t="shared" si="9"/>
        <v>5.1706896551724153</v>
      </c>
      <c r="N26" s="3">
        <f t="shared" si="2"/>
        <v>116</v>
      </c>
      <c r="O26" s="3">
        <f t="shared" si="10"/>
        <v>12</v>
      </c>
      <c r="P26" s="4">
        <f t="shared" si="0"/>
        <v>0.39322033898305081</v>
      </c>
      <c r="Q26" s="4">
        <f t="shared" si="3"/>
        <v>0.17152800730743623</v>
      </c>
      <c r="R26" s="3">
        <f t="shared" si="4"/>
        <v>0.23911039146258706</v>
      </c>
      <c r="S26" s="3">
        <f t="shared" si="1"/>
        <v>0.77333333333333332</v>
      </c>
      <c r="T26" s="3">
        <f t="shared" si="5"/>
        <v>0.77114749832753016</v>
      </c>
      <c r="V26" s="6">
        <v>21</v>
      </c>
      <c r="W26" s="6">
        <f t="shared" si="6"/>
        <v>1.4</v>
      </c>
      <c r="X26" s="6">
        <f t="shared" si="7"/>
        <v>1.8242596591596529</v>
      </c>
    </row>
    <row r="27" spans="2:24" x14ac:dyDescent="0.3">
      <c r="B27" s="2">
        <v>5.0999999999999996</v>
      </c>
      <c r="C27" s="2">
        <v>3.7</v>
      </c>
      <c r="D27" s="2">
        <v>1.5</v>
      </c>
      <c r="E27" s="2">
        <v>0.4</v>
      </c>
      <c r="F27" s="2" t="s">
        <v>7</v>
      </c>
      <c r="K27" s="3">
        <v>22</v>
      </c>
      <c r="L27" s="4">
        <f t="shared" si="8"/>
        <v>5.1706896551724153</v>
      </c>
      <c r="M27" s="4">
        <f t="shared" si="9"/>
        <v>5.3741379310344843</v>
      </c>
      <c r="N27" s="3">
        <f t="shared" si="2"/>
        <v>120</v>
      </c>
      <c r="O27" s="3">
        <f t="shared" si="10"/>
        <v>4</v>
      </c>
      <c r="P27" s="4">
        <f t="shared" si="0"/>
        <v>0.13107344632768361</v>
      </c>
      <c r="Q27" s="4">
        <f t="shared" si="3"/>
        <v>0.15641585158523014</v>
      </c>
      <c r="R27" s="3">
        <f t="shared" si="4"/>
        <v>0.22613065831463147</v>
      </c>
      <c r="S27" s="3">
        <f t="shared" si="1"/>
        <v>0.8</v>
      </c>
      <c r="T27" s="3">
        <f t="shared" si="5"/>
        <v>0.80452059559664191</v>
      </c>
      <c r="V27" s="6">
        <v>22</v>
      </c>
      <c r="W27" s="6">
        <f t="shared" si="6"/>
        <v>1.4</v>
      </c>
      <c r="X27" s="6">
        <f t="shared" si="7"/>
        <v>1.8771408528647411</v>
      </c>
    </row>
    <row r="28" spans="2:24" x14ac:dyDescent="0.3">
      <c r="B28" s="2">
        <v>4.5999999999999996</v>
      </c>
      <c r="C28" s="2">
        <v>3.6</v>
      </c>
      <c r="D28" s="2">
        <v>1</v>
      </c>
      <c r="E28" s="2">
        <v>0.2</v>
      </c>
      <c r="F28" s="2" t="s">
        <v>7</v>
      </c>
      <c r="K28" s="3">
        <v>23</v>
      </c>
      <c r="L28" s="4">
        <f t="shared" si="8"/>
        <v>5.3741379310344843</v>
      </c>
      <c r="M28" s="4">
        <f t="shared" si="9"/>
        <v>5.5775862068965534</v>
      </c>
      <c r="N28" s="3">
        <f t="shared" si="2"/>
        <v>125</v>
      </c>
      <c r="O28" s="3">
        <f t="shared" si="10"/>
        <v>5</v>
      </c>
      <c r="P28" s="4">
        <f t="shared" si="0"/>
        <v>0.16384180790960451</v>
      </c>
      <c r="Q28" s="4">
        <f t="shared" si="3"/>
        <v>0.14075313414275742</v>
      </c>
      <c r="R28" s="3">
        <f t="shared" si="4"/>
        <v>0.2072929544348755</v>
      </c>
      <c r="S28" s="3">
        <f t="shared" si="1"/>
        <v>0.83333333333333337</v>
      </c>
      <c r="T28" s="3">
        <f t="shared" si="5"/>
        <v>0.83475528614539551</v>
      </c>
      <c r="V28" s="6">
        <v>23</v>
      </c>
      <c r="W28" s="6">
        <f t="shared" si="6"/>
        <v>1.4</v>
      </c>
      <c r="X28" s="6">
        <f t="shared" si="7"/>
        <v>1.9283859686354992</v>
      </c>
    </row>
    <row r="29" spans="2:24" x14ac:dyDescent="0.3">
      <c r="B29" s="2">
        <v>5.0999999999999996</v>
      </c>
      <c r="C29" s="2">
        <v>3.3</v>
      </c>
      <c r="D29" s="2">
        <v>1.7</v>
      </c>
      <c r="E29" s="2">
        <v>0.5</v>
      </c>
      <c r="F29" s="2" t="s">
        <v>7</v>
      </c>
      <c r="K29" s="3">
        <v>24</v>
      </c>
      <c r="L29" s="4">
        <f t="shared" si="8"/>
        <v>5.5775862068965534</v>
      </c>
      <c r="M29" s="4">
        <f t="shared" si="9"/>
        <v>5.7810344827586224</v>
      </c>
      <c r="N29" s="3">
        <f t="shared" si="2"/>
        <v>134</v>
      </c>
      <c r="O29" s="3">
        <f t="shared" si="10"/>
        <v>9</v>
      </c>
      <c r="P29" s="4">
        <f t="shared" si="0"/>
        <v>0.29491525423728809</v>
      </c>
      <c r="Q29" s="4">
        <f t="shared" si="3"/>
        <v>0.12498761299718594</v>
      </c>
      <c r="R29" s="3">
        <f t="shared" si="4"/>
        <v>0.18431896266127104</v>
      </c>
      <c r="S29" s="3">
        <f t="shared" si="1"/>
        <v>0.89333333333333331</v>
      </c>
      <c r="T29" s="3">
        <f t="shared" si="5"/>
        <v>0.86178568844876935</v>
      </c>
      <c r="V29" s="6">
        <v>24</v>
      </c>
      <c r="W29" s="6">
        <f t="shared" si="6"/>
        <v>1.4</v>
      </c>
      <c r="X29" s="6">
        <f t="shared" si="7"/>
        <v>1.9781339128598949</v>
      </c>
    </row>
    <row r="30" spans="2:24" x14ac:dyDescent="0.3">
      <c r="B30" s="2">
        <v>4.8</v>
      </c>
      <c r="C30" s="2">
        <v>3.4</v>
      </c>
      <c r="D30" s="2">
        <v>1.9</v>
      </c>
      <c r="E30" s="2">
        <v>0.2</v>
      </c>
      <c r="F30" s="2" t="s">
        <v>7</v>
      </c>
      <c r="K30" s="3">
        <v>25</v>
      </c>
      <c r="L30" s="4">
        <f t="shared" si="8"/>
        <v>5.7810344827586224</v>
      </c>
      <c r="M30" s="4">
        <f t="shared" si="9"/>
        <v>5.9844827586206915</v>
      </c>
      <c r="N30" s="3">
        <f t="shared" si="2"/>
        <v>139</v>
      </c>
      <c r="O30" s="3">
        <f t="shared" si="10"/>
        <v>5</v>
      </c>
      <c r="P30" s="4">
        <f t="shared" si="0"/>
        <v>0.16384180790960451</v>
      </c>
      <c r="Q30" s="4">
        <f t="shared" si="3"/>
        <v>0.10952353769576433</v>
      </c>
      <c r="R30" s="3">
        <f t="shared" si="4"/>
        <v>0.15898623481919558</v>
      </c>
      <c r="S30" s="3">
        <f t="shared" si="1"/>
        <v>0.92666666666666664</v>
      </c>
      <c r="T30" s="3">
        <f t="shared" si="5"/>
        <v>0.88563289195684447</v>
      </c>
      <c r="V30" s="6">
        <v>25</v>
      </c>
      <c r="W30" s="6">
        <f t="shared" si="6"/>
        <v>1.5</v>
      </c>
      <c r="X30" s="6">
        <f t="shared" si="7"/>
        <v>2.0265070467625348</v>
      </c>
    </row>
    <row r="31" spans="2:24" x14ac:dyDescent="0.3">
      <c r="B31" s="2">
        <v>5</v>
      </c>
      <c r="C31" s="2">
        <v>3</v>
      </c>
      <c r="D31" s="2">
        <v>1.6</v>
      </c>
      <c r="E31" s="2">
        <v>0.2</v>
      </c>
      <c r="F31" s="2" t="s">
        <v>7</v>
      </c>
      <c r="K31" s="3">
        <v>26</v>
      </c>
      <c r="L31" s="4">
        <f t="shared" si="8"/>
        <v>5.9844827586206915</v>
      </c>
      <c r="M31" s="4">
        <f t="shared" si="9"/>
        <v>6.1879310344827605</v>
      </c>
      <c r="N31" s="3">
        <f t="shared" si="2"/>
        <v>144</v>
      </c>
      <c r="O31" s="3">
        <f t="shared" si="10"/>
        <v>5</v>
      </c>
      <c r="P31" s="4">
        <f t="shared" si="0"/>
        <v>0.16384180790960451</v>
      </c>
      <c r="Q31" s="4">
        <f t="shared" si="3"/>
        <v>9.4706446615378512E-2</v>
      </c>
      <c r="R31" s="3">
        <f t="shared" si="4"/>
        <v>0.13298367062360048</v>
      </c>
      <c r="S31" s="3">
        <f t="shared" si="1"/>
        <v>0.96</v>
      </c>
      <c r="T31" s="3">
        <f t="shared" si="5"/>
        <v>0.90639447056898381</v>
      </c>
      <c r="V31" s="6">
        <v>26</v>
      </c>
      <c r="W31" s="6">
        <f t="shared" si="6"/>
        <v>1.5</v>
      </c>
      <c r="X31" s="6">
        <f t="shared" si="7"/>
        <v>2.073613764383456</v>
      </c>
    </row>
    <row r="32" spans="2:24" x14ac:dyDescent="0.3">
      <c r="B32" s="2">
        <v>5</v>
      </c>
      <c r="C32" s="2">
        <v>3.4</v>
      </c>
      <c r="D32" s="2">
        <v>1.6</v>
      </c>
      <c r="E32" s="2">
        <v>0.4</v>
      </c>
      <c r="F32" s="2" t="s">
        <v>7</v>
      </c>
      <c r="K32" s="3">
        <v>27</v>
      </c>
      <c r="L32" s="4">
        <f t="shared" si="8"/>
        <v>6.1879310344827605</v>
      </c>
      <c r="M32" s="4">
        <f t="shared" si="9"/>
        <v>6.3913793103448295</v>
      </c>
      <c r="N32" s="3">
        <f t="shared" si="2"/>
        <v>145</v>
      </c>
      <c r="O32" s="3">
        <f t="shared" si="10"/>
        <v>1</v>
      </c>
      <c r="P32" s="4">
        <f t="shared" si="0"/>
        <v>3.2768361581920903E-2</v>
      </c>
      <c r="Q32" s="4">
        <f t="shared" si="3"/>
        <v>8.0813368646533462E-2</v>
      </c>
      <c r="R32" s="3">
        <f t="shared" si="4"/>
        <v>0.1077948132689204</v>
      </c>
      <c r="S32" s="3">
        <f t="shared" si="1"/>
        <v>0.96666666666666667</v>
      </c>
      <c r="T32" s="3">
        <f t="shared" si="5"/>
        <v>0.92423144751398456</v>
      </c>
      <c r="V32" s="6">
        <v>27</v>
      </c>
      <c r="W32" s="6">
        <f t="shared" si="6"/>
        <v>1.5</v>
      </c>
      <c r="X32" s="6">
        <f t="shared" si="7"/>
        <v>2.1195505851550402</v>
      </c>
    </row>
    <row r="33" spans="2:24" x14ac:dyDescent="0.3">
      <c r="B33" s="2">
        <v>5.2</v>
      </c>
      <c r="C33" s="2">
        <v>3.5</v>
      </c>
      <c r="D33" s="2">
        <v>1.5</v>
      </c>
      <c r="E33" s="2">
        <v>0.2</v>
      </c>
      <c r="F33" s="2" t="s">
        <v>7</v>
      </c>
      <c r="K33" s="3">
        <v>28</v>
      </c>
      <c r="L33" s="4">
        <f t="shared" si="8"/>
        <v>6.3913793103448295</v>
      </c>
      <c r="M33" s="4">
        <f t="shared" si="9"/>
        <v>6.5948275862068986</v>
      </c>
      <c r="N33" s="3">
        <f t="shared" si="2"/>
        <v>146</v>
      </c>
      <c r="O33" s="3">
        <f t="shared" si="10"/>
        <v>1</v>
      </c>
      <c r="P33" s="4">
        <f t="shared" si="0"/>
        <v>3.2768361581920903E-2</v>
      </c>
      <c r="Q33" s="4">
        <f t="shared" si="3"/>
        <v>6.804848614126438E-2</v>
      </c>
      <c r="R33" s="3">
        <f t="shared" si="4"/>
        <v>8.4595844978729087E-2</v>
      </c>
      <c r="S33" s="3">
        <f t="shared" si="1"/>
        <v>0.97333333333333338</v>
      </c>
      <c r="T33" s="3">
        <f t="shared" si="5"/>
        <v>0.93935382564107139</v>
      </c>
      <c r="V33" s="6">
        <v>28</v>
      </c>
      <c r="W33" s="6">
        <f t="shared" si="6"/>
        <v>1.5</v>
      </c>
      <c r="X33" s="6">
        <f t="shared" si="7"/>
        <v>2.1644038672092414</v>
      </c>
    </row>
    <row r="34" spans="2:24" x14ac:dyDescent="0.3">
      <c r="B34" s="2">
        <v>5.2</v>
      </c>
      <c r="C34" s="2">
        <v>3.4</v>
      </c>
      <c r="D34" s="2">
        <v>1.4</v>
      </c>
      <c r="E34" s="2">
        <v>0.2</v>
      </c>
      <c r="F34" s="2" t="s">
        <v>7</v>
      </c>
      <c r="K34" s="3">
        <v>29</v>
      </c>
      <c r="L34" s="4">
        <f t="shared" si="8"/>
        <v>6.5948275862068986</v>
      </c>
      <c r="M34" s="4">
        <f t="shared" si="9"/>
        <v>6.7982758620689676</v>
      </c>
      <c r="N34" s="3">
        <f t="shared" si="2"/>
        <v>149</v>
      </c>
      <c r="O34" s="3">
        <f t="shared" si="10"/>
        <v>3</v>
      </c>
      <c r="P34" s="4">
        <f t="shared" si="0"/>
        <v>9.8305084745762703E-2</v>
      </c>
      <c r="Q34" s="4">
        <f t="shared" si="3"/>
        <v>5.6543842095060741E-2</v>
      </c>
      <c r="R34" s="3">
        <f t="shared" si="4"/>
        <v>6.4187555583544886E-2</v>
      </c>
      <c r="S34" s="3">
        <f t="shared" si="1"/>
        <v>0.99333333333333329</v>
      </c>
      <c r="T34" s="3">
        <f t="shared" si="5"/>
        <v>0.95200575904675278</v>
      </c>
      <c r="V34" s="6">
        <v>29</v>
      </c>
      <c r="W34" s="6">
        <f t="shared" si="6"/>
        <v>1.5</v>
      </c>
      <c r="X34" s="6">
        <f t="shared" si="7"/>
        <v>2.2082512213610412</v>
      </c>
    </row>
    <row r="35" spans="2:24" x14ac:dyDescent="0.3">
      <c r="B35" s="2">
        <v>4.7</v>
      </c>
      <c r="C35" s="2">
        <v>3.2</v>
      </c>
      <c r="D35" s="2">
        <v>1.6</v>
      </c>
      <c r="E35" s="2">
        <v>0.2</v>
      </c>
      <c r="F35" s="2" t="s">
        <v>7</v>
      </c>
      <c r="K35" s="3">
        <v>30</v>
      </c>
      <c r="L35" s="4">
        <f t="shared" si="8"/>
        <v>6.7982758620689676</v>
      </c>
      <c r="M35" s="4">
        <f t="shared" si="9"/>
        <v>7.0017241379310367</v>
      </c>
      <c r="N35" s="3">
        <f t="shared" si="2"/>
        <v>150</v>
      </c>
      <c r="O35" s="3">
        <f t="shared" si="10"/>
        <v>1</v>
      </c>
      <c r="P35" s="4">
        <f t="shared" si="0"/>
        <v>3.2768361581920903E-2</v>
      </c>
      <c r="Q35" s="4">
        <f t="shared" si="3"/>
        <v>4.6364304715173534E-2</v>
      </c>
      <c r="R35" s="3">
        <f t="shared" si="4"/>
        <v>4.6987187373193975E-2</v>
      </c>
      <c r="S35" s="3">
        <f t="shared" si="1"/>
        <v>1</v>
      </c>
      <c r="T35" s="3">
        <f t="shared" si="5"/>
        <v>0.96245131745616397</v>
      </c>
      <c r="V35" s="6">
        <v>30</v>
      </c>
      <c r="W35" s="6">
        <f t="shared" si="6"/>
        <v>1.5</v>
      </c>
      <c r="X35" s="6">
        <f t="shared" si="7"/>
        <v>2.251162686673271</v>
      </c>
    </row>
    <row r="36" spans="2:24" x14ac:dyDescent="0.3">
      <c r="B36" s="2">
        <v>4.8</v>
      </c>
      <c r="C36" s="2">
        <v>3.1</v>
      </c>
      <c r="D36" s="2">
        <v>1.6</v>
      </c>
      <c r="E36" s="2">
        <v>0.2</v>
      </c>
      <c r="F36" s="2" t="s">
        <v>7</v>
      </c>
      <c r="V36" s="6">
        <v>31</v>
      </c>
      <c r="W36" s="6">
        <f t="shared" si="6"/>
        <v>1.5</v>
      </c>
      <c r="X36" s="6">
        <f t="shared" si="7"/>
        <v>2.2932017144889603</v>
      </c>
    </row>
    <row r="37" spans="2:24" x14ac:dyDescent="0.3">
      <c r="B37" s="2">
        <v>5.4</v>
      </c>
      <c r="C37" s="2">
        <v>3.4</v>
      </c>
      <c r="D37" s="2">
        <v>1.5</v>
      </c>
      <c r="E37" s="2">
        <v>0.4</v>
      </c>
      <c r="F37" s="2" t="s">
        <v>7</v>
      </c>
      <c r="V37" s="6">
        <v>32</v>
      </c>
      <c r="W37" s="6">
        <f t="shared" si="6"/>
        <v>1.5</v>
      </c>
      <c r="X37" s="6">
        <f t="shared" si="7"/>
        <v>2.3344259973758099</v>
      </c>
    </row>
    <row r="38" spans="2:24" x14ac:dyDescent="0.3">
      <c r="B38" s="2">
        <v>5.2</v>
      </c>
      <c r="C38" s="2">
        <v>4.0999999999999996</v>
      </c>
      <c r="D38" s="2">
        <v>1.5</v>
      </c>
      <c r="E38" s="2">
        <v>0.1</v>
      </c>
      <c r="F38" s="2" t="s">
        <v>7</v>
      </c>
      <c r="V38" s="6">
        <v>33</v>
      </c>
      <c r="W38" s="6">
        <f t="shared" si="6"/>
        <v>1.5</v>
      </c>
      <c r="X38" s="6">
        <f t="shared" si="7"/>
        <v>2.3748881715663082</v>
      </c>
    </row>
    <row r="39" spans="2:24" x14ac:dyDescent="0.3">
      <c r="B39" s="2">
        <v>5.5</v>
      </c>
      <c r="C39" s="2">
        <v>4.2</v>
      </c>
      <c r="D39" s="2">
        <v>1.4</v>
      </c>
      <c r="E39" s="2">
        <v>0.2</v>
      </c>
      <c r="F39" s="2" t="s">
        <v>7</v>
      </c>
      <c r="V39" s="6">
        <v>34</v>
      </c>
      <c r="W39" s="6">
        <f t="shared" si="6"/>
        <v>1.5</v>
      </c>
      <c r="X39" s="6">
        <f t="shared" si="7"/>
        <v>2.4146364154996123</v>
      </c>
    </row>
    <row r="40" spans="2:24" x14ac:dyDescent="0.3">
      <c r="B40" s="2">
        <v>4.9000000000000004</v>
      </c>
      <c r="C40" s="2">
        <v>3.1</v>
      </c>
      <c r="D40" s="2">
        <v>1.5</v>
      </c>
      <c r="E40" s="2">
        <v>0.2</v>
      </c>
      <c r="F40" s="2" t="s">
        <v>7</v>
      </c>
      <c r="V40" s="6">
        <v>35</v>
      </c>
      <c r="W40" s="6">
        <f t="shared" si="6"/>
        <v>1.5</v>
      </c>
      <c r="X40" s="6">
        <f t="shared" si="7"/>
        <v>2.4537149624840238</v>
      </c>
    </row>
    <row r="41" spans="2:24" x14ac:dyDescent="0.3">
      <c r="B41" s="2">
        <v>5</v>
      </c>
      <c r="C41" s="2">
        <v>3.2</v>
      </c>
      <c r="D41" s="2">
        <v>1.2</v>
      </c>
      <c r="E41" s="2">
        <v>0.2</v>
      </c>
      <c r="F41" s="2" t="s">
        <v>7</v>
      </c>
      <c r="V41" s="6">
        <v>36</v>
      </c>
      <c r="W41" s="6">
        <f t="shared" si="6"/>
        <v>1.5</v>
      </c>
      <c r="X41" s="6">
        <f t="shared" si="7"/>
        <v>2.4921645419474756</v>
      </c>
    </row>
    <row r="42" spans="2:24" x14ac:dyDescent="0.3">
      <c r="B42" s="2">
        <v>5.5</v>
      </c>
      <c r="C42" s="2">
        <v>3.5</v>
      </c>
      <c r="D42" s="2">
        <v>1.3</v>
      </c>
      <c r="E42" s="2">
        <v>0.2</v>
      </c>
      <c r="F42" s="2" t="s">
        <v>7</v>
      </c>
      <c r="V42" s="6">
        <v>37</v>
      </c>
      <c r="W42" s="6">
        <f t="shared" si="6"/>
        <v>1.5</v>
      </c>
      <c r="X42" s="6">
        <f t="shared" si="7"/>
        <v>2.5300227609718364</v>
      </c>
    </row>
    <row r="43" spans="2:24" x14ac:dyDescent="0.3">
      <c r="B43" s="2">
        <v>4.9000000000000004</v>
      </c>
      <c r="C43" s="2">
        <v>3.6</v>
      </c>
      <c r="D43" s="2">
        <v>1.4</v>
      </c>
      <c r="E43" s="2">
        <v>0.1</v>
      </c>
      <c r="F43" s="2" t="s">
        <v>7</v>
      </c>
      <c r="V43" s="6">
        <v>38</v>
      </c>
      <c r="W43" s="6">
        <f t="shared" si="6"/>
        <v>1.6</v>
      </c>
      <c r="X43" s="6">
        <f t="shared" si="7"/>
        <v>2.5673244356272429</v>
      </c>
    </row>
    <row r="44" spans="2:24" x14ac:dyDescent="0.3">
      <c r="B44" s="2">
        <v>4.4000000000000004</v>
      </c>
      <c r="C44" s="2">
        <v>3</v>
      </c>
      <c r="D44" s="2">
        <v>1.3</v>
      </c>
      <c r="E44" s="2">
        <v>0.2</v>
      </c>
      <c r="F44" s="2" t="s">
        <v>7</v>
      </c>
      <c r="V44" s="6">
        <v>39</v>
      </c>
      <c r="W44" s="6">
        <f t="shared" si="6"/>
        <v>1.6</v>
      </c>
      <c r="X44" s="6">
        <f t="shared" si="7"/>
        <v>2.6041018798961963</v>
      </c>
    </row>
    <row r="45" spans="2:24" x14ac:dyDescent="0.3">
      <c r="B45" s="2">
        <v>5.0999999999999996</v>
      </c>
      <c r="C45" s="2">
        <v>3.4</v>
      </c>
      <c r="D45" s="2">
        <v>1.5</v>
      </c>
      <c r="E45" s="2">
        <v>0.2</v>
      </c>
      <c r="F45" s="2" t="s">
        <v>7</v>
      </c>
      <c r="V45" s="6">
        <v>40</v>
      </c>
      <c r="W45" s="6">
        <f t="shared" si="6"/>
        <v>1.6</v>
      </c>
      <c r="X45" s="6">
        <f t="shared" si="7"/>
        <v>2.6403851586005729</v>
      </c>
    </row>
    <row r="46" spans="2:24" x14ac:dyDescent="0.3">
      <c r="B46" s="2">
        <v>5</v>
      </c>
      <c r="C46" s="2">
        <v>3.5</v>
      </c>
      <c r="D46" s="2">
        <v>1.3</v>
      </c>
      <c r="E46" s="2">
        <v>0.3</v>
      </c>
      <c r="F46" s="2" t="s">
        <v>7</v>
      </c>
      <c r="V46" s="6">
        <v>41</v>
      </c>
      <c r="W46" s="6">
        <f t="shared" si="6"/>
        <v>1.6</v>
      </c>
      <c r="X46" s="6">
        <f t="shared" si="7"/>
        <v>2.6762023096399039</v>
      </c>
    </row>
    <row r="47" spans="2:24" x14ac:dyDescent="0.3">
      <c r="B47" s="2">
        <v>4.5</v>
      </c>
      <c r="C47" s="2">
        <v>2.2999999999999998</v>
      </c>
      <c r="D47" s="2">
        <v>1.3</v>
      </c>
      <c r="E47" s="2">
        <v>0.3</v>
      </c>
      <c r="F47" s="2" t="s">
        <v>7</v>
      </c>
      <c r="V47" s="6">
        <v>42</v>
      </c>
      <c r="W47" s="6">
        <f t="shared" si="6"/>
        <v>1.6</v>
      </c>
      <c r="X47" s="6">
        <f t="shared" si="7"/>
        <v>2.7115795399573859</v>
      </c>
    </row>
    <row r="48" spans="2:24" x14ac:dyDescent="0.3">
      <c r="B48" s="2">
        <v>4.4000000000000004</v>
      </c>
      <c r="C48" s="2">
        <v>3.2</v>
      </c>
      <c r="D48" s="2">
        <v>1.3</v>
      </c>
      <c r="E48" s="2">
        <v>0.2</v>
      </c>
      <c r="F48" s="2" t="s">
        <v>7</v>
      </c>
      <c r="V48" s="6">
        <v>43</v>
      </c>
      <c r="W48" s="6">
        <f t="shared" si="6"/>
        <v>1.6</v>
      </c>
      <c r="X48" s="6">
        <f t="shared" si="7"/>
        <v>2.7465413989259551</v>
      </c>
    </row>
    <row r="49" spans="2:24" x14ac:dyDescent="0.3">
      <c r="B49" s="2">
        <v>5</v>
      </c>
      <c r="C49" s="2">
        <v>3.5</v>
      </c>
      <c r="D49" s="2">
        <v>1.6</v>
      </c>
      <c r="E49" s="2">
        <v>0.6</v>
      </c>
      <c r="F49" s="2" t="s">
        <v>7</v>
      </c>
      <c r="V49" s="6">
        <v>44</v>
      </c>
      <c r="W49" s="6">
        <f t="shared" si="6"/>
        <v>1.6</v>
      </c>
      <c r="X49" s="6">
        <f t="shared" si="7"/>
        <v>2.78111093225559</v>
      </c>
    </row>
    <row r="50" spans="2:24" x14ac:dyDescent="0.3">
      <c r="B50" s="2">
        <v>5.0999999999999996</v>
      </c>
      <c r="C50" s="2">
        <v>3.8</v>
      </c>
      <c r="D50" s="2">
        <v>1.9</v>
      </c>
      <c r="E50" s="2">
        <v>0.4</v>
      </c>
      <c r="F50" s="2" t="s">
        <v>7</v>
      </c>
      <c r="V50" s="6">
        <v>45</v>
      </c>
      <c r="W50" s="6">
        <f t="shared" si="6"/>
        <v>1.7</v>
      </c>
      <c r="X50" s="6">
        <f t="shared" si="7"/>
        <v>2.8153098190380268</v>
      </c>
    </row>
    <row r="51" spans="2:24" x14ac:dyDescent="0.3">
      <c r="B51" s="2">
        <v>4.8</v>
      </c>
      <c r="C51" s="2">
        <v>3</v>
      </c>
      <c r="D51" s="2">
        <v>1.4</v>
      </c>
      <c r="E51" s="2">
        <v>0.3</v>
      </c>
      <c r="F51" s="2" t="s">
        <v>7</v>
      </c>
      <c r="V51" s="6">
        <v>46</v>
      </c>
      <c r="W51" s="6">
        <f t="shared" si="6"/>
        <v>1.7</v>
      </c>
      <c r="X51" s="6">
        <f t="shared" si="7"/>
        <v>2.849158494145192</v>
      </c>
    </row>
    <row r="52" spans="2:24" x14ac:dyDescent="0.3">
      <c r="B52" s="2">
        <v>5.0999999999999996</v>
      </c>
      <c r="C52" s="2">
        <v>3.8</v>
      </c>
      <c r="D52" s="2">
        <v>1.6</v>
      </c>
      <c r="E52" s="2">
        <v>0.2</v>
      </c>
      <c r="F52" s="2" t="s">
        <v>7</v>
      </c>
      <c r="V52" s="6">
        <v>47</v>
      </c>
      <c r="W52" s="6">
        <f t="shared" si="6"/>
        <v>1.7</v>
      </c>
      <c r="X52" s="6">
        <f t="shared" si="7"/>
        <v>2.8826762578664522</v>
      </c>
    </row>
    <row r="53" spans="2:24" x14ac:dyDescent="0.3">
      <c r="B53" s="2">
        <v>4.5999999999999996</v>
      </c>
      <c r="C53" s="2">
        <v>3.2</v>
      </c>
      <c r="D53" s="2">
        <v>1.4</v>
      </c>
      <c r="E53" s="2">
        <v>0.2</v>
      </c>
      <c r="F53" s="2" t="s">
        <v>7</v>
      </c>
      <c r="V53" s="6">
        <v>48</v>
      </c>
      <c r="W53" s="6">
        <f t="shared" si="6"/>
        <v>1.7</v>
      </c>
      <c r="X53" s="6">
        <f t="shared" si="7"/>
        <v>2.9158813743942509</v>
      </c>
    </row>
    <row r="54" spans="2:24" x14ac:dyDescent="0.3">
      <c r="B54" s="2">
        <v>5.3</v>
      </c>
      <c r="C54" s="2">
        <v>3.7</v>
      </c>
      <c r="D54" s="2">
        <v>1.5</v>
      </c>
      <c r="E54" s="2">
        <v>0.2</v>
      </c>
      <c r="F54" s="2" t="s">
        <v>7</v>
      </c>
      <c r="V54" s="6">
        <v>49</v>
      </c>
      <c r="W54" s="6">
        <f t="shared" si="6"/>
        <v>1.9</v>
      </c>
      <c r="X54" s="6">
        <f t="shared" si="7"/>
        <v>2.9487911605375521</v>
      </c>
    </row>
    <row r="55" spans="2:24" x14ac:dyDescent="0.3">
      <c r="B55" s="2">
        <v>5</v>
      </c>
      <c r="C55" s="2">
        <v>3.3</v>
      </c>
      <c r="D55" s="2">
        <v>1.4</v>
      </c>
      <c r="E55" s="2">
        <v>0.2</v>
      </c>
      <c r="F55" s="2" t="s">
        <v>7</v>
      </c>
      <c r="V55" s="6">
        <v>50</v>
      </c>
      <c r="W55" s="6">
        <f t="shared" si="6"/>
        <v>1.9</v>
      </c>
      <c r="X55" s="6">
        <f t="shared" si="7"/>
        <v>2.9814220658494657</v>
      </c>
    </row>
    <row r="56" spans="2:24" x14ac:dyDescent="0.3">
      <c r="B56" s="2">
        <v>7</v>
      </c>
      <c r="C56" s="2">
        <v>3.2</v>
      </c>
      <c r="D56" s="2">
        <v>4.7</v>
      </c>
      <c r="E56" s="2">
        <v>1.4</v>
      </c>
      <c r="F56" s="2" t="s">
        <v>14</v>
      </c>
      <c r="V56" s="6">
        <v>51</v>
      </c>
      <c r="W56" s="6">
        <f t="shared" si="6"/>
        <v>3</v>
      </c>
      <c r="X56" s="6">
        <f t="shared" si="7"/>
        <v>3.0137897451929239</v>
      </c>
    </row>
    <row r="57" spans="2:24" x14ac:dyDescent="0.3">
      <c r="B57" s="2">
        <v>6.4</v>
      </c>
      <c r="C57" s="2">
        <v>3.2</v>
      </c>
      <c r="D57" s="2">
        <v>4.5</v>
      </c>
      <c r="E57" s="2">
        <v>1.5</v>
      </c>
      <c r="F57" s="2" t="s">
        <v>14</v>
      </c>
      <c r="V57" s="6">
        <v>52</v>
      </c>
      <c r="W57" s="6">
        <f t="shared" si="6"/>
        <v>3.3</v>
      </c>
      <c r="X57" s="6">
        <f t="shared" si="7"/>
        <v>3.0459091246309935</v>
      </c>
    </row>
    <row r="58" spans="2:24" x14ac:dyDescent="0.3">
      <c r="B58" s="2">
        <v>6.9</v>
      </c>
      <c r="C58" s="2">
        <v>3.1</v>
      </c>
      <c r="D58" s="2">
        <v>4.9000000000000004</v>
      </c>
      <c r="E58" s="2">
        <v>1.5</v>
      </c>
      <c r="F58" s="2" t="s">
        <v>14</v>
      </c>
      <c r="V58" s="6">
        <v>53</v>
      </c>
      <c r="W58" s="6">
        <f t="shared" si="6"/>
        <v>3.3</v>
      </c>
      <c r="X58" s="6">
        <f t="shared" si="7"/>
        <v>3.0777944614120112</v>
      </c>
    </row>
    <row r="59" spans="2:24" x14ac:dyDescent="0.3">
      <c r="B59" s="2">
        <v>5.5</v>
      </c>
      <c r="C59" s="2">
        <v>2.2999999999999998</v>
      </c>
      <c r="D59" s="2">
        <v>4</v>
      </c>
      <c r="E59" s="2">
        <v>1.3</v>
      </c>
      <c r="F59" s="2" t="s">
        <v>14</v>
      </c>
      <c r="V59" s="6">
        <v>54</v>
      </c>
      <c r="W59" s="6">
        <f t="shared" si="6"/>
        <v>3.5</v>
      </c>
      <c r="X59" s="6">
        <f t="shared" si="7"/>
        <v>3.1094593987207544</v>
      </c>
    </row>
    <row r="60" spans="2:24" x14ac:dyDescent="0.3">
      <c r="B60" s="2">
        <v>6.5</v>
      </c>
      <c r="C60" s="2">
        <v>2.8</v>
      </c>
      <c r="D60" s="2">
        <v>4.5999999999999996</v>
      </c>
      <c r="E60" s="2">
        <v>1.5</v>
      </c>
      <c r="F60" s="2" t="s">
        <v>14</v>
      </c>
      <c r="V60" s="6">
        <v>55</v>
      </c>
      <c r="W60" s="6">
        <f t="shared" si="6"/>
        <v>3.5</v>
      </c>
      <c r="X60" s="6">
        <f t="shared" si="7"/>
        <v>3.1409170157824042</v>
      </c>
    </row>
    <row r="61" spans="2:24" x14ac:dyDescent="0.3">
      <c r="B61" s="2">
        <v>5.7</v>
      </c>
      <c r="C61" s="2">
        <v>2.8</v>
      </c>
      <c r="D61" s="2">
        <v>4.5</v>
      </c>
      <c r="E61" s="2">
        <v>1.3</v>
      </c>
      <c r="F61" s="2" t="s">
        <v>14</v>
      </c>
      <c r="V61" s="6">
        <v>56</v>
      </c>
      <c r="W61" s="6">
        <f t="shared" si="6"/>
        <v>3.6</v>
      </c>
      <c r="X61" s="6">
        <f t="shared" si="7"/>
        <v>3.17217987383385</v>
      </c>
    </row>
    <row r="62" spans="2:24" x14ac:dyDescent="0.3">
      <c r="B62" s="2">
        <v>6.3</v>
      </c>
      <c r="C62" s="2">
        <v>3.3</v>
      </c>
      <c r="D62" s="2">
        <v>4.7</v>
      </c>
      <c r="E62" s="2">
        <v>1.6</v>
      </c>
      <c r="F62" s="2" t="s">
        <v>14</v>
      </c>
      <c r="V62" s="6">
        <v>57</v>
      </c>
      <c r="W62" s="6">
        <f t="shared" si="6"/>
        <v>3.7</v>
      </c>
      <c r="X62" s="6">
        <f t="shared" si="7"/>
        <v>3.2032600584148829</v>
      </c>
    </row>
    <row r="63" spans="2:24" x14ac:dyDescent="0.3">
      <c r="B63" s="2">
        <v>4.9000000000000004</v>
      </c>
      <c r="C63" s="2">
        <v>2.4</v>
      </c>
      <c r="D63" s="2">
        <v>3.3</v>
      </c>
      <c r="E63" s="2">
        <v>1</v>
      </c>
      <c r="F63" s="2" t="s">
        <v>14</v>
      </c>
      <c r="V63" s="6">
        <v>58</v>
      </c>
      <c r="W63" s="6">
        <f t="shared" si="6"/>
        <v>3.8</v>
      </c>
      <c r="X63" s="6">
        <f t="shared" si="7"/>
        <v>3.2341692183785726</v>
      </c>
    </row>
    <row r="64" spans="2:24" x14ac:dyDescent="0.3">
      <c r="B64" s="2">
        <v>6.6</v>
      </c>
      <c r="C64" s="2">
        <v>2.9</v>
      </c>
      <c r="D64" s="2">
        <v>4.5999999999999996</v>
      </c>
      <c r="E64" s="2">
        <v>1.3</v>
      </c>
      <c r="F64" s="2" t="s">
        <v>14</v>
      </c>
      <c r="V64" s="6">
        <v>59</v>
      </c>
      <c r="W64" s="6">
        <f t="shared" si="6"/>
        <v>3.9</v>
      </c>
      <c r="X64" s="6">
        <f t="shared" si="7"/>
        <v>3.2649186019741729</v>
      </c>
    </row>
    <row r="65" spans="2:24" x14ac:dyDescent="0.3">
      <c r="B65" s="2">
        <v>5.2</v>
      </c>
      <c r="C65" s="2">
        <v>2.7</v>
      </c>
      <c r="D65" s="2">
        <v>3.9</v>
      </c>
      <c r="E65" s="2">
        <v>1.4</v>
      </c>
      <c r="F65" s="2" t="s">
        <v>14</v>
      </c>
      <c r="V65" s="6">
        <v>60</v>
      </c>
      <c r="W65" s="6">
        <f t="shared" si="6"/>
        <v>3.9</v>
      </c>
      <c r="X65" s="6">
        <f t="shared" si="7"/>
        <v>3.2955190903162555</v>
      </c>
    </row>
    <row r="66" spans="2:24" x14ac:dyDescent="0.3">
      <c r="B66" s="2">
        <v>5</v>
      </c>
      <c r="C66" s="2">
        <v>2</v>
      </c>
      <c r="D66" s="2">
        <v>3.5</v>
      </c>
      <c r="E66" s="2">
        <v>1</v>
      </c>
      <c r="F66" s="2" t="s">
        <v>14</v>
      </c>
      <c r="V66" s="6">
        <v>61</v>
      </c>
      <c r="W66" s="6">
        <f t="shared" si="6"/>
        <v>3.9</v>
      </c>
      <c r="X66" s="6">
        <f t="shared" si="7"/>
        <v>3.3259812285194332</v>
      </c>
    </row>
    <row r="67" spans="2:24" x14ac:dyDescent="0.3">
      <c r="B67" s="2">
        <v>5.9</v>
      </c>
      <c r="C67" s="2">
        <v>3</v>
      </c>
      <c r="D67" s="2">
        <v>4.2</v>
      </c>
      <c r="E67" s="2">
        <v>1.5</v>
      </c>
      <c r="F67" s="2" t="s">
        <v>14</v>
      </c>
      <c r="V67" s="6">
        <v>62</v>
      </c>
      <c r="W67" s="6">
        <f t="shared" si="6"/>
        <v>4</v>
      </c>
      <c r="X67" s="6">
        <f t="shared" si="7"/>
        <v>3.3563152547483157</v>
      </c>
    </row>
    <row r="68" spans="2:24" x14ac:dyDescent="0.3">
      <c r="B68" s="2">
        <v>6</v>
      </c>
      <c r="C68" s="2">
        <v>2.2000000000000002</v>
      </c>
      <c r="D68" s="2">
        <v>4</v>
      </c>
      <c r="E68" s="2">
        <v>1</v>
      </c>
      <c r="F68" s="2" t="s">
        <v>14</v>
      </c>
      <c r="V68" s="6">
        <v>63</v>
      </c>
      <c r="W68" s="6">
        <f t="shared" si="6"/>
        <v>4</v>
      </c>
      <c r="X68" s="6">
        <f t="shared" si="7"/>
        <v>3.3865311274065157</v>
      </c>
    </row>
    <row r="69" spans="2:24" x14ac:dyDescent="0.3">
      <c r="B69" s="2">
        <v>6.1</v>
      </c>
      <c r="C69" s="2">
        <v>2.9</v>
      </c>
      <c r="D69" s="2">
        <v>4.7</v>
      </c>
      <c r="E69" s="2">
        <v>1.4</v>
      </c>
      <c r="F69" s="2" t="s">
        <v>14</v>
      </c>
      <c r="V69" s="6">
        <v>64</v>
      </c>
      <c r="W69" s="6">
        <f t="shared" si="6"/>
        <v>4</v>
      </c>
      <c r="X69" s="6">
        <f t="shared" si="7"/>
        <v>3.4166385506661405</v>
      </c>
    </row>
    <row r="70" spans="2:24" x14ac:dyDescent="0.3">
      <c r="B70" s="2">
        <v>5.6</v>
      </c>
      <c r="C70" s="2">
        <v>2.9</v>
      </c>
      <c r="D70" s="2">
        <v>3.6</v>
      </c>
      <c r="E70" s="2">
        <v>1.3</v>
      </c>
      <c r="F70" s="2" t="s">
        <v>14</v>
      </c>
      <c r="V70" s="6">
        <v>65</v>
      </c>
      <c r="W70" s="6">
        <f t="shared" si="6"/>
        <v>4</v>
      </c>
      <c r="X70" s="6">
        <f t="shared" si="7"/>
        <v>3.4466469985197348</v>
      </c>
    </row>
    <row r="71" spans="2:24" x14ac:dyDescent="0.3">
      <c r="B71" s="2">
        <v>6.7</v>
      </c>
      <c r="C71" s="2">
        <v>3.1</v>
      </c>
      <c r="D71" s="2">
        <v>4.4000000000000004</v>
      </c>
      <c r="E71" s="2">
        <v>1.4</v>
      </c>
      <c r="F71" s="2" t="s">
        <v>14</v>
      </c>
      <c r="V71" s="6">
        <v>66</v>
      </c>
      <c r="W71" s="6">
        <f t="shared" ref="W71:W134" si="11">SMALL(D$6:D$1048576,$V71)</f>
        <v>4</v>
      </c>
      <c r="X71" s="6">
        <f t="shared" ref="X71:X134" si="12">_xlfn.NORM.INV(($V71-1/2)/$I$7, $I$5, $I$6)</f>
        <v>3.4765657375197243</v>
      </c>
    </row>
    <row r="72" spans="2:24" x14ac:dyDescent="0.3">
      <c r="B72" s="2">
        <v>5.6</v>
      </c>
      <c r="C72" s="2">
        <v>3</v>
      </c>
      <c r="D72" s="2">
        <v>4.5</v>
      </c>
      <c r="E72" s="2">
        <v>1.5</v>
      </c>
      <c r="F72" s="2" t="s">
        <v>14</v>
      </c>
      <c r="V72" s="6">
        <v>67</v>
      </c>
      <c r="W72" s="6">
        <f t="shared" si="11"/>
        <v>4.0999999999999996</v>
      </c>
      <c r="X72" s="6">
        <f t="shared" si="12"/>
        <v>3.5064038483557738</v>
      </c>
    </row>
    <row r="73" spans="2:24" x14ac:dyDescent="0.3">
      <c r="B73" s="2">
        <v>5.8</v>
      </c>
      <c r="C73" s="2">
        <v>2.7</v>
      </c>
      <c r="D73" s="2">
        <v>4.0999999999999996</v>
      </c>
      <c r="E73" s="2">
        <v>1</v>
      </c>
      <c r="F73" s="2" t="s">
        <v>14</v>
      </c>
      <c r="V73" s="6">
        <v>68</v>
      </c>
      <c r="W73" s="6">
        <f t="shared" si="11"/>
        <v>4.0999999999999996</v>
      </c>
      <c r="X73" s="6">
        <f t="shared" si="12"/>
        <v>3.5361702464077358</v>
      </c>
    </row>
    <row r="74" spans="2:24" x14ac:dyDescent="0.3">
      <c r="B74" s="2">
        <v>6.2</v>
      </c>
      <c r="C74" s="2">
        <v>2.2000000000000002</v>
      </c>
      <c r="D74" s="2">
        <v>4.5</v>
      </c>
      <c r="E74" s="2">
        <v>1.5</v>
      </c>
      <c r="F74" s="2" t="s">
        <v>14</v>
      </c>
      <c r="V74" s="6">
        <v>69</v>
      </c>
      <c r="W74" s="6">
        <f t="shared" si="11"/>
        <v>4.0999999999999996</v>
      </c>
      <c r="X74" s="6">
        <f t="shared" si="12"/>
        <v>3.565873701400923</v>
      </c>
    </row>
    <row r="75" spans="2:24" x14ac:dyDescent="0.3">
      <c r="B75" s="2">
        <v>5.6</v>
      </c>
      <c r="C75" s="2">
        <v>2.5</v>
      </c>
      <c r="D75" s="2">
        <v>3.9</v>
      </c>
      <c r="E75" s="2">
        <v>1.1000000000000001</v>
      </c>
      <c r="F75" s="2" t="s">
        <v>14</v>
      </c>
      <c r="V75" s="6">
        <v>70</v>
      </c>
      <c r="W75" s="6">
        <f t="shared" si="11"/>
        <v>4.2</v>
      </c>
      <c r="X75" s="6">
        <f t="shared" si="12"/>
        <v>3.5955228562809665</v>
      </c>
    </row>
    <row r="76" spans="2:24" x14ac:dyDescent="0.3">
      <c r="B76" s="2">
        <v>5.9</v>
      </c>
      <c r="C76" s="2">
        <v>3.2</v>
      </c>
      <c r="D76" s="2">
        <v>4.8</v>
      </c>
      <c r="E76" s="2">
        <v>1.8</v>
      </c>
      <c r="F76" s="2" t="s">
        <v>14</v>
      </c>
      <c r="V76" s="6">
        <v>71</v>
      </c>
      <c r="W76" s="6">
        <f t="shared" si="11"/>
        <v>4.2</v>
      </c>
      <c r="X76" s="6">
        <f t="shared" si="12"/>
        <v>3.6251262454174897</v>
      </c>
    </row>
    <row r="77" spans="2:24" x14ac:dyDescent="0.3">
      <c r="B77" s="2">
        <v>6.1</v>
      </c>
      <c r="C77" s="2">
        <v>2.8</v>
      </c>
      <c r="D77" s="2">
        <v>4</v>
      </c>
      <c r="E77" s="2">
        <v>1.3</v>
      </c>
      <c r="F77" s="2" t="s">
        <v>14</v>
      </c>
      <c r="V77" s="6">
        <v>72</v>
      </c>
      <c r="W77" s="6">
        <f t="shared" si="11"/>
        <v>4.2</v>
      </c>
      <c r="X77" s="6">
        <f t="shared" si="12"/>
        <v>3.654692312238971</v>
      </c>
    </row>
    <row r="78" spans="2:24" x14ac:dyDescent="0.3">
      <c r="B78" s="2">
        <v>6.3</v>
      </c>
      <c r="C78" s="2">
        <v>2.5</v>
      </c>
      <c r="D78" s="2">
        <v>4.9000000000000004</v>
      </c>
      <c r="E78" s="2">
        <v>1.5</v>
      </c>
      <c r="F78" s="2" t="s">
        <v>14</v>
      </c>
      <c r="V78" s="6">
        <v>73</v>
      </c>
      <c r="W78" s="6">
        <f t="shared" si="11"/>
        <v>4.2</v>
      </c>
      <c r="X78" s="6">
        <f t="shared" si="12"/>
        <v>3.6842294263954631</v>
      </c>
    </row>
    <row r="79" spans="2:24" x14ac:dyDescent="0.3">
      <c r="B79" s="2">
        <v>6.1</v>
      </c>
      <c r="C79" s="2">
        <v>2.8</v>
      </c>
      <c r="D79" s="2">
        <v>4.7</v>
      </c>
      <c r="E79" s="2">
        <v>1.2</v>
      </c>
      <c r="F79" s="2" t="s">
        <v>14</v>
      </c>
      <c r="V79" s="6">
        <v>74</v>
      </c>
      <c r="W79" s="6">
        <f t="shared" si="11"/>
        <v>4.3</v>
      </c>
      <c r="X79" s="6">
        <f t="shared" si="12"/>
        <v>3.7137459005411566</v>
      </c>
    </row>
    <row r="80" spans="2:24" x14ac:dyDescent="0.3">
      <c r="B80" s="2">
        <v>6.4</v>
      </c>
      <c r="C80" s="2">
        <v>2.9</v>
      </c>
      <c r="D80" s="2">
        <v>4.3</v>
      </c>
      <c r="E80" s="2">
        <v>1.3</v>
      </c>
      <c r="F80" s="2" t="s">
        <v>14</v>
      </c>
      <c r="V80" s="6">
        <v>75</v>
      </c>
      <c r="W80" s="6">
        <f t="shared" si="11"/>
        <v>4.3</v>
      </c>
      <c r="X80" s="6">
        <f t="shared" si="12"/>
        <v>3.7432500068250278</v>
      </c>
    </row>
    <row r="81" spans="2:24" x14ac:dyDescent="0.3">
      <c r="B81" s="2">
        <v>6.6</v>
      </c>
      <c r="C81" s="2">
        <v>3</v>
      </c>
      <c r="D81" s="2">
        <v>4.4000000000000004</v>
      </c>
      <c r="E81" s="2">
        <v>1.4</v>
      </c>
      <c r="F81" s="2" t="s">
        <v>14</v>
      </c>
      <c r="V81" s="6">
        <v>76</v>
      </c>
      <c r="W81" s="6">
        <f t="shared" si="11"/>
        <v>4.4000000000000004</v>
      </c>
      <c r="X81" s="6">
        <f t="shared" si="12"/>
        <v>3.7727499931749775</v>
      </c>
    </row>
    <row r="82" spans="2:24" x14ac:dyDescent="0.3">
      <c r="B82" s="2">
        <v>6.8</v>
      </c>
      <c r="C82" s="2">
        <v>2.8</v>
      </c>
      <c r="D82" s="2">
        <v>4.8</v>
      </c>
      <c r="E82" s="2">
        <v>1.4</v>
      </c>
      <c r="F82" s="2" t="s">
        <v>14</v>
      </c>
      <c r="V82" s="6">
        <v>77</v>
      </c>
      <c r="W82" s="6">
        <f t="shared" si="11"/>
        <v>4.4000000000000004</v>
      </c>
      <c r="X82" s="6">
        <f t="shared" si="12"/>
        <v>3.8022540994588487</v>
      </c>
    </row>
    <row r="83" spans="2:24" x14ac:dyDescent="0.3">
      <c r="B83" s="2">
        <v>6.7</v>
      </c>
      <c r="C83" s="2">
        <v>3</v>
      </c>
      <c r="D83" s="2">
        <v>5</v>
      </c>
      <c r="E83" s="2">
        <v>1.7</v>
      </c>
      <c r="F83" s="2" t="s">
        <v>14</v>
      </c>
      <c r="V83" s="6">
        <v>78</v>
      </c>
      <c r="W83" s="6">
        <f t="shared" si="11"/>
        <v>4.4000000000000004</v>
      </c>
      <c r="X83" s="6">
        <f t="shared" si="12"/>
        <v>3.8317705736045422</v>
      </c>
    </row>
    <row r="84" spans="2:24" x14ac:dyDescent="0.3">
      <c r="B84" s="2">
        <v>6</v>
      </c>
      <c r="C84" s="2">
        <v>2.9</v>
      </c>
      <c r="D84" s="2">
        <v>4.5</v>
      </c>
      <c r="E84" s="2">
        <v>1.5</v>
      </c>
      <c r="F84" s="2" t="s">
        <v>14</v>
      </c>
      <c r="V84" s="6">
        <v>79</v>
      </c>
      <c r="W84" s="6">
        <f t="shared" si="11"/>
        <v>4.4000000000000004</v>
      </c>
      <c r="X84" s="6">
        <f t="shared" si="12"/>
        <v>3.8613076877610344</v>
      </c>
    </row>
    <row r="85" spans="2:24" x14ac:dyDescent="0.3">
      <c r="B85" s="2">
        <v>5.7</v>
      </c>
      <c r="C85" s="2">
        <v>2.6</v>
      </c>
      <c r="D85" s="2">
        <v>3.5</v>
      </c>
      <c r="E85" s="2">
        <v>1</v>
      </c>
      <c r="F85" s="2" t="s">
        <v>14</v>
      </c>
      <c r="V85" s="6">
        <v>80</v>
      </c>
      <c r="W85" s="6">
        <f t="shared" si="11"/>
        <v>4.5</v>
      </c>
      <c r="X85" s="6">
        <f t="shared" si="12"/>
        <v>3.8908737545825156</v>
      </c>
    </row>
    <row r="86" spans="2:24" x14ac:dyDescent="0.3">
      <c r="B86" s="2">
        <v>5.5</v>
      </c>
      <c r="C86" s="2">
        <v>2.4</v>
      </c>
      <c r="D86" s="2">
        <v>3.8</v>
      </c>
      <c r="E86" s="2">
        <v>1.1000000000000001</v>
      </c>
      <c r="F86" s="2" t="s">
        <v>14</v>
      </c>
      <c r="V86" s="6">
        <v>81</v>
      </c>
      <c r="W86" s="6">
        <f t="shared" si="11"/>
        <v>4.5</v>
      </c>
      <c r="X86" s="6">
        <f t="shared" si="12"/>
        <v>3.9204771437190389</v>
      </c>
    </row>
    <row r="87" spans="2:24" x14ac:dyDescent="0.3">
      <c r="B87" s="2">
        <v>5.5</v>
      </c>
      <c r="C87" s="2">
        <v>2.4</v>
      </c>
      <c r="D87" s="2">
        <v>3.7</v>
      </c>
      <c r="E87" s="2">
        <v>1</v>
      </c>
      <c r="F87" s="2" t="s">
        <v>14</v>
      </c>
      <c r="V87" s="6">
        <v>82</v>
      </c>
      <c r="W87" s="6">
        <f t="shared" si="11"/>
        <v>4.5</v>
      </c>
      <c r="X87" s="6">
        <f t="shared" si="12"/>
        <v>3.9501262985990824</v>
      </c>
    </row>
    <row r="88" spans="2:24" x14ac:dyDescent="0.3">
      <c r="B88" s="2">
        <v>5.8</v>
      </c>
      <c r="C88" s="2">
        <v>2.7</v>
      </c>
      <c r="D88" s="2">
        <v>3.9</v>
      </c>
      <c r="E88" s="2">
        <v>1.2</v>
      </c>
      <c r="F88" s="2" t="s">
        <v>14</v>
      </c>
      <c r="V88" s="6">
        <v>83</v>
      </c>
      <c r="W88" s="6">
        <f t="shared" si="11"/>
        <v>4.5</v>
      </c>
      <c r="X88" s="6">
        <f t="shared" si="12"/>
        <v>3.9798297535922695</v>
      </c>
    </row>
    <row r="89" spans="2:24" x14ac:dyDescent="0.3">
      <c r="B89" s="2">
        <v>6</v>
      </c>
      <c r="C89" s="2">
        <v>2.7</v>
      </c>
      <c r="D89" s="2">
        <v>5.0999999999999996</v>
      </c>
      <c r="E89" s="2">
        <v>1.6</v>
      </c>
      <c r="F89" s="2" t="s">
        <v>14</v>
      </c>
      <c r="V89" s="6">
        <v>84</v>
      </c>
      <c r="W89" s="6">
        <f t="shared" si="11"/>
        <v>4.5</v>
      </c>
      <c r="X89" s="6">
        <f t="shared" si="12"/>
        <v>4.0095961516442316</v>
      </c>
    </row>
    <row r="90" spans="2:24" x14ac:dyDescent="0.3">
      <c r="B90" s="2">
        <v>5.4</v>
      </c>
      <c r="C90" s="2">
        <v>3</v>
      </c>
      <c r="D90" s="2">
        <v>4.5</v>
      </c>
      <c r="E90" s="2">
        <v>1.5</v>
      </c>
      <c r="F90" s="2" t="s">
        <v>14</v>
      </c>
      <c r="V90" s="6">
        <v>85</v>
      </c>
      <c r="W90" s="6">
        <f t="shared" si="11"/>
        <v>4.5</v>
      </c>
      <c r="X90" s="6">
        <f t="shared" si="12"/>
        <v>4.039434262480281</v>
      </c>
    </row>
    <row r="91" spans="2:24" x14ac:dyDescent="0.3">
      <c r="B91" s="2">
        <v>6</v>
      </c>
      <c r="C91" s="2">
        <v>3.4</v>
      </c>
      <c r="D91" s="2">
        <v>4.5</v>
      </c>
      <c r="E91" s="2">
        <v>1.6</v>
      </c>
      <c r="F91" s="2" t="s">
        <v>14</v>
      </c>
      <c r="V91" s="6">
        <v>86</v>
      </c>
      <c r="W91" s="6">
        <f t="shared" si="11"/>
        <v>4.5</v>
      </c>
      <c r="X91" s="6">
        <f t="shared" si="12"/>
        <v>4.0693530014802706</v>
      </c>
    </row>
    <row r="92" spans="2:24" x14ac:dyDescent="0.3">
      <c r="B92" s="2">
        <v>6.7</v>
      </c>
      <c r="C92" s="2">
        <v>3.1</v>
      </c>
      <c r="D92" s="2">
        <v>4.7</v>
      </c>
      <c r="E92" s="2">
        <v>1.5</v>
      </c>
      <c r="F92" s="2" t="s">
        <v>14</v>
      </c>
      <c r="V92" s="6">
        <v>87</v>
      </c>
      <c r="W92" s="6">
        <f t="shared" si="11"/>
        <v>4.5</v>
      </c>
      <c r="X92" s="6">
        <f t="shared" si="12"/>
        <v>4.0993614493338644</v>
      </c>
    </row>
    <row r="93" spans="2:24" x14ac:dyDescent="0.3">
      <c r="B93" s="2">
        <v>6.3</v>
      </c>
      <c r="C93" s="2">
        <v>2.2999999999999998</v>
      </c>
      <c r="D93" s="2">
        <v>4.4000000000000004</v>
      </c>
      <c r="E93" s="2">
        <v>1.3</v>
      </c>
      <c r="F93" s="2" t="s">
        <v>14</v>
      </c>
      <c r="V93" s="6">
        <v>88</v>
      </c>
      <c r="W93" s="6">
        <f t="shared" si="11"/>
        <v>4.5999999999999996</v>
      </c>
      <c r="X93" s="6">
        <f t="shared" si="12"/>
        <v>4.12946887259349</v>
      </c>
    </row>
    <row r="94" spans="2:24" x14ac:dyDescent="0.3">
      <c r="B94" s="2">
        <v>5.6</v>
      </c>
      <c r="C94" s="2">
        <v>3</v>
      </c>
      <c r="D94" s="2">
        <v>4.0999999999999996</v>
      </c>
      <c r="E94" s="2">
        <v>1.3</v>
      </c>
      <c r="F94" s="2" t="s">
        <v>14</v>
      </c>
      <c r="V94" s="6">
        <v>89</v>
      </c>
      <c r="W94" s="6">
        <f t="shared" si="11"/>
        <v>4.5999999999999996</v>
      </c>
      <c r="X94" s="6">
        <f t="shared" si="12"/>
        <v>4.1596847452516892</v>
      </c>
    </row>
    <row r="95" spans="2:24" x14ac:dyDescent="0.3">
      <c r="B95" s="2">
        <v>5.5</v>
      </c>
      <c r="C95" s="2">
        <v>2.5</v>
      </c>
      <c r="D95" s="2">
        <v>4</v>
      </c>
      <c r="E95" s="2">
        <v>1.3</v>
      </c>
      <c r="F95" s="2" t="s">
        <v>14</v>
      </c>
      <c r="V95" s="6">
        <v>90</v>
      </c>
      <c r="W95" s="6">
        <f t="shared" si="11"/>
        <v>4.5999999999999996</v>
      </c>
      <c r="X95" s="6">
        <f t="shared" si="12"/>
        <v>4.1900187714805721</v>
      </c>
    </row>
    <row r="96" spans="2:24" x14ac:dyDescent="0.3">
      <c r="B96" s="2">
        <v>5.5</v>
      </c>
      <c r="C96" s="2">
        <v>2.6</v>
      </c>
      <c r="D96" s="2">
        <v>4.4000000000000004</v>
      </c>
      <c r="E96" s="2">
        <v>1.2</v>
      </c>
      <c r="F96" s="2" t="s">
        <v>14</v>
      </c>
      <c r="V96" s="6">
        <v>91</v>
      </c>
      <c r="W96" s="6">
        <f t="shared" si="11"/>
        <v>4.7</v>
      </c>
      <c r="X96" s="6">
        <f t="shared" si="12"/>
        <v>4.2204809096837499</v>
      </c>
    </row>
    <row r="97" spans="2:24" x14ac:dyDescent="0.3">
      <c r="B97" s="2">
        <v>6.1</v>
      </c>
      <c r="C97" s="2">
        <v>3</v>
      </c>
      <c r="D97" s="2">
        <v>4.5999999999999996</v>
      </c>
      <c r="E97" s="2">
        <v>1.4</v>
      </c>
      <c r="F97" s="2" t="s">
        <v>14</v>
      </c>
      <c r="V97" s="6">
        <v>92</v>
      </c>
      <c r="W97" s="6">
        <f t="shared" si="11"/>
        <v>4.7</v>
      </c>
      <c r="X97" s="6">
        <f t="shared" si="12"/>
        <v>4.251081398025832</v>
      </c>
    </row>
    <row r="98" spans="2:24" x14ac:dyDescent="0.3">
      <c r="B98" s="2">
        <v>5.8</v>
      </c>
      <c r="C98" s="2">
        <v>2.6</v>
      </c>
      <c r="D98" s="2">
        <v>4</v>
      </c>
      <c r="E98" s="2">
        <v>1.2</v>
      </c>
      <c r="F98" s="2" t="s">
        <v>14</v>
      </c>
      <c r="V98" s="6">
        <v>93</v>
      </c>
      <c r="W98" s="6">
        <f t="shared" si="11"/>
        <v>4.7</v>
      </c>
      <c r="X98" s="6">
        <f t="shared" si="12"/>
        <v>4.2818307816214327</v>
      </c>
    </row>
    <row r="99" spans="2:24" x14ac:dyDescent="0.3">
      <c r="B99" s="2">
        <v>5</v>
      </c>
      <c r="C99" s="2">
        <v>2.2999999999999998</v>
      </c>
      <c r="D99" s="2">
        <v>3.3</v>
      </c>
      <c r="E99" s="2">
        <v>1</v>
      </c>
      <c r="F99" s="2" t="s">
        <v>14</v>
      </c>
      <c r="V99" s="6">
        <v>94</v>
      </c>
      <c r="W99" s="6">
        <f t="shared" si="11"/>
        <v>4.7</v>
      </c>
      <c r="X99" s="6">
        <f t="shared" si="12"/>
        <v>4.3127399415851224</v>
      </c>
    </row>
    <row r="100" spans="2:24" x14ac:dyDescent="0.3">
      <c r="B100" s="2">
        <v>5.6</v>
      </c>
      <c r="C100" s="2">
        <v>2.7</v>
      </c>
      <c r="D100" s="2">
        <v>4.2</v>
      </c>
      <c r="E100" s="2">
        <v>1.3</v>
      </c>
      <c r="F100" s="2" t="s">
        <v>14</v>
      </c>
      <c r="V100" s="6">
        <v>95</v>
      </c>
      <c r="W100" s="6">
        <f t="shared" si="11"/>
        <v>4.7</v>
      </c>
      <c r="X100" s="6">
        <f t="shared" si="12"/>
        <v>4.3438201261661558</v>
      </c>
    </row>
    <row r="101" spans="2:24" x14ac:dyDescent="0.3">
      <c r="B101" s="2">
        <v>5.7</v>
      </c>
      <c r="C101" s="2">
        <v>3</v>
      </c>
      <c r="D101" s="2">
        <v>4.2</v>
      </c>
      <c r="E101" s="2">
        <v>1.2</v>
      </c>
      <c r="F101" s="2" t="s">
        <v>14</v>
      </c>
      <c r="V101" s="6">
        <v>96</v>
      </c>
      <c r="W101" s="6">
        <f t="shared" si="11"/>
        <v>4.8</v>
      </c>
      <c r="X101" s="6">
        <f t="shared" si="12"/>
        <v>4.3750829842176016</v>
      </c>
    </row>
    <row r="102" spans="2:24" x14ac:dyDescent="0.3">
      <c r="B102" s="2">
        <v>5.7</v>
      </c>
      <c r="C102" s="2">
        <v>2.9</v>
      </c>
      <c r="D102" s="2">
        <v>4.2</v>
      </c>
      <c r="E102" s="2">
        <v>1.3</v>
      </c>
      <c r="F102" s="2" t="s">
        <v>14</v>
      </c>
      <c r="V102" s="6">
        <v>97</v>
      </c>
      <c r="W102" s="6">
        <f t="shared" si="11"/>
        <v>4.8</v>
      </c>
      <c r="X102" s="6">
        <f t="shared" si="12"/>
        <v>4.406540601279251</v>
      </c>
    </row>
    <row r="103" spans="2:24" x14ac:dyDescent="0.3">
      <c r="B103" s="2">
        <v>6.2</v>
      </c>
      <c r="C103" s="2">
        <v>2.9</v>
      </c>
      <c r="D103" s="2">
        <v>4.3</v>
      </c>
      <c r="E103" s="2">
        <v>1.3</v>
      </c>
      <c r="F103" s="2" t="s">
        <v>14</v>
      </c>
      <c r="V103" s="6">
        <v>98</v>
      </c>
      <c r="W103" s="6">
        <f t="shared" si="11"/>
        <v>4.8</v>
      </c>
      <c r="X103" s="6">
        <f t="shared" si="12"/>
        <v>4.4382055385879946</v>
      </c>
    </row>
    <row r="104" spans="2:24" x14ac:dyDescent="0.3">
      <c r="B104" s="2">
        <v>5.0999999999999996</v>
      </c>
      <c r="C104" s="2">
        <v>2.5</v>
      </c>
      <c r="D104" s="2">
        <v>3</v>
      </c>
      <c r="E104" s="2">
        <v>1.1000000000000001</v>
      </c>
      <c r="F104" s="2" t="s">
        <v>14</v>
      </c>
      <c r="V104" s="6">
        <v>99</v>
      </c>
      <c r="W104" s="6">
        <f t="shared" si="11"/>
        <v>4.8</v>
      </c>
      <c r="X104" s="6">
        <f t="shared" si="12"/>
        <v>4.4700908753690118</v>
      </c>
    </row>
    <row r="105" spans="2:24" x14ac:dyDescent="0.3">
      <c r="B105" s="2">
        <v>5.7</v>
      </c>
      <c r="C105" s="2">
        <v>2.8</v>
      </c>
      <c r="D105" s="2">
        <v>4.0999999999999996</v>
      </c>
      <c r="E105" s="2">
        <v>1.3</v>
      </c>
      <c r="F105" s="2" t="s">
        <v>14</v>
      </c>
      <c r="V105" s="6">
        <v>100</v>
      </c>
      <c r="W105" s="6">
        <f t="shared" si="11"/>
        <v>4.9000000000000004</v>
      </c>
      <c r="X105" s="6">
        <f t="shared" si="12"/>
        <v>4.5022102548070819</v>
      </c>
    </row>
    <row r="106" spans="2:24" x14ac:dyDescent="0.3">
      <c r="B106" s="2">
        <v>6.3</v>
      </c>
      <c r="C106" s="2">
        <v>3.3</v>
      </c>
      <c r="D106" s="2">
        <v>6</v>
      </c>
      <c r="E106" s="2">
        <v>2.5</v>
      </c>
      <c r="F106" s="2" t="s">
        <v>15</v>
      </c>
      <c r="V106" s="6">
        <v>101</v>
      </c>
      <c r="W106" s="6">
        <f t="shared" si="11"/>
        <v>4.9000000000000004</v>
      </c>
      <c r="X106" s="6">
        <f t="shared" si="12"/>
        <v>4.5345779341505397</v>
      </c>
    </row>
    <row r="107" spans="2:24" x14ac:dyDescent="0.3">
      <c r="B107" s="2">
        <v>5.8</v>
      </c>
      <c r="C107" s="2">
        <v>2.7</v>
      </c>
      <c r="D107" s="2">
        <v>5.0999999999999996</v>
      </c>
      <c r="E107" s="2">
        <v>1.9</v>
      </c>
      <c r="F107" s="2" t="s">
        <v>15</v>
      </c>
      <c r="V107" s="6">
        <v>102</v>
      </c>
      <c r="W107" s="6">
        <f t="shared" si="11"/>
        <v>4.9000000000000004</v>
      </c>
      <c r="X107" s="6">
        <f t="shared" si="12"/>
        <v>4.5672088394624524</v>
      </c>
    </row>
    <row r="108" spans="2:24" x14ac:dyDescent="0.3">
      <c r="B108" s="2">
        <v>7.1</v>
      </c>
      <c r="C108" s="2">
        <v>3</v>
      </c>
      <c r="D108" s="2">
        <v>5.9</v>
      </c>
      <c r="E108" s="2">
        <v>2.1</v>
      </c>
      <c r="F108" s="2" t="s">
        <v>15</v>
      </c>
      <c r="V108" s="6">
        <v>103</v>
      </c>
      <c r="W108" s="6">
        <f t="shared" si="11"/>
        <v>4.9000000000000004</v>
      </c>
      <c r="X108" s="6">
        <f t="shared" si="12"/>
        <v>4.600118625605754</v>
      </c>
    </row>
    <row r="109" spans="2:24" x14ac:dyDescent="0.3">
      <c r="B109" s="2">
        <v>6.3</v>
      </c>
      <c r="C109" s="2">
        <v>2.9</v>
      </c>
      <c r="D109" s="2">
        <v>5.6</v>
      </c>
      <c r="E109" s="2">
        <v>1.8</v>
      </c>
      <c r="F109" s="2" t="s">
        <v>15</v>
      </c>
      <c r="V109" s="6">
        <v>104</v>
      </c>
      <c r="W109" s="6">
        <f t="shared" si="11"/>
        <v>4.9000000000000004</v>
      </c>
      <c r="X109" s="6">
        <f t="shared" si="12"/>
        <v>4.6333237421335527</v>
      </c>
    </row>
    <row r="110" spans="2:24" x14ac:dyDescent="0.3">
      <c r="B110" s="2">
        <v>6.5</v>
      </c>
      <c r="C110" s="2">
        <v>3</v>
      </c>
      <c r="D110" s="2">
        <v>5.8</v>
      </c>
      <c r="E110" s="2">
        <v>2.2000000000000002</v>
      </c>
      <c r="F110" s="2" t="s">
        <v>15</v>
      </c>
      <c r="V110" s="6">
        <v>105</v>
      </c>
      <c r="W110" s="6">
        <f t="shared" si="11"/>
        <v>5</v>
      </c>
      <c r="X110" s="6">
        <f t="shared" si="12"/>
        <v>4.6668415058548129</v>
      </c>
    </row>
    <row r="111" spans="2:24" x14ac:dyDescent="0.3">
      <c r="B111" s="2">
        <v>7.6</v>
      </c>
      <c r="C111" s="2">
        <v>3</v>
      </c>
      <c r="D111" s="2">
        <v>6.6</v>
      </c>
      <c r="E111" s="2">
        <v>2.1</v>
      </c>
      <c r="F111" s="2" t="s">
        <v>15</v>
      </c>
      <c r="V111" s="6">
        <v>106</v>
      </c>
      <c r="W111" s="6">
        <f t="shared" si="11"/>
        <v>5</v>
      </c>
      <c r="X111" s="6">
        <f t="shared" si="12"/>
        <v>4.7006901809619794</v>
      </c>
    </row>
    <row r="112" spans="2:24" x14ac:dyDescent="0.3">
      <c r="B112" s="2">
        <v>4.9000000000000004</v>
      </c>
      <c r="C112" s="2">
        <v>2.5</v>
      </c>
      <c r="D112" s="2">
        <v>4.5</v>
      </c>
      <c r="E112" s="2">
        <v>1.7</v>
      </c>
      <c r="F112" s="2" t="s">
        <v>15</v>
      </c>
      <c r="V112" s="6">
        <v>107</v>
      </c>
      <c r="W112" s="6">
        <f t="shared" si="11"/>
        <v>5</v>
      </c>
      <c r="X112" s="6">
        <f t="shared" si="12"/>
        <v>4.7348890677444144</v>
      </c>
    </row>
    <row r="113" spans="2:24" x14ac:dyDescent="0.3">
      <c r="B113" s="2">
        <v>7.3</v>
      </c>
      <c r="C113" s="2">
        <v>2.9</v>
      </c>
      <c r="D113" s="2">
        <v>6.3</v>
      </c>
      <c r="E113" s="2">
        <v>1.8</v>
      </c>
      <c r="F113" s="2" t="s">
        <v>15</v>
      </c>
      <c r="V113" s="6">
        <v>108</v>
      </c>
      <c r="W113" s="6">
        <f t="shared" si="11"/>
        <v>5</v>
      </c>
      <c r="X113" s="6">
        <f t="shared" si="12"/>
        <v>4.7694586010740503</v>
      </c>
    </row>
    <row r="114" spans="2:24" x14ac:dyDescent="0.3">
      <c r="B114" s="2">
        <v>6.7</v>
      </c>
      <c r="C114" s="2">
        <v>2.5</v>
      </c>
      <c r="D114" s="2">
        <v>5.8</v>
      </c>
      <c r="E114" s="2">
        <v>1.8</v>
      </c>
      <c r="F114" s="2" t="s">
        <v>15</v>
      </c>
      <c r="V114" s="6">
        <v>109</v>
      </c>
      <c r="W114" s="6">
        <f t="shared" si="11"/>
        <v>5.0999999999999996</v>
      </c>
      <c r="X114" s="6">
        <f t="shared" si="12"/>
        <v>4.8044204600426195</v>
      </c>
    </row>
    <row r="115" spans="2:24" x14ac:dyDescent="0.3">
      <c r="B115" s="2">
        <v>7.2</v>
      </c>
      <c r="C115" s="2">
        <v>3.6</v>
      </c>
      <c r="D115" s="2">
        <v>6.1</v>
      </c>
      <c r="E115" s="2">
        <v>2.5</v>
      </c>
      <c r="F115" s="2" t="s">
        <v>15</v>
      </c>
      <c r="V115" s="6">
        <v>110</v>
      </c>
      <c r="W115" s="6">
        <f t="shared" si="11"/>
        <v>5.0999999999999996</v>
      </c>
      <c r="X115" s="6">
        <f t="shared" si="12"/>
        <v>4.8397976903601014</v>
      </c>
    </row>
    <row r="116" spans="2:24" x14ac:dyDescent="0.3">
      <c r="B116" s="2">
        <v>6.5</v>
      </c>
      <c r="C116" s="2">
        <v>3.2</v>
      </c>
      <c r="D116" s="2">
        <v>5.0999999999999996</v>
      </c>
      <c r="E116" s="2">
        <v>2</v>
      </c>
      <c r="F116" s="2" t="s">
        <v>15</v>
      </c>
      <c r="V116" s="6">
        <v>111</v>
      </c>
      <c r="W116" s="6">
        <f t="shared" si="11"/>
        <v>5.0999999999999996</v>
      </c>
      <c r="X116" s="6">
        <f t="shared" si="12"/>
        <v>4.8756148413994325</v>
      </c>
    </row>
    <row r="117" spans="2:24" x14ac:dyDescent="0.3">
      <c r="B117" s="2">
        <v>6.4</v>
      </c>
      <c r="C117" s="2">
        <v>2.7</v>
      </c>
      <c r="D117" s="2">
        <v>5.3</v>
      </c>
      <c r="E117" s="2">
        <v>1.9</v>
      </c>
      <c r="F117" s="2" t="s">
        <v>15</v>
      </c>
      <c r="V117" s="6">
        <v>112</v>
      </c>
      <c r="W117" s="6">
        <f t="shared" si="11"/>
        <v>5.0999999999999996</v>
      </c>
      <c r="X117" s="6">
        <f t="shared" si="12"/>
        <v>4.9118981201038086</v>
      </c>
    </row>
    <row r="118" spans="2:24" x14ac:dyDescent="0.3">
      <c r="B118" s="2">
        <v>6.8</v>
      </c>
      <c r="C118" s="2">
        <v>3</v>
      </c>
      <c r="D118" s="2">
        <v>5.5</v>
      </c>
      <c r="E118" s="2">
        <v>2.1</v>
      </c>
      <c r="F118" s="2" t="s">
        <v>15</v>
      </c>
      <c r="V118" s="6">
        <v>113</v>
      </c>
      <c r="W118" s="6">
        <f t="shared" si="11"/>
        <v>5.0999999999999996</v>
      </c>
      <c r="X118" s="6">
        <f t="shared" si="12"/>
        <v>4.9486755643727625</v>
      </c>
    </row>
    <row r="119" spans="2:24" x14ac:dyDescent="0.3">
      <c r="B119" s="2">
        <v>5.7</v>
      </c>
      <c r="C119" s="2">
        <v>2.5</v>
      </c>
      <c r="D119" s="2">
        <v>5</v>
      </c>
      <c r="E119" s="2">
        <v>2</v>
      </c>
      <c r="F119" s="2" t="s">
        <v>15</v>
      </c>
      <c r="V119" s="6">
        <v>114</v>
      </c>
      <c r="W119" s="6">
        <f t="shared" si="11"/>
        <v>5.0999999999999996</v>
      </c>
      <c r="X119" s="6">
        <f t="shared" si="12"/>
        <v>4.9859772390281689</v>
      </c>
    </row>
    <row r="120" spans="2:24" x14ac:dyDescent="0.3">
      <c r="B120" s="2">
        <v>5.8</v>
      </c>
      <c r="C120" s="2">
        <v>2.8</v>
      </c>
      <c r="D120" s="2">
        <v>5.0999999999999996</v>
      </c>
      <c r="E120" s="2">
        <v>2.4</v>
      </c>
      <c r="F120" s="2" t="s">
        <v>15</v>
      </c>
      <c r="V120" s="6">
        <v>115</v>
      </c>
      <c r="W120" s="6">
        <f t="shared" si="11"/>
        <v>5.0999999999999996</v>
      </c>
      <c r="X120" s="6">
        <f t="shared" si="12"/>
        <v>5.0238354580525293</v>
      </c>
    </row>
    <row r="121" spans="2:24" x14ac:dyDescent="0.3">
      <c r="B121" s="2">
        <v>6.4</v>
      </c>
      <c r="C121" s="2">
        <v>3.2</v>
      </c>
      <c r="D121" s="2">
        <v>5.3</v>
      </c>
      <c r="E121" s="2">
        <v>2.2999999999999998</v>
      </c>
      <c r="F121" s="2" t="s">
        <v>15</v>
      </c>
      <c r="V121" s="6">
        <v>116</v>
      </c>
      <c r="W121" s="6">
        <f t="shared" si="11"/>
        <v>5.0999999999999996</v>
      </c>
      <c r="X121" s="6">
        <f t="shared" si="12"/>
        <v>5.0622850375159816</v>
      </c>
    </row>
    <row r="122" spans="2:24" x14ac:dyDescent="0.3">
      <c r="B122" s="2">
        <v>6.5</v>
      </c>
      <c r="C122" s="2">
        <v>3</v>
      </c>
      <c r="D122" s="2">
        <v>5.5</v>
      </c>
      <c r="E122" s="2">
        <v>1.8</v>
      </c>
      <c r="F122" s="2" t="s">
        <v>15</v>
      </c>
      <c r="V122" s="6">
        <v>117</v>
      </c>
      <c r="W122" s="6">
        <f t="shared" si="11"/>
        <v>5.2</v>
      </c>
      <c r="X122" s="6">
        <f t="shared" si="12"/>
        <v>5.1013635845003931</v>
      </c>
    </row>
    <row r="123" spans="2:24" x14ac:dyDescent="0.3">
      <c r="B123" s="2">
        <v>7.7</v>
      </c>
      <c r="C123" s="2">
        <v>3.8</v>
      </c>
      <c r="D123" s="2">
        <v>6.7</v>
      </c>
      <c r="E123" s="2">
        <v>2.2000000000000002</v>
      </c>
      <c r="F123" s="2" t="s">
        <v>15</v>
      </c>
      <c r="V123" s="6">
        <v>118</v>
      </c>
      <c r="W123" s="6">
        <f t="shared" si="11"/>
        <v>5.2</v>
      </c>
      <c r="X123" s="6">
        <f t="shared" si="12"/>
        <v>5.1411118284336972</v>
      </c>
    </row>
    <row r="124" spans="2:24" x14ac:dyDescent="0.3">
      <c r="B124" s="2">
        <v>7.7</v>
      </c>
      <c r="C124" s="2">
        <v>2.6</v>
      </c>
      <c r="D124" s="2">
        <v>6.9</v>
      </c>
      <c r="E124" s="2">
        <v>2.2999999999999998</v>
      </c>
      <c r="F124" s="2" t="s">
        <v>15</v>
      </c>
      <c r="V124" s="6">
        <v>119</v>
      </c>
      <c r="W124" s="6">
        <f t="shared" si="11"/>
        <v>5.3</v>
      </c>
      <c r="X124" s="6">
        <f t="shared" si="12"/>
        <v>5.1815740026241954</v>
      </c>
    </row>
    <row r="125" spans="2:24" x14ac:dyDescent="0.3">
      <c r="B125" s="2">
        <v>6</v>
      </c>
      <c r="C125" s="2">
        <v>2.2000000000000002</v>
      </c>
      <c r="D125" s="2">
        <v>5</v>
      </c>
      <c r="E125" s="2">
        <v>1.5</v>
      </c>
      <c r="F125" s="2" t="s">
        <v>15</v>
      </c>
      <c r="V125" s="6">
        <v>120</v>
      </c>
      <c r="W125" s="6">
        <f t="shared" si="11"/>
        <v>5.3</v>
      </c>
      <c r="X125" s="6">
        <f t="shared" si="12"/>
        <v>5.2227982855110451</v>
      </c>
    </row>
    <row r="126" spans="2:24" x14ac:dyDescent="0.3">
      <c r="B126" s="2">
        <v>6.9</v>
      </c>
      <c r="C126" s="2">
        <v>3.2</v>
      </c>
      <c r="D126" s="2">
        <v>5.7</v>
      </c>
      <c r="E126" s="2">
        <v>2.2999999999999998</v>
      </c>
      <c r="F126" s="2" t="s">
        <v>15</v>
      </c>
      <c r="V126" s="6">
        <v>121</v>
      </c>
      <c r="W126" s="6">
        <f t="shared" si="11"/>
        <v>5.4</v>
      </c>
      <c r="X126" s="6">
        <f t="shared" si="12"/>
        <v>5.2648373133267343</v>
      </c>
    </row>
    <row r="127" spans="2:24" x14ac:dyDescent="0.3">
      <c r="B127" s="2">
        <v>5.6</v>
      </c>
      <c r="C127" s="2">
        <v>2.8</v>
      </c>
      <c r="D127" s="2">
        <v>4.9000000000000004</v>
      </c>
      <c r="E127" s="2">
        <v>2</v>
      </c>
      <c r="F127" s="2" t="s">
        <v>15</v>
      </c>
      <c r="V127" s="6">
        <v>122</v>
      </c>
      <c r="W127" s="6">
        <f t="shared" si="11"/>
        <v>5.4</v>
      </c>
      <c r="X127" s="6">
        <f t="shared" si="12"/>
        <v>5.3077487786389641</v>
      </c>
    </row>
    <row r="128" spans="2:24" x14ac:dyDescent="0.3">
      <c r="B128" s="2">
        <v>7.7</v>
      </c>
      <c r="C128" s="2">
        <v>2.8</v>
      </c>
      <c r="D128" s="2">
        <v>6.7</v>
      </c>
      <c r="E128" s="2">
        <v>2</v>
      </c>
      <c r="F128" s="2" t="s">
        <v>15</v>
      </c>
      <c r="V128" s="6">
        <v>123</v>
      </c>
      <c r="W128" s="6">
        <f t="shared" si="11"/>
        <v>5.5</v>
      </c>
      <c r="X128" s="6">
        <f t="shared" si="12"/>
        <v>5.351596132790764</v>
      </c>
    </row>
    <row r="129" spans="2:24" x14ac:dyDescent="0.3">
      <c r="B129" s="2">
        <v>6.3</v>
      </c>
      <c r="C129" s="2">
        <v>2.7</v>
      </c>
      <c r="D129" s="2">
        <v>4.9000000000000004</v>
      </c>
      <c r="E129" s="2">
        <v>1.8</v>
      </c>
      <c r="F129" s="2" t="s">
        <v>15</v>
      </c>
      <c r="V129" s="6">
        <v>124</v>
      </c>
      <c r="W129" s="6">
        <f t="shared" si="11"/>
        <v>5.5</v>
      </c>
      <c r="X129" s="6">
        <f t="shared" si="12"/>
        <v>5.3964494148449651</v>
      </c>
    </row>
    <row r="130" spans="2:24" x14ac:dyDescent="0.3">
      <c r="B130" s="2">
        <v>6.7</v>
      </c>
      <c r="C130" s="2">
        <v>3.3</v>
      </c>
      <c r="D130" s="2">
        <v>5.7</v>
      </c>
      <c r="E130" s="2">
        <v>2.1</v>
      </c>
      <c r="F130" s="2" t="s">
        <v>15</v>
      </c>
      <c r="V130" s="6">
        <v>125</v>
      </c>
      <c r="W130" s="6">
        <f t="shared" si="11"/>
        <v>5.5</v>
      </c>
      <c r="X130" s="6">
        <f t="shared" si="12"/>
        <v>5.4423862356165493</v>
      </c>
    </row>
    <row r="131" spans="2:24" x14ac:dyDescent="0.3">
      <c r="B131" s="2">
        <v>7.2</v>
      </c>
      <c r="C131" s="2">
        <v>3.2</v>
      </c>
      <c r="D131" s="2">
        <v>6</v>
      </c>
      <c r="E131" s="2">
        <v>1.8</v>
      </c>
      <c r="F131" s="2" t="s">
        <v>15</v>
      </c>
      <c r="V131" s="6">
        <v>126</v>
      </c>
      <c r="W131" s="6">
        <f t="shared" si="11"/>
        <v>5.6</v>
      </c>
      <c r="X131" s="6">
        <f t="shared" si="12"/>
        <v>5.4894929532374706</v>
      </c>
    </row>
    <row r="132" spans="2:24" x14ac:dyDescent="0.3">
      <c r="B132" s="2">
        <v>6.2</v>
      </c>
      <c r="C132" s="2">
        <v>2.8</v>
      </c>
      <c r="D132" s="2">
        <v>4.8</v>
      </c>
      <c r="E132" s="2">
        <v>1.8</v>
      </c>
      <c r="F132" s="2" t="s">
        <v>15</v>
      </c>
      <c r="V132" s="6">
        <v>127</v>
      </c>
      <c r="W132" s="6">
        <f t="shared" si="11"/>
        <v>5.6</v>
      </c>
      <c r="X132" s="6">
        <f t="shared" si="12"/>
        <v>5.5378660871401086</v>
      </c>
    </row>
    <row r="133" spans="2:24" x14ac:dyDescent="0.3">
      <c r="B133" s="2">
        <v>6.1</v>
      </c>
      <c r="C133" s="2">
        <v>3</v>
      </c>
      <c r="D133" s="2">
        <v>4.9000000000000004</v>
      </c>
      <c r="E133" s="2">
        <v>1.8</v>
      </c>
      <c r="F133" s="2" t="s">
        <v>15</v>
      </c>
      <c r="V133" s="6">
        <v>128</v>
      </c>
      <c r="W133" s="6">
        <f t="shared" si="11"/>
        <v>5.6</v>
      </c>
      <c r="X133" s="6">
        <f t="shared" si="12"/>
        <v>5.587614031364506</v>
      </c>
    </row>
    <row r="134" spans="2:24" x14ac:dyDescent="0.3">
      <c r="B134" s="2">
        <v>6.4</v>
      </c>
      <c r="C134" s="2">
        <v>2.8</v>
      </c>
      <c r="D134" s="2">
        <v>5.6</v>
      </c>
      <c r="E134" s="2">
        <v>2.1</v>
      </c>
      <c r="F134" s="2" t="s">
        <v>15</v>
      </c>
      <c r="V134" s="6">
        <v>129</v>
      </c>
      <c r="W134" s="6">
        <f t="shared" si="11"/>
        <v>5.6</v>
      </c>
      <c r="X134" s="6">
        <f t="shared" si="12"/>
        <v>5.638859147135264</v>
      </c>
    </row>
    <row r="135" spans="2:24" x14ac:dyDescent="0.3">
      <c r="B135" s="2">
        <v>7.2</v>
      </c>
      <c r="C135" s="2">
        <v>3</v>
      </c>
      <c r="D135" s="2">
        <v>5.8</v>
      </c>
      <c r="E135" s="2">
        <v>1.6</v>
      </c>
      <c r="F135" s="2" t="s">
        <v>15</v>
      </c>
      <c r="V135" s="6">
        <v>130</v>
      </c>
      <c r="W135" s="6">
        <f t="shared" ref="W135:W155" si="13">SMALL(D$6:D$1048576,$V135)</f>
        <v>5.6</v>
      </c>
      <c r="X135" s="6">
        <f t="shared" ref="X135:X155" si="14">_xlfn.NORM.INV(($V135-1/2)/$I$7, $I$5, $I$6)</f>
        <v>5.6917403408403526</v>
      </c>
    </row>
    <row r="136" spans="2:24" x14ac:dyDescent="0.3">
      <c r="B136" s="2">
        <v>7.4</v>
      </c>
      <c r="C136" s="2">
        <v>2.8</v>
      </c>
      <c r="D136" s="2">
        <v>6.1</v>
      </c>
      <c r="E136" s="2">
        <v>1.9</v>
      </c>
      <c r="F136" s="2" t="s">
        <v>15</v>
      </c>
      <c r="V136" s="6">
        <v>131</v>
      </c>
      <c r="W136" s="6">
        <f t="shared" si="13"/>
        <v>5.6</v>
      </c>
      <c r="X136" s="6">
        <f t="shared" si="14"/>
        <v>5.7464162700513297</v>
      </c>
    </row>
    <row r="137" spans="2:24" x14ac:dyDescent="0.3">
      <c r="B137" s="2">
        <v>7.9</v>
      </c>
      <c r="C137" s="2">
        <v>3.8</v>
      </c>
      <c r="D137" s="2">
        <v>6.4</v>
      </c>
      <c r="E137" s="2">
        <v>2</v>
      </c>
      <c r="F137" s="2" t="s">
        <v>15</v>
      </c>
      <c r="V137" s="6">
        <v>132</v>
      </c>
      <c r="W137" s="6">
        <f t="shared" si="13"/>
        <v>5.7</v>
      </c>
      <c r="X137" s="6">
        <f t="shared" si="14"/>
        <v>5.8030693718789568</v>
      </c>
    </row>
    <row r="138" spans="2:24" x14ac:dyDescent="0.3">
      <c r="B138" s="2">
        <v>6.4</v>
      </c>
      <c r="C138" s="2">
        <v>2.8</v>
      </c>
      <c r="D138" s="2">
        <v>5.6</v>
      </c>
      <c r="E138" s="2">
        <v>2.2000000000000002</v>
      </c>
      <c r="F138" s="2" t="s">
        <v>15</v>
      </c>
      <c r="V138" s="6">
        <v>133</v>
      </c>
      <c r="W138" s="6">
        <f t="shared" si="13"/>
        <v>5.7</v>
      </c>
      <c r="X138" s="6">
        <f t="shared" si="14"/>
        <v>5.861910982239225</v>
      </c>
    </row>
    <row r="139" spans="2:24" x14ac:dyDescent="0.3">
      <c r="B139" s="2">
        <v>6.3</v>
      </c>
      <c r="C139" s="2">
        <v>2.8</v>
      </c>
      <c r="D139" s="2">
        <v>5.0999999999999996</v>
      </c>
      <c r="E139" s="2">
        <v>1.5</v>
      </c>
      <c r="F139" s="2" t="s">
        <v>15</v>
      </c>
      <c r="V139" s="6">
        <v>134</v>
      </c>
      <c r="W139" s="6">
        <f t="shared" si="13"/>
        <v>5.7</v>
      </c>
      <c r="X139" s="6">
        <f t="shared" si="14"/>
        <v>5.923187923343681</v>
      </c>
    </row>
    <row r="140" spans="2:24" x14ac:dyDescent="0.3">
      <c r="B140" s="2">
        <v>6.1</v>
      </c>
      <c r="C140" s="2">
        <v>2.6</v>
      </c>
      <c r="D140" s="2">
        <v>5.6</v>
      </c>
      <c r="E140" s="2">
        <v>1.4</v>
      </c>
      <c r="F140" s="2" t="s">
        <v>15</v>
      </c>
      <c r="V140" s="6">
        <v>135</v>
      </c>
      <c r="W140" s="6">
        <f t="shared" si="13"/>
        <v>5.8</v>
      </c>
      <c r="X140" s="6">
        <f t="shared" si="14"/>
        <v>5.987191099072759</v>
      </c>
    </row>
    <row r="141" spans="2:24" x14ac:dyDescent="0.3">
      <c r="B141" s="2">
        <v>7.7</v>
      </c>
      <c r="C141" s="2">
        <v>3</v>
      </c>
      <c r="D141" s="2">
        <v>6.1</v>
      </c>
      <c r="E141" s="2">
        <v>2.2999999999999998</v>
      </c>
      <c r="F141" s="2" t="s">
        <v>15</v>
      </c>
      <c r="V141" s="6">
        <v>136</v>
      </c>
      <c r="W141" s="6">
        <f t="shared" si="13"/>
        <v>5.8</v>
      </c>
      <c r="X141" s="6">
        <f t="shared" si="14"/>
        <v>6.0542668856240311</v>
      </c>
    </row>
    <row r="142" spans="2:24" x14ac:dyDescent="0.3">
      <c r="B142" s="2">
        <v>6.3</v>
      </c>
      <c r="C142" s="2">
        <v>3.4</v>
      </c>
      <c r="D142" s="2">
        <v>5.6</v>
      </c>
      <c r="E142" s="2">
        <v>2.4</v>
      </c>
      <c r="F142" s="2" t="s">
        <v>15</v>
      </c>
      <c r="V142" s="6">
        <v>137</v>
      </c>
      <c r="W142" s="6">
        <f t="shared" si="13"/>
        <v>5.8</v>
      </c>
      <c r="X142" s="6">
        <f t="shared" si="14"/>
        <v>6.124832492207072</v>
      </c>
    </row>
    <row r="143" spans="2:24" x14ac:dyDescent="0.3">
      <c r="B143" s="2">
        <v>6.4</v>
      </c>
      <c r="C143" s="2">
        <v>3.1</v>
      </c>
      <c r="D143" s="2">
        <v>5.5</v>
      </c>
      <c r="E143" s="2">
        <v>1.8</v>
      </c>
      <c r="F143" s="2" t="s">
        <v>15</v>
      </c>
      <c r="V143" s="6">
        <v>138</v>
      </c>
      <c r="W143" s="6">
        <f t="shared" si="13"/>
        <v>5.9</v>
      </c>
      <c r="X143" s="6">
        <f t="shared" si="14"/>
        <v>6.1993970891789694</v>
      </c>
    </row>
    <row r="144" spans="2:24" x14ac:dyDescent="0.3">
      <c r="B144" s="2">
        <v>6</v>
      </c>
      <c r="C144" s="2">
        <v>3</v>
      </c>
      <c r="D144" s="2">
        <v>4.8</v>
      </c>
      <c r="E144" s="2">
        <v>1.8</v>
      </c>
      <c r="F144" s="2" t="s">
        <v>15</v>
      </c>
      <c r="V144" s="6">
        <v>139</v>
      </c>
      <c r="W144" s="6">
        <f t="shared" si="13"/>
        <v>5.9</v>
      </c>
      <c r="X144" s="6">
        <f t="shared" si="14"/>
        <v>6.2785915334120421</v>
      </c>
    </row>
    <row r="145" spans="2:24" x14ac:dyDescent="0.3">
      <c r="B145" s="2">
        <v>6.9</v>
      </c>
      <c r="C145" s="2">
        <v>3.1</v>
      </c>
      <c r="D145" s="2">
        <v>5.4</v>
      </c>
      <c r="E145" s="2">
        <v>2.1</v>
      </c>
      <c r="F145" s="2" t="s">
        <v>15</v>
      </c>
      <c r="V145" s="6">
        <v>140</v>
      </c>
      <c r="W145" s="6">
        <f t="shared" si="13"/>
        <v>6</v>
      </c>
      <c r="X145" s="6">
        <f t="shared" si="14"/>
        <v>6.3632112947048594</v>
      </c>
    </row>
    <row r="146" spans="2:24" x14ac:dyDescent="0.3">
      <c r="B146" s="2">
        <v>6.7</v>
      </c>
      <c r="C146" s="2">
        <v>3.1</v>
      </c>
      <c r="D146" s="2">
        <v>5.6</v>
      </c>
      <c r="E146" s="2">
        <v>2.4</v>
      </c>
      <c r="F146" s="2" t="s">
        <v>15</v>
      </c>
      <c r="V146" s="6">
        <v>141</v>
      </c>
      <c r="W146" s="6">
        <f t="shared" si="13"/>
        <v>6</v>
      </c>
      <c r="X146" s="6">
        <f t="shared" si="14"/>
        <v>6.4542803638010824</v>
      </c>
    </row>
    <row r="147" spans="2:24" x14ac:dyDescent="0.3">
      <c r="B147" s="2">
        <v>6.9</v>
      </c>
      <c r="C147" s="2">
        <v>3.1</v>
      </c>
      <c r="D147" s="2">
        <v>5.0999999999999996</v>
      </c>
      <c r="E147" s="2">
        <v>2.2999999999999998</v>
      </c>
      <c r="F147" s="2" t="s">
        <v>15</v>
      </c>
      <c r="V147" s="6">
        <v>142</v>
      </c>
      <c r="W147" s="6">
        <f t="shared" si="13"/>
        <v>6.1</v>
      </c>
      <c r="X147" s="6">
        <f t="shared" si="14"/>
        <v>6.5531498927611302</v>
      </c>
    </row>
    <row r="148" spans="2:24" x14ac:dyDescent="0.3">
      <c r="B148" s="2">
        <v>5.8</v>
      </c>
      <c r="C148" s="2">
        <v>2.7</v>
      </c>
      <c r="D148" s="2">
        <v>5.0999999999999996</v>
      </c>
      <c r="E148" s="2">
        <v>1.9</v>
      </c>
      <c r="F148" s="2" t="s">
        <v>15</v>
      </c>
      <c r="V148" s="6">
        <v>143</v>
      </c>
      <c r="W148" s="6">
        <f t="shared" si="13"/>
        <v>6.1</v>
      </c>
      <c r="X148" s="6">
        <f t="shared" si="14"/>
        <v>6.6616572016278539</v>
      </c>
    </row>
    <row r="149" spans="2:24" x14ac:dyDescent="0.3">
      <c r="B149" s="2">
        <v>6.8</v>
      </c>
      <c r="C149" s="2">
        <v>3.2</v>
      </c>
      <c r="D149" s="2">
        <v>5.9</v>
      </c>
      <c r="E149" s="2">
        <v>2.2999999999999998</v>
      </c>
      <c r="F149" s="2" t="s">
        <v>15</v>
      </c>
      <c r="V149" s="6">
        <v>144</v>
      </c>
      <c r="W149" s="6">
        <f t="shared" si="13"/>
        <v>6.1</v>
      </c>
      <c r="X149" s="6">
        <f t="shared" si="14"/>
        <v>6.7823961418268706</v>
      </c>
    </row>
    <row r="150" spans="2:24" x14ac:dyDescent="0.3">
      <c r="B150" s="2">
        <v>6.7</v>
      </c>
      <c r="C150" s="2">
        <v>3.3</v>
      </c>
      <c r="D150" s="2">
        <v>5.7</v>
      </c>
      <c r="E150" s="2">
        <v>2.5</v>
      </c>
      <c r="F150" s="2" t="s">
        <v>15</v>
      </c>
      <c r="V150" s="6">
        <v>145</v>
      </c>
      <c r="W150" s="6">
        <f t="shared" si="13"/>
        <v>6.3</v>
      </c>
      <c r="X150" s="6">
        <f t="shared" si="14"/>
        <v>6.9192087877192847</v>
      </c>
    </row>
    <row r="151" spans="2:24" x14ac:dyDescent="0.3">
      <c r="B151" s="2">
        <v>6.7</v>
      </c>
      <c r="C151" s="2">
        <v>3</v>
      </c>
      <c r="D151" s="2">
        <v>5.2</v>
      </c>
      <c r="E151" s="2">
        <v>2.2999999999999998</v>
      </c>
      <c r="F151" s="2" t="s">
        <v>15</v>
      </c>
      <c r="V151" s="6">
        <v>146</v>
      </c>
      <c r="W151" s="6">
        <f t="shared" si="13"/>
        <v>6.4</v>
      </c>
      <c r="X151" s="6">
        <f t="shared" si="14"/>
        <v>7.0781616335950943</v>
      </c>
    </row>
    <row r="152" spans="2:24" x14ac:dyDescent="0.3">
      <c r="B152" s="2">
        <v>6.3</v>
      </c>
      <c r="C152" s="2">
        <v>2.5</v>
      </c>
      <c r="D152" s="2">
        <v>5</v>
      </c>
      <c r="E152" s="2">
        <v>1.9</v>
      </c>
      <c r="F152" s="2" t="s">
        <v>15</v>
      </c>
      <c r="V152" s="6">
        <v>147</v>
      </c>
      <c r="W152" s="6">
        <f t="shared" si="13"/>
        <v>6.6</v>
      </c>
      <c r="X152" s="6">
        <f t="shared" si="14"/>
        <v>7.2697307082064313</v>
      </c>
    </row>
    <row r="153" spans="2:24" x14ac:dyDescent="0.3">
      <c r="B153" s="2">
        <v>6.5</v>
      </c>
      <c r="C153" s="2">
        <v>3</v>
      </c>
      <c r="D153" s="2">
        <v>5.2</v>
      </c>
      <c r="E153" s="2">
        <v>2</v>
      </c>
      <c r="F153" s="2" t="s">
        <v>15</v>
      </c>
      <c r="V153" s="6">
        <v>148</v>
      </c>
      <c r="W153" s="6">
        <f t="shared" si="13"/>
        <v>6.7</v>
      </c>
      <c r="X153" s="6">
        <f t="shared" si="14"/>
        <v>7.5146344922029744</v>
      </c>
    </row>
    <row r="154" spans="2:24" x14ac:dyDescent="0.3">
      <c r="B154" s="2">
        <v>6.2</v>
      </c>
      <c r="C154" s="2">
        <v>3.4</v>
      </c>
      <c r="D154" s="2">
        <v>5.4</v>
      </c>
      <c r="E154" s="2">
        <v>2.2999999999999998</v>
      </c>
      <c r="F154" s="2" t="s">
        <v>15</v>
      </c>
      <c r="V154" s="6">
        <v>149</v>
      </c>
      <c r="W154" s="6">
        <f t="shared" si="13"/>
        <v>6.7</v>
      </c>
      <c r="X154" s="6">
        <f t="shared" si="14"/>
        <v>7.8646977919912056</v>
      </c>
    </row>
    <row r="155" spans="2:24" x14ac:dyDescent="0.3">
      <c r="B155" s="2">
        <v>5.9</v>
      </c>
      <c r="C155" s="2">
        <v>3</v>
      </c>
      <c r="D155" s="2">
        <v>5.0999999999999996</v>
      </c>
      <c r="E155" s="2">
        <v>1.8</v>
      </c>
      <c r="F155" s="2" t="s">
        <v>15</v>
      </c>
      <c r="V155" s="6">
        <v>150</v>
      </c>
      <c r="W155" s="6">
        <f t="shared" si="13"/>
        <v>6.9</v>
      </c>
      <c r="X155" s="6">
        <f t="shared" si="14"/>
        <v>8.5473457054621438</v>
      </c>
    </row>
  </sheetData>
  <pageMargins left="0.7" right="0.7" top="0.75" bottom="0.75" header="0.3" footer="0.3"/>
  <pageSetup paperSize="9" orientation="portrait" horizontalDpi="300" verticalDpi="300" r:id="rId1"/>
  <ignoredErrors>
    <ignoredError sqref="M7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9190D-5BCA-4BC8-8250-2777B23C143F}">
  <sheetPr codeName="Arkusz3"/>
  <dimension ref="B2:AE305"/>
  <sheetViews>
    <sheetView zoomScaleNormal="100" workbookViewId="0">
      <selection activeCell="E17" sqref="E17"/>
    </sheetView>
  </sheetViews>
  <sheetFormatPr defaultColWidth="8.88671875" defaultRowHeight="13.8" x14ac:dyDescent="0.3"/>
  <cols>
    <col min="1" max="1" width="8.88671875" style="7"/>
    <col min="2" max="2" width="13.44140625" style="7" customWidth="1"/>
    <col min="3" max="3" width="8.88671875" style="7"/>
    <col min="4" max="4" width="13.44140625" style="7" customWidth="1"/>
    <col min="5" max="5" width="12.6640625" style="7" bestFit="1" customWidth="1"/>
    <col min="6" max="7" width="8.88671875" style="7"/>
    <col min="8" max="13" width="12.6640625" style="7" bestFit="1" customWidth="1"/>
    <col min="14" max="23" width="8.88671875" style="7"/>
    <col min="24" max="26" width="12.6640625" style="7" bestFit="1" customWidth="1"/>
    <col min="27" max="27" width="8.88671875" style="7"/>
    <col min="28" max="30" width="12.6640625" style="7" bestFit="1" customWidth="1"/>
    <col min="31" max="31" width="15.5546875" style="7" customWidth="1"/>
    <col min="32" max="16384" width="8.88671875" style="7"/>
  </cols>
  <sheetData>
    <row r="2" spans="2:31" ht="29.4" customHeight="1" x14ac:dyDescent="0.3">
      <c r="X2" s="18" t="s">
        <v>18</v>
      </c>
      <c r="Y2" s="19"/>
      <c r="Z2" s="20"/>
      <c r="AB2" s="21" t="s">
        <v>19</v>
      </c>
      <c r="AC2" s="21"/>
      <c r="AD2" s="21"/>
    </row>
    <row r="3" spans="2:31" ht="29.4" customHeight="1" x14ac:dyDescent="0.3">
      <c r="B3" s="10"/>
      <c r="J3" s="10"/>
      <c r="K3" s="10"/>
      <c r="L3" s="10"/>
      <c r="M3" s="10"/>
    </row>
    <row r="4" spans="2:31" x14ac:dyDescent="0.3">
      <c r="J4" s="22" t="s">
        <v>20</v>
      </c>
      <c r="K4" s="22"/>
      <c r="L4" s="22"/>
      <c r="M4" s="22"/>
      <c r="X4" s="22" t="s">
        <v>20</v>
      </c>
      <c r="Y4" s="22"/>
      <c r="Z4" s="22"/>
      <c r="AB4" s="22" t="s">
        <v>20</v>
      </c>
      <c r="AC4" s="22"/>
      <c r="AD4" s="22"/>
      <c r="AE4" s="25" t="s">
        <v>21</v>
      </c>
    </row>
    <row r="5" spans="2:31" ht="27.6" x14ac:dyDescent="0.3">
      <c r="B5" s="16" t="s">
        <v>2</v>
      </c>
      <c r="D5" s="17" t="s">
        <v>5</v>
      </c>
      <c r="E5" s="9">
        <f>AVERAGE(B6:B155)</f>
        <v>3.7580000000000027</v>
      </c>
      <c r="G5" s="23" t="s">
        <v>24</v>
      </c>
      <c r="H5" s="24" t="s">
        <v>34</v>
      </c>
      <c r="I5" s="24" t="s">
        <v>23</v>
      </c>
      <c r="J5" s="9">
        <f>1.06*$E$6/$E$7^(1/5)</f>
        <v>0.68691927046920787</v>
      </c>
      <c r="K5" s="9">
        <v>0.1</v>
      </c>
      <c r="L5" s="9">
        <v>1.5</v>
      </c>
      <c r="M5" s="9">
        <v>12</v>
      </c>
      <c r="X5" s="5">
        <f>1.06*$E$6/$E$7^(1/5)</f>
        <v>0.68691927046920787</v>
      </c>
      <c r="Y5" s="5">
        <v>0.1</v>
      </c>
      <c r="Z5" s="5">
        <v>1.5</v>
      </c>
      <c r="AB5" s="5">
        <f>1.06*$E$6/$E$7^(1/5)</f>
        <v>0.68691927046920787</v>
      </c>
      <c r="AC5" s="5">
        <v>0.1</v>
      </c>
      <c r="AD5" s="5">
        <v>1.5</v>
      </c>
      <c r="AE5" s="5">
        <f>1.06*$E$6/$E$7^(1/5)</f>
        <v>0.68691927046920787</v>
      </c>
    </row>
    <row r="6" spans="2:31" ht="27.6" x14ac:dyDescent="0.3">
      <c r="B6" s="8">
        <v>1.4</v>
      </c>
      <c r="D6" s="17" t="s">
        <v>8</v>
      </c>
      <c r="E6" s="9">
        <f>_xlfn.STDEV.S(B6:B155)</f>
        <v>1.7652982332594624</v>
      </c>
      <c r="G6" s="9">
        <v>1</v>
      </c>
      <c r="H6" s="9">
        <f>$E$10</f>
        <v>1</v>
      </c>
      <c r="I6" s="9">
        <f>_xlfn.NORM.DIST($H6, $E$5, $E$6, FALSE)</f>
        <v>6.6689029091961977E-2</v>
      </c>
      <c r="J6" s="9">
        <f>EstymacjaGaussowska($H6, $B$6:$B$155)</f>
        <v>0.15197430392932543</v>
      </c>
      <c r="K6" s="9">
        <f>EstymacjaGaussowska($H6, $B$6:$B$155, $K$5)</f>
        <v>5.2111802645791412E-2</v>
      </c>
      <c r="L6" s="9">
        <f>EstymacjaGaussowska($H6, $B$6:$B$155, $L$5)</f>
        <v>9.52974706548846E-2</v>
      </c>
      <c r="M6" s="9">
        <f>EstymacjaGaussowska($H6, $B$6:$B$155, $M$5)</f>
        <v>3.2048557772357773E-2</v>
      </c>
      <c r="X6" s="9">
        <f>EstymacjaEpanecznikowa($H6, $B$6:$B$155, $X$5)</f>
        <v>0.14599674330774182</v>
      </c>
      <c r="Y6" s="9">
        <f>EstymacjaEpanecznikowa($H6, $B$6:$B$155, $Y$5)</f>
        <v>4.9193495504995369E-2</v>
      </c>
      <c r="Z6" s="9">
        <f>EstymacjaEpanecznikowa($H6, $B$6:$B$155, $Z$5)</f>
        <v>8.2264775257552269E-2</v>
      </c>
      <c r="AB6" s="9">
        <f>EstymacjaDystrybuanty($H6, $B$6:$B$155, $AB$5)</f>
        <v>9.4692962922790461E-2</v>
      </c>
      <c r="AC6" s="9">
        <f>EstymacjaDystrybuanty($H6, $B$6:$B$155, $AC$5)</f>
        <v>4.6872038203341453E-3</v>
      </c>
      <c r="AD6" s="9">
        <f>EstymacjaDystrybuanty($H6, $B$6:$B$155, $AD$5)</f>
        <v>0.13592347515179481</v>
      </c>
      <c r="AE6" s="9">
        <f>EstymacjaGaussowskaDystrybuanta($H6, $B$6:$B$155, $AE$5)</f>
        <v>8.5699561101120217E-2</v>
      </c>
    </row>
    <row r="7" spans="2:31" ht="27.6" x14ac:dyDescent="0.3">
      <c r="B7" s="8">
        <v>1.4</v>
      </c>
      <c r="D7" s="17" t="s">
        <v>9</v>
      </c>
      <c r="E7" s="9">
        <f>COUNT(B:B)</f>
        <v>150</v>
      </c>
      <c r="G7" s="9">
        <v>2</v>
      </c>
      <c r="H7" s="9">
        <f>$H6 + $E$9</f>
        <v>1.0197324414715718</v>
      </c>
      <c r="I7" s="9">
        <f t="shared" ref="I7:I70" si="0">_xlfn.NORM.DIST($H7, $E$5, $E$6, FALSE)</f>
        <v>6.7859662856187955E-2</v>
      </c>
      <c r="J7" s="9">
        <f t="shared" ref="J7:J70" si="1">EstymacjaGaussowska($H7, $B$6:$B$155)</f>
        <v>0.15471246117398849</v>
      </c>
      <c r="K7" s="9">
        <f t="shared" ref="K7:K70" si="2">EstymacjaGaussowska($H7, $B$6:$B$155, $K$5)</f>
        <v>5.9751008830328509E-2</v>
      </c>
      <c r="L7" s="9">
        <f t="shared" ref="L7:L70" si="3">EstymacjaGaussowska($H7, $B$6:$B$155, $L$5)</f>
        <v>9.593419208124819E-2</v>
      </c>
      <c r="M7" s="9">
        <f t="shared" ref="M7:M70" si="4">EstymacjaGaussowska($H7, $B$6:$B$155, $M$5)</f>
        <v>3.2060392489361593E-2</v>
      </c>
      <c r="X7" s="9">
        <f t="shared" ref="X7:X70" si="5">EstymacjaEpanecznikowa($H7, $B$6:$B$155, $X$5)</f>
        <v>0.14722770822556439</v>
      </c>
      <c r="Y7" s="9">
        <f t="shared" ref="Y7:Y70" si="6">EstymacjaEpanecznikowa($H7, $B$6:$B$155, $Y$5)</f>
        <v>5.7321586720798984E-2</v>
      </c>
      <c r="Z7" s="9">
        <f t="shared" ref="Z7:Z70" si="7">EstymacjaEpanecznikowa($H7, $B$6:$B$155, $Z$5)</f>
        <v>8.275874475787906E-2</v>
      </c>
      <c r="AB7" s="9">
        <f t="shared" ref="AB7:AB70" si="8">EstymacjaDystrybuanty($H7, $B$6:$B$155, $AB$5)</f>
        <v>9.7586068427099021E-2</v>
      </c>
      <c r="AC7" s="9">
        <f t="shared" ref="AC7:AC70" si="9">EstymacjaDystrybuanty($H7, $B$6:$B$155, $AC$5)</f>
        <v>5.7403958226777503E-3</v>
      </c>
      <c r="AD7" s="9">
        <f t="shared" ref="AD7:AD70" si="10">EstymacjaDystrybuanty($H7, $B$6:$B$155, $AD$5)</f>
        <v>0.13755164635291556</v>
      </c>
      <c r="AE7" s="9">
        <f t="shared" ref="AE7:AE70" si="11">EstymacjaGaussowskaDystrybuanta($H7, $B$6:$B$155, $AE$5)</f>
        <v>8.8725515201229843E-2</v>
      </c>
    </row>
    <row r="8" spans="2:31" x14ac:dyDescent="0.3">
      <c r="B8" s="8">
        <v>1.3</v>
      </c>
      <c r="D8" s="17" t="s">
        <v>10</v>
      </c>
      <c r="E8" s="9">
        <v>300</v>
      </c>
      <c r="G8" s="9">
        <v>3</v>
      </c>
      <c r="H8" s="9">
        <f t="shared" ref="H8:H71" si="12">$H7 + $E$9</f>
        <v>1.0394648829431437</v>
      </c>
      <c r="I8" s="9">
        <f t="shared" si="0"/>
        <v>6.904221832886101E-2</v>
      </c>
      <c r="J8" s="9">
        <f t="shared" si="1"/>
        <v>0.15737811095297358</v>
      </c>
      <c r="K8" s="9">
        <f t="shared" si="2"/>
        <v>6.8190034593182611E-2</v>
      </c>
      <c r="L8" s="9">
        <f t="shared" si="3"/>
        <v>9.656443138176736E-2</v>
      </c>
      <c r="M8" s="9">
        <f t="shared" si="4"/>
        <v>3.2072146722935693E-2</v>
      </c>
      <c r="X8" s="9">
        <f t="shared" si="5"/>
        <v>0.14840495023147809</v>
      </c>
      <c r="Y8" s="9">
        <f t="shared" si="6"/>
        <v>6.4056628171221583E-2</v>
      </c>
      <c r="Z8" s="9">
        <f t="shared" si="7"/>
        <v>8.3244975092842538E-2</v>
      </c>
      <c r="AB8" s="9">
        <f t="shared" si="8"/>
        <v>0.10050293383249466</v>
      </c>
      <c r="AC8" s="9">
        <f t="shared" si="9"/>
        <v>6.9402307727316126E-3</v>
      </c>
      <c r="AD8" s="9">
        <f t="shared" si="10"/>
        <v>0.13918948842197673</v>
      </c>
      <c r="AE8" s="9">
        <f t="shared" si="11"/>
        <v>9.1804793337098345E-2</v>
      </c>
    </row>
    <row r="9" spans="2:31" x14ac:dyDescent="0.3">
      <c r="B9" s="8">
        <v>1.5</v>
      </c>
      <c r="D9" s="17" t="s">
        <v>11</v>
      </c>
      <c r="E9" s="9">
        <f>(E11 - E10)/(E8 - 1)</f>
        <v>1.9732441471571906E-2</v>
      </c>
      <c r="G9" s="9">
        <v>4</v>
      </c>
      <c r="H9" s="9">
        <f>$H8 + $E$9</f>
        <v>1.0591973244147155</v>
      </c>
      <c r="I9" s="9">
        <f t="shared" si="0"/>
        <v>7.0236605193938123E-2</v>
      </c>
      <c r="J9" s="9">
        <f t="shared" si="1"/>
        <v>0.15996589496650446</v>
      </c>
      <c r="K9" s="9">
        <f t="shared" si="2"/>
        <v>7.7844435482014265E-2</v>
      </c>
      <c r="L9" s="9">
        <f t="shared" si="3"/>
        <v>9.7188122665965715E-2</v>
      </c>
      <c r="M9" s="9">
        <f t="shared" si="4"/>
        <v>3.2083820381260626E-2</v>
      </c>
      <c r="X9" s="9">
        <f t="shared" si="5"/>
        <v>0.1495284693254828</v>
      </c>
      <c r="Y9" s="9">
        <f t="shared" si="6"/>
        <v>6.9398619856263194E-2</v>
      </c>
      <c r="Z9" s="9">
        <f t="shared" si="7"/>
        <v>8.3770658882079282E-2</v>
      </c>
      <c r="AB9" s="9">
        <f t="shared" si="8"/>
        <v>0.10344249905476242</v>
      </c>
      <c r="AC9" s="9">
        <f t="shared" si="9"/>
        <v>8.2592203975333667E-3</v>
      </c>
      <c r="AD9" s="9">
        <f t="shared" si="10"/>
        <v>0.1408371626683283</v>
      </c>
      <c r="AE9" s="9">
        <f t="shared" si="11"/>
        <v>9.4935911745515106E-2</v>
      </c>
    </row>
    <row r="10" spans="2:31" x14ac:dyDescent="0.3">
      <c r="B10" s="8">
        <v>1.4</v>
      </c>
      <c r="D10" s="17" t="s">
        <v>12</v>
      </c>
      <c r="E10" s="9">
        <f>MIN(B:B)</f>
        <v>1</v>
      </c>
      <c r="G10" s="9">
        <v>5</v>
      </c>
      <c r="H10" s="9">
        <f t="shared" si="12"/>
        <v>1.0789297658862873</v>
      </c>
      <c r="I10" s="9">
        <f t="shared" si="0"/>
        <v>7.1442727094323963E-2</v>
      </c>
      <c r="J10" s="9">
        <f t="shared" si="1"/>
        <v>0.16247055403533858</v>
      </c>
      <c r="K10" s="9">
        <f t="shared" si="2"/>
        <v>8.9263872232943714E-2</v>
      </c>
      <c r="L10" s="9">
        <f t="shared" si="3"/>
        <v>9.7805205909608561E-2</v>
      </c>
      <c r="M10" s="9">
        <f t="shared" si="4"/>
        <v>3.2095413373122827E-2</v>
      </c>
      <c r="X10" s="9">
        <f t="shared" si="5"/>
        <v>0.15059826550757849</v>
      </c>
      <c r="Y10" s="9">
        <f t="shared" si="6"/>
        <v>7.6878608775302615E-2</v>
      </c>
      <c r="Z10" s="9">
        <f t="shared" si="7"/>
        <v>8.4311086111116387E-2</v>
      </c>
      <c r="AB10" s="9">
        <f t="shared" si="8"/>
        <v>0.10640370400968736</v>
      </c>
      <c r="AC10" s="9">
        <f t="shared" si="9"/>
        <v>9.6743633021116934E-3</v>
      </c>
      <c r="AD10" s="9">
        <f t="shared" si="10"/>
        <v>0.14249550767086241</v>
      </c>
      <c r="AE10" s="9">
        <f t="shared" si="11"/>
        <v>9.8117281878348089E-2</v>
      </c>
    </row>
    <row r="11" spans="2:31" x14ac:dyDescent="0.3">
      <c r="B11" s="8">
        <v>1.7</v>
      </c>
      <c r="D11" s="17" t="s">
        <v>13</v>
      </c>
      <c r="E11" s="9">
        <f>MAX(B:B)</f>
        <v>6.9</v>
      </c>
      <c r="G11" s="9">
        <v>6</v>
      </c>
      <c r="H11" s="9">
        <f t="shared" si="12"/>
        <v>1.0986622073578591</v>
      </c>
      <c r="I11" s="9">
        <f t="shared" si="0"/>
        <v>7.2660481575937852E-2</v>
      </c>
      <c r="J11" s="9">
        <f t="shared" si="1"/>
        <v>0.1648869466219462</v>
      </c>
      <c r="K11" s="9">
        <f t="shared" si="2"/>
        <v>0.10310060816253883</v>
      </c>
      <c r="L11" s="9">
        <f t="shared" si="3"/>
        <v>9.8415627019381502E-2</v>
      </c>
      <c r="M11" s="9">
        <f t="shared" si="4"/>
        <v>3.2106925607915761E-2</v>
      </c>
      <c r="X11" s="9">
        <f t="shared" si="5"/>
        <v>0.15161433877776517</v>
      </c>
      <c r="Y11" s="9">
        <f t="shared" si="6"/>
        <v>0.10552762164088209</v>
      </c>
      <c r="Z11" s="9">
        <f t="shared" si="7"/>
        <v>8.484336141930432E-2</v>
      </c>
      <c r="AB11" s="9">
        <f t="shared" si="8"/>
        <v>0.10938548861305449</v>
      </c>
      <c r="AC11" s="9">
        <f t="shared" si="9"/>
        <v>1.1480322830867612E-2</v>
      </c>
      <c r="AD11" s="9">
        <f t="shared" si="10"/>
        <v>0.14416443619341265</v>
      </c>
      <c r="AE11" s="9">
        <f t="shared" si="11"/>
        <v>0.10134721254133493</v>
      </c>
    </row>
    <row r="12" spans="2:31" x14ac:dyDescent="0.3">
      <c r="B12" s="8">
        <v>1.4</v>
      </c>
      <c r="G12" s="9">
        <v>7</v>
      </c>
      <c r="H12" s="9">
        <f t="shared" si="12"/>
        <v>1.118394648829431</v>
      </c>
      <c r="I12" s="9">
        <f t="shared" si="0"/>
        <v>7.3889760034657886E-2</v>
      </c>
      <c r="J12" s="9">
        <f t="shared" si="1"/>
        <v>0.16721006720631976</v>
      </c>
      <c r="K12" s="9">
        <f t="shared" si="2"/>
        <v>0.12006036675042273</v>
      </c>
      <c r="L12" s="9">
        <f t="shared" si="3"/>
        <v>9.9019337891269543E-2</v>
      </c>
      <c r="M12" s="9">
        <f t="shared" si="4"/>
        <v>3.2118356995641077E-2</v>
      </c>
      <c r="X12" s="9">
        <f t="shared" si="5"/>
        <v>0.15257668913604291</v>
      </c>
      <c r="Y12" s="9">
        <f t="shared" si="6"/>
        <v>0.13034574765166376</v>
      </c>
      <c r="Z12" s="9">
        <f t="shared" si="7"/>
        <v>8.5367484806642954E-2</v>
      </c>
      <c r="AB12" s="9">
        <f t="shared" si="8"/>
        <v>0.11238679278064903</v>
      </c>
      <c r="AC12" s="9">
        <f t="shared" si="9"/>
        <v>1.3813800953888622E-2</v>
      </c>
      <c r="AD12" s="9">
        <f t="shared" si="10"/>
        <v>0.14584378737867784</v>
      </c>
      <c r="AE12" s="9">
        <f t="shared" si="11"/>
        <v>0.10462391239705281</v>
      </c>
    </row>
    <row r="13" spans="2:31" x14ac:dyDescent="0.3">
      <c r="B13" s="8">
        <v>1.5</v>
      </c>
      <c r="G13" s="9">
        <v>8</v>
      </c>
      <c r="H13" s="9">
        <f t="shared" si="12"/>
        <v>1.1381270903010028</v>
      </c>
      <c r="I13" s="9">
        <f t="shared" si="0"/>
        <v>7.5130447666231712E-2</v>
      </c>
      <c r="J13" s="9">
        <f t="shared" si="1"/>
        <v>0.16943506442829293</v>
      </c>
      <c r="K13" s="9">
        <f t="shared" si="2"/>
        <v>0.14083914520863863</v>
      </c>
      <c r="L13" s="9">
        <f t="shared" si="3"/>
        <v>9.9616296462517129E-2</v>
      </c>
      <c r="M13" s="9">
        <f t="shared" si="4"/>
        <v>3.2129707446909808E-2</v>
      </c>
      <c r="X13" s="9">
        <f t="shared" si="5"/>
        <v>0.15348531658241157</v>
      </c>
      <c r="Y13" s="9">
        <f t="shared" si="6"/>
        <v>0.15133298680764776</v>
      </c>
      <c r="Z13" s="9">
        <f t="shared" si="7"/>
        <v>8.5883456273132333E-2</v>
      </c>
      <c r="AB13" s="9">
        <f t="shared" si="8"/>
        <v>0.11540655642825588</v>
      </c>
      <c r="AC13" s="9">
        <f t="shared" si="9"/>
        <v>1.6599204920528229E-2</v>
      </c>
      <c r="AD13" s="9">
        <f t="shared" si="10"/>
        <v>0.14753340036935714</v>
      </c>
      <c r="AE13" s="9">
        <f t="shared" si="11"/>
        <v>0.10794549282832809</v>
      </c>
    </row>
    <row r="14" spans="2:31" x14ac:dyDescent="0.3">
      <c r="B14" s="8">
        <v>1.4</v>
      </c>
      <c r="G14" s="9">
        <v>9</v>
      </c>
      <c r="H14" s="9">
        <f t="shared" si="12"/>
        <v>1.1578595317725746</v>
      </c>
      <c r="I14" s="9">
        <f t="shared" si="0"/>
        <v>7.6382423419242923E-2</v>
      </c>
      <c r="J14" s="9">
        <f t="shared" si="1"/>
        <v>0.17155725890820728</v>
      </c>
      <c r="K14" s="9">
        <f t="shared" si="2"/>
        <v>0.16605086147545847</v>
      </c>
      <c r="L14" s="9">
        <f t="shared" si="3"/>
        <v>0.1002064667570562</v>
      </c>
      <c r="M14" s="9">
        <f t="shared" si="4"/>
        <v>3.2140976872943552E-2</v>
      </c>
      <c r="X14" s="9">
        <f t="shared" si="5"/>
        <v>0.15434022111687132</v>
      </c>
      <c r="Y14" s="9">
        <f t="shared" si="6"/>
        <v>0.16848933910883393</v>
      </c>
      <c r="Z14" s="9">
        <f t="shared" si="7"/>
        <v>8.6476183689332756E-2</v>
      </c>
      <c r="AB14" s="9">
        <f t="shared" si="8"/>
        <v>0.11844371947166024</v>
      </c>
      <c r="AC14" s="9">
        <f t="shared" si="9"/>
        <v>1.9760941980139911E-2</v>
      </c>
      <c r="AD14" s="9">
        <f t="shared" si="10"/>
        <v>0.1492336224231807</v>
      </c>
      <c r="AE14" s="9">
        <f t="shared" si="11"/>
        <v>0.11130997115661205</v>
      </c>
    </row>
    <row r="15" spans="2:31" x14ac:dyDescent="0.3">
      <c r="B15" s="8">
        <v>1.5</v>
      </c>
      <c r="G15" s="9">
        <v>10</v>
      </c>
      <c r="H15" s="9">
        <f t="shared" si="12"/>
        <v>1.1775919732441464</v>
      </c>
      <c r="I15" s="9">
        <f t="shared" si="0"/>
        <v>7.7645559951219675E-2</v>
      </c>
      <c r="J15" s="9">
        <f t="shared" si="1"/>
        <v>0.17357216065825859</v>
      </c>
      <c r="K15" s="9">
        <f t="shared" si="2"/>
        <v>0.19615186035230703</v>
      </c>
      <c r="L15" s="9">
        <f t="shared" si="3"/>
        <v>0.10078981892429283</v>
      </c>
      <c r="M15" s="9">
        <f t="shared" si="4"/>
        <v>3.2152165185575572E-2</v>
      </c>
      <c r="X15" s="9">
        <f t="shared" si="5"/>
        <v>0.1551414027394219</v>
      </c>
      <c r="Y15" s="9">
        <f t="shared" si="6"/>
        <v>0.18492325444105723</v>
      </c>
      <c r="Z15" s="9">
        <f t="shared" si="7"/>
        <v>8.7115257730569162E-2</v>
      </c>
      <c r="AB15" s="9">
        <f t="shared" si="8"/>
        <v>0.1214972218266471</v>
      </c>
      <c r="AC15" s="9">
        <f t="shared" si="9"/>
        <v>2.3225284211085516E-2</v>
      </c>
      <c r="AD15" s="9">
        <f t="shared" si="10"/>
        <v>0.15094632866429328</v>
      </c>
      <c r="AE15" s="9">
        <f t="shared" si="11"/>
        <v>0.11471527420810197</v>
      </c>
    </row>
    <row r="16" spans="2:31" x14ac:dyDescent="0.3">
      <c r="B16" s="8">
        <v>1.5</v>
      </c>
      <c r="G16" s="9">
        <v>11</v>
      </c>
      <c r="H16" s="9">
        <f t="shared" si="12"/>
        <v>1.1973244147157183</v>
      </c>
      <c r="I16" s="9">
        <f t="shared" si="0"/>
        <v>7.8919723587971752E-2</v>
      </c>
      <c r="J16" s="9">
        <f t="shared" si="1"/>
        <v>0.1754754859979176</v>
      </c>
      <c r="K16" s="9">
        <f t="shared" si="2"/>
        <v>0.23136921498357818</v>
      </c>
      <c r="L16" s="9">
        <f t="shared" si="3"/>
        <v>0.10136632927115789</v>
      </c>
      <c r="M16" s="9">
        <f t="shared" si="4"/>
        <v>3.2163272297252035E-2</v>
      </c>
      <c r="X16" s="9">
        <f t="shared" si="5"/>
        <v>0.15588886145006361</v>
      </c>
      <c r="Y16" s="9">
        <f t="shared" si="6"/>
        <v>0.24318342895084813</v>
      </c>
      <c r="Z16" s="9">
        <f t="shared" si="7"/>
        <v>8.7745354339984358E-2</v>
      </c>
      <c r="AB16" s="9">
        <f t="shared" si="8"/>
        <v>0.12456600340900166</v>
      </c>
      <c r="AC16" s="9">
        <f t="shared" si="9"/>
        <v>2.7462823384376462E-2</v>
      </c>
      <c r="AD16" s="9">
        <f t="shared" si="10"/>
        <v>0.15267155682319672</v>
      </c>
      <c r="AE16" s="9">
        <f t="shared" si="11"/>
        <v>0.11815924221868467</v>
      </c>
    </row>
    <row r="17" spans="2:31" x14ac:dyDescent="0.3">
      <c r="B17" s="8">
        <v>1.6</v>
      </c>
      <c r="G17" s="9">
        <v>12</v>
      </c>
      <c r="H17" s="9">
        <f t="shared" si="12"/>
        <v>1.2170568561872901</v>
      </c>
      <c r="I17" s="9">
        <f t="shared" si="0"/>
        <v>8.0204774286240427E-2</v>
      </c>
      <c r="J17" s="9">
        <f t="shared" si="1"/>
        <v>0.17726317388842733</v>
      </c>
      <c r="K17" s="9">
        <f t="shared" si="2"/>
        <v>0.27164008409697193</v>
      </c>
      <c r="L17" s="9">
        <f t="shared" si="3"/>
        <v>0.10193598028732913</v>
      </c>
      <c r="M17" s="9">
        <f t="shared" si="4"/>
        <v>3.2174298121033056E-2</v>
      </c>
      <c r="X17" s="9">
        <f t="shared" si="5"/>
        <v>0.15658259724879645</v>
      </c>
      <c r="Y17" s="9">
        <f t="shared" si="6"/>
        <v>0.29308530486835305</v>
      </c>
      <c r="Z17" s="9">
        <f t="shared" si="7"/>
        <v>8.8366473517578148E-2</v>
      </c>
      <c r="AB17" s="9">
        <f t="shared" si="8"/>
        <v>0.12764900413450883</v>
      </c>
      <c r="AC17" s="9">
        <f t="shared" si="9"/>
        <v>3.276751322241829E-2</v>
      </c>
      <c r="AD17" s="9">
        <f t="shared" si="10"/>
        <v>0.15440912975324281</v>
      </c>
      <c r="AE17" s="9">
        <f t="shared" si="11"/>
        <v>0.12163963306706609</v>
      </c>
    </row>
    <row r="18" spans="2:31" x14ac:dyDescent="0.3">
      <c r="B18" s="8">
        <v>1.4</v>
      </c>
      <c r="G18" s="9">
        <v>13</v>
      </c>
      <c r="H18" s="9">
        <f t="shared" si="12"/>
        <v>1.2367892976588619</v>
      </c>
      <c r="I18" s="9">
        <f t="shared" si="0"/>
        <v>8.1500565599744501E-2</v>
      </c>
      <c r="J18" s="9">
        <f t="shared" si="1"/>
        <v>0.17893140160354795</v>
      </c>
      <c r="K18" s="9">
        <f t="shared" si="2"/>
        <v>0.31656880206948473</v>
      </c>
      <c r="L18" s="9">
        <f t="shared" si="3"/>
        <v>0.10249876066354124</v>
      </c>
      <c r="M18" s="9">
        <f t="shared" si="4"/>
        <v>3.2185242570593874E-2</v>
      </c>
      <c r="X18" s="9">
        <f t="shared" si="5"/>
        <v>0.15722261013562008</v>
      </c>
      <c r="Y18" s="9">
        <f t="shared" si="6"/>
        <v>0.33734309819543207</v>
      </c>
      <c r="Z18" s="9">
        <f t="shared" si="7"/>
        <v>8.8978615263350713E-2</v>
      </c>
      <c r="AB18" s="9">
        <f t="shared" si="8"/>
        <v>0.13074516391895383</v>
      </c>
      <c r="AC18" s="9">
        <f t="shared" si="9"/>
        <v>3.8992143414964181E-2</v>
      </c>
      <c r="AD18" s="9">
        <f t="shared" si="10"/>
        <v>0.15615887030778366</v>
      </c>
      <c r="AE18" s="9">
        <f t="shared" si="11"/>
        <v>0.12515412682380481</v>
      </c>
    </row>
    <row r="19" spans="2:31" x14ac:dyDescent="0.3">
      <c r="B19" s="8">
        <v>1.1000000000000001</v>
      </c>
      <c r="G19" s="9">
        <v>14</v>
      </c>
      <c r="H19" s="9">
        <f t="shared" si="12"/>
        <v>1.2565217391304337</v>
      </c>
      <c r="I19" s="9">
        <f t="shared" si="0"/>
        <v>8.2806944648703737E-2</v>
      </c>
      <c r="J19" s="9">
        <f t="shared" si="1"/>
        <v>0.18047659965643009</v>
      </c>
      <c r="K19" s="9">
        <f t="shared" si="2"/>
        <v>0.36540688801921989</v>
      </c>
      <c r="L19" s="9">
        <f t="shared" si="3"/>
        <v>0.10305466530291445</v>
      </c>
      <c r="M19" s="9">
        <f t="shared" si="4"/>
        <v>3.2196105560226007E-2</v>
      </c>
      <c r="X19" s="9">
        <f t="shared" si="5"/>
        <v>0.15780890011053469</v>
      </c>
      <c r="Y19" s="9">
        <f t="shared" si="6"/>
        <v>0.37488165744518037</v>
      </c>
      <c r="Z19" s="9">
        <f t="shared" si="7"/>
        <v>8.9610064592608826E-2</v>
      </c>
      <c r="AB19" s="9">
        <f t="shared" si="8"/>
        <v>0.13385342267812167</v>
      </c>
      <c r="AC19" s="9">
        <f t="shared" si="9"/>
        <v>4.6032281531733436E-2</v>
      </c>
      <c r="AD19" s="9">
        <f t="shared" si="10"/>
        <v>0.157920751665446</v>
      </c>
      <c r="AE19" s="9">
        <f t="shared" si="11"/>
        <v>0.1287003306023608</v>
      </c>
    </row>
    <row r="20" spans="2:31" x14ac:dyDescent="0.3">
      <c r="B20" s="8">
        <v>1.2</v>
      </c>
      <c r="G20" s="9">
        <v>15</v>
      </c>
      <c r="H20" s="9">
        <f t="shared" si="12"/>
        <v>1.2762541806020056</v>
      </c>
      <c r="I20" s="9">
        <f t="shared" si="0"/>
        <v>8.4123752092918891E-2</v>
      </c>
      <c r="J20" s="9">
        <f t="shared" si="1"/>
        <v>0.18189546590572059</v>
      </c>
      <c r="K20" s="9">
        <f t="shared" si="2"/>
        <v>0.41705914501800678</v>
      </c>
      <c r="L20" s="9">
        <f t="shared" si="3"/>
        <v>0.10360369532523191</v>
      </c>
      <c r="M20" s="9">
        <f t="shared" si="4"/>
        <v>3.2206887004838293E-2</v>
      </c>
      <c r="X20" s="9">
        <f t="shared" si="5"/>
        <v>0.15834146717354047</v>
      </c>
      <c r="Y20" s="9">
        <f t="shared" si="6"/>
        <v>0.40441018054398814</v>
      </c>
      <c r="Z20" s="9">
        <f t="shared" si="7"/>
        <v>9.0256549868472813E-2</v>
      </c>
      <c r="AB20" s="9">
        <f t="shared" si="8"/>
        <v>0.13697272032779731</v>
      </c>
      <c r="AC20" s="9">
        <f t="shared" si="9"/>
        <v>5.3734118287058701E-2</v>
      </c>
      <c r="AD20" s="9">
        <f t="shared" si="10"/>
        <v>0.1596953706579802</v>
      </c>
      <c r="AE20" s="9">
        <f t="shared" si="11"/>
        <v>0.13227578369671131</v>
      </c>
    </row>
    <row r="21" spans="2:31" x14ac:dyDescent="0.3">
      <c r="B21" s="8">
        <v>1.5</v>
      </c>
      <c r="G21" s="9">
        <v>16</v>
      </c>
      <c r="H21" s="9">
        <f t="shared" si="12"/>
        <v>1.2959866220735774</v>
      </c>
      <c r="I21" s="9">
        <f t="shared" si="0"/>
        <v>8.5450822108486826E-2</v>
      </c>
      <c r="J21" s="9">
        <f t="shared" si="1"/>
        <v>0.18318497876777112</v>
      </c>
      <c r="K21" s="9">
        <f t="shared" si="2"/>
        <v>0.47011699590210443</v>
      </c>
      <c r="L21" s="9">
        <f t="shared" si="3"/>
        <v>0.10414585806411281</v>
      </c>
      <c r="M21" s="9">
        <f t="shared" si="4"/>
        <v>3.2217586819958198E-2</v>
      </c>
      <c r="X21" s="9">
        <f t="shared" si="5"/>
        <v>0.15882031132463723</v>
      </c>
      <c r="Y21" s="9">
        <f t="shared" si="6"/>
        <v>0.47463963793088715</v>
      </c>
      <c r="Z21" s="9">
        <f t="shared" si="7"/>
        <v>9.0893748145900996E-2</v>
      </c>
      <c r="AB21" s="9">
        <f t="shared" si="8"/>
        <v>0.140101996783766</v>
      </c>
      <c r="AC21" s="9">
        <f t="shared" si="9"/>
        <v>6.2424091852846822E-2</v>
      </c>
      <c r="AD21" s="9">
        <f t="shared" si="10"/>
        <v>0.16148265475580628</v>
      </c>
      <c r="AE21" s="9">
        <f t="shared" si="11"/>
        <v>0.13587796298861279</v>
      </c>
    </row>
    <row r="22" spans="2:31" x14ac:dyDescent="0.3">
      <c r="B22" s="8">
        <v>1.3</v>
      </c>
      <c r="G22" s="9">
        <v>17</v>
      </c>
      <c r="H22" s="9">
        <f t="shared" si="12"/>
        <v>1.3157190635451492</v>
      </c>
      <c r="I22" s="9">
        <f t="shared" si="0"/>
        <v>8.6787982368226144E-2</v>
      </c>
      <c r="J22" s="9">
        <f t="shared" si="1"/>
        <v>0.18434240946605079</v>
      </c>
      <c r="K22" s="9">
        <f t="shared" si="2"/>
        <v>0.52291843594154352</v>
      </c>
      <c r="L22" s="9">
        <f t="shared" si="3"/>
        <v>0.1046811670570323</v>
      </c>
      <c r="M22" s="9">
        <f t="shared" si="4"/>
        <v>3.2228204921732555E-2</v>
      </c>
      <c r="X22" s="9">
        <f t="shared" si="5"/>
        <v>0.15924543256382478</v>
      </c>
      <c r="Y22" s="9">
        <f t="shared" si="6"/>
        <v>0.53269321607716835</v>
      </c>
      <c r="Z22" s="9">
        <f t="shared" si="7"/>
        <v>9.1521659424893209E-2</v>
      </c>
      <c r="AB22" s="9">
        <f t="shared" si="8"/>
        <v>0.14324019196181284</v>
      </c>
      <c r="AC22" s="9">
        <f t="shared" si="9"/>
        <v>7.2383276349621314E-2</v>
      </c>
      <c r="AD22" s="9">
        <f t="shared" si="10"/>
        <v>0.16328242070377072</v>
      </c>
      <c r="AE22" s="9">
        <f t="shared" si="11"/>
        <v>0.13950428860618197</v>
      </c>
    </row>
    <row r="23" spans="2:31" x14ac:dyDescent="0.3">
      <c r="B23" s="8">
        <v>1.4</v>
      </c>
      <c r="G23" s="9">
        <v>18</v>
      </c>
      <c r="H23" s="9">
        <f t="shared" si="12"/>
        <v>1.3354515050167211</v>
      </c>
      <c r="I23" s="9">
        <f t="shared" si="0"/>
        <v>8.8135054025887463E-2</v>
      </c>
      <c r="J23" s="9">
        <f t="shared" si="1"/>
        <v>0.18536533325355734</v>
      </c>
      <c r="K23" s="9">
        <f t="shared" si="2"/>
        <v>0.5736323169048716</v>
      </c>
      <c r="L23" s="9">
        <f t="shared" si="3"/>
        <v>0.10520964202815153</v>
      </c>
      <c r="M23" s="9">
        <f t="shared" si="4"/>
        <v>3.2238741226929005E-2</v>
      </c>
      <c r="X23" s="9">
        <f t="shared" si="5"/>
        <v>0.15961683089110351</v>
      </c>
      <c r="Y23" s="9">
        <f t="shared" si="6"/>
        <v>0.58064103055453153</v>
      </c>
      <c r="Z23" s="9">
        <f t="shared" si="7"/>
        <v>9.2140283705449633E-2</v>
      </c>
      <c r="AB23" s="9">
        <f t="shared" si="8"/>
        <v>0.14638624577772277</v>
      </c>
      <c r="AC23" s="9">
        <f t="shared" si="9"/>
        <v>8.3378579883308171E-2</v>
      </c>
      <c r="AD23" s="9">
        <f t="shared" si="10"/>
        <v>0.16509448524672093</v>
      </c>
      <c r="AE23" s="9">
        <f t="shared" si="11"/>
        <v>0.14315212981415606</v>
      </c>
    </row>
    <row r="24" spans="2:31" x14ac:dyDescent="0.3">
      <c r="B24" s="8">
        <v>1.7</v>
      </c>
      <c r="G24" s="9">
        <v>19</v>
      </c>
      <c r="H24" s="9">
        <f t="shared" si="12"/>
        <v>1.3551839464882929</v>
      </c>
      <c r="I24" s="9">
        <f t="shared" si="0"/>
        <v>8.9491851704219416E-2</v>
      </c>
      <c r="J24" s="9">
        <f t="shared" si="1"/>
        <v>0.18625163954917784</v>
      </c>
      <c r="K24" s="9">
        <f t="shared" si="2"/>
        <v>0.62036273533584507</v>
      </c>
      <c r="L24" s="9">
        <f t="shared" si="3"/>
        <v>0.10573130886392594</v>
      </c>
      <c r="M24" s="9">
        <f t="shared" si="4"/>
        <v>3.2249195652936997E-2</v>
      </c>
      <c r="X24" s="9">
        <f t="shared" si="5"/>
        <v>0.15993450630647321</v>
      </c>
      <c r="Y24" s="9">
        <f t="shared" si="6"/>
        <v>0.61794938242779796</v>
      </c>
      <c r="Z24" s="9">
        <f t="shared" si="7"/>
        <v>9.2790834581350304E-2</v>
      </c>
      <c r="AB24" s="9">
        <f t="shared" si="8"/>
        <v>0.14953909814728078</v>
      </c>
      <c r="AC24" s="9">
        <f t="shared" si="9"/>
        <v>9.5224181001957051E-2</v>
      </c>
      <c r="AD24" s="9">
        <f t="shared" si="10"/>
        <v>0.1669188565708378</v>
      </c>
      <c r="AE24" s="9">
        <f t="shared" si="11"/>
        <v>0.14681881111497858</v>
      </c>
    </row>
    <row r="25" spans="2:31" x14ac:dyDescent="0.3">
      <c r="B25" s="8">
        <v>1.5</v>
      </c>
      <c r="G25" s="9">
        <v>20</v>
      </c>
      <c r="H25" s="9">
        <f t="shared" si="12"/>
        <v>1.3749163879598647</v>
      </c>
      <c r="I25" s="9">
        <f t="shared" si="0"/>
        <v>9.0858183486960217E-2</v>
      </c>
      <c r="J25" s="9">
        <f t="shared" si="1"/>
        <v>0.1869995409344837</v>
      </c>
      <c r="K25" s="9">
        <f t="shared" si="2"/>
        <v>0.66126693265261627</v>
      </c>
      <c r="L25" s="9">
        <f t="shared" si="3"/>
        <v>0.10624619958147502</v>
      </c>
      <c r="M25" s="9">
        <f t="shared" si="4"/>
        <v>3.2259568117768686E-2</v>
      </c>
      <c r="X25" s="9">
        <f t="shared" si="5"/>
        <v>0.16019845880993389</v>
      </c>
      <c r="Y25" s="9">
        <f t="shared" si="6"/>
        <v>0.64306854885398057</v>
      </c>
      <c r="Z25" s="9">
        <f t="shared" si="7"/>
        <v>9.3478083833870448E-2</v>
      </c>
      <c r="AB25" s="9">
        <f t="shared" si="8"/>
        <v>0.15269768898627209</v>
      </c>
      <c r="AC25" s="9">
        <f t="shared" si="9"/>
        <v>0.10768570579613555</v>
      </c>
      <c r="AD25" s="9">
        <f t="shared" si="10"/>
        <v>0.1687566429558047</v>
      </c>
      <c r="AE25" s="9">
        <f t="shared" si="11"/>
        <v>0.15050161853873781</v>
      </c>
    </row>
    <row r="26" spans="2:31" x14ac:dyDescent="0.3">
      <c r="B26" s="8">
        <v>1.7</v>
      </c>
      <c r="G26" s="9">
        <v>21</v>
      </c>
      <c r="H26" s="9">
        <f t="shared" si="12"/>
        <v>1.3946488294314365</v>
      </c>
      <c r="I26" s="9">
        <f t="shared" si="0"/>
        <v>9.2233850914821544E-2</v>
      </c>
      <c r="J26" s="9">
        <f t="shared" si="1"/>
        <v>0.1876075809633386</v>
      </c>
      <c r="K26" s="9">
        <f t="shared" si="2"/>
        <v>0.69467770531899686</v>
      </c>
      <c r="L26" s="9">
        <f t="shared" si="3"/>
        <v>0.10675435228970109</v>
      </c>
      <c r="M26" s="9">
        <f t="shared" si="4"/>
        <v>3.2269858540060183E-2</v>
      </c>
      <c r="X26" s="9">
        <f t="shared" si="5"/>
        <v>0.16040868840148559</v>
      </c>
      <c r="Y26" s="9">
        <f t="shared" si="6"/>
        <v>0.68051311426183048</v>
      </c>
      <c r="Z26" s="9">
        <f t="shared" si="7"/>
        <v>9.4155530143596941E-2</v>
      </c>
      <c r="AB26" s="9">
        <f t="shared" si="8"/>
        <v>0.1558609582104819</v>
      </c>
      <c r="AC26" s="9">
        <f t="shared" si="9"/>
        <v>0.12074957076425287</v>
      </c>
      <c r="AD26" s="9">
        <f t="shared" si="10"/>
        <v>0.17060789372842586</v>
      </c>
      <c r="AE26" s="9">
        <f t="shared" si="11"/>
        <v>0.15419780609899475</v>
      </c>
    </row>
    <row r="27" spans="2:31" x14ac:dyDescent="0.3">
      <c r="B27" s="8">
        <v>1.5</v>
      </c>
      <c r="G27" s="9">
        <v>22</v>
      </c>
      <c r="H27" s="9">
        <f t="shared" si="12"/>
        <v>1.4143812709030084</v>
      </c>
      <c r="I27" s="9">
        <f t="shared" si="0"/>
        <v>9.3618648985529546E-2</v>
      </c>
      <c r="J27" s="9">
        <f t="shared" si="1"/>
        <v>0.18807464074295036</v>
      </c>
      <c r="K27" s="9">
        <f t="shared" si="2"/>
        <v>0.71921962546963836</v>
      </c>
      <c r="L27" s="9">
        <f t="shared" si="3"/>
        <v>0.10725581114315715</v>
      </c>
      <c r="M27" s="9">
        <f t="shared" si="4"/>
        <v>3.2280066839072773E-2</v>
      </c>
      <c r="X27" s="9">
        <f t="shared" si="5"/>
        <v>0.16056519508112835</v>
      </c>
      <c r="Y27" s="9">
        <f t="shared" si="6"/>
        <v>0.70540502468815269</v>
      </c>
      <c r="Z27" s="9">
        <f t="shared" si="7"/>
        <v>9.4823173510530337E-2</v>
      </c>
      <c r="AB27" s="9">
        <f t="shared" si="8"/>
        <v>0.15902784573569512</v>
      </c>
      <c r="AC27" s="9">
        <f t="shared" si="9"/>
        <v>0.134447397283705</v>
      </c>
      <c r="AD27" s="9">
        <f t="shared" si="10"/>
        <v>0.17247241545270645</v>
      </c>
      <c r="AE27" s="9">
        <f t="shared" si="11"/>
        <v>0.15790460239065565</v>
      </c>
    </row>
    <row r="28" spans="2:31" x14ac:dyDescent="0.3">
      <c r="B28" s="8">
        <v>1</v>
      </c>
      <c r="G28" s="9">
        <v>23</v>
      </c>
      <c r="H28" s="9">
        <f t="shared" si="12"/>
        <v>1.4341137123745802</v>
      </c>
      <c r="I28" s="9">
        <f t="shared" si="0"/>
        <v>9.5012366157984307E-2</v>
      </c>
      <c r="J28" s="9">
        <f t="shared" si="1"/>
        <v>0.18839994425149281</v>
      </c>
      <c r="K28" s="9">
        <f t="shared" si="2"/>
        <v>0.73390800970603032</v>
      </c>
      <c r="L28" s="9">
        <f t="shared" si="3"/>
        <v>0.10775062628867092</v>
      </c>
      <c r="M28" s="9">
        <f t="shared" si="4"/>
        <v>3.2290192934693471E-2</v>
      </c>
      <c r="X28" s="9">
        <f t="shared" si="5"/>
        <v>0.16066797884886205</v>
      </c>
      <c r="Y28" s="9">
        <f t="shared" si="6"/>
        <v>0.71997141894558003</v>
      </c>
      <c r="Z28" s="9">
        <f t="shared" si="7"/>
        <v>9.5481013934670178E-2</v>
      </c>
      <c r="AB28" s="9">
        <f t="shared" si="8"/>
        <v>0.16219729147769654</v>
      </c>
      <c r="AC28" s="9">
        <f t="shared" si="9"/>
        <v>0.14851451340609029</v>
      </c>
      <c r="AD28" s="9">
        <f t="shared" si="10"/>
        <v>0.17435001469265152</v>
      </c>
      <c r="AE28" s="9">
        <f t="shared" si="11"/>
        <v>0.16161921730529058</v>
      </c>
    </row>
    <row r="29" spans="2:31" x14ac:dyDescent="0.3">
      <c r="B29" s="8">
        <v>1.7</v>
      </c>
      <c r="G29" s="9">
        <v>24</v>
      </c>
      <c r="H29" s="9">
        <f t="shared" si="12"/>
        <v>1.453846153846152</v>
      </c>
      <c r="I29" s="9">
        <f t="shared" si="0"/>
        <v>9.6414784360597264E-2</v>
      </c>
      <c r="J29" s="9">
        <f t="shared" si="1"/>
        <v>0.18858306236419484</v>
      </c>
      <c r="K29" s="9">
        <f t="shared" si="2"/>
        <v>0.73822061370185355</v>
      </c>
      <c r="L29" s="9">
        <f t="shared" si="3"/>
        <v>0.10823885380474503</v>
      </c>
      <c r="M29" s="9">
        <f t="shared" si="4"/>
        <v>3.2300236747436595E-2</v>
      </c>
      <c r="X29" s="9">
        <f t="shared" si="5"/>
        <v>0.16071703970468673</v>
      </c>
      <c r="Y29" s="9">
        <f t="shared" si="6"/>
        <v>0.72422140128064205</v>
      </c>
      <c r="Z29" s="9">
        <f t="shared" si="7"/>
        <v>9.6157277915141046E-2</v>
      </c>
      <c r="AB29" s="9">
        <f t="shared" si="8"/>
        <v>0.16536823535227191</v>
      </c>
      <c r="AC29" s="9">
        <f t="shared" si="9"/>
        <v>0.16278614544961473</v>
      </c>
      <c r="AD29" s="9">
        <f t="shared" si="10"/>
        <v>0.17624061023042364</v>
      </c>
      <c r="AE29" s="9">
        <f t="shared" si="11"/>
        <v>0.16533884883868161</v>
      </c>
    </row>
    <row r="30" spans="2:31" x14ac:dyDescent="0.3">
      <c r="B30" s="8">
        <v>1.9</v>
      </c>
      <c r="G30" s="9">
        <v>25</v>
      </c>
      <c r="H30" s="9">
        <f t="shared" si="12"/>
        <v>1.4735785953177238</v>
      </c>
      <c r="I30" s="9">
        <f t="shared" si="0"/>
        <v>9.7825679003863381E-2</v>
      </c>
      <c r="J30" s="9">
        <f t="shared" si="1"/>
        <v>0.1886239155667179</v>
      </c>
      <c r="K30" s="9">
        <f t="shared" si="2"/>
        <v>0.73213404951220751</v>
      </c>
      <c r="L30" s="9">
        <f t="shared" si="3"/>
        <v>0.10872055563375965</v>
      </c>
      <c r="M30" s="9">
        <f t="shared" si="4"/>
        <v>3.2310198198444433E-2</v>
      </c>
      <c r="X30" s="9">
        <f t="shared" si="5"/>
        <v>0.16075284288330682</v>
      </c>
      <c r="Y30" s="9">
        <f t="shared" si="6"/>
        <v>0.71454088596189425</v>
      </c>
      <c r="Z30" s="9">
        <f t="shared" si="7"/>
        <v>9.6865299612185138E-2</v>
      </c>
      <c r="AB30" s="9">
        <f t="shared" si="8"/>
        <v>0.168539811240492</v>
      </c>
      <c r="AC30" s="9">
        <f t="shared" si="9"/>
        <v>0.17700419865600894</v>
      </c>
      <c r="AD30" s="9">
        <f t="shared" si="10"/>
        <v>0.17814503038568735</v>
      </c>
      <c r="AE30" s="9">
        <f t="shared" si="11"/>
        <v>0.16906068996489115</v>
      </c>
    </row>
    <row r="31" spans="2:31" x14ac:dyDescent="0.3">
      <c r="B31" s="8">
        <v>1.6</v>
      </c>
      <c r="G31" s="9">
        <v>26</v>
      </c>
      <c r="H31" s="9">
        <f t="shared" si="12"/>
        <v>1.4933110367892957</v>
      </c>
      <c r="I31" s="9">
        <f t="shared" si="0"/>
        <v>9.9244818997221124E-2</v>
      </c>
      <c r="J31" s="9">
        <f t="shared" si="1"/>
        <v>0.18852277534175568</v>
      </c>
      <c r="K31" s="9">
        <f t="shared" si="2"/>
        <v>0.716119530479702</v>
      </c>
      <c r="L31" s="9">
        <f t="shared" si="3"/>
        <v>0.10919579950701402</v>
      </c>
      <c r="M31" s="9">
        <f t="shared" si="4"/>
        <v>3.232007720948854E-2</v>
      </c>
      <c r="X31" s="9">
        <f t="shared" si="5"/>
        <v>0.16077703640482238</v>
      </c>
      <c r="Y31" s="9">
        <f t="shared" si="6"/>
        <v>0.70395214701702202</v>
      </c>
      <c r="Z31" s="9">
        <f t="shared" si="7"/>
        <v>9.756310561095001E-2</v>
      </c>
      <c r="AB31" s="9">
        <f t="shared" si="8"/>
        <v>0.17171218610985761</v>
      </c>
      <c r="AC31" s="9">
        <f t="shared" si="9"/>
        <v>0.19100538827149144</v>
      </c>
      <c r="AD31" s="9">
        <f t="shared" si="10"/>
        <v>0.18006332074731435</v>
      </c>
      <c r="AE31" s="9">
        <f t="shared" si="11"/>
        <v>0.17278193555079832</v>
      </c>
    </row>
    <row r="32" spans="2:31" x14ac:dyDescent="0.3">
      <c r="B32" s="8">
        <v>1.6</v>
      </c>
      <c r="G32" s="9">
        <v>27</v>
      </c>
      <c r="H32" s="9">
        <f t="shared" si="12"/>
        <v>1.5130434782608675</v>
      </c>
      <c r="I32" s="9">
        <f t="shared" si="0"/>
        <v>0.1006719667702507</v>
      </c>
      <c r="J32" s="9">
        <f t="shared" si="1"/>
        <v>0.1882802642219491</v>
      </c>
      <c r="K32" s="9">
        <f t="shared" si="2"/>
        <v>0.69109587135292616</v>
      </c>
      <c r="L32" s="9">
        <f t="shared" si="3"/>
        <v>0.10966465886265596</v>
      </c>
      <c r="M32" s="9">
        <f t="shared" si="4"/>
        <v>3.2329873702970663E-2</v>
      </c>
      <c r="X32" s="9">
        <f t="shared" si="5"/>
        <v>0.16074643255619081</v>
      </c>
      <c r="Y32" s="9">
        <f t="shared" si="6"/>
        <v>0.68030571752500546</v>
      </c>
      <c r="Z32" s="9">
        <f t="shared" si="7"/>
        <v>9.825069591143519E-2</v>
      </c>
      <c r="AB32" s="9">
        <f t="shared" si="8"/>
        <v>0.17488449773352074</v>
      </c>
      <c r="AC32" s="9">
        <f t="shared" si="9"/>
        <v>0.20468797950185952</v>
      </c>
      <c r="AD32" s="9">
        <f t="shared" si="10"/>
        <v>0.18199527973463706</v>
      </c>
      <c r="AE32" s="9">
        <f t="shared" si="11"/>
        <v>0.17649978928484572</v>
      </c>
    </row>
    <row r="33" spans="2:31" x14ac:dyDescent="0.3">
      <c r="B33" s="8">
        <v>1.5</v>
      </c>
      <c r="G33" s="9">
        <v>28</v>
      </c>
      <c r="H33" s="9">
        <f t="shared" si="12"/>
        <v>1.5327759197324393</v>
      </c>
      <c r="I33" s="9">
        <f t="shared" si="0"/>
        <v>0.10210687829825871</v>
      </c>
      <c r="J33" s="9">
        <f t="shared" si="1"/>
        <v>0.18789735450945227</v>
      </c>
      <c r="K33" s="9">
        <f t="shared" si="2"/>
        <v>0.65834225820131953</v>
      </c>
      <c r="L33" s="9">
        <f t="shared" si="3"/>
        <v>0.11012721275655445</v>
      </c>
      <c r="M33" s="9">
        <f t="shared" si="4"/>
        <v>3.2339587601923576E-2</v>
      </c>
      <c r="X33" s="9">
        <f t="shared" si="5"/>
        <v>0.16066103133741216</v>
      </c>
      <c r="Y33" s="9">
        <f t="shared" si="6"/>
        <v>0.65443570087696157</v>
      </c>
      <c r="Z33" s="9">
        <f t="shared" si="7"/>
        <v>9.8928070513641164E-2</v>
      </c>
      <c r="AB33" s="9">
        <f t="shared" si="8"/>
        <v>0.17805566482558263</v>
      </c>
      <c r="AC33" s="9">
        <f t="shared" si="9"/>
        <v>0.21781243880902801</v>
      </c>
      <c r="AD33" s="9">
        <f t="shared" si="10"/>
        <v>0.1839407057669859</v>
      </c>
      <c r="AE33" s="9">
        <f t="shared" si="11"/>
        <v>0.18021147059366793</v>
      </c>
    </row>
    <row r="34" spans="2:31" x14ac:dyDescent="0.3">
      <c r="B34" s="8">
        <v>1.4</v>
      </c>
      <c r="G34" s="9">
        <v>29</v>
      </c>
      <c r="H34" s="9">
        <f t="shared" si="12"/>
        <v>1.5525083612040111</v>
      </c>
      <c r="I34" s="9">
        <f t="shared" si="0"/>
        <v>0.1035493031322927</v>
      </c>
      <c r="J34" s="9">
        <f t="shared" si="1"/>
        <v>0.18737536566968926</v>
      </c>
      <c r="K34" s="9">
        <f t="shared" si="2"/>
        <v>0.61937939575892853</v>
      </c>
      <c r="L34" s="9">
        <f t="shared" si="3"/>
        <v>0.11058354576618017</v>
      </c>
      <c r="M34" s="9">
        <f t="shared" si="4"/>
        <v>3.234921883001244E-2</v>
      </c>
      <c r="X34" s="9">
        <f t="shared" si="5"/>
        <v>0.1605208327484863</v>
      </c>
      <c r="Y34" s="9">
        <f t="shared" si="6"/>
        <v>0.63011930889184808</v>
      </c>
      <c r="Z34" s="9">
        <f t="shared" si="7"/>
        <v>9.9624579700121285E-2</v>
      </c>
      <c r="AB34" s="9">
        <f t="shared" si="8"/>
        <v>0.18122460610014338</v>
      </c>
      <c r="AC34" s="9">
        <f t="shared" si="9"/>
        <v>0.23050733095974185</v>
      </c>
      <c r="AD34" s="9">
        <f t="shared" si="10"/>
        <v>0.18589949430307745</v>
      </c>
      <c r="AE34" s="9">
        <f t="shared" si="11"/>
        <v>0.18391422152035133</v>
      </c>
    </row>
    <row r="35" spans="2:31" x14ac:dyDescent="0.3">
      <c r="B35" s="8">
        <v>1.6</v>
      </c>
      <c r="G35" s="9">
        <v>30</v>
      </c>
      <c r="H35" s="9">
        <f t="shared" si="12"/>
        <v>1.572240802675583</v>
      </c>
      <c r="I35" s="9">
        <f t="shared" si="0"/>
        <v>0.10499898443362743</v>
      </c>
      <c r="J35" s="9">
        <f t="shared" si="1"/>
        <v>0.18671596041401134</v>
      </c>
      <c r="K35" s="9">
        <f t="shared" si="2"/>
        <v>0.57583434993684712</v>
      </c>
      <c r="L35" s="9">
        <f t="shared" si="3"/>
        <v>0.11103374788757253</v>
      </c>
      <c r="M35" s="9">
        <f t="shared" si="4"/>
        <v>3.2358767311535613E-2</v>
      </c>
      <c r="X35" s="9">
        <f t="shared" si="5"/>
        <v>0.16032583678941315</v>
      </c>
      <c r="Y35" s="9">
        <f t="shared" si="6"/>
        <v>0.59291720657696068</v>
      </c>
      <c r="Z35" s="9">
        <f t="shared" si="7"/>
        <v>0.10036879183316079</v>
      </c>
      <c r="AB35" s="9">
        <f t="shared" si="8"/>
        <v>0.18439024027130435</v>
      </c>
      <c r="AC35" s="9">
        <f t="shared" si="9"/>
        <v>0.24259526806635881</v>
      </c>
      <c r="AD35" s="9">
        <f t="shared" si="10"/>
        <v>0.18787269069911128</v>
      </c>
      <c r="AE35" s="9">
        <f t="shared" si="11"/>
        <v>0.18760531353830809</v>
      </c>
    </row>
    <row r="36" spans="2:31" x14ac:dyDescent="0.3">
      <c r="B36" s="8">
        <v>1.6</v>
      </c>
      <c r="G36" s="9">
        <v>31</v>
      </c>
      <c r="H36" s="9">
        <f t="shared" si="12"/>
        <v>1.5919732441471548</v>
      </c>
      <c r="I36" s="9">
        <f t="shared" si="0"/>
        <v>0.10645565901275997</v>
      </c>
      <c r="J36" s="9">
        <f t="shared" si="1"/>
        <v>0.18592113949300748</v>
      </c>
      <c r="K36" s="9">
        <f t="shared" si="2"/>
        <v>0.52930954275740105</v>
      </c>
      <c r="L36" s="9">
        <f t="shared" si="3"/>
        <v>0.11147791442547526</v>
      </c>
      <c r="M36" s="9">
        <f t="shared" si="4"/>
        <v>3.2368232971425423E-2</v>
      </c>
      <c r="X36" s="9">
        <f t="shared" si="5"/>
        <v>0.16007604346019297</v>
      </c>
      <c r="Y36" s="9">
        <f t="shared" si="6"/>
        <v>0.5428293939322989</v>
      </c>
      <c r="Z36" s="9">
        <f t="shared" si="7"/>
        <v>0.10110227232356318</v>
      </c>
      <c r="AB36" s="9">
        <f t="shared" si="8"/>
        <v>0.18755148605316604</v>
      </c>
      <c r="AC36" s="9">
        <f t="shared" si="9"/>
        <v>0.25382198360397673</v>
      </c>
      <c r="AD36" s="9">
        <f t="shared" si="10"/>
        <v>0.18986046633674783</v>
      </c>
      <c r="AE36" s="9">
        <f t="shared" si="11"/>
        <v>0.19128205427508141</v>
      </c>
    </row>
    <row r="37" spans="2:31" x14ac:dyDescent="0.3">
      <c r="B37" s="8">
        <v>1.5</v>
      </c>
      <c r="G37" s="9">
        <v>32</v>
      </c>
      <c r="H37" s="9">
        <f t="shared" si="12"/>
        <v>1.6117056856187266</v>
      </c>
      <c r="I37" s="9">
        <f t="shared" si="0"/>
        <v>0.10791905737294794</v>
      </c>
      <c r="J37" s="9">
        <f t="shared" si="1"/>
        <v>0.18499323522912384</v>
      </c>
      <c r="K37" s="9">
        <f t="shared" si="2"/>
        <v>0.48127726215777256</v>
      </c>
      <c r="L37" s="9">
        <f t="shared" si="3"/>
        <v>0.11191614587673553</v>
      </c>
      <c r="M37" s="9">
        <f t="shared" si="4"/>
        <v>3.2377615735249519E-2</v>
      </c>
      <c r="X37" s="9">
        <f t="shared" si="5"/>
        <v>0.15977145276082538</v>
      </c>
      <c r="Y37" s="9">
        <f t="shared" si="6"/>
        <v>0.47985587095786264</v>
      </c>
      <c r="Z37" s="9">
        <f t="shared" si="7"/>
        <v>0.10182502117132863</v>
      </c>
      <c r="AB37" s="9">
        <f t="shared" si="8"/>
        <v>0.19070726215982936</v>
      </c>
      <c r="AC37" s="9">
        <f t="shared" si="9"/>
        <v>0.26393321104769385</v>
      </c>
      <c r="AD37" s="9">
        <f t="shared" si="10"/>
        <v>0.19186260945447642</v>
      </c>
      <c r="AE37" s="9">
        <f t="shared" si="11"/>
        <v>0.19494179412092297</v>
      </c>
    </row>
    <row r="38" spans="2:31" x14ac:dyDescent="0.3">
      <c r="B38" s="8">
        <v>1.5</v>
      </c>
      <c r="G38" s="9">
        <v>33</v>
      </c>
      <c r="H38" s="9">
        <f t="shared" si="12"/>
        <v>1.6314381270902985</v>
      </c>
      <c r="I38" s="9">
        <f t="shared" si="0"/>
        <v>0.10938890375832212</v>
      </c>
      <c r="J38" s="9">
        <f t="shared" si="1"/>
        <v>0.18393490382391167</v>
      </c>
      <c r="K38" s="9">
        <f t="shared" si="2"/>
        <v>0.43301601323955285</v>
      </c>
      <c r="L38" s="9">
        <f t="shared" si="3"/>
        <v>0.11234854780707297</v>
      </c>
      <c r="M38" s="9">
        <f t="shared" si="4"/>
        <v>3.2386915529211892E-2</v>
      </c>
      <c r="X38" s="9">
        <f t="shared" si="5"/>
        <v>0.15941206469131095</v>
      </c>
      <c r="Y38" s="9">
        <f t="shared" si="6"/>
        <v>0.42471465123374302</v>
      </c>
      <c r="Z38" s="9">
        <f t="shared" si="7"/>
        <v>0.10253703837645685</v>
      </c>
      <c r="AB38" s="9">
        <f t="shared" si="8"/>
        <v>0.19385648730539504</v>
      </c>
      <c r="AC38" s="9">
        <f t="shared" si="9"/>
        <v>0.27275534328015194</v>
      </c>
      <c r="AD38" s="9">
        <f t="shared" si="10"/>
        <v>0.1938789082907873</v>
      </c>
      <c r="AE38" s="9">
        <f t="shared" si="11"/>
        <v>0.19858193269760055</v>
      </c>
    </row>
    <row r="39" spans="2:31" x14ac:dyDescent="0.3">
      <c r="B39" s="8">
        <v>1.4</v>
      </c>
      <c r="G39" s="9">
        <v>34</v>
      </c>
      <c r="H39" s="9">
        <f t="shared" si="12"/>
        <v>1.6511705685618703</v>
      </c>
      <c r="I39" s="9">
        <f t="shared" si="0"/>
        <v>0.11086491620660013</v>
      </c>
      <c r="J39" s="9">
        <f t="shared" si="1"/>
        <v>0.18274911648170025</v>
      </c>
      <c r="K39" s="9">
        <f t="shared" si="2"/>
        <v>0.38559451031246517</v>
      </c>
      <c r="L39" s="9">
        <f t="shared" si="3"/>
        <v>0.11277523072132821</v>
      </c>
      <c r="M39" s="9">
        <f t="shared" si="4"/>
        <v>3.2396132280153284E-2</v>
      </c>
      <c r="X39" s="9">
        <f t="shared" si="5"/>
        <v>0.15899787925164899</v>
      </c>
      <c r="Y39" s="9">
        <f t="shared" si="6"/>
        <v>0.39133458164378832</v>
      </c>
      <c r="Z39" s="9">
        <f t="shared" si="7"/>
        <v>0.10325705599472916</v>
      </c>
      <c r="AB39" s="9">
        <f t="shared" si="8"/>
        <v>0.19699808020396378</v>
      </c>
      <c r="AC39" s="9">
        <f t="shared" si="9"/>
        <v>0.28082040927947149</v>
      </c>
      <c r="AD39" s="9">
        <f t="shared" si="10"/>
        <v>0.19590920047982602</v>
      </c>
      <c r="AE39" s="9">
        <f t="shared" si="11"/>
        <v>0.2021999251636559</v>
      </c>
    </row>
    <row r="40" spans="2:31" x14ac:dyDescent="0.3">
      <c r="B40" s="8">
        <v>1.5</v>
      </c>
      <c r="G40" s="9">
        <v>35</v>
      </c>
      <c r="H40" s="9">
        <f t="shared" si="12"/>
        <v>1.6709030100334421</v>
      </c>
      <c r="I40" s="9">
        <f t="shared" si="0"/>
        <v>0.11234680660642457</v>
      </c>
      <c r="J40" s="9">
        <f t="shared" si="1"/>
        <v>0.18143914939758532</v>
      </c>
      <c r="K40" s="9">
        <f t="shared" si="2"/>
        <v>0.33989593134177387</v>
      </c>
      <c r="L40" s="9">
        <f t="shared" si="3"/>
        <v>0.11319630992731421</v>
      </c>
      <c r="M40" s="9">
        <f t="shared" si="4"/>
        <v>3.2405265915552726E-2</v>
      </c>
      <c r="X40" s="9">
        <f t="shared" si="5"/>
        <v>0.15852889644184009</v>
      </c>
      <c r="Y40" s="9">
        <f t="shared" si="6"/>
        <v>0.34959621346154723</v>
      </c>
      <c r="Z40" s="9">
        <f t="shared" si="7"/>
        <v>0.10401745303992038</v>
      </c>
      <c r="AB40" s="9">
        <f t="shared" si="8"/>
        <v>0.20013095956963639</v>
      </c>
      <c r="AC40" s="9">
        <f t="shared" si="9"/>
        <v>0.28814434019040325</v>
      </c>
      <c r="AD40" s="9">
        <f t="shared" si="10"/>
        <v>0.1979542348643791</v>
      </c>
      <c r="AE40" s="9">
        <f t="shared" si="11"/>
        <v>0.20579328833322097</v>
      </c>
    </row>
    <row r="41" spans="2:31" x14ac:dyDescent="0.3">
      <c r="B41" s="8">
        <v>1.2</v>
      </c>
      <c r="G41" s="9">
        <v>36</v>
      </c>
      <c r="H41" s="9">
        <f t="shared" si="12"/>
        <v>1.6906354515050139</v>
      </c>
      <c r="I41" s="9">
        <f t="shared" si="0"/>
        <v>0.11383428075934557</v>
      </c>
      <c r="J41" s="9">
        <f t="shared" si="1"/>
        <v>0.18000857266345455</v>
      </c>
      <c r="K41" s="9">
        <f t="shared" si="2"/>
        <v>0.29666355693723639</v>
      </c>
      <c r="L41" s="9">
        <f t="shared" si="3"/>
        <v>0.11361190539340221</v>
      </c>
      <c r="M41" s="9">
        <f t="shared" si="4"/>
        <v>3.2414316363528241E-2</v>
      </c>
      <c r="X41" s="9">
        <f t="shared" si="5"/>
        <v>0.1580051162618839</v>
      </c>
      <c r="Y41" s="9">
        <f t="shared" si="6"/>
        <v>0.30501501928941016</v>
      </c>
      <c r="Z41" s="9">
        <f t="shared" si="7"/>
        <v>0.10476670568698825</v>
      </c>
      <c r="AB41" s="9">
        <f t="shared" si="8"/>
        <v>0.2032540441165136</v>
      </c>
      <c r="AC41" s="9">
        <f t="shared" si="9"/>
        <v>0.29460191339794989</v>
      </c>
      <c r="AD41" s="9">
        <f t="shared" si="10"/>
        <v>0.20001416378602946</v>
      </c>
      <c r="AE41" s="9">
        <f t="shared" si="11"/>
        <v>0.20935960658651012</v>
      </c>
    </row>
    <row r="42" spans="2:31" x14ac:dyDescent="0.3">
      <c r="B42" s="8">
        <v>1.3</v>
      </c>
      <c r="G42" s="9">
        <v>37</v>
      </c>
      <c r="H42" s="9">
        <f t="shared" si="12"/>
        <v>1.7103678929765858</v>
      </c>
      <c r="I42" s="9">
        <f t="shared" si="0"/>
        <v>0.11532703844646371</v>
      </c>
      <c r="J42" s="9">
        <f t="shared" si="1"/>
        <v>0.17846123815119785</v>
      </c>
      <c r="K42" s="9">
        <f t="shared" si="2"/>
        <v>0.25654328597120274</v>
      </c>
      <c r="L42" s="9">
        <f t="shared" si="3"/>
        <v>0.11402214159998246</v>
      </c>
      <c r="M42" s="9">
        <f t="shared" si="4"/>
        <v>3.242328355283778E-2</v>
      </c>
      <c r="X42" s="9">
        <f t="shared" si="5"/>
        <v>0.15742653871178064</v>
      </c>
      <c r="Y42" s="9">
        <f t="shared" si="6"/>
        <v>0.25360203854166308</v>
      </c>
      <c r="Z42" s="9">
        <f t="shared" si="7"/>
        <v>0.10550481393593353</v>
      </c>
      <c r="AB42" s="9">
        <f t="shared" si="8"/>
        <v>0.20636625255869637</v>
      </c>
      <c r="AC42" s="9">
        <f t="shared" si="9"/>
        <v>0.30012824207847449</v>
      </c>
      <c r="AD42" s="9">
        <f t="shared" si="10"/>
        <v>0.2020887673385936</v>
      </c>
      <c r="AE42" s="9">
        <f t="shared" si="11"/>
        <v>0.2128965375512023</v>
      </c>
    </row>
    <row r="43" spans="2:31" x14ac:dyDescent="0.3">
      <c r="B43" s="8">
        <v>1.4</v>
      </c>
      <c r="G43" s="9">
        <v>38</v>
      </c>
      <c r="H43" s="9">
        <f t="shared" si="12"/>
        <v>1.7301003344481576</v>
      </c>
      <c r="I43" s="9">
        <f t="shared" si="0"/>
        <v>0.11682477349974517</v>
      </c>
      <c r="J43" s="9">
        <f t="shared" si="1"/>
        <v>0.17680126643725103</v>
      </c>
      <c r="K43" s="9">
        <f t="shared" si="2"/>
        <v>0.22010116548286432</v>
      </c>
      <c r="L43" s="9">
        <f t="shared" si="3"/>
        <v>0.11442714738494665</v>
      </c>
      <c r="M43" s="9">
        <f t="shared" si="4"/>
        <v>3.2432167412880318E-2</v>
      </c>
      <c r="X43" s="9">
        <f t="shared" si="5"/>
        <v>0.15679316379152999</v>
      </c>
      <c r="Y43" s="9">
        <f t="shared" si="6"/>
        <v>0.21026257355387923</v>
      </c>
      <c r="Z43" s="9">
        <f t="shared" si="7"/>
        <v>0.10623177778675526</v>
      </c>
      <c r="AB43" s="9">
        <f t="shared" si="8"/>
        <v>0.20946650361028524</v>
      </c>
      <c r="AC43" s="9">
        <f t="shared" si="9"/>
        <v>0.3046060766796897</v>
      </c>
      <c r="AD43" s="9">
        <f t="shared" si="10"/>
        <v>0.20417782561588796</v>
      </c>
      <c r="AE43" s="9">
        <f t="shared" si="11"/>
        <v>0.21640181753516571</v>
      </c>
    </row>
    <row r="44" spans="2:31" x14ac:dyDescent="0.3">
      <c r="B44" s="8">
        <v>1.3</v>
      </c>
      <c r="G44" s="9">
        <v>39</v>
      </c>
      <c r="H44" s="9">
        <f t="shared" si="12"/>
        <v>1.7498327759197294</v>
      </c>
      <c r="I44" s="9">
        <f t="shared" si="0"/>
        <v>0.11832717387801696</v>
      </c>
      <c r="J44" s="9">
        <f t="shared" si="1"/>
        <v>0.17503303283720223</v>
      </c>
      <c r="K44" s="9">
        <f t="shared" si="2"/>
        <v>0.18780457966400427</v>
      </c>
      <c r="L44" s="9">
        <f t="shared" si="3"/>
        <v>0.11482705578334952</v>
      </c>
      <c r="M44" s="9">
        <f t="shared" si="4"/>
        <v>3.2440967873696477E-2</v>
      </c>
      <c r="X44" s="9">
        <f t="shared" si="5"/>
        <v>0.15610499150113238</v>
      </c>
      <c r="Y44" s="9">
        <f t="shared" si="6"/>
        <v>0.1957978767315656</v>
      </c>
      <c r="Z44" s="9">
        <f t="shared" si="7"/>
        <v>0.10697556121612907</v>
      </c>
      <c r="AB44" s="9">
        <f t="shared" si="8"/>
        <v>0.21255371598538117</v>
      </c>
      <c r="AC44" s="9">
        <f t="shared" si="9"/>
        <v>0.3086198034548725</v>
      </c>
      <c r="AD44" s="9">
        <f t="shared" si="10"/>
        <v>0.20628117373801069</v>
      </c>
      <c r="AE44" s="9">
        <f t="shared" si="11"/>
        <v>0.21987326669227406</v>
      </c>
    </row>
    <row r="45" spans="2:31" x14ac:dyDescent="0.3">
      <c r="B45" s="8">
        <v>1.5</v>
      </c>
      <c r="G45" s="9">
        <v>40</v>
      </c>
      <c r="H45" s="9">
        <f t="shared" si="12"/>
        <v>1.7695652173913012</v>
      </c>
      <c r="I45" s="9">
        <f t="shared" si="0"/>
        <v>0.11983392174764658</v>
      </c>
      <c r="J45" s="9">
        <f t="shared" si="1"/>
        <v>0.17316115262330042</v>
      </c>
      <c r="K45" s="9">
        <f t="shared" si="2"/>
        <v>0.15997082318298345</v>
      </c>
      <c r="L45" s="9">
        <f t="shared" si="3"/>
        <v>0.11522200386141949</v>
      </c>
      <c r="M45" s="9">
        <f t="shared" si="4"/>
        <v>3.2449684865969851E-2</v>
      </c>
      <c r="X45" s="9">
        <f t="shared" si="5"/>
        <v>0.15540909807857883</v>
      </c>
      <c r="Y45" s="9">
        <f t="shared" si="6"/>
        <v>0.17680576817176374</v>
      </c>
      <c r="Z45" s="9">
        <f t="shared" si="7"/>
        <v>0.10781997848822411</v>
      </c>
      <c r="AB45" s="9">
        <f t="shared" si="8"/>
        <v>0.21562693942927955</v>
      </c>
      <c r="AC45" s="9">
        <f t="shared" si="9"/>
        <v>0.31230343800304111</v>
      </c>
      <c r="AD45" s="9">
        <f t="shared" si="10"/>
        <v>0.20840041362875703</v>
      </c>
      <c r="AE45" s="9">
        <f t="shared" si="11"/>
        <v>0.22330879390446526</v>
      </c>
    </row>
    <row r="46" spans="2:31" x14ac:dyDescent="0.3">
      <c r="B46" s="8">
        <v>1.3</v>
      </c>
      <c r="G46" s="9">
        <v>41</v>
      </c>
      <c r="H46" s="9">
        <f t="shared" si="12"/>
        <v>1.7892976588628731</v>
      </c>
      <c r="I46" s="9">
        <f t="shared" si="0"/>
        <v>0.12134469356790603</v>
      </c>
      <c r="J46" s="9">
        <f t="shared" si="1"/>
        <v>0.17119046550130107</v>
      </c>
      <c r="K46" s="9">
        <f t="shared" si="2"/>
        <v>0.13670125813633019</v>
      </c>
      <c r="L46" s="9">
        <f t="shared" si="3"/>
        <v>0.1156121325450828</v>
      </c>
      <c r="M46" s="9">
        <f t="shared" si="4"/>
        <v>3.2458318321027468E-2</v>
      </c>
      <c r="X46" s="9">
        <f t="shared" si="5"/>
        <v>0.15477692509466259</v>
      </c>
      <c r="Y46" s="9">
        <f t="shared" si="6"/>
        <v>0.15328624787447362</v>
      </c>
      <c r="Z46" s="9">
        <f t="shared" si="7"/>
        <v>0.10865242585122371</v>
      </c>
      <c r="AB46" s="9">
        <f t="shared" si="8"/>
        <v>0.21868739684383476</v>
      </c>
      <c r="AC46" s="9">
        <f t="shared" si="9"/>
        <v>0.31556764343706784</v>
      </c>
      <c r="AD46" s="9">
        <f t="shared" si="10"/>
        <v>0.21053619783613714</v>
      </c>
      <c r="AE46" s="9">
        <f t="shared" si="11"/>
        <v>0.22670640136466902</v>
      </c>
    </row>
    <row r="47" spans="2:31" x14ac:dyDescent="0.3">
      <c r="B47" s="8">
        <v>1.3</v>
      </c>
      <c r="G47" s="9">
        <v>42</v>
      </c>
      <c r="H47" s="9">
        <f t="shared" si="12"/>
        <v>1.8090301003344449</v>
      </c>
      <c r="I47" s="9">
        <f t="shared" si="0"/>
        <v>0.12285916018101586</v>
      </c>
      <c r="J47" s="9">
        <f t="shared" si="1"/>
        <v>0.16912601942616362</v>
      </c>
      <c r="K47" s="9">
        <f t="shared" si="2"/>
        <v>0.11782780842747924</v>
      </c>
      <c r="L47" s="9">
        <f t="shared" si="3"/>
        <v>0.11599758644319423</v>
      </c>
      <c r="M47" s="9">
        <f t="shared" si="4"/>
        <v>3.2466868170840969E-2</v>
      </c>
      <c r="X47" s="9">
        <f t="shared" si="5"/>
        <v>0.15408780582412276</v>
      </c>
      <c r="Y47" s="9">
        <f t="shared" si="6"/>
        <v>0.12523931583969525</v>
      </c>
      <c r="Z47" s="9">
        <f t="shared" si="7"/>
        <v>0.10947290330512843</v>
      </c>
      <c r="AB47" s="9">
        <f t="shared" si="8"/>
        <v>0.22173481809735088</v>
      </c>
      <c r="AC47" s="9">
        <f t="shared" si="9"/>
        <v>0.31832308286982502</v>
      </c>
      <c r="AD47" s="9">
        <f t="shared" si="10"/>
        <v>0.21268829016462076</v>
      </c>
      <c r="AE47" s="9">
        <f t="shared" si="11"/>
        <v>0.23006418884677496</v>
      </c>
    </row>
    <row r="48" spans="2:31" x14ac:dyDescent="0.3">
      <c r="B48" s="8">
        <v>1.3</v>
      </c>
      <c r="G48" s="9">
        <v>43</v>
      </c>
      <c r="H48" s="9">
        <f t="shared" si="12"/>
        <v>1.8287625418060167</v>
      </c>
      <c r="I48" s="9">
        <f t="shared" si="0"/>
        <v>0.12437698690686111</v>
      </c>
      <c r="J48" s="9">
        <f t="shared" si="1"/>
        <v>0.16697305383870623</v>
      </c>
      <c r="K48" s="9">
        <f t="shared" si="2"/>
        <v>0.10289770836306268</v>
      </c>
      <c r="L48" s="9">
        <f t="shared" si="3"/>
        <v>0.11637851366565295</v>
      </c>
      <c r="M48" s="9">
        <f t="shared" si="4"/>
        <v>3.2475334348027574E-2</v>
      </c>
      <c r="X48" s="9">
        <f t="shared" si="5"/>
        <v>0.15334174026695935</v>
      </c>
      <c r="Y48" s="9">
        <f t="shared" si="6"/>
        <v>9.9966227619194617E-2</v>
      </c>
      <c r="Z48" s="9">
        <f t="shared" si="7"/>
        <v>0.11028141084993802</v>
      </c>
      <c r="AB48" s="9">
        <f t="shared" si="8"/>
        <v>0.22476807950056041</v>
      </c>
      <c r="AC48" s="9">
        <f t="shared" si="9"/>
        <v>0.32049916961173569</v>
      </c>
      <c r="AD48" s="9">
        <f t="shared" si="10"/>
        <v>0.21485645441867651</v>
      </c>
      <c r="AE48" s="9">
        <f t="shared" si="11"/>
        <v>0.23338035765038706</v>
      </c>
    </row>
    <row r="49" spans="2:31" x14ac:dyDescent="0.3">
      <c r="B49" s="8">
        <v>1.6</v>
      </c>
      <c r="G49" s="9">
        <v>44</v>
      </c>
      <c r="H49" s="9">
        <f t="shared" si="12"/>
        <v>1.8484949832775885</v>
      </c>
      <c r="I49" s="9">
        <f t="shared" si="0"/>
        <v>0.12589783364236617</v>
      </c>
      <c r="J49" s="9">
        <f t="shared" si="1"/>
        <v>0.16473698240730239</v>
      </c>
      <c r="K49" s="9">
        <f t="shared" si="2"/>
        <v>9.1212012312201607E-2</v>
      </c>
      <c r="L49" s="9">
        <f t="shared" si="3"/>
        <v>0.1167550656366098</v>
      </c>
      <c r="M49" s="9">
        <f t="shared" si="4"/>
        <v>3.2483716785850707E-2</v>
      </c>
      <c r="X49" s="9">
        <f t="shared" si="5"/>
        <v>0.15253872842317248</v>
      </c>
      <c r="Y49" s="9">
        <f t="shared" si="6"/>
        <v>9.2345773182301388E-2</v>
      </c>
      <c r="Z49" s="9">
        <f t="shared" si="7"/>
        <v>0.11108256349750883</v>
      </c>
      <c r="AB49" s="9">
        <f t="shared" si="8"/>
        <v>0.22778605736419513</v>
      </c>
      <c r="AC49" s="9">
        <f t="shared" si="9"/>
        <v>0.32239999829590421</v>
      </c>
      <c r="AD49" s="9">
        <f t="shared" si="10"/>
        <v>0.21704046039602459</v>
      </c>
      <c r="AE49" s="9">
        <f t="shared" si="11"/>
        <v>0.23665321420977706</v>
      </c>
    </row>
    <row r="50" spans="2:31" x14ac:dyDescent="0.3">
      <c r="B50" s="8">
        <v>1.9</v>
      </c>
      <c r="G50" s="9">
        <v>45</v>
      </c>
      <c r="H50" s="9">
        <f t="shared" si="12"/>
        <v>1.8682274247491604</v>
      </c>
      <c r="I50" s="9">
        <f t="shared" si="0"/>
        <v>0.12742135496551252</v>
      </c>
      <c r="J50" s="9">
        <f t="shared" si="1"/>
        <v>0.16242337536018706</v>
      </c>
      <c r="K50" s="9">
        <f t="shared" si="2"/>
        <v>8.1916768065013204E-2</v>
      </c>
      <c r="L50" s="9">
        <f t="shared" si="3"/>
        <v>0.11712739690296102</v>
      </c>
      <c r="M50" s="9">
        <f t="shared" si="4"/>
        <v>3.2492015418221082E-2</v>
      </c>
      <c r="X50" s="9">
        <f t="shared" si="5"/>
        <v>0.15167877029276203</v>
      </c>
      <c r="Y50" s="9">
        <f t="shared" si="6"/>
        <v>8.2635744097336664E-2</v>
      </c>
      <c r="Z50" s="9">
        <f t="shared" si="7"/>
        <v>0.11190208077021918</v>
      </c>
      <c r="AB50" s="9">
        <f t="shared" si="8"/>
        <v>0.23078762799898742</v>
      </c>
      <c r="AC50" s="9">
        <f t="shared" si="9"/>
        <v>0.32412984060418815</v>
      </c>
      <c r="AD50" s="9">
        <f t="shared" si="10"/>
        <v>0.2192404961393831</v>
      </c>
      <c r="AE50" s="9">
        <f t="shared" si="11"/>
        <v>0.23988117335811096</v>
      </c>
    </row>
    <row r="51" spans="2:31" x14ac:dyDescent="0.3">
      <c r="B51" s="8">
        <v>1.4</v>
      </c>
      <c r="G51" s="9">
        <v>46</v>
      </c>
      <c r="H51" s="9">
        <f t="shared" si="12"/>
        <v>1.8879598662207322</v>
      </c>
      <c r="I51" s="9">
        <f t="shared" si="0"/>
        <v>0.12894720024397746</v>
      </c>
      <c r="J51" s="9">
        <f t="shared" si="1"/>
        <v>0.16003794149485157</v>
      </c>
      <c r="K51" s="9">
        <f t="shared" si="2"/>
        <v>7.4128750860316672E-2</v>
      </c>
      <c r="L51" s="9">
        <f t="shared" si="3"/>
        <v>0.11749566493834827</v>
      </c>
      <c r="M51" s="9">
        <f t="shared" si="4"/>
        <v>3.2500230179697422E-2</v>
      </c>
      <c r="X51" s="9">
        <f t="shared" si="5"/>
        <v>0.15076186587572804</v>
      </c>
      <c r="Y51" s="9">
        <f t="shared" si="6"/>
        <v>7.0836140364300401E-2</v>
      </c>
      <c r="Z51" s="9">
        <f t="shared" si="7"/>
        <v>0.11270942175609149</v>
      </c>
      <c r="AB51" s="9">
        <f t="shared" si="8"/>
        <v>0.23377166771566985</v>
      </c>
      <c r="AC51" s="9">
        <f t="shared" si="9"/>
        <v>0.32564746412714402</v>
      </c>
      <c r="AD51" s="9">
        <f t="shared" si="10"/>
        <v>0.22145658282542699</v>
      </c>
      <c r="AE51" s="9">
        <f t="shared" si="11"/>
        <v>0.24306276123971324</v>
      </c>
    </row>
    <row r="52" spans="2:31" x14ac:dyDescent="0.3">
      <c r="B52" s="8">
        <v>1.6</v>
      </c>
      <c r="G52" s="9">
        <v>47</v>
      </c>
      <c r="H52" s="9">
        <f t="shared" si="12"/>
        <v>1.907692307692304</v>
      </c>
      <c r="I52" s="9">
        <f t="shared" si="0"/>
        <v>0.13047501374836898</v>
      </c>
      <c r="J52" s="9">
        <f t="shared" si="1"/>
        <v>0.15758650995134427</v>
      </c>
      <c r="K52" s="9">
        <f t="shared" si="2"/>
        <v>6.7066273074470217E-2</v>
      </c>
      <c r="L52" s="9">
        <f t="shared" si="3"/>
        <v>0.11786002994287535</v>
      </c>
      <c r="M52" s="9">
        <f t="shared" si="4"/>
        <v>3.2508361005487436E-2</v>
      </c>
      <c r="X52" s="9">
        <f t="shared" si="5"/>
        <v>0.14978801517207055</v>
      </c>
      <c r="Y52" s="9">
        <f t="shared" si="6"/>
        <v>5.6946961983192664E-2</v>
      </c>
      <c r="Z52" s="9">
        <f t="shared" si="7"/>
        <v>0.11350458645512579</v>
      </c>
      <c r="AB52" s="9">
        <f t="shared" si="8"/>
        <v>0.23673705282497376</v>
      </c>
      <c r="AC52" s="9">
        <f t="shared" si="9"/>
        <v>0.32691163645532823</v>
      </c>
      <c r="AD52" s="9">
        <f t="shared" si="10"/>
        <v>0.22368848018628759</v>
      </c>
      <c r="AE52" s="9">
        <f t="shared" si="11"/>
        <v>0.24619661786486835</v>
      </c>
    </row>
    <row r="53" spans="2:31" x14ac:dyDescent="0.3">
      <c r="B53" s="8">
        <v>1.4</v>
      </c>
      <c r="G53" s="9">
        <v>48</v>
      </c>
      <c r="H53" s="9">
        <f t="shared" si="12"/>
        <v>1.9274247491638759</v>
      </c>
      <c r="I53" s="9">
        <f t="shared" si="0"/>
        <v>0.13200443477002655</v>
      </c>
      <c r="J53" s="9">
        <f t="shared" si="1"/>
        <v>0.15507501183613376</v>
      </c>
      <c r="K53" s="9">
        <f t="shared" si="2"/>
        <v>6.0153753685518119E-2</v>
      </c>
      <c r="L53" s="9">
        <f t="shared" si="3"/>
        <v>0.11822065463877045</v>
      </c>
      <c r="M53" s="9">
        <f t="shared" si="4"/>
        <v>3.2516407831448706E-2</v>
      </c>
      <c r="X53" s="9">
        <f t="shared" si="5"/>
        <v>0.14875721818178947</v>
      </c>
      <c r="Y53" s="9">
        <f t="shared" si="6"/>
        <v>4.4048645773608293E-2</v>
      </c>
      <c r="Z53" s="9">
        <f t="shared" si="7"/>
        <v>0.11428757486732181</v>
      </c>
      <c r="AB53" s="9">
        <f t="shared" si="8"/>
        <v>0.23968265963763205</v>
      </c>
      <c r="AC53" s="9">
        <f t="shared" si="9"/>
        <v>0.32788698906573399</v>
      </c>
      <c r="AD53" s="9">
        <f t="shared" si="10"/>
        <v>0.22593594795409852</v>
      </c>
      <c r="AE53" s="9">
        <f t="shared" si="11"/>
        <v>0.24928149930334503</v>
      </c>
    </row>
    <row r="54" spans="2:31" x14ac:dyDescent="0.3">
      <c r="B54" s="8">
        <v>1.5</v>
      </c>
      <c r="G54" s="9">
        <v>49</v>
      </c>
      <c r="H54" s="9">
        <f t="shared" si="12"/>
        <v>1.9471571906354477</v>
      </c>
      <c r="I54" s="9">
        <f t="shared" si="0"/>
        <v>0.13353509774335393</v>
      </c>
      <c r="J54" s="9">
        <f t="shared" si="1"/>
        <v>0.15250946178243824</v>
      </c>
      <c r="K54" s="9">
        <f t="shared" si="2"/>
        <v>5.3076802908257309E-2</v>
      </c>
      <c r="L54" s="9">
        <f t="shared" si="3"/>
        <v>0.11857770406222211</v>
      </c>
      <c r="M54" s="9">
        <f t="shared" si="4"/>
        <v>3.2524370594089309E-2</v>
      </c>
      <c r="X54" s="9">
        <f t="shared" si="5"/>
        <v>0.14766947490488486</v>
      </c>
      <c r="Y54" s="9">
        <f t="shared" si="6"/>
        <v>4.2732331800388233E-2</v>
      </c>
      <c r="Z54" s="9">
        <f t="shared" si="7"/>
        <v>0.11506062507363313</v>
      </c>
      <c r="AB54" s="9">
        <f t="shared" si="8"/>
        <v>0.24260736446437639</v>
      </c>
      <c r="AC54" s="9">
        <f t="shared" si="9"/>
        <v>0.32874433469085307</v>
      </c>
      <c r="AD54" s="9">
        <f t="shared" si="10"/>
        <v>0.22819874727012907</v>
      </c>
      <c r="AE54" s="9">
        <f t="shared" si="11"/>
        <v>0.25231627951454516</v>
      </c>
    </row>
    <row r="55" spans="2:31" x14ac:dyDescent="0.3">
      <c r="B55" s="8">
        <v>1.4</v>
      </c>
      <c r="G55" s="9">
        <v>50</v>
      </c>
      <c r="H55" s="9">
        <f t="shared" si="12"/>
        <v>1.9668896321070195</v>
      </c>
      <c r="I55" s="9">
        <f t="shared" si="0"/>
        <v>0.13506663237264566</v>
      </c>
      <c r="J55" s="9">
        <f t="shared" si="1"/>
        <v>0.1498959395316867</v>
      </c>
      <c r="K55" s="9">
        <f t="shared" si="2"/>
        <v>4.5779327554826311E-2</v>
      </c>
      <c r="L55" s="9">
        <f t="shared" si="3"/>
        <v>0.11893134535162668</v>
      </c>
      <c r="M55" s="9">
        <f t="shared" si="4"/>
        <v>3.2532249230568779E-2</v>
      </c>
      <c r="X55" s="9">
        <f t="shared" si="5"/>
        <v>0.14654924270554925</v>
      </c>
      <c r="Y55" s="9">
        <f t="shared" si="6"/>
        <v>4.0719492944477666E-2</v>
      </c>
      <c r="Z55" s="9">
        <f t="shared" si="7"/>
        <v>0.11585422444995541</v>
      </c>
      <c r="AB55" s="9">
        <f t="shared" si="8"/>
        <v>0.24551007894119839</v>
      </c>
      <c r="AC55" s="9">
        <f t="shared" si="9"/>
        <v>0.32956883415929683</v>
      </c>
      <c r="AD55" s="9">
        <f t="shared" si="10"/>
        <v>0.23047702450838278</v>
      </c>
      <c r="AE55" s="9">
        <f t="shared" si="11"/>
        <v>0.25529995181386578</v>
      </c>
    </row>
    <row r="56" spans="2:31" x14ac:dyDescent="0.3">
      <c r="B56" s="8">
        <v>4.7</v>
      </c>
      <c r="G56" s="9">
        <v>51</v>
      </c>
      <c r="H56" s="9">
        <f t="shared" si="12"/>
        <v>1.9866220735785913</v>
      </c>
      <c r="I56" s="9">
        <f t="shared" si="0"/>
        <v>0.13659866376336349</v>
      </c>
      <c r="J56" s="9">
        <f t="shared" si="1"/>
        <v>0.14724057161902501</v>
      </c>
      <c r="K56" s="9">
        <f t="shared" si="2"/>
        <v>3.8410230159074098E-2</v>
      </c>
      <c r="L56" s="9">
        <f t="shared" si="3"/>
        <v>0.11928174753248759</v>
      </c>
      <c r="M56" s="9">
        <f t="shared" si="4"/>
        <v>3.2540043678699074E-2</v>
      </c>
      <c r="X56" s="9">
        <f t="shared" si="5"/>
        <v>0.14551349228067861</v>
      </c>
      <c r="Y56" s="9">
        <f t="shared" si="6"/>
        <v>3.8010129205876597E-2</v>
      </c>
      <c r="Z56" s="9">
        <f t="shared" si="7"/>
        <v>0.11663544116169643</v>
      </c>
      <c r="AB56" s="9">
        <f t="shared" si="8"/>
        <v>0.2483917315276564</v>
      </c>
      <c r="AC56" s="9">
        <f t="shared" si="9"/>
        <v>0.33034674333458403</v>
      </c>
      <c r="AD56" s="9">
        <f t="shared" si="10"/>
        <v>0.23277083922978031</v>
      </c>
      <c r="AE56" s="9">
        <f t="shared" si="11"/>
        <v>0.25823162997651306</v>
      </c>
    </row>
    <row r="57" spans="2:31" x14ac:dyDescent="0.3">
      <c r="B57" s="8">
        <v>4.5</v>
      </c>
      <c r="G57" s="9">
        <v>52</v>
      </c>
      <c r="H57" s="9">
        <f t="shared" si="12"/>
        <v>2.0063545150501634</v>
      </c>
      <c r="I57" s="9">
        <f t="shared" si="0"/>
        <v>0.13813081255781662</v>
      </c>
      <c r="J57" s="9">
        <f t="shared" si="1"/>
        <v>0.14454951324353002</v>
      </c>
      <c r="K57" s="9">
        <f t="shared" si="2"/>
        <v>3.1239344503162396E-2</v>
      </c>
      <c r="L57" s="9">
        <f t="shared" si="3"/>
        <v>0.11962908129921389</v>
      </c>
      <c r="M57" s="9">
        <f t="shared" si="4"/>
        <v>3.254775387694523E-2</v>
      </c>
      <c r="X57" s="9">
        <f t="shared" si="5"/>
        <v>0.14441864665270809</v>
      </c>
      <c r="Y57" s="9">
        <f t="shared" si="6"/>
        <v>3.4604240584584986E-2</v>
      </c>
      <c r="Z57" s="9">
        <f t="shared" si="7"/>
        <v>0.11740427520885639</v>
      </c>
      <c r="AB57" s="9">
        <f t="shared" si="8"/>
        <v>0.25125236318315808</v>
      </c>
      <c r="AC57" s="9">
        <f t="shared" si="9"/>
        <v>0.33106431808023346</v>
      </c>
      <c r="AD57" s="9">
        <f t="shared" si="10"/>
        <v>0.23507994709411587</v>
      </c>
      <c r="AE57" s="9">
        <f t="shared" si="11"/>
        <v>0.26111054898161085</v>
      </c>
    </row>
    <row r="58" spans="2:31" x14ac:dyDescent="0.3">
      <c r="B58" s="8">
        <v>4.9000000000000004</v>
      </c>
      <c r="G58" s="9">
        <v>53</v>
      </c>
      <c r="H58" s="9">
        <f t="shared" si="12"/>
        <v>2.0260869565217354</v>
      </c>
      <c r="I58" s="9">
        <f t="shared" si="0"/>
        <v>0.13966269507519247</v>
      </c>
      <c r="J58" s="9">
        <f t="shared" si="1"/>
        <v>0.14182893040110225</v>
      </c>
      <c r="K58" s="9">
        <f t="shared" si="2"/>
        <v>2.4567013108479543E-2</v>
      </c>
      <c r="L58" s="9">
        <f t="shared" si="3"/>
        <v>0.11997351879406788</v>
      </c>
      <c r="M58" s="9">
        <f t="shared" si="4"/>
        <v>3.2555379764426177E-2</v>
      </c>
      <c r="X58" s="9">
        <f t="shared" si="5"/>
        <v>0.14326470582163781</v>
      </c>
      <c r="Y58" s="9">
        <f t="shared" si="6"/>
        <v>3.050182708060286E-2</v>
      </c>
      <c r="Z58" s="9">
        <f t="shared" si="7"/>
        <v>0.1181607265914353</v>
      </c>
      <c r="AB58" s="9">
        <f t="shared" si="8"/>
        <v>0.25409080781506721</v>
      </c>
      <c r="AC58" s="9">
        <f t="shared" si="9"/>
        <v>0.33170781425976398</v>
      </c>
      <c r="AD58" s="9">
        <f t="shared" si="10"/>
        <v>0.23740410376118759</v>
      </c>
      <c r="AE58" s="9">
        <f t="shared" si="11"/>
        <v>0.26393606540103931</v>
      </c>
    </row>
    <row r="59" spans="2:31" x14ac:dyDescent="0.3">
      <c r="B59" s="8">
        <v>4</v>
      </c>
      <c r="G59" s="9">
        <v>54</v>
      </c>
      <c r="H59" s="9">
        <f t="shared" si="12"/>
        <v>2.0458193979933075</v>
      </c>
      <c r="I59" s="9">
        <f t="shared" si="0"/>
        <v>0.14119392345588336</v>
      </c>
      <c r="J59" s="9">
        <f t="shared" si="1"/>
        <v>0.13908498235487532</v>
      </c>
      <c r="K59" s="9">
        <f t="shared" si="2"/>
        <v>1.864881216760652E-2</v>
      </c>
      <c r="L59" s="9">
        <f t="shared" si="3"/>
        <v>0.12031523338352627</v>
      </c>
      <c r="M59" s="9">
        <f t="shared" si="4"/>
        <v>3.2562921280915508E-2</v>
      </c>
      <c r="X59" s="9">
        <f t="shared" si="5"/>
        <v>0.14205166978746736</v>
      </c>
      <c r="Y59" s="9">
        <f t="shared" si="6"/>
        <v>2.5702888693930209E-2</v>
      </c>
      <c r="Z59" s="9">
        <f t="shared" si="7"/>
        <v>0.11890479530943283</v>
      </c>
      <c r="AB59" s="9">
        <f t="shared" si="8"/>
        <v>0.25690589933074731</v>
      </c>
      <c r="AC59" s="9">
        <f t="shared" si="9"/>
        <v>0.3322634877366944</v>
      </c>
      <c r="AD59" s="9">
        <f t="shared" si="10"/>
        <v>0.23974306489078928</v>
      </c>
      <c r="AE59" s="9">
        <f t="shared" si="11"/>
        <v>0.26670765743891206</v>
      </c>
    </row>
    <row r="60" spans="2:31" x14ac:dyDescent="0.3">
      <c r="B60" s="8">
        <v>4.5999999999999996</v>
      </c>
      <c r="G60" s="9">
        <v>55</v>
      </c>
      <c r="H60" s="9">
        <f t="shared" si="12"/>
        <v>2.0655518394648795</v>
      </c>
      <c r="I60" s="9">
        <f t="shared" si="0"/>
        <v>0.14272410581004683</v>
      </c>
      <c r="J60" s="9">
        <f t="shared" si="1"/>
        <v>0.13632380451444123</v>
      </c>
      <c r="K60" s="9">
        <f t="shared" si="2"/>
        <v>1.3648633665768179E-2</v>
      </c>
      <c r="L60" s="9">
        <f t="shared" si="3"/>
        <v>0.12065439943230254</v>
      </c>
      <c r="M60" s="9">
        <f t="shared" si="4"/>
        <v>3.2570378366842526E-2</v>
      </c>
      <c r="X60" s="9">
        <f t="shared" si="5"/>
        <v>0.14078610510591555</v>
      </c>
      <c r="Y60" s="9">
        <f t="shared" si="6"/>
        <v>2.0207425424567042E-2</v>
      </c>
      <c r="Z60" s="9">
        <f t="shared" si="7"/>
        <v>0.11967131909382313</v>
      </c>
      <c r="AB60" s="9">
        <f t="shared" si="8"/>
        <v>0.25969647672757579</v>
      </c>
      <c r="AC60" s="9">
        <f t="shared" si="9"/>
        <v>0.33271759437454357</v>
      </c>
      <c r="AD60" s="9">
        <f t="shared" si="10"/>
        <v>0.24209692882503661</v>
      </c>
      <c r="AE60" s="9">
        <f t="shared" si="11"/>
        <v>0.26942492462908185</v>
      </c>
    </row>
    <row r="61" spans="2:31" x14ac:dyDescent="0.3">
      <c r="B61" s="8">
        <v>4.5</v>
      </c>
      <c r="G61" s="9">
        <v>56</v>
      </c>
      <c r="H61" s="9">
        <f t="shared" si="12"/>
        <v>2.0852842809364516</v>
      </c>
      <c r="I61" s="9">
        <f t="shared" si="0"/>
        <v>0.14425284637033628</v>
      </c>
      <c r="J61" s="9">
        <f t="shared" si="1"/>
        <v>0.1335514917912928</v>
      </c>
      <c r="K61" s="9">
        <f t="shared" si="2"/>
        <v>9.623255472401001E-3</v>
      </c>
      <c r="L61" s="9">
        <f t="shared" si="3"/>
        <v>0.12099119207530688</v>
      </c>
      <c r="M61" s="9">
        <f t="shared" si="4"/>
        <v>3.2577750963292594E-2</v>
      </c>
      <c r="X61" s="9">
        <f t="shared" si="5"/>
        <v>0.13953789422281215</v>
      </c>
      <c r="Y61" s="9">
        <f t="shared" si="6"/>
        <v>1.4015437272513356E-2</v>
      </c>
      <c r="Z61" s="9">
        <f t="shared" si="7"/>
        <v>0.12042539363442935</v>
      </c>
      <c r="AB61" s="9">
        <f t="shared" si="8"/>
        <v>0.26246231412368487</v>
      </c>
      <c r="AC61" s="9">
        <f t="shared" si="9"/>
        <v>0.33305639003683024</v>
      </c>
      <c r="AD61" s="9">
        <f t="shared" si="10"/>
        <v>0.24446579669179533</v>
      </c>
      <c r="AE61" s="9">
        <f t="shared" si="11"/>
        <v>0.27208758719939058</v>
      </c>
    </row>
    <row r="62" spans="2:31" x14ac:dyDescent="0.3">
      <c r="B62" s="8">
        <v>4.7</v>
      </c>
      <c r="G62" s="9">
        <v>57</v>
      </c>
      <c r="H62" s="9">
        <f t="shared" si="12"/>
        <v>2.1050167224080236</v>
      </c>
      <c r="I62" s="9">
        <f t="shared" si="0"/>
        <v>0.1457797456487312</v>
      </c>
      <c r="J62" s="9">
        <f t="shared" si="1"/>
        <v>0.13077408249365013</v>
      </c>
      <c r="K62" s="9">
        <f t="shared" si="2"/>
        <v>6.5330783419929872E-3</v>
      </c>
      <c r="L62" s="9">
        <f t="shared" si="3"/>
        <v>0.12132578698780344</v>
      </c>
      <c r="M62" s="9">
        <f t="shared" si="4"/>
        <v>3.2585039012008384E-2</v>
      </c>
      <c r="X62" s="9">
        <f t="shared" si="5"/>
        <v>0.13822951367837089</v>
      </c>
      <c r="Y62" s="9">
        <f t="shared" si="6"/>
        <v>7.1269242377691522E-3</v>
      </c>
      <c r="Z62" s="9">
        <f t="shared" si="7"/>
        <v>0.1211668791327115</v>
      </c>
      <c r="AB62" s="9">
        <f t="shared" si="8"/>
        <v>0.26520292762443842</v>
      </c>
      <c r="AC62" s="9">
        <f t="shared" si="9"/>
        <v>0.33326613058707316</v>
      </c>
      <c r="AD62" s="9">
        <f t="shared" si="10"/>
        <v>0.246849420084021</v>
      </c>
      <c r="AE62" s="9">
        <f t="shared" si="11"/>
        <v>0.27469548511271502</v>
      </c>
    </row>
    <row r="63" spans="2:31" x14ac:dyDescent="0.3">
      <c r="B63" s="8">
        <v>3.3</v>
      </c>
      <c r="G63" s="9">
        <v>58</v>
      </c>
      <c r="H63" s="9">
        <f t="shared" si="12"/>
        <v>2.1247491638795957</v>
      </c>
      <c r="I63" s="9">
        <f t="shared" si="0"/>
        <v>0.1473044005973935</v>
      </c>
      <c r="J63" s="9">
        <f t="shared" si="1"/>
        <v>0.12799754281930226</v>
      </c>
      <c r="K63" s="9">
        <f t="shared" si="2"/>
        <v>4.2689497524322972E-3</v>
      </c>
      <c r="L63" s="9">
        <f t="shared" si="3"/>
        <v>0.12165836015404291</v>
      </c>
      <c r="M63" s="9">
        <f t="shared" si="4"/>
        <v>3.2592242455390212E-2</v>
      </c>
      <c r="X63" s="9">
        <f t="shared" si="5"/>
        <v>0.13686096347259138</v>
      </c>
      <c r="Y63" s="9">
        <f t="shared" si="6"/>
        <v>0</v>
      </c>
      <c r="Z63" s="9">
        <f t="shared" si="7"/>
        <v>0.12189577558866947</v>
      </c>
      <c r="AB63" s="9">
        <f t="shared" si="8"/>
        <v>0.26791712993551592</v>
      </c>
      <c r="AC63" s="9">
        <f t="shared" si="9"/>
        <v>0.33333333333333331</v>
      </c>
      <c r="AD63" s="9">
        <f t="shared" si="10"/>
        <v>0.24924755058917303</v>
      </c>
      <c r="AE63" s="9">
        <f t="shared" si="11"/>
        <v>0.27724857679601539</v>
      </c>
    </row>
    <row r="64" spans="2:31" x14ac:dyDescent="0.3">
      <c r="B64" s="8">
        <v>4.5999999999999996</v>
      </c>
      <c r="G64" s="9">
        <v>59</v>
      </c>
      <c r="H64" s="9">
        <f t="shared" si="12"/>
        <v>2.1444816053511677</v>
      </c>
      <c r="I64" s="9">
        <f t="shared" si="0"/>
        <v>0.14882640477347284</v>
      </c>
      <c r="J64" s="9">
        <f t="shared" si="1"/>
        <v>0.12522775200030398</v>
      </c>
      <c r="K64" s="9">
        <f t="shared" si="2"/>
        <v>2.6842756397674459E-3</v>
      </c>
      <c r="L64" s="9">
        <f t="shared" si="3"/>
        <v>0.12198908763463905</v>
      </c>
      <c r="M64" s="9">
        <f t="shared" si="4"/>
        <v>3.2599361236497142E-2</v>
      </c>
      <c r="X64" s="9">
        <f t="shared" si="5"/>
        <v>0.13543224360547382</v>
      </c>
      <c r="Y64" s="9">
        <f t="shared" si="6"/>
        <v>0</v>
      </c>
      <c r="Z64" s="9">
        <f t="shared" si="7"/>
        <v>0.1226120830023031</v>
      </c>
      <c r="AB64" s="9">
        <f t="shared" si="8"/>
        <v>0.27060373376259661</v>
      </c>
      <c r="AC64" s="9">
        <f t="shared" si="9"/>
        <v>0.33333333333333331</v>
      </c>
      <c r="AD64" s="9">
        <f t="shared" si="10"/>
        <v>0.25165993979471113</v>
      </c>
      <c r="AE64" s="9">
        <f t="shared" si="11"/>
        <v>0.27974693756974328</v>
      </c>
    </row>
    <row r="65" spans="2:31" x14ac:dyDescent="0.3">
      <c r="B65" s="8">
        <v>3.9</v>
      </c>
      <c r="G65" s="9">
        <v>60</v>
      </c>
      <c r="H65" s="9">
        <f t="shared" si="12"/>
        <v>2.1642140468227398</v>
      </c>
      <c r="I65" s="9">
        <f t="shared" si="0"/>
        <v>0.15034534850777684</v>
      </c>
      <c r="J65" s="9">
        <f t="shared" si="1"/>
        <v>0.12247048814836778</v>
      </c>
      <c r="K65" s="9">
        <f t="shared" si="2"/>
        <v>1.6239252562635672E-3</v>
      </c>
      <c r="L65" s="9">
        <f t="shared" si="3"/>
        <v>0.12231814533296638</v>
      </c>
      <c r="M65" s="9">
        <f t="shared" si="4"/>
        <v>3.2606395299047526E-2</v>
      </c>
      <c r="X65" s="9">
        <f t="shared" si="5"/>
        <v>0.13394425356774015</v>
      </c>
      <c r="Y65" s="9">
        <f t="shared" si="6"/>
        <v>0</v>
      </c>
      <c r="Z65" s="9">
        <f t="shared" si="7"/>
        <v>0.12336451071551417</v>
      </c>
      <c r="AB65" s="9">
        <f t="shared" si="8"/>
        <v>0.27326155190681162</v>
      </c>
      <c r="AC65" s="9">
        <f t="shared" si="9"/>
        <v>0.33333333333333331</v>
      </c>
      <c r="AD65" s="9">
        <f t="shared" si="10"/>
        <v>0.2540867857756684</v>
      </c>
      <c r="AE65" s="9">
        <f t="shared" si="11"/>
        <v>0.28219075779095298</v>
      </c>
    </row>
    <row r="66" spans="2:31" x14ac:dyDescent="0.3">
      <c r="B66" s="8">
        <v>3.5</v>
      </c>
      <c r="G66" s="9">
        <v>61</v>
      </c>
      <c r="H66" s="9">
        <f t="shared" si="12"/>
        <v>2.1839464882943118</v>
      </c>
      <c r="I66" s="9">
        <f t="shared" si="0"/>
        <v>0.15186081907722129</v>
      </c>
      <c r="J66" s="9">
        <f t="shared" si="1"/>
        <v>0.11973141484459411</v>
      </c>
      <c r="K66" s="9">
        <f t="shared" si="2"/>
        <v>9.4512849365199476E-4</v>
      </c>
      <c r="L66" s="9">
        <f t="shared" si="3"/>
        <v>0.12264570876086271</v>
      </c>
      <c r="M66" s="9">
        <f t="shared" si="4"/>
        <v>3.2613344587419761E-2</v>
      </c>
      <c r="X66" s="9">
        <f t="shared" si="5"/>
        <v>0.13247828277983947</v>
      </c>
      <c r="Y66" s="9">
        <f t="shared" si="6"/>
        <v>0</v>
      </c>
      <c r="Z66" s="9">
        <f t="shared" si="7"/>
        <v>0.12410781775972272</v>
      </c>
      <c r="AB66" s="9">
        <f t="shared" si="8"/>
        <v>0.27589023616740521</v>
      </c>
      <c r="AC66" s="9">
        <f t="shared" si="9"/>
        <v>0.33333333333333331</v>
      </c>
      <c r="AD66" s="9">
        <f t="shared" si="10"/>
        <v>0.25652842360449091</v>
      </c>
      <c r="AE66" s="9">
        <f t="shared" si="11"/>
        <v>0.28458034072438471</v>
      </c>
    </row>
    <row r="67" spans="2:31" x14ac:dyDescent="0.3">
      <c r="B67" s="8">
        <v>4.2</v>
      </c>
      <c r="G67" s="9">
        <v>62</v>
      </c>
      <c r="H67" s="9">
        <f t="shared" si="12"/>
        <v>2.2036789297658839</v>
      </c>
      <c r="I67" s="9">
        <f t="shared" si="0"/>
        <v>0.15337240088096793</v>
      </c>
      <c r="J67" s="9">
        <f t="shared" si="1"/>
        <v>0.11701606851186992</v>
      </c>
      <c r="K67" s="9">
        <f t="shared" si="2"/>
        <v>5.2913935521841445E-4</v>
      </c>
      <c r="L67" s="9">
        <f t="shared" si="3"/>
        <v>0.12297195280390592</v>
      </c>
      <c r="M67" s="9">
        <f t="shared" si="4"/>
        <v>3.2620209046653234E-2</v>
      </c>
      <c r="X67" s="9">
        <f t="shared" si="5"/>
        <v>0.13095106787236277</v>
      </c>
      <c r="Y67" s="9">
        <f t="shared" si="6"/>
        <v>0</v>
      </c>
      <c r="Z67" s="9">
        <f t="shared" si="7"/>
        <v>0.1248382261949928</v>
      </c>
      <c r="AB67" s="9">
        <f t="shared" si="8"/>
        <v>0.2784893889972252</v>
      </c>
      <c r="AC67" s="9">
        <f t="shared" si="9"/>
        <v>0.33333333333333331</v>
      </c>
      <c r="AD67" s="9">
        <f t="shared" si="10"/>
        <v>0.25898460143553648</v>
      </c>
      <c r="AE67" s="9">
        <f t="shared" si="11"/>
        <v>0.28691610015659275</v>
      </c>
    </row>
    <row r="68" spans="2:31" x14ac:dyDescent="0.3">
      <c r="B68" s="8">
        <v>4</v>
      </c>
      <c r="G68" s="9">
        <v>63</v>
      </c>
      <c r="H68" s="9">
        <f t="shared" si="12"/>
        <v>2.2234113712374559</v>
      </c>
      <c r="I68" s="9">
        <f t="shared" si="0"/>
        <v>0.15487967562015595</v>
      </c>
      <c r="J68" s="9">
        <f t="shared" si="1"/>
        <v>0.11432984660283303</v>
      </c>
      <c r="K68" s="9">
        <f t="shared" si="2"/>
        <v>2.8495908796554283E-4</v>
      </c>
      <c r="L68" s="9">
        <f t="shared" si="3"/>
        <v>0.12329705148656096</v>
      </c>
      <c r="M68" s="9">
        <f t="shared" si="4"/>
        <v>3.2626988622448672E-2</v>
      </c>
      <c r="X68" s="9">
        <f t="shared" si="5"/>
        <v>0.12936260884530956</v>
      </c>
      <c r="Y68" s="9">
        <f t="shared" si="6"/>
        <v>0</v>
      </c>
      <c r="Z68" s="9">
        <f t="shared" si="7"/>
        <v>0.12555573602132433</v>
      </c>
      <c r="AB68" s="9">
        <f t="shared" si="8"/>
        <v>0.28105780190026619</v>
      </c>
      <c r="AC68" s="9">
        <f t="shared" si="9"/>
        <v>0.33333333333333331</v>
      </c>
      <c r="AD68" s="9">
        <f t="shared" si="10"/>
        <v>0.26145506474775765</v>
      </c>
      <c r="AE68" s="9">
        <f t="shared" si="11"/>
        <v>0.28919855776889797</v>
      </c>
    </row>
    <row r="69" spans="2:31" x14ac:dyDescent="0.3">
      <c r="B69" s="8">
        <v>4.7</v>
      </c>
      <c r="G69" s="9">
        <v>64</v>
      </c>
      <c r="H69" s="9">
        <f t="shared" si="12"/>
        <v>2.243143812709028</v>
      </c>
      <c r="I69" s="9">
        <f t="shared" si="0"/>
        <v>0.15638222248112726</v>
      </c>
      <c r="J69" s="9">
        <f t="shared" si="1"/>
        <v>0.11167799663084271</v>
      </c>
      <c r="K69" s="9">
        <f t="shared" si="2"/>
        <v>1.4760939561551397E-4</v>
      </c>
      <c r="L69" s="9">
        <f t="shared" si="3"/>
        <v>0.12362117773746285</v>
      </c>
      <c r="M69" s="9">
        <f t="shared" si="4"/>
        <v>3.2633683261169256E-2</v>
      </c>
      <c r="X69" s="9">
        <f t="shared" si="5"/>
        <v>0.1277129056986803</v>
      </c>
      <c r="Y69" s="9">
        <f t="shared" si="6"/>
        <v>0</v>
      </c>
      <c r="Z69" s="9">
        <f t="shared" si="7"/>
        <v>0.1262603472387169</v>
      </c>
      <c r="AB69" s="9">
        <f t="shared" si="8"/>
        <v>0.28359426638052315</v>
      </c>
      <c r="AC69" s="9">
        <f t="shared" si="9"/>
        <v>0.33333333333333331</v>
      </c>
      <c r="AD69" s="9">
        <f t="shared" si="10"/>
        <v>0.26393955902010957</v>
      </c>
      <c r="AE69" s="9">
        <f t="shared" si="11"/>
        <v>0.29142834028553838</v>
      </c>
    </row>
    <row r="70" spans="2:31" x14ac:dyDescent="0.3">
      <c r="B70" s="8">
        <v>3.6</v>
      </c>
      <c r="G70" s="9">
        <v>65</v>
      </c>
      <c r="H70" s="9">
        <f t="shared" si="12"/>
        <v>2.2628762541806</v>
      </c>
      <c r="I70" s="9">
        <f t="shared" si="0"/>
        <v>0.15787961832204256</v>
      </c>
      <c r="J70" s="9">
        <f t="shared" si="1"/>
        <v>0.10906560606588311</v>
      </c>
      <c r="K70" s="9">
        <f t="shared" si="2"/>
        <v>7.3545311919018976E-5</v>
      </c>
      <c r="L70" s="9">
        <f t="shared" si="3"/>
        <v>0.12394450315513493</v>
      </c>
      <c r="M70" s="9">
        <f t="shared" si="4"/>
        <v>3.2640292909841037E-2</v>
      </c>
      <c r="X70" s="9">
        <f t="shared" si="5"/>
        <v>0.12600195843247475</v>
      </c>
      <c r="Y70" s="9">
        <f t="shared" si="6"/>
        <v>0</v>
      </c>
      <c r="Z70" s="9">
        <f t="shared" si="7"/>
        <v>0.12704238117608402</v>
      </c>
      <c r="AB70" s="9">
        <f t="shared" si="8"/>
        <v>0.28609757394199176</v>
      </c>
      <c r="AC70" s="9">
        <f t="shared" si="9"/>
        <v>0.33333333333333331</v>
      </c>
      <c r="AD70" s="9">
        <f t="shared" si="10"/>
        <v>0.26643859712777318</v>
      </c>
      <c r="AE70" s="9">
        <f t="shared" si="11"/>
        <v>0.29360617641387404</v>
      </c>
    </row>
    <row r="71" spans="2:31" x14ac:dyDescent="0.3">
      <c r="B71" s="8">
        <v>4.4000000000000004</v>
      </c>
      <c r="G71" s="9">
        <v>66</v>
      </c>
      <c r="H71" s="9">
        <f t="shared" si="12"/>
        <v>2.2826086956521721</v>
      </c>
      <c r="I71" s="9">
        <f t="shared" ref="I71:I134" si="13">_xlfn.NORM.DIST($H71, $E$5, $E$6, FALSE)</f>
        <v>0.1593714378627811</v>
      </c>
      <c r="J71" s="9">
        <f t="shared" ref="J71:J134" si="14">EstymacjaGaussowska($H71, $B$6:$B$155)</f>
        <v>0.10649759311187938</v>
      </c>
      <c r="K71" s="9">
        <f t="shared" ref="K71:K134" si="15">EstymacjaGaussowska($H71, $B$6:$B$155, $K$5)</f>
        <v>3.5245126904378965E-5</v>
      </c>
      <c r="L71" s="9">
        <f t="shared" ref="L71:L134" si="16">EstymacjaGaussowska($H71, $B$6:$B$155, $L$5)</f>
        <v>0.12426719777441127</v>
      </c>
      <c r="M71" s="9">
        <f t="shared" ref="M71:M134" si="17">EstymacjaGaussowska($H71, $B$6:$B$155, $M$5)</f>
        <v>3.264681751615376E-2</v>
      </c>
      <c r="X71" s="9">
        <f t="shared" ref="X71:X134" si="18">EstymacjaEpanecznikowa($H71, $B$6:$B$155, $X$5)</f>
        <v>0.1243081557803189</v>
      </c>
      <c r="Y71" s="9">
        <f t="shared" ref="Y71:Y134" si="19">EstymacjaEpanecznikowa($H71, $B$6:$B$155, $Y$5)</f>
        <v>0</v>
      </c>
      <c r="Z71" s="9">
        <f t="shared" ref="Z71:Z134" si="20">EstymacjaEpanecznikowa($H71, $B$6:$B$155, $Z$5)</f>
        <v>0.12782559258118059</v>
      </c>
      <c r="AB71" s="9">
        <f t="shared" ref="AB71:AB134" si="21">EstymacjaDystrybuanty($H71, $B$6:$B$155, $AB$5)</f>
        <v>0.28856724685490831</v>
      </c>
      <c r="AC71" s="9">
        <f t="shared" ref="AC71:AC134" si="22">EstymacjaDystrybuanty($H71, $B$6:$B$155, $AC$5)</f>
        <v>0.33333333333333331</v>
      </c>
      <c r="AD71" s="9">
        <f t="shared" ref="AD71:AD134" si="23">EstymacjaDystrybuanty($H71, $B$6:$B$155, $AD$5)</f>
        <v>0.26895320304351616</v>
      </c>
      <c r="AE71" s="9">
        <f t="shared" ref="AE71:AE134" si="24">EstymacjaGaussowskaDystrybuanta($H71, $B$6:$B$155, $AE$5)</f>
        <v>0.29573289359388327</v>
      </c>
    </row>
    <row r="72" spans="2:31" x14ac:dyDescent="0.3">
      <c r="B72" s="8">
        <v>4.5</v>
      </c>
      <c r="G72" s="9">
        <v>67</v>
      </c>
      <c r="H72" s="9">
        <f t="shared" ref="H72:H135" si="25">$H71 + $E$9</f>
        <v>2.3023411371237441</v>
      </c>
      <c r="I72" s="9">
        <f t="shared" si="13"/>
        <v>0.16085725387801245</v>
      </c>
      <c r="J72" s="9">
        <f t="shared" si="14"/>
        <v>0.10397869837647965</v>
      </c>
      <c r="K72" s="9">
        <f t="shared" si="15"/>
        <v>1.6245831986984218E-5</v>
      </c>
      <c r="L72" s="9">
        <f t="shared" si="16"/>
        <v>0.12458942983385453</v>
      </c>
      <c r="M72" s="9">
        <f t="shared" si="17"/>
        <v>3.2653257028461537E-2</v>
      </c>
      <c r="X72" s="9">
        <f t="shared" si="18"/>
        <v>0.1225568070632421</v>
      </c>
      <c r="Y72" s="9">
        <f t="shared" si="19"/>
        <v>0</v>
      </c>
      <c r="Z72" s="9">
        <f t="shared" si="20"/>
        <v>0.12859528624410907</v>
      </c>
      <c r="AB72" s="9">
        <f t="shared" si="21"/>
        <v>0.2910029735450621</v>
      </c>
      <c r="AC72" s="9">
        <f t="shared" si="22"/>
        <v>0.33333333333333331</v>
      </c>
      <c r="AD72" s="9">
        <f t="shared" si="23"/>
        <v>0.2714831302634424</v>
      </c>
      <c r="AE72" s="9">
        <f t="shared" si="24"/>
        <v>0.29780941457447552</v>
      </c>
    </row>
    <row r="73" spans="2:31" x14ac:dyDescent="0.3">
      <c r="B73" s="8">
        <v>4.0999999999999996</v>
      </c>
      <c r="G73" s="9">
        <v>68</v>
      </c>
      <c r="H73" s="9">
        <f t="shared" si="25"/>
        <v>2.3220735785953162</v>
      </c>
      <c r="I73" s="9">
        <f t="shared" si="13"/>
        <v>0.16233663739332596</v>
      </c>
      <c r="J73" s="9">
        <f t="shared" si="14"/>
        <v>0.10151347743906043</v>
      </c>
      <c r="K73" s="9">
        <f t="shared" si="15"/>
        <v>7.2024598803051684E-6</v>
      </c>
      <c r="L73" s="9">
        <f t="shared" si="16"/>
        <v>0.12491136554444941</v>
      </c>
      <c r="M73" s="9">
        <f t="shared" si="17"/>
        <v>3.2659611395783501E-2</v>
      </c>
      <c r="X73" s="9">
        <f t="shared" si="18"/>
        <v>0.12074313976835091</v>
      </c>
      <c r="Y73" s="9">
        <f t="shared" si="19"/>
        <v>0</v>
      </c>
      <c r="Z73" s="9">
        <f t="shared" si="20"/>
        <v>0.12935146216486976</v>
      </c>
      <c r="AB73" s="9">
        <f t="shared" si="21"/>
        <v>0.29340352700031513</v>
      </c>
      <c r="AC73" s="9">
        <f t="shared" si="22"/>
        <v>0.33333333333333331</v>
      </c>
      <c r="AD73" s="9">
        <f t="shared" si="23"/>
        <v>0.27402811204949484</v>
      </c>
      <c r="AE73" s="9">
        <f t="shared" si="24"/>
        <v>0.29983675383427427</v>
      </c>
    </row>
    <row r="74" spans="2:31" x14ac:dyDescent="0.3">
      <c r="B74" s="8">
        <v>4.5</v>
      </c>
      <c r="G74" s="9">
        <v>69</v>
      </c>
      <c r="H74" s="9">
        <f t="shared" si="25"/>
        <v>2.3418060200668882</v>
      </c>
      <c r="I74" s="9">
        <f t="shared" si="13"/>
        <v>0.16380915788429851</v>
      </c>
      <c r="J74" s="9">
        <f t="shared" si="14"/>
        <v>9.9106294317518315E-2</v>
      </c>
      <c r="K74" s="9">
        <f t="shared" si="15"/>
        <v>3.0712475447730823E-6</v>
      </c>
      <c r="L74" s="9">
        <f t="shared" si="16"/>
        <v>0.125233168859849</v>
      </c>
      <c r="M74" s="9">
        <f t="shared" si="17"/>
        <v>3.2665880567804569E-2</v>
      </c>
      <c r="X74" s="9">
        <f t="shared" si="18"/>
        <v>0.11886715389564514</v>
      </c>
      <c r="Y74" s="9">
        <f t="shared" si="19"/>
        <v>0</v>
      </c>
      <c r="Z74" s="9">
        <f t="shared" si="20"/>
        <v>0.13009412034346288</v>
      </c>
      <c r="AB74" s="9">
        <f t="shared" si="21"/>
        <v>0.29576767752297783</v>
      </c>
      <c r="AC74" s="9">
        <f t="shared" si="22"/>
        <v>0.33333333333333331</v>
      </c>
      <c r="AD74" s="9">
        <f t="shared" si="23"/>
        <v>0.27658788166361808</v>
      </c>
      <c r="AE74" s="9">
        <f t="shared" si="24"/>
        <v>0.30181601386462109</v>
      </c>
    </row>
    <row r="75" spans="2:31" x14ac:dyDescent="0.3">
      <c r="B75" s="8">
        <v>3.9</v>
      </c>
      <c r="G75" s="9">
        <v>70</v>
      </c>
      <c r="H75" s="9">
        <f t="shared" si="25"/>
        <v>2.3615384615384603</v>
      </c>
      <c r="I75" s="9">
        <f t="shared" si="13"/>
        <v>0.16527438347837803</v>
      </c>
      <c r="J75" s="9">
        <f t="shared" si="14"/>
        <v>9.6761315829412886E-2</v>
      </c>
      <c r="K75" s="9">
        <f t="shared" si="15"/>
        <v>1.2596547801286459E-6</v>
      </c>
      <c r="L75" s="9">
        <f t="shared" si="16"/>
        <v>0.12555500124846189</v>
      </c>
      <c r="M75" s="9">
        <f t="shared" si="17"/>
        <v>3.2672064494875953E-2</v>
      </c>
      <c r="X75" s="9">
        <f t="shared" si="18"/>
        <v>0.11692884944512494</v>
      </c>
      <c r="Y75" s="9">
        <f t="shared" si="19"/>
        <v>0</v>
      </c>
      <c r="Z75" s="9">
        <f t="shared" si="20"/>
        <v>0.13086487134401367</v>
      </c>
      <c r="AB75" s="9">
        <f t="shared" si="21"/>
        <v>0.29809419541536142</v>
      </c>
      <c r="AC75" s="9">
        <f t="shared" si="22"/>
        <v>0.33333333333333331</v>
      </c>
      <c r="AD75" s="9">
        <f t="shared" si="23"/>
        <v>0.27916249802475479</v>
      </c>
      <c r="AE75" s="9">
        <f t="shared" si="24"/>
        <v>0.30374838133250709</v>
      </c>
    </row>
    <row r="76" spans="2:31" x14ac:dyDescent="0.3">
      <c r="B76" s="8">
        <v>4.8</v>
      </c>
      <c r="G76" s="9">
        <v>71</v>
      </c>
      <c r="H76" s="9">
        <f t="shared" si="25"/>
        <v>2.3812709030100323</v>
      </c>
      <c r="I76" s="9">
        <f t="shared" si="13"/>
        <v>0.16673188115945753</v>
      </c>
      <c r="J76" s="9">
        <f t="shared" si="14"/>
        <v>9.448250683818013E-2</v>
      </c>
      <c r="K76" s="9">
        <f t="shared" si="15"/>
        <v>4.9701411127368747E-7</v>
      </c>
      <c r="L76" s="9">
        <f t="shared" si="16"/>
        <v>0.12587702146764537</v>
      </c>
      <c r="M76" s="9">
        <f t="shared" si="17"/>
        <v>3.267816312801599E-2</v>
      </c>
      <c r="X76" s="9">
        <f t="shared" si="18"/>
        <v>0.11514658032484557</v>
      </c>
      <c r="Y76" s="9">
        <f t="shared" si="19"/>
        <v>0</v>
      </c>
      <c r="Z76" s="9">
        <f t="shared" si="20"/>
        <v>0.13163271372862875</v>
      </c>
      <c r="AB76" s="9">
        <f t="shared" si="21"/>
        <v>0.30038373991891887</v>
      </c>
      <c r="AC76" s="9">
        <f t="shared" si="22"/>
        <v>0.33333333333333331</v>
      </c>
      <c r="AD76" s="9">
        <f t="shared" si="23"/>
        <v>0.28175237987890617</v>
      </c>
      <c r="AE76" s="9">
        <f t="shared" si="24"/>
        <v>0.3056351231409799</v>
      </c>
    </row>
    <row r="77" spans="2:31" x14ac:dyDescent="0.3">
      <c r="B77" s="8">
        <v>4</v>
      </c>
      <c r="G77" s="9">
        <v>72</v>
      </c>
      <c r="H77" s="9">
        <f t="shared" si="25"/>
        <v>2.4010033444816044</v>
      </c>
      <c r="I77" s="9">
        <f t="shared" si="13"/>
        <v>0.16818121697500837</v>
      </c>
      <c r="J77" s="9">
        <f t="shared" si="14"/>
        <v>9.2273626370559358E-2</v>
      </c>
      <c r="K77" s="9">
        <f t="shared" si="15"/>
        <v>1.8895293804520572E-7</v>
      </c>
      <c r="L77" s="9">
        <f t="shared" si="16"/>
        <v>0.12619938534029482</v>
      </c>
      <c r="M77" s="9">
        <f t="shared" si="17"/>
        <v>3.2684176418910561E-2</v>
      </c>
      <c r="X77" s="9">
        <f t="shared" si="18"/>
        <v>0.11333011761741946</v>
      </c>
      <c r="Y77" s="9">
        <f t="shared" si="19"/>
        <v>0</v>
      </c>
      <c r="Z77" s="9">
        <f t="shared" si="20"/>
        <v>0.13238672880446162</v>
      </c>
      <c r="AB77" s="9">
        <f t="shared" si="21"/>
        <v>0.30263804922902904</v>
      </c>
      <c r="AC77" s="9">
        <f t="shared" si="22"/>
        <v>0.33333333333333331</v>
      </c>
      <c r="AD77" s="9">
        <f t="shared" si="23"/>
        <v>0.28435727671468991</v>
      </c>
      <c r="AE77" s="9">
        <f t="shared" si="24"/>
        <v>0.30747758240436646</v>
      </c>
    </row>
    <row r="78" spans="2:31" x14ac:dyDescent="0.3">
      <c r="B78" s="8">
        <v>4.9000000000000004</v>
      </c>
      <c r="G78" s="9">
        <v>73</v>
      </c>
      <c r="H78" s="9">
        <f t="shared" si="25"/>
        <v>2.4207357859531764</v>
      </c>
      <c r="I78" s="9">
        <f t="shared" si="13"/>
        <v>0.16962195624564144</v>
      </c>
      <c r="J78" s="9">
        <f t="shared" si="14"/>
        <v>9.0138224587000618E-2</v>
      </c>
      <c r="K78" s="9">
        <f t="shared" si="15"/>
        <v>7.0171570852565359E-8</v>
      </c>
      <c r="L78" s="9">
        <f t="shared" si="16"/>
        <v>0.12652224553409114</v>
      </c>
      <c r="M78" s="9">
        <f t="shared" si="17"/>
        <v>3.2690104319914072E-2</v>
      </c>
      <c r="X78" s="9">
        <f t="shared" si="18"/>
        <v>0.11144811295746429</v>
      </c>
      <c r="Y78" s="9">
        <f t="shared" si="19"/>
        <v>0</v>
      </c>
      <c r="Z78" s="9">
        <f t="shared" si="20"/>
        <v>0.13312691657151215</v>
      </c>
      <c r="AB78" s="9">
        <f t="shared" si="21"/>
        <v>0.30485586864370889</v>
      </c>
      <c r="AC78" s="9">
        <f t="shared" si="22"/>
        <v>0.33333333333333331</v>
      </c>
      <c r="AD78" s="9">
        <f t="shared" si="23"/>
        <v>0.28697691568554595</v>
      </c>
      <c r="AE78" s="9">
        <f t="shared" si="24"/>
        <v>0.30927717435534147</v>
      </c>
    </row>
    <row r="79" spans="2:31" x14ac:dyDescent="0.3">
      <c r="B79" s="8">
        <v>4.7</v>
      </c>
      <c r="G79" s="9">
        <v>74</v>
      </c>
      <c r="H79" s="9">
        <f t="shared" si="25"/>
        <v>2.4404682274247484</v>
      </c>
      <c r="I79" s="9">
        <f t="shared" si="13"/>
        <v>0.17105366377695891</v>
      </c>
      <c r="J79" s="9">
        <f t="shared" si="14"/>
        <v>8.8079640582753138E-2</v>
      </c>
      <c r="K79" s="9">
        <f t="shared" si="15"/>
        <v>2.837758623905359E-8</v>
      </c>
      <c r="L79" s="9">
        <f t="shared" si="16"/>
        <v>0.12684575134368081</v>
      </c>
      <c r="M79" s="9">
        <f t="shared" si="17"/>
        <v>3.2695946784049676E-2</v>
      </c>
      <c r="X79" s="9">
        <f t="shared" si="18"/>
        <v>0.10950056634498018</v>
      </c>
      <c r="Y79" s="9">
        <f t="shared" si="19"/>
        <v>0</v>
      </c>
      <c r="Z79" s="9">
        <f t="shared" si="20"/>
        <v>0.13385327702978017</v>
      </c>
      <c r="AB79" s="9">
        <f t="shared" si="21"/>
        <v>0.3070359048602157</v>
      </c>
      <c r="AC79" s="9">
        <f t="shared" si="22"/>
        <v>0.33333333333333331</v>
      </c>
      <c r="AD79" s="9">
        <f t="shared" si="23"/>
        <v>0.28961102394491245</v>
      </c>
      <c r="AE79" s="9">
        <f t="shared" si="24"/>
        <v>0.31103538220044202</v>
      </c>
    </row>
    <row r="80" spans="2:31" x14ac:dyDescent="0.3">
      <c r="B80" s="8">
        <v>4.3</v>
      </c>
      <c r="G80" s="9">
        <v>75</v>
      </c>
      <c r="H80" s="9">
        <f t="shared" si="25"/>
        <v>2.4602006688963205</v>
      </c>
      <c r="I80" s="9">
        <f t="shared" si="13"/>
        <v>0.17247590407355692</v>
      </c>
      <c r="J80" s="9">
        <f t="shared" si="14"/>
        <v>8.6101000993522567E-2</v>
      </c>
      <c r="K80" s="9">
        <f t="shared" si="15"/>
        <v>2.0668684330628802E-8</v>
      </c>
      <c r="L80" s="9">
        <f t="shared" si="16"/>
        <v>0.12717004847605604</v>
      </c>
      <c r="M80" s="9">
        <f t="shared" si="17"/>
        <v>3.2701703765010227E-2</v>
      </c>
      <c r="X80" s="9">
        <f t="shared" si="18"/>
        <v>0.10748747777996701</v>
      </c>
      <c r="Y80" s="9">
        <f t="shared" si="19"/>
        <v>0</v>
      </c>
      <c r="Z80" s="9">
        <f t="shared" si="20"/>
        <v>0.13460386922017498</v>
      </c>
      <c r="AB80" s="9">
        <f t="shared" si="21"/>
        <v>0.30917686457580756</v>
      </c>
      <c r="AC80" s="9">
        <f t="shared" si="22"/>
        <v>0.33333333333333331</v>
      </c>
      <c r="AD80" s="9">
        <f t="shared" si="23"/>
        <v>0.29225960101236392</v>
      </c>
      <c r="AE80" s="9">
        <f t="shared" si="24"/>
        <v>0.31275375294017993</v>
      </c>
    </row>
    <row r="81" spans="2:31" x14ac:dyDescent="0.3">
      <c r="B81" s="8">
        <v>4.4000000000000004</v>
      </c>
      <c r="G81" s="9">
        <v>76</v>
      </c>
      <c r="H81" s="9">
        <f t="shared" si="25"/>
        <v>2.4799331103678925</v>
      </c>
      <c r="I81" s="9">
        <f t="shared" si="13"/>
        <v>0.17388824155503707</v>
      </c>
      <c r="J81" s="9">
        <f t="shared" si="14"/>
        <v>8.4205219376108809E-2</v>
      </c>
      <c r="K81" s="9">
        <f t="shared" si="15"/>
        <v>3.8262810196111542E-8</v>
      </c>
      <c r="L81" s="9">
        <f t="shared" si="16"/>
        <v>0.12749527883939821</v>
      </c>
      <c r="M81" s="9">
        <f t="shared" si="17"/>
        <v>3.2707375217158698E-2</v>
      </c>
      <c r="X81" s="9">
        <f t="shared" si="18"/>
        <v>0.10574472526138487</v>
      </c>
      <c r="Y81" s="9">
        <f t="shared" si="19"/>
        <v>0</v>
      </c>
      <c r="Z81" s="9">
        <f t="shared" si="20"/>
        <v>0.13535481573880351</v>
      </c>
      <c r="AB81" s="9">
        <f t="shared" si="21"/>
        <v>0.31128013462245929</v>
      </c>
      <c r="AC81" s="9">
        <f t="shared" si="22"/>
        <v>0.33333333333333331</v>
      </c>
      <c r="AD81" s="9">
        <f t="shared" si="23"/>
        <v>0.29492309623396706</v>
      </c>
      <c r="AE81" s="9">
        <f t="shared" si="24"/>
        <v>0.31443389316934089</v>
      </c>
    </row>
    <row r="82" spans="2:31" x14ac:dyDescent="0.3">
      <c r="B82" s="8">
        <v>4.8</v>
      </c>
      <c r="G82" s="9">
        <v>77</v>
      </c>
      <c r="H82" s="9">
        <f t="shared" si="25"/>
        <v>2.4996655518394646</v>
      </c>
      <c r="I82" s="9">
        <f t="shared" si="13"/>
        <v>0.17529024077388078</v>
      </c>
      <c r="J82" s="9">
        <f t="shared" si="14"/>
        <v>8.2394996331256395E-2</v>
      </c>
      <c r="K82" s="9">
        <f t="shared" si="15"/>
        <v>9.8296970936067062E-8</v>
      </c>
      <c r="L82" s="9">
        <f t="shared" si="16"/>
        <v>0.12782158033564023</v>
      </c>
      <c r="M82" s="9">
        <f t="shared" si="17"/>
        <v>3.2712961095528854E-2</v>
      </c>
      <c r="X82" s="9">
        <f t="shared" si="18"/>
        <v>0.10401171517898343</v>
      </c>
      <c r="Y82" s="9">
        <f t="shared" si="19"/>
        <v>0</v>
      </c>
      <c r="Z82" s="9">
        <f t="shared" si="20"/>
        <v>0.13609162538203493</v>
      </c>
      <c r="AB82" s="9">
        <f t="shared" si="21"/>
        <v>0.31334975457385983</v>
      </c>
      <c r="AC82" s="9">
        <f t="shared" si="22"/>
        <v>0.33333333333333331</v>
      </c>
      <c r="AD82" s="9">
        <f t="shared" si="23"/>
        <v>0.29760126998626424</v>
      </c>
      <c r="AE82" s="9">
        <f t="shared" si="24"/>
        <v>0.31607746487242844</v>
      </c>
    </row>
    <row r="83" spans="2:31" x14ac:dyDescent="0.3">
      <c r="B83" s="8">
        <v>5</v>
      </c>
      <c r="G83" s="9">
        <v>78</v>
      </c>
      <c r="H83" s="9">
        <f t="shared" si="25"/>
        <v>2.5193979933110366</v>
      </c>
      <c r="I83" s="9">
        <f t="shared" si="13"/>
        <v>0.17668146663503767</v>
      </c>
      <c r="J83" s="9">
        <f t="shared" si="14"/>
        <v>8.0672820333116194E-2</v>
      </c>
      <c r="K83" s="9">
        <f t="shared" si="15"/>
        <v>2.568082927905632E-7</v>
      </c>
      <c r="L83" s="9">
        <f t="shared" si="16"/>
        <v>0.12814908665700955</v>
      </c>
      <c r="M83" s="9">
        <f t="shared" si="17"/>
        <v>3.2718461355825817E-2</v>
      </c>
      <c r="X83" s="9">
        <f t="shared" si="18"/>
        <v>0.10220779085286212</v>
      </c>
      <c r="Y83" s="9">
        <f t="shared" si="19"/>
        <v>0</v>
      </c>
      <c r="Z83" s="9">
        <f t="shared" si="20"/>
        <v>0.13681429814986948</v>
      </c>
      <c r="AB83" s="9">
        <f t="shared" si="21"/>
        <v>0.3153844783496586</v>
      </c>
      <c r="AC83" s="9">
        <f t="shared" si="22"/>
        <v>0.33333333333333331</v>
      </c>
      <c r="AD83" s="9">
        <f t="shared" si="23"/>
        <v>0.30029384331418957</v>
      </c>
      <c r="AE83" s="9">
        <f t="shared" si="24"/>
        <v>0.31768618122858339</v>
      </c>
    </row>
    <row r="84" spans="2:31" x14ac:dyDescent="0.3">
      <c r="B84" s="8">
        <v>4.5</v>
      </c>
      <c r="G84" s="9">
        <v>79</v>
      </c>
      <c r="H84" s="9">
        <f t="shared" si="25"/>
        <v>2.5391304347826087</v>
      </c>
      <c r="I84" s="9">
        <f t="shared" si="13"/>
        <v>0.17806148461707771</v>
      </c>
      <c r="J84" s="9">
        <f t="shared" si="14"/>
        <v>7.9040969227211641E-2</v>
      </c>
      <c r="K84" s="9">
        <f t="shared" si="15"/>
        <v>6.4959541685182968E-7</v>
      </c>
      <c r="L84" s="9">
        <f t="shared" si="16"/>
        <v>0.12847792708679404</v>
      </c>
      <c r="M84" s="9">
        <f t="shared" si="17"/>
        <v>3.2723875954426773E-2</v>
      </c>
      <c r="X84" s="9">
        <f t="shared" si="18"/>
        <v>0.10034624206124722</v>
      </c>
      <c r="Y84" s="9">
        <f t="shared" si="19"/>
        <v>0</v>
      </c>
      <c r="Z84" s="9">
        <f t="shared" si="20"/>
        <v>0.13752283404230747</v>
      </c>
      <c r="AB84" s="9">
        <f t="shared" si="21"/>
        <v>0.31738292744508467</v>
      </c>
      <c r="AC84" s="9">
        <f t="shared" si="22"/>
        <v>0.33333333333333331</v>
      </c>
      <c r="AD84" s="9">
        <f t="shared" si="23"/>
        <v>0.30300053726267556</v>
      </c>
      <c r="AE84" s="9">
        <f t="shared" si="24"/>
        <v>0.31926180243951402</v>
      </c>
    </row>
    <row r="85" spans="2:31" x14ac:dyDescent="0.3">
      <c r="B85" s="8">
        <v>3.5</v>
      </c>
      <c r="G85" s="9">
        <v>80</v>
      </c>
      <c r="H85" s="9">
        <f t="shared" si="25"/>
        <v>2.5588628762541807</v>
      </c>
      <c r="I85" s="9">
        <f t="shared" si="13"/>
        <v>0.17942986099475203</v>
      </c>
      <c r="J85" s="9">
        <f t="shared" si="14"/>
        <v>7.7501512356650676E-2</v>
      </c>
      <c r="K85" s="9">
        <f t="shared" si="15"/>
        <v>1.5815990093996485E-6</v>
      </c>
      <c r="L85" s="9">
        <f t="shared" si="16"/>
        <v>0.12880822630458375</v>
      </c>
      <c r="M85" s="9">
        <f t="shared" si="17"/>
        <v>3.2729204848381349E-2</v>
      </c>
      <c r="X85" s="9">
        <f t="shared" si="18"/>
        <v>9.8484834219383352E-2</v>
      </c>
      <c r="Y85" s="9">
        <f t="shared" si="19"/>
        <v>0</v>
      </c>
      <c r="Z85" s="9">
        <f t="shared" si="20"/>
        <v>0.13824023712255243</v>
      </c>
      <c r="AB85" s="9">
        <f t="shared" si="21"/>
        <v>0.31934475357525977</v>
      </c>
      <c r="AC85" s="9">
        <f t="shared" si="22"/>
        <v>0.33333333333333331</v>
      </c>
      <c r="AD85" s="9">
        <f t="shared" si="23"/>
        <v>0.30572122209493896</v>
      </c>
      <c r="AE85" s="9">
        <f t="shared" si="24"/>
        <v>0.32080613159326177</v>
      </c>
    </row>
    <row r="86" spans="2:31" x14ac:dyDescent="0.3">
      <c r="B86" s="8">
        <v>3.8</v>
      </c>
      <c r="G86" s="9">
        <v>81</v>
      </c>
      <c r="H86" s="9">
        <f t="shared" si="25"/>
        <v>2.5785953177257528</v>
      </c>
      <c r="I86" s="9">
        <f t="shared" si="13"/>
        <v>0.18078616306280695</v>
      </c>
      <c r="J86" s="9">
        <f t="shared" si="14"/>
        <v>7.6056313274516354E-2</v>
      </c>
      <c r="K86" s="9">
        <f t="shared" si="15"/>
        <v>3.7040544656907076E-6</v>
      </c>
      <c r="L86" s="9">
        <f t="shared" si="16"/>
        <v>0.12914010419622329</v>
      </c>
      <c r="M86" s="9">
        <f t="shared" si="17"/>
        <v>3.2734447995412232E-2</v>
      </c>
      <c r="X86" s="9">
        <f t="shared" si="18"/>
        <v>9.6738271466878092E-2</v>
      </c>
      <c r="Y86" s="9">
        <f t="shared" si="19"/>
        <v>0</v>
      </c>
      <c r="Z86" s="9">
        <f t="shared" si="20"/>
        <v>0.13895534037452462</v>
      </c>
      <c r="AB86" s="9">
        <f t="shared" si="21"/>
        <v>0.32127051027301168</v>
      </c>
      <c r="AC86" s="9">
        <f t="shared" si="22"/>
        <v>0.33333333333333331</v>
      </c>
      <c r="AD86" s="9">
        <f t="shared" si="23"/>
        <v>0.30845611843512588</v>
      </c>
      <c r="AE86" s="9">
        <f t="shared" si="24"/>
        <v>0.32232101057576906</v>
      </c>
    </row>
    <row r="87" spans="2:31" x14ac:dyDescent="0.3">
      <c r="B87" s="8">
        <v>3.7</v>
      </c>
      <c r="G87" s="9">
        <v>82</v>
      </c>
      <c r="H87" s="9">
        <f t="shared" si="25"/>
        <v>2.5983277591973248</v>
      </c>
      <c r="I87" s="9">
        <f t="shared" si="13"/>
        <v>0.18212995936089266</v>
      </c>
      <c r="J87" s="9">
        <f t="shared" si="14"/>
        <v>7.4707032998900996E-2</v>
      </c>
      <c r="K87" s="9">
        <f t="shared" si="15"/>
        <v>8.343582379068972E-6</v>
      </c>
      <c r="L87" s="9">
        <f t="shared" si="16"/>
        <v>0.12947367566870815</v>
      </c>
      <c r="M87" s="9">
        <f t="shared" si="17"/>
        <v>3.2739605353915978E-2</v>
      </c>
      <c r="X87" s="9">
        <f t="shared" si="18"/>
        <v>9.4984100020531453E-2</v>
      </c>
      <c r="Y87" s="9">
        <f t="shared" si="19"/>
        <v>0</v>
      </c>
      <c r="Z87" s="9">
        <f t="shared" si="20"/>
        <v>0.13965610037335668</v>
      </c>
      <c r="AB87" s="9">
        <f t="shared" si="21"/>
        <v>0.32316220565297232</v>
      </c>
      <c r="AC87" s="9">
        <f t="shared" si="22"/>
        <v>0.33333333333333331</v>
      </c>
      <c r="AD87" s="9">
        <f t="shared" si="23"/>
        <v>0.31120498399467689</v>
      </c>
      <c r="AE87" s="9">
        <f t="shared" si="24"/>
        <v>0.3238083160414007</v>
      </c>
    </row>
    <row r="88" spans="2:31" x14ac:dyDescent="0.3">
      <c r="B88" s="8">
        <v>3.9</v>
      </c>
      <c r="G88" s="9">
        <v>83</v>
      </c>
      <c r="H88" s="9">
        <f t="shared" si="25"/>
        <v>2.6180602006688969</v>
      </c>
      <c r="I88" s="9">
        <f t="shared" si="13"/>
        <v>0.18346081989940494</v>
      </c>
      <c r="J88" s="9">
        <f t="shared" si="14"/>
        <v>7.3455133765939776E-2</v>
      </c>
      <c r="K88" s="9">
        <f t="shared" si="15"/>
        <v>1.8076659241156535E-5</v>
      </c>
      <c r="L88" s="9">
        <f t="shared" si="16"/>
        <v>0.12980905047026034</v>
      </c>
      <c r="M88" s="9">
        <f t="shared" si="17"/>
        <v>3.2744676882963099E-2</v>
      </c>
      <c r="X88" s="9">
        <f t="shared" si="18"/>
        <v>9.3156865413988627E-2</v>
      </c>
      <c r="Y88" s="9">
        <f t="shared" si="19"/>
        <v>0</v>
      </c>
      <c r="Z88" s="9">
        <f t="shared" si="20"/>
        <v>0.14034251711904933</v>
      </c>
      <c r="AB88" s="9">
        <f t="shared" si="21"/>
        <v>0.32501856609027108</v>
      </c>
      <c r="AC88" s="9">
        <f t="shared" si="22"/>
        <v>0.33333333333333331</v>
      </c>
      <c r="AD88" s="9">
        <f t="shared" si="23"/>
        <v>0.31396753574618846</v>
      </c>
      <c r="AE88" s="9">
        <f t="shared" si="24"/>
        <v>0.3252699554526795</v>
      </c>
    </row>
    <row r="89" spans="2:31" x14ac:dyDescent="0.3">
      <c r="B89" s="8">
        <v>5.0999999999999996</v>
      </c>
      <c r="G89" s="9">
        <v>84</v>
      </c>
      <c r="H89" s="9">
        <f t="shared" si="25"/>
        <v>2.6377926421404689</v>
      </c>
      <c r="I89" s="9">
        <f t="shared" si="13"/>
        <v>0.18477831638609798</v>
      </c>
      <c r="J89" s="9">
        <f t="shared" si="14"/>
        <v>7.2301883235410758E-2</v>
      </c>
      <c r="K89" s="9">
        <f t="shared" si="15"/>
        <v>3.7668106147129605E-5</v>
      </c>
      <c r="L89" s="9">
        <f t="shared" si="16"/>
        <v>0.13014633301579628</v>
      </c>
      <c r="M89" s="9">
        <f t="shared" si="17"/>
        <v>3.2749662542299107E-2</v>
      </c>
      <c r="X89" s="9">
        <f t="shared" si="18"/>
        <v>9.1264178013932509E-2</v>
      </c>
      <c r="Y89" s="9">
        <f t="shared" si="19"/>
        <v>0</v>
      </c>
      <c r="Z89" s="9">
        <f t="shared" si="20"/>
        <v>0.14101459061160176</v>
      </c>
      <c r="AB89" s="9">
        <f t="shared" si="21"/>
        <v>0.32683815669728894</v>
      </c>
      <c r="AC89" s="9">
        <f t="shared" si="22"/>
        <v>0.33333333333333331</v>
      </c>
      <c r="AD89" s="9">
        <f t="shared" si="23"/>
        <v>0.31674349066225899</v>
      </c>
      <c r="AE89" s="9">
        <f t="shared" si="24"/>
        <v>0.32670786319862088</v>
      </c>
    </row>
    <row r="90" spans="2:31" x14ac:dyDescent="0.3">
      <c r="B90" s="8">
        <v>4.5</v>
      </c>
      <c r="G90" s="9">
        <v>85</v>
      </c>
      <c r="H90" s="9">
        <f t="shared" si="25"/>
        <v>2.657525083612041</v>
      </c>
      <c r="I90" s="9">
        <f t="shared" si="13"/>
        <v>0.1860820224533028</v>
      </c>
      <c r="J90" s="9">
        <f t="shared" si="14"/>
        <v>7.1248359103026793E-2</v>
      </c>
      <c r="K90" s="9">
        <f t="shared" si="15"/>
        <v>7.5495207159424632E-5</v>
      </c>
      <c r="L90" s="9">
        <f t="shared" si="16"/>
        <v>0.13048562221800725</v>
      </c>
      <c r="M90" s="9">
        <f t="shared" si="17"/>
        <v>3.2754562292344601E-2</v>
      </c>
      <c r="X90" s="9">
        <f t="shared" si="18"/>
        <v>8.9375089214067949E-2</v>
      </c>
      <c r="Y90" s="9">
        <f t="shared" si="19"/>
        <v>0</v>
      </c>
      <c r="Z90" s="9">
        <f t="shared" si="20"/>
        <v>0.14169295533489265</v>
      </c>
      <c r="AB90" s="9">
        <f t="shared" si="21"/>
        <v>0.32862050195738179</v>
      </c>
      <c r="AC90" s="9">
        <f t="shared" si="22"/>
        <v>0.33333333333333331</v>
      </c>
      <c r="AD90" s="9">
        <f t="shared" si="23"/>
        <v>0.31953268574399646</v>
      </c>
      <c r="AE90" s="9">
        <f t="shared" si="24"/>
        <v>0.32812399680013987</v>
      </c>
    </row>
    <row r="91" spans="2:31" x14ac:dyDescent="0.3">
      <c r="B91" s="8">
        <v>4.5</v>
      </c>
      <c r="G91" s="9">
        <v>86</v>
      </c>
      <c r="H91" s="9">
        <f t="shared" si="25"/>
        <v>2.677257525083613</v>
      </c>
      <c r="I91" s="9">
        <f t="shared" si="13"/>
        <v>0.18737151388558512</v>
      </c>
      <c r="J91" s="9">
        <f t="shared" si="14"/>
        <v>7.0295454073415031E-2</v>
      </c>
      <c r="K91" s="9">
        <f t="shared" si="15"/>
        <v>1.4553082995250272E-4</v>
      </c>
      <c r="L91" s="9">
        <f t="shared" si="16"/>
        <v>0.1308270113242628</v>
      </c>
      <c r="M91" s="9">
        <f t="shared" si="17"/>
        <v>3.2759376094196165E-2</v>
      </c>
      <c r="X91" s="9">
        <f t="shared" si="18"/>
        <v>8.7637782558177141E-2</v>
      </c>
      <c r="Y91" s="9">
        <f t="shared" si="19"/>
        <v>0</v>
      </c>
      <c r="Z91" s="9">
        <f t="shared" si="20"/>
        <v>0.14237119742320462</v>
      </c>
      <c r="AB91" s="9">
        <f t="shared" si="21"/>
        <v>0.33036634588994418</v>
      </c>
      <c r="AC91" s="9">
        <f t="shared" si="22"/>
        <v>0.33333333333333331</v>
      </c>
      <c r="AD91" s="9">
        <f t="shared" si="23"/>
        <v>0.32233534930321067</v>
      </c>
      <c r="AE91" s="9">
        <f t="shared" si="24"/>
        <v>0.32952033321010582</v>
      </c>
    </row>
    <row r="92" spans="2:31" x14ac:dyDescent="0.3">
      <c r="B92" s="8">
        <v>4.7</v>
      </c>
      <c r="G92" s="9">
        <v>87</v>
      </c>
      <c r="H92" s="9">
        <f t="shared" si="25"/>
        <v>2.6969899665551851</v>
      </c>
      <c r="I92" s="9">
        <f t="shared" si="13"/>
        <v>0.18864636884767472</v>
      </c>
      <c r="J92" s="9">
        <f t="shared" si="14"/>
        <v>6.9443881147960282E-2</v>
      </c>
      <c r="K92" s="9">
        <f t="shared" si="15"/>
        <v>2.6982411219813408E-4</v>
      </c>
      <c r="L92" s="9">
        <f t="shared" si="16"/>
        <v>0.1311705877595308</v>
      </c>
      <c r="M92" s="9">
        <f t="shared" si="17"/>
        <v>3.2764103909626557E-2</v>
      </c>
      <c r="X92" s="9">
        <f t="shared" si="18"/>
        <v>8.5934229021542699E-2</v>
      </c>
      <c r="Y92" s="9">
        <f t="shared" si="19"/>
        <v>0</v>
      </c>
      <c r="Z92" s="9">
        <f t="shared" si="20"/>
        <v>0.14303488988063393</v>
      </c>
      <c r="AB92" s="9">
        <f t="shared" si="21"/>
        <v>0.33207897111304296</v>
      </c>
      <c r="AC92" s="9">
        <f t="shared" si="22"/>
        <v>0.33333333333333331</v>
      </c>
      <c r="AD92" s="9">
        <f t="shared" si="23"/>
        <v>0.32515125268486544</v>
      </c>
      <c r="AE92" s="9">
        <f t="shared" si="24"/>
        <v>0.33089886521470685</v>
      </c>
    </row>
    <row r="93" spans="2:31" x14ac:dyDescent="0.3">
      <c r="B93" s="8">
        <v>4.4000000000000004</v>
      </c>
      <c r="G93" s="9">
        <v>88</v>
      </c>
      <c r="H93" s="9">
        <f t="shared" si="25"/>
        <v>2.7167224080267571</v>
      </c>
      <c r="I93" s="9">
        <f t="shared" si="13"/>
        <v>0.18990616811249619</v>
      </c>
      <c r="J93" s="9">
        <f t="shared" si="14"/>
        <v>6.8694179182167858E-2</v>
      </c>
      <c r="K93" s="9">
        <f t="shared" si="15"/>
        <v>4.811680792464187E-4</v>
      </c>
      <c r="L93" s="9">
        <f t="shared" si="16"/>
        <v>0.13151643297551713</v>
      </c>
      <c r="M93" s="9">
        <f t="shared" si="17"/>
        <v>3.2768745701085525E-2</v>
      </c>
      <c r="X93" s="9">
        <f t="shared" si="18"/>
        <v>8.4154388949997508E-2</v>
      </c>
      <c r="Y93" s="9">
        <f t="shared" si="19"/>
        <v>0</v>
      </c>
      <c r="Z93" s="9">
        <f t="shared" si="20"/>
        <v>0.14368403270718025</v>
      </c>
      <c r="AB93" s="9">
        <f t="shared" si="21"/>
        <v>0.33375722840589334</v>
      </c>
      <c r="AC93" s="9">
        <f t="shared" si="22"/>
        <v>0.33333333333333331</v>
      </c>
      <c r="AD93" s="9">
        <f t="shared" si="23"/>
        <v>0.32798010878922179</v>
      </c>
      <c r="AE93" s="9">
        <f t="shared" si="24"/>
        <v>0.33226159794189514</v>
      </c>
    </row>
    <row r="94" spans="2:31" x14ac:dyDescent="0.3">
      <c r="B94" s="8">
        <v>4.0999999999999996</v>
      </c>
      <c r="G94" s="9">
        <v>89</v>
      </c>
      <c r="H94" s="9">
        <f t="shared" si="25"/>
        <v>2.7364548494983292</v>
      </c>
      <c r="I94" s="9">
        <f t="shared" si="13"/>
        <v>0.19115049528913103</v>
      </c>
      <c r="J94" s="9">
        <f t="shared" si="14"/>
        <v>6.8046718667960499E-2</v>
      </c>
      <c r="K94" s="9">
        <f t="shared" si="15"/>
        <v>8.2528410024695735E-4</v>
      </c>
      <c r="L94" s="9">
        <f t="shared" si="16"/>
        <v>0.1318646223062053</v>
      </c>
      <c r="M94" s="9">
        <f t="shared" si="17"/>
        <v>3.2773301431699965E-2</v>
      </c>
      <c r="X94" s="9">
        <f t="shared" si="18"/>
        <v>8.2302134131058288E-2</v>
      </c>
      <c r="Y94" s="9">
        <f t="shared" si="19"/>
        <v>0</v>
      </c>
      <c r="Z94" s="9">
        <f t="shared" si="20"/>
        <v>0.14431862590284369</v>
      </c>
      <c r="AB94" s="9">
        <f t="shared" si="21"/>
        <v>0.33539961333292334</v>
      </c>
      <c r="AC94" s="9">
        <f t="shared" si="22"/>
        <v>0.33333333333333331</v>
      </c>
      <c r="AD94" s="9">
        <f t="shared" si="23"/>
        <v>0.33082163051653996</v>
      </c>
      <c r="AE94" s="9">
        <f t="shared" si="24"/>
        <v>0.33361054548176949</v>
      </c>
    </row>
    <row r="95" spans="2:31" x14ac:dyDescent="0.3">
      <c r="B95" s="8">
        <v>4</v>
      </c>
      <c r="G95" s="9">
        <v>90</v>
      </c>
      <c r="H95" s="9">
        <f t="shared" si="25"/>
        <v>2.7561872909699012</v>
      </c>
      <c r="I95" s="9">
        <f t="shared" si="13"/>
        <v>0.19237893705053832</v>
      </c>
      <c r="J95" s="9">
        <f t="shared" si="14"/>
        <v>6.7501707697342844E-2</v>
      </c>
      <c r="K95" s="9">
        <f t="shared" si="15"/>
        <v>1.3614488794293125E-3</v>
      </c>
      <c r="L95" s="9">
        <f t="shared" si="16"/>
        <v>0.13221522482997572</v>
      </c>
      <c r="M95" s="9">
        <f t="shared" si="17"/>
        <v>3.2777771065274804E-2</v>
      </c>
      <c r="X95" s="9">
        <f t="shared" si="18"/>
        <v>8.0538119554580498E-2</v>
      </c>
      <c r="Y95" s="9">
        <f t="shared" si="19"/>
        <v>0</v>
      </c>
      <c r="Z95" s="9">
        <f t="shared" si="20"/>
        <v>0.1449660654015672</v>
      </c>
      <c r="AB95" s="9">
        <f t="shared" si="21"/>
        <v>0.33700635313014216</v>
      </c>
      <c r="AC95" s="9">
        <f t="shared" si="22"/>
        <v>0.33333333333333331</v>
      </c>
      <c r="AD95" s="9">
        <f t="shared" si="23"/>
        <v>0.3336756717811567</v>
      </c>
      <c r="AE95" s="9">
        <f t="shared" si="24"/>
        <v>0.33494772762293612</v>
      </c>
    </row>
    <row r="96" spans="2:31" x14ac:dyDescent="0.3">
      <c r="B96" s="8">
        <v>4.4000000000000004</v>
      </c>
      <c r="G96" s="9">
        <v>91</v>
      </c>
      <c r="H96" s="9">
        <f t="shared" si="25"/>
        <v>2.7759197324414733</v>
      </c>
      <c r="I96" s="9">
        <f t="shared" si="13"/>
        <v>0.19359108336086178</v>
      </c>
      <c r="J96" s="9">
        <f t="shared" si="14"/>
        <v>6.7059198065133871E-2</v>
      </c>
      <c r="K96" s="9">
        <f t="shared" si="15"/>
        <v>2.1601873873756759E-3</v>
      </c>
      <c r="L96" s="9">
        <f t="shared" si="16"/>
        <v>0.13256830323847504</v>
      </c>
      <c r="M96" s="9">
        <f t="shared" si="17"/>
        <v>3.2782154566293069E-2</v>
      </c>
      <c r="X96" s="9">
        <f t="shared" si="18"/>
        <v>7.8800605078468977E-2</v>
      </c>
      <c r="Y96" s="9">
        <f t="shared" si="19"/>
        <v>0</v>
      </c>
      <c r="Z96" s="9">
        <f t="shared" si="20"/>
        <v>0.14562386297609112</v>
      </c>
      <c r="AB96" s="9">
        <f t="shared" si="21"/>
        <v>0.33857815362935428</v>
      </c>
      <c r="AC96" s="9">
        <f t="shared" si="22"/>
        <v>0.33333333333333331</v>
      </c>
      <c r="AD96" s="9">
        <f t="shared" si="23"/>
        <v>0.33654272059214707</v>
      </c>
      <c r="AE96" s="9">
        <f t="shared" si="24"/>
        <v>0.33627516670797114</v>
      </c>
    </row>
    <row r="97" spans="2:31" x14ac:dyDescent="0.3">
      <c r="B97" s="8">
        <v>4.5999999999999996</v>
      </c>
      <c r="G97" s="9">
        <v>92</v>
      </c>
      <c r="H97" s="9">
        <f t="shared" si="25"/>
        <v>2.7956521739130453</v>
      </c>
      <c r="I97" s="9">
        <f t="shared" si="13"/>
        <v>0.19478652770214927</v>
      </c>
      <c r="J97" s="9">
        <f t="shared" si="14"/>
        <v>6.6719091469962341E-2</v>
      </c>
      <c r="K97" s="9">
        <f t="shared" si="15"/>
        <v>3.296671030563217E-3</v>
      </c>
      <c r="L97" s="9">
        <f t="shared" si="16"/>
        <v>0.13292391371240106</v>
      </c>
      <c r="M97" s="9">
        <f t="shared" si="17"/>
        <v>3.2786451899916712E-2</v>
      </c>
      <c r="X97" s="9">
        <f t="shared" si="18"/>
        <v>7.7053217287948159E-2</v>
      </c>
      <c r="Y97" s="9">
        <f t="shared" si="19"/>
        <v>3.6859192370132226E-3</v>
      </c>
      <c r="Z97" s="9">
        <f t="shared" si="20"/>
        <v>0.14626680135311751</v>
      </c>
      <c r="AB97" s="9">
        <f t="shared" si="21"/>
        <v>0.34011596728663612</v>
      </c>
      <c r="AC97" s="9">
        <f t="shared" si="22"/>
        <v>0.33336935927102984</v>
      </c>
      <c r="AD97" s="9">
        <f t="shared" si="23"/>
        <v>0.33942260275115421</v>
      </c>
      <c r="AE97" s="9">
        <f t="shared" si="24"/>
        <v>0.33759488461035275</v>
      </c>
    </row>
    <row r="98" spans="2:31" x14ac:dyDescent="0.3">
      <c r="B98" s="8">
        <v>4</v>
      </c>
      <c r="G98" s="9">
        <v>93</v>
      </c>
      <c r="H98" s="9">
        <f t="shared" si="25"/>
        <v>2.8153846153846174</v>
      </c>
      <c r="I98" s="9">
        <f t="shared" si="13"/>
        <v>0.19596486730031054</v>
      </c>
      <c r="J98" s="9">
        <f t="shared" si="14"/>
        <v>6.6481145774416203E-2</v>
      </c>
      <c r="K98" s="9">
        <f t="shared" si="15"/>
        <v>4.8390184647274124E-3</v>
      </c>
      <c r="L98" s="9">
        <f t="shared" si="16"/>
        <v>0.13328210580434766</v>
      </c>
      <c r="M98" s="9">
        <f t="shared" si="17"/>
        <v>3.2790663031986765E-2</v>
      </c>
      <c r="X98" s="9">
        <f t="shared" si="18"/>
        <v>7.5229542962516494E-2</v>
      </c>
      <c r="Y98" s="9">
        <f t="shared" si="19"/>
        <v>7.1183702478990656E-3</v>
      </c>
      <c r="Z98" s="9">
        <f t="shared" si="20"/>
        <v>0.14689488053264629</v>
      </c>
      <c r="AB98" s="9">
        <f t="shared" si="21"/>
        <v>0.34161854805682085</v>
      </c>
      <c r="AC98" s="9">
        <f t="shared" si="22"/>
        <v>0.33347652944833472</v>
      </c>
      <c r="AD98" s="9">
        <f t="shared" si="23"/>
        <v>0.34231502504993389</v>
      </c>
      <c r="AE98" s="9">
        <f t="shared" si="24"/>
        <v>0.33890889983438899</v>
      </c>
    </row>
    <row r="99" spans="2:31" x14ac:dyDescent="0.3">
      <c r="B99" s="8">
        <v>3.3</v>
      </c>
      <c r="G99" s="9">
        <v>94</v>
      </c>
      <c r="H99" s="9">
        <f t="shared" si="25"/>
        <v>2.8351170568561894</v>
      </c>
      <c r="I99" s="9">
        <f t="shared" si="13"/>
        <v>0.19712570335013824</v>
      </c>
      <c r="J99" s="9">
        <f t="shared" si="14"/>
        <v>6.6344981287122642E-2</v>
      </c>
      <c r="K99" s="9">
        <f t="shared" si="15"/>
        <v>6.8319164004775109E-3</v>
      </c>
      <c r="L99" s="9">
        <f t="shared" si="16"/>
        <v>0.13364292232886427</v>
      </c>
      <c r="M99" s="9">
        <f t="shared" si="17"/>
        <v>3.2794787929024176E-2</v>
      </c>
      <c r="X99" s="9">
        <f t="shared" si="18"/>
        <v>7.3329582102174079E-2</v>
      </c>
      <c r="Y99" s="9">
        <f t="shared" si="19"/>
        <v>1.0202558817439651E-2</v>
      </c>
      <c r="Z99" s="9">
        <f t="shared" si="20"/>
        <v>0.14750810051467797</v>
      </c>
      <c r="AB99" s="9">
        <f t="shared" si="21"/>
        <v>0.34308439062032314</v>
      </c>
      <c r="AC99" s="9">
        <f t="shared" si="22"/>
        <v>0.33364799423019564</v>
      </c>
      <c r="AD99" s="9">
        <f t="shared" si="23"/>
        <v>0.3452196942802408</v>
      </c>
      <c r="AE99" s="9">
        <f t="shared" si="24"/>
        <v>0.34021922473896093</v>
      </c>
    </row>
    <row r="100" spans="2:31" x14ac:dyDescent="0.3">
      <c r="B100" s="8">
        <v>4.2</v>
      </c>
      <c r="G100" s="9">
        <v>95</v>
      </c>
      <c r="H100" s="9">
        <f t="shared" si="25"/>
        <v>2.8548494983277615</v>
      </c>
      <c r="I100" s="9">
        <f t="shared" si="13"/>
        <v>0.19826864123921784</v>
      </c>
      <c r="J100" s="9">
        <f t="shared" si="14"/>
        <v>6.6310087031581852E-2</v>
      </c>
      <c r="K100" s="9">
        <f t="shared" si="15"/>
        <v>9.2777454867545191E-3</v>
      </c>
      <c r="L100" s="9">
        <f t="shared" si="16"/>
        <v>0.13400639925986055</v>
      </c>
      <c r="M100" s="9">
        <f t="shared" si="17"/>
        <v>3.2798826558229653E-2</v>
      </c>
      <c r="X100" s="9">
        <f t="shared" si="18"/>
        <v>7.1916084287815332E-2</v>
      </c>
      <c r="Y100" s="9">
        <f t="shared" si="19"/>
        <v>1.2938484945634975E-2</v>
      </c>
      <c r="Z100" s="9">
        <f t="shared" si="20"/>
        <v>0.14810646129921215</v>
      </c>
      <c r="AB100" s="9">
        <f t="shared" si="21"/>
        <v>0.34451728315848101</v>
      </c>
      <c r="AC100" s="9">
        <f t="shared" si="22"/>
        <v>0.33387688154837197</v>
      </c>
      <c r="AD100" s="9">
        <f t="shared" si="23"/>
        <v>0.34813631723383037</v>
      </c>
      <c r="AE100" s="9">
        <f t="shared" si="24"/>
        <v>0.34152786288514225</v>
      </c>
    </row>
    <row r="101" spans="2:31" x14ac:dyDescent="0.3">
      <c r="B101" s="8">
        <v>4.2</v>
      </c>
      <c r="G101" s="9">
        <v>96</v>
      </c>
      <c r="H101" s="9">
        <f t="shared" si="25"/>
        <v>2.8745819397993335</v>
      </c>
      <c r="I101" s="9">
        <f t="shared" si="13"/>
        <v>0.19939329077055065</v>
      </c>
      <c r="J101" s="9">
        <f t="shared" si="14"/>
        <v>6.6375826968769105E-2</v>
      </c>
      <c r="K101" s="9">
        <f t="shared" si="15"/>
        <v>1.211928443870533E-2</v>
      </c>
      <c r="L101" s="9">
        <f t="shared" si="16"/>
        <v>0.13437256563548225</v>
      </c>
      <c r="M101" s="9">
        <f t="shared" si="17"/>
        <v>3.2802778887484896E-2</v>
      </c>
      <c r="X101" s="9">
        <f t="shared" si="18"/>
        <v>7.0638716904841692E-2</v>
      </c>
      <c r="Y101" s="9">
        <f t="shared" si="19"/>
        <v>1.5326148632485041E-2</v>
      </c>
      <c r="Z101" s="9">
        <f t="shared" si="20"/>
        <v>0.14868996288624883</v>
      </c>
      <c r="AB101" s="9">
        <f t="shared" si="21"/>
        <v>0.34592305642359539</v>
      </c>
      <c r="AC101" s="9">
        <f t="shared" si="22"/>
        <v>0.3341563193346232</v>
      </c>
      <c r="AD101" s="9">
        <f t="shared" si="23"/>
        <v>0.35106460070245593</v>
      </c>
      <c r="AE101" s="9">
        <f t="shared" si="24"/>
        <v>0.34283680650712078</v>
      </c>
    </row>
    <row r="102" spans="2:31" x14ac:dyDescent="0.3">
      <c r="B102" s="8">
        <v>4.2</v>
      </c>
      <c r="G102" s="9">
        <v>97</v>
      </c>
      <c r="H102" s="9">
        <f t="shared" si="25"/>
        <v>2.8943143812709056</v>
      </c>
      <c r="I102" s="9">
        <f t="shared" si="13"/>
        <v>0.20049926638371562</v>
      </c>
      <c r="J102" s="9">
        <f t="shared" si="14"/>
        <v>6.6541446142828531E-2</v>
      </c>
      <c r="K102" s="9">
        <f t="shared" si="15"/>
        <v>1.5229378411540508E-2</v>
      </c>
      <c r="L102" s="9">
        <f t="shared" si="16"/>
        <v>0.1347414434705784</v>
      </c>
      <c r="M102" s="9">
        <f t="shared" si="17"/>
        <v>3.2806644885352239E-2</v>
      </c>
      <c r="X102" s="9">
        <f t="shared" si="18"/>
        <v>6.9443919343985541E-2</v>
      </c>
      <c r="Y102" s="9">
        <f t="shared" si="19"/>
        <v>1.7365549877989848E-2</v>
      </c>
      <c r="Z102" s="9">
        <f t="shared" si="20"/>
        <v>0.14925860527578816</v>
      </c>
      <c r="AB102" s="9">
        <f t="shared" si="21"/>
        <v>0.34730526277695473</v>
      </c>
      <c r="AC102" s="9">
        <f t="shared" si="22"/>
        <v>0.33447943552070869</v>
      </c>
      <c r="AD102" s="9">
        <f t="shared" si="23"/>
        <v>0.35400425147787445</v>
      </c>
      <c r="AE102" s="9">
        <f t="shared" si="24"/>
        <v>0.34414803410519534</v>
      </c>
    </row>
    <row r="103" spans="2:31" x14ac:dyDescent="0.3">
      <c r="B103" s="8">
        <v>4.3</v>
      </c>
      <c r="G103" s="9">
        <v>98</v>
      </c>
      <c r="H103" s="9">
        <f t="shared" si="25"/>
        <v>2.9140468227424776</v>
      </c>
      <c r="I103" s="9">
        <f t="shared" si="13"/>
        <v>0.20158618737439463</v>
      </c>
      <c r="J103" s="9">
        <f t="shared" si="14"/>
        <v>6.6806076721595303E-2</v>
      </c>
      <c r="K103" s="9">
        <f t="shared" si="15"/>
        <v>1.8412940494657738E-2</v>
      </c>
      <c r="L103" s="9">
        <f t="shared" si="16"/>
        <v>0.13511304767686688</v>
      </c>
      <c r="M103" s="9">
        <f t="shared" si="17"/>
        <v>3.2810424521075576E-2</v>
      </c>
      <c r="X103" s="9">
        <f t="shared" si="18"/>
        <v>6.8176058622933106E-2</v>
      </c>
      <c r="Y103" s="9">
        <f t="shared" si="19"/>
        <v>1.9056688682149395E-2</v>
      </c>
      <c r="Z103" s="9">
        <f t="shared" si="20"/>
        <v>0.14981238846783015</v>
      </c>
      <c r="AB103" s="9">
        <f t="shared" si="21"/>
        <v>0.34866317200010821</v>
      </c>
      <c r="AC103" s="9">
        <f t="shared" si="22"/>
        <v>0.33483935803838788</v>
      </c>
      <c r="AD103" s="9">
        <f t="shared" si="23"/>
        <v>0.3569549763518402</v>
      </c>
      <c r="AE103" s="9">
        <f t="shared" si="24"/>
        <v>0.34546350815904653</v>
      </c>
    </row>
    <row r="104" spans="2:31" x14ac:dyDescent="0.3">
      <c r="B104" s="8">
        <v>3</v>
      </c>
      <c r="G104" s="9">
        <v>99</v>
      </c>
      <c r="H104" s="9">
        <f t="shared" si="25"/>
        <v>2.9337792642140497</v>
      </c>
      <c r="I104" s="9">
        <f t="shared" si="13"/>
        <v>0.20265367811208726</v>
      </c>
      <c r="J104" s="9">
        <f t="shared" si="14"/>
        <v>6.7168743906165201E-2</v>
      </c>
      <c r="K104" s="9">
        <f t="shared" si="15"/>
        <v>2.1424824310501314E-2</v>
      </c>
      <c r="L104" s="9">
        <f t="shared" si="16"/>
        <v>0.13548738599089608</v>
      </c>
      <c r="M104" s="9">
        <f t="shared" si="17"/>
        <v>3.2814117764580618E-2</v>
      </c>
      <c r="X104" s="9">
        <f t="shared" si="18"/>
        <v>6.6835134741684427E-2</v>
      </c>
      <c r="Y104" s="9">
        <f t="shared" si="19"/>
        <v>2.0399565044963684E-2</v>
      </c>
      <c r="Z104" s="9">
        <f t="shared" si="20"/>
        <v>0.15035131246237468</v>
      </c>
      <c r="AB104" s="9">
        <f t="shared" si="21"/>
        <v>0.3499953423785227</v>
      </c>
      <c r="AC104" s="9">
        <f t="shared" si="22"/>
        <v>0.33522921481942008</v>
      </c>
      <c r="AD104" s="9">
        <f t="shared" si="23"/>
        <v>0.35991648211610877</v>
      </c>
      <c r="AE104" s="9">
        <f t="shared" si="24"/>
        <v>0.34678517295895256</v>
      </c>
    </row>
    <row r="105" spans="2:31" x14ac:dyDescent="0.3">
      <c r="B105" s="8">
        <v>4.0999999999999996</v>
      </c>
      <c r="G105" s="9">
        <v>100</v>
      </c>
      <c r="H105" s="9">
        <f t="shared" si="25"/>
        <v>2.9535117056856217</v>
      </c>
      <c r="I105" s="9">
        <f t="shared" si="13"/>
        <v>0.20370136825584165</v>
      </c>
      <c r="J105" s="9">
        <f t="shared" si="14"/>
        <v>6.7628371686282454E-2</v>
      </c>
      <c r="K105" s="9">
        <f t="shared" si="15"/>
        <v>2.4003565144406363E-2</v>
      </c>
      <c r="L105" s="9">
        <f t="shared" si="16"/>
        <v>0.13586445890989346</v>
      </c>
      <c r="M105" s="9">
        <f t="shared" si="17"/>
        <v>3.2817724586475285E-2</v>
      </c>
      <c r="X105" s="9">
        <f t="shared" si="18"/>
        <v>6.6391667340682345E-2</v>
      </c>
      <c r="Y105" s="9">
        <f t="shared" si="19"/>
        <v>2.1394178966432715E-2</v>
      </c>
      <c r="Z105" s="9">
        <f t="shared" si="20"/>
        <v>0.15088213728660049</v>
      </c>
      <c r="AB105" s="9">
        <f t="shared" si="21"/>
        <v>0.35130881474743431</v>
      </c>
      <c r="AC105" s="9">
        <f t="shared" si="22"/>
        <v>0.33564213379556485</v>
      </c>
      <c r="AD105" s="9">
        <f t="shared" si="23"/>
        <v>0.36288850130649603</v>
      </c>
      <c r="AE105" s="9">
        <f t="shared" si="24"/>
        <v>0.34811495255212821</v>
      </c>
    </row>
    <row r="106" spans="2:31" x14ac:dyDescent="0.3">
      <c r="B106" s="8">
        <v>6</v>
      </c>
      <c r="G106" s="9">
        <v>101</v>
      </c>
      <c r="H106" s="9">
        <f t="shared" si="25"/>
        <v>2.9732441471571938</v>
      </c>
      <c r="I106" s="9">
        <f t="shared" si="13"/>
        <v>0.2047288929678277</v>
      </c>
      <c r="J106" s="9">
        <f t="shared" si="14"/>
        <v>6.8183788420889818E-2</v>
      </c>
      <c r="K106" s="9">
        <f t="shared" si="15"/>
        <v>2.5916555537075392E-2</v>
      </c>
      <c r="L106" s="9">
        <f t="shared" si="16"/>
        <v>0.13624425963557837</v>
      </c>
      <c r="M106" s="9">
        <f t="shared" si="17"/>
        <v>3.2821244958050007E-2</v>
      </c>
      <c r="X106" s="9">
        <f t="shared" si="18"/>
        <v>6.6323732522662618E-2</v>
      </c>
      <c r="Y106" s="9">
        <f t="shared" si="19"/>
        <v>2.2040530446556482E-2</v>
      </c>
      <c r="Z106" s="9">
        <f t="shared" si="20"/>
        <v>0.15140879142473698</v>
      </c>
      <c r="AB106" s="9">
        <f t="shared" si="21"/>
        <v>0.35261667398303193</v>
      </c>
      <c r="AC106" s="9">
        <f t="shared" si="22"/>
        <v>0.33607124289858153</v>
      </c>
      <c r="AD106" s="9">
        <f t="shared" si="23"/>
        <v>0.36587099493928926</v>
      </c>
      <c r="AE106" s="9">
        <f t="shared" si="24"/>
        <v>0.3494547488009459</v>
      </c>
    </row>
    <row r="107" spans="2:31" x14ac:dyDescent="0.3">
      <c r="B107" s="8">
        <v>5.0999999999999996</v>
      </c>
      <c r="G107" s="9">
        <v>102</v>
      </c>
      <c r="H107" s="9">
        <f t="shared" si="25"/>
        <v>2.9929765886287658</v>
      </c>
      <c r="I107" s="9">
        <f t="shared" si="13"/>
        <v>0.2057358931245814</v>
      </c>
      <c r="J107" s="9">
        <f t="shared" si="14"/>
        <v>6.8833732225787106E-2</v>
      </c>
      <c r="K107" s="9">
        <f t="shared" si="15"/>
        <v>2.7008244628281972E-2</v>
      </c>
      <c r="L107" s="9">
        <f t="shared" si="16"/>
        <v>0.13662677402601028</v>
      </c>
      <c r="M107" s="9">
        <f t="shared" si="17"/>
        <v>3.2824678851278342E-2</v>
      </c>
      <c r="X107" s="9">
        <f t="shared" si="18"/>
        <v>6.6545025391836238E-2</v>
      </c>
      <c r="Y107" s="9">
        <f t="shared" si="19"/>
        <v>2.2338619485334991E-2</v>
      </c>
      <c r="Z107" s="9">
        <f t="shared" si="20"/>
        <v>0.15192048317650472</v>
      </c>
      <c r="AB107" s="9">
        <f t="shared" si="21"/>
        <v>0.35392769778634869</v>
      </c>
      <c r="AC107" s="9">
        <f t="shared" si="22"/>
        <v>0.33650967006022953</v>
      </c>
      <c r="AD107" s="9">
        <f t="shared" si="23"/>
        <v>0.36886373312183168</v>
      </c>
      <c r="AE107" s="9">
        <f t="shared" si="24"/>
        <v>0.35080643954938417</v>
      </c>
    </row>
    <row r="108" spans="2:31" x14ac:dyDescent="0.3">
      <c r="B108" s="8">
        <v>5.9</v>
      </c>
      <c r="G108" s="9">
        <v>103</v>
      </c>
      <c r="H108" s="9">
        <f t="shared" si="25"/>
        <v>3.0127090301003379</v>
      </c>
      <c r="I108" s="9">
        <f t="shared" si="13"/>
        <v>0.20672201552574951</v>
      </c>
      <c r="J108" s="9">
        <f t="shared" si="14"/>
        <v>6.9576856152936684E-2</v>
      </c>
      <c r="K108" s="9">
        <f t="shared" si="15"/>
        <v>2.7240822280087378E-2</v>
      </c>
      <c r="L108" s="9">
        <f t="shared" si="16"/>
        <v>0.13701198055553035</v>
      </c>
      <c r="M108" s="9">
        <f t="shared" si="17"/>
        <v>3.2828026238817039E-2</v>
      </c>
      <c r="X108" s="9">
        <f t="shared" si="18"/>
        <v>6.6698627392004536E-2</v>
      </c>
      <c r="Y108" s="9">
        <f t="shared" si="19"/>
        <v>2.2288446082768244E-2</v>
      </c>
      <c r="Z108" s="9">
        <f t="shared" si="20"/>
        <v>0.15241721254190341</v>
      </c>
      <c r="AB108" s="9">
        <f t="shared" si="21"/>
        <v>0.35524242038519921</v>
      </c>
      <c r="AC108" s="9">
        <f t="shared" si="22"/>
        <v>0.33695054321226819</v>
      </c>
      <c r="AD108" s="9">
        <f t="shared" si="23"/>
        <v>0.37186642060971165</v>
      </c>
      <c r="AE108" s="9">
        <f t="shared" si="24"/>
        <v>0.35217187689376989</v>
      </c>
    </row>
    <row r="109" spans="2:31" x14ac:dyDescent="0.3">
      <c r="B109" s="8">
        <v>5.6</v>
      </c>
      <c r="G109" s="9">
        <v>104</v>
      </c>
      <c r="H109" s="9">
        <f t="shared" si="25"/>
        <v>3.0324414715719099</v>
      </c>
      <c r="I109" s="9">
        <f t="shared" si="13"/>
        <v>0.20768691310016449</v>
      </c>
      <c r="J109" s="9">
        <f t="shared" si="14"/>
        <v>7.041173314852664E-2</v>
      </c>
      <c r="K109" s="9">
        <f t="shared" si="15"/>
        <v>2.671743345880178E-2</v>
      </c>
      <c r="L109" s="9">
        <f t="shared" si="16"/>
        <v>0.13739985028285051</v>
      </c>
      <c r="M109" s="9">
        <f t="shared" si="17"/>
        <v>3.2831287094006636E-2</v>
      </c>
      <c r="X109" s="9">
        <f t="shared" si="18"/>
        <v>6.6784538523167458E-2</v>
      </c>
      <c r="Y109" s="9">
        <f t="shared" si="19"/>
        <v>2.1890010238856238E-2</v>
      </c>
      <c r="Z109" s="9">
        <f t="shared" si="20"/>
        <v>0.15289897952093304</v>
      </c>
      <c r="AB109" s="9">
        <f t="shared" si="21"/>
        <v>0.3565595060734722</v>
      </c>
      <c r="AC109" s="9">
        <f t="shared" si="22"/>
        <v>0.33738699028645702</v>
      </c>
      <c r="AD109" s="9">
        <f t="shared" si="23"/>
        <v>0.37487876215851385</v>
      </c>
      <c r="AE109" s="9">
        <f t="shared" si="24"/>
        <v>0.35355288555354958</v>
      </c>
    </row>
    <row r="110" spans="2:31" x14ac:dyDescent="0.3">
      <c r="B110" s="8">
        <v>5.8</v>
      </c>
      <c r="G110" s="9">
        <v>105</v>
      </c>
      <c r="H110" s="9">
        <f t="shared" si="25"/>
        <v>3.052173913043482</v>
      </c>
      <c r="I110" s="9">
        <f t="shared" si="13"/>
        <v>0.20863024510908254</v>
      </c>
      <c r="J110" s="9">
        <f t="shared" si="14"/>
        <v>7.1336860779441708E-2</v>
      </c>
      <c r="K110" s="9">
        <f t="shared" si="15"/>
        <v>2.5681211065975814E-2</v>
      </c>
      <c r="L110" s="9">
        <f t="shared" si="16"/>
        <v>0.13779034682732214</v>
      </c>
      <c r="M110" s="9">
        <f t="shared" si="17"/>
        <v>3.2834461390871851E-2</v>
      </c>
      <c r="X110" s="9">
        <f t="shared" si="18"/>
        <v>6.7698755903735988E-2</v>
      </c>
      <c r="Y110" s="9">
        <f t="shared" si="19"/>
        <v>2.1143311953598972E-2</v>
      </c>
      <c r="Z110" s="9">
        <f t="shared" si="20"/>
        <v>0.15337135745392852</v>
      </c>
      <c r="AB110" s="9">
        <f t="shared" si="21"/>
        <v>0.35788485319578878</v>
      </c>
      <c r="AC110" s="9">
        <f t="shared" si="22"/>
        <v>0.33781213921455538</v>
      </c>
      <c r="AD110" s="9">
        <f t="shared" si="23"/>
        <v>0.37790048001809101</v>
      </c>
      <c r="AE110" s="9">
        <f t="shared" si="24"/>
        <v>0.35495126133763027</v>
      </c>
    </row>
    <row r="111" spans="2:31" x14ac:dyDescent="0.3">
      <c r="B111" s="8">
        <v>6.6</v>
      </c>
      <c r="G111" s="9">
        <v>106</v>
      </c>
      <c r="H111" s="9">
        <f t="shared" si="25"/>
        <v>3.071906354515054</v>
      </c>
      <c r="I111" s="9">
        <f t="shared" si="13"/>
        <v>0.20955167734641747</v>
      </c>
      <c r="J111" s="9">
        <f t="shared" si="14"/>
        <v>7.2350665720267271E-2</v>
      </c>
      <c r="K111" s="9">
        <f t="shared" si="15"/>
        <v>2.4488360072156563E-2</v>
      </c>
      <c r="L111" s="9">
        <f t="shared" si="16"/>
        <v>0.13818342635342271</v>
      </c>
      <c r="M111" s="9">
        <f t="shared" si="17"/>
        <v>3.2837549104121587E-2</v>
      </c>
      <c r="X111" s="9">
        <f t="shared" si="18"/>
        <v>6.885525599965675E-2</v>
      </c>
      <c r="Y111" s="9">
        <f t="shared" si="19"/>
        <v>2.0048351226996445E-2</v>
      </c>
      <c r="Z111" s="9">
        <f t="shared" si="20"/>
        <v>0.15384065519466267</v>
      </c>
      <c r="AB111" s="9">
        <f t="shared" si="21"/>
        <v>0.35923162100918482</v>
      </c>
      <c r="AC111" s="9">
        <f t="shared" si="22"/>
        <v>0.33821911792832265</v>
      </c>
      <c r="AD111" s="9">
        <f t="shared" si="23"/>
        <v>0.38093152632094968</v>
      </c>
      <c r="AE111" s="9">
        <f t="shared" si="24"/>
        <v>0.35636876970162429</v>
      </c>
    </row>
    <row r="112" spans="2:31" x14ac:dyDescent="0.3">
      <c r="B112" s="8">
        <v>4.5</v>
      </c>
      <c r="G112" s="9">
        <v>107</v>
      </c>
      <c r="H112" s="9">
        <f t="shared" si="25"/>
        <v>3.0916387959866261</v>
      </c>
      <c r="I112" s="9">
        <f t="shared" si="13"/>
        <v>0.21045088233580697</v>
      </c>
      <c r="J112" s="9">
        <f t="shared" si="14"/>
        <v>7.34515079953688E-2</v>
      </c>
      <c r="K112" s="9">
        <f t="shared" si="15"/>
        <v>2.3558748142314512E-2</v>
      </c>
      <c r="L112" s="9">
        <f t="shared" si="16"/>
        <v>0.13857903756347598</v>
      </c>
      <c r="M112" s="9">
        <f t="shared" si="17"/>
        <v>3.2840550209149673E-2</v>
      </c>
      <c r="X112" s="9">
        <f t="shared" si="18"/>
        <v>7.010578880522389E-2</v>
      </c>
      <c r="Y112" s="9">
        <f t="shared" si="19"/>
        <v>2.4495475515712996E-2</v>
      </c>
      <c r="Z112" s="9">
        <f t="shared" si="20"/>
        <v>0.15429488736015678</v>
      </c>
      <c r="AB112" s="9">
        <f t="shared" si="21"/>
        <v>0.36060273499167761</v>
      </c>
      <c r="AC112" s="9">
        <f t="shared" si="22"/>
        <v>0.33864648351617427</v>
      </c>
      <c r="AD112" s="9">
        <f t="shared" si="23"/>
        <v>0.38397168437371793</v>
      </c>
      <c r="AE112" s="9">
        <f t="shared" si="24"/>
        <v>0.35780714439123834</v>
      </c>
    </row>
    <row r="113" spans="2:31" x14ac:dyDescent="0.3">
      <c r="B113" s="8">
        <v>6.3</v>
      </c>
      <c r="G113" s="9">
        <v>108</v>
      </c>
      <c r="H113" s="9">
        <f t="shared" si="25"/>
        <v>3.1113712374581981</v>
      </c>
      <c r="I113" s="9">
        <f t="shared" si="13"/>
        <v>0.21132753952434796</v>
      </c>
      <c r="J113" s="9">
        <f t="shared" si="14"/>
        <v>7.4637684972914481E-2</v>
      </c>
      <c r="K113" s="9">
        <f t="shared" si="15"/>
        <v>2.3311688094532098E-2</v>
      </c>
      <c r="L113" s="9">
        <f t="shared" si="16"/>
        <v>0.13897712169861379</v>
      </c>
      <c r="M113" s="9">
        <f t="shared" si="17"/>
        <v>3.2843464682034966E-2</v>
      </c>
      <c r="X113" s="9">
        <f t="shared" si="18"/>
        <v>7.1299375324167566E-2</v>
      </c>
      <c r="Y113" s="9">
        <f t="shared" si="19"/>
        <v>2.9710558006026924E-2</v>
      </c>
      <c r="Z113" s="9">
        <f t="shared" si="20"/>
        <v>0.15473405395041023</v>
      </c>
      <c r="AB113" s="9">
        <f t="shared" si="21"/>
        <v>0.36199796319493011</v>
      </c>
      <c r="AC113" s="9">
        <f t="shared" si="22"/>
        <v>0.33918301022517139</v>
      </c>
      <c r="AD113" s="9">
        <f t="shared" si="23"/>
        <v>0.38702065689581638</v>
      </c>
      <c r="AE113" s="9">
        <f t="shared" si="24"/>
        <v>0.35926808616690942</v>
      </c>
    </row>
    <row r="114" spans="2:31" x14ac:dyDescent="0.3">
      <c r="B114" s="8">
        <v>5.8</v>
      </c>
      <c r="G114" s="9">
        <v>109</v>
      </c>
      <c r="H114" s="9">
        <f t="shared" si="25"/>
        <v>3.1311036789297702</v>
      </c>
      <c r="I114" s="9">
        <f t="shared" si="13"/>
        <v>0.21218133547284151</v>
      </c>
      <c r="J114" s="9">
        <f t="shared" si="14"/>
        <v>7.5907435109943605E-2</v>
      </c>
      <c r="K114" s="9">
        <f t="shared" si="15"/>
        <v>2.4097183556922031E-2</v>
      </c>
      <c r="L114" s="9">
        <f t="shared" si="16"/>
        <v>0.13937761254798578</v>
      </c>
      <c r="M114" s="9">
        <f t="shared" si="17"/>
        <v>3.2846292499541734E-2</v>
      </c>
      <c r="X114" s="9">
        <f t="shared" si="18"/>
        <v>7.243601555648764E-2</v>
      </c>
      <c r="Y114" s="9">
        <f t="shared" si="19"/>
        <v>3.3880853172305068E-2</v>
      </c>
      <c r="Z114" s="9">
        <f t="shared" si="20"/>
        <v>0.15515815496542334</v>
      </c>
      <c r="AB114" s="9">
        <f t="shared" si="21"/>
        <v>0.36341618192967612</v>
      </c>
      <c r="AC114" s="9">
        <f t="shared" si="22"/>
        <v>0.33981213514181707</v>
      </c>
      <c r="AD114" s="9">
        <f t="shared" si="23"/>
        <v>0.39007814660666207</v>
      </c>
      <c r="AE114" s="9">
        <f t="shared" si="24"/>
        <v>0.36075326160481053</v>
      </c>
    </row>
    <row r="115" spans="2:31" x14ac:dyDescent="0.3">
      <c r="B115" s="8">
        <v>6.1</v>
      </c>
      <c r="G115" s="9">
        <v>110</v>
      </c>
      <c r="H115" s="9">
        <f t="shared" si="25"/>
        <v>3.1508361204013422</v>
      </c>
      <c r="I115" s="9">
        <f t="shared" si="13"/>
        <v>0.21301196404238881</v>
      </c>
      <c r="J115" s="9">
        <f t="shared" si="14"/>
        <v>7.7258941449705812E-2</v>
      </c>
      <c r="K115" s="9">
        <f t="shared" si="15"/>
        <v>2.6133865151695971E-2</v>
      </c>
      <c r="L115" s="9">
        <f t="shared" si="16"/>
        <v>0.13978043646620048</v>
      </c>
      <c r="M115" s="9">
        <f t="shared" si="17"/>
        <v>3.2849033639119882E-2</v>
      </c>
      <c r="X115" s="9">
        <f t="shared" si="18"/>
        <v>7.3958076547488663E-2</v>
      </c>
      <c r="Y115" s="9">
        <f t="shared" si="19"/>
        <v>3.7006361014547427E-2</v>
      </c>
      <c r="Z115" s="9">
        <f t="shared" si="20"/>
        <v>0.15556719040519615</v>
      </c>
      <c r="AB115" s="9">
        <f t="shared" si="21"/>
        <v>0.3648595441551864</v>
      </c>
      <c r="AC115" s="9">
        <f t="shared" si="22"/>
        <v>0.34051324206138961</v>
      </c>
      <c r="AD115" s="9">
        <f t="shared" si="23"/>
        <v>0.39314385622567377</v>
      </c>
      <c r="AE115" s="9">
        <f t="shared" si="24"/>
        <v>0.36226430196929632</v>
      </c>
    </row>
    <row r="116" spans="2:31" x14ac:dyDescent="0.3">
      <c r="B116" s="8">
        <v>5.0999999999999996</v>
      </c>
      <c r="G116" s="9">
        <v>111</v>
      </c>
      <c r="H116" s="9">
        <f t="shared" si="25"/>
        <v>3.1705685618729142</v>
      </c>
      <c r="I116" s="9">
        <f t="shared" si="13"/>
        <v>0.21381912657718322</v>
      </c>
      <c r="J116" s="9">
        <f t="shared" si="14"/>
        <v>7.8690334874511408E-2</v>
      </c>
      <c r="K116" s="9">
        <f t="shared" si="15"/>
        <v>2.946448833973624E-2</v>
      </c>
      <c r="L116" s="9">
        <f t="shared" si="16"/>
        <v>0.14018551239898347</v>
      </c>
      <c r="M116" s="9">
        <f t="shared" si="17"/>
        <v>3.2851688078905358E-2</v>
      </c>
      <c r="X116" s="9">
        <f t="shared" si="18"/>
        <v>7.5714571066215847E-2</v>
      </c>
      <c r="Y116" s="9">
        <f t="shared" si="19"/>
        <v>3.9087081532754017E-2</v>
      </c>
      <c r="Z116" s="9">
        <f t="shared" si="20"/>
        <v>0.1559611602697285</v>
      </c>
      <c r="AB116" s="9">
        <f t="shared" si="21"/>
        <v>0.3663354149711413</v>
      </c>
      <c r="AC116" s="9">
        <f t="shared" si="22"/>
        <v>0.34126571477916734</v>
      </c>
      <c r="AD116" s="9">
        <f t="shared" si="23"/>
        <v>0.39621748847227001</v>
      </c>
      <c r="AE116" s="9">
        <f t="shared" si="24"/>
        <v>0.36380280215194694</v>
      </c>
    </row>
    <row r="117" spans="2:31" x14ac:dyDescent="0.3">
      <c r="B117" s="8">
        <v>5.3</v>
      </c>
      <c r="G117" s="9">
        <v>112</v>
      </c>
      <c r="H117" s="9">
        <f t="shared" si="25"/>
        <v>3.1903010033444863</v>
      </c>
      <c r="I117" s="9">
        <f t="shared" si="13"/>
        <v>0.21460253208334548</v>
      </c>
      <c r="J117" s="9">
        <f t="shared" si="14"/>
        <v>8.0199697119205618E-2</v>
      </c>
      <c r="K117" s="9">
        <f t="shared" si="15"/>
        <v>3.3938324722382021E-2</v>
      </c>
      <c r="L117" s="9">
        <f t="shared" si="16"/>
        <v>0.14059275191701751</v>
      </c>
      <c r="M117" s="9">
        <f t="shared" si="17"/>
        <v>3.2854255797720409E-2</v>
      </c>
      <c r="X117" s="9">
        <f t="shared" si="18"/>
        <v>7.7696482131165145E-2</v>
      </c>
      <c r="Y117" s="9">
        <f t="shared" si="19"/>
        <v>4.0123014726924831E-2</v>
      </c>
      <c r="Z117" s="9">
        <f t="shared" si="20"/>
        <v>0.15634006455902039</v>
      </c>
      <c r="AB117" s="9">
        <f t="shared" si="21"/>
        <v>0.36784909239245434</v>
      </c>
      <c r="AC117" s="9">
        <f t="shared" si="22"/>
        <v>0.34204893709042833</v>
      </c>
      <c r="AD117" s="9">
        <f t="shared" si="23"/>
        <v>0.39929874606586785</v>
      </c>
      <c r="AE117" s="9">
        <f t="shared" si="24"/>
        <v>0.36537031967242728</v>
      </c>
    </row>
    <row r="118" spans="2:31" x14ac:dyDescent="0.3">
      <c r="B118" s="8">
        <v>5.5</v>
      </c>
      <c r="G118" s="9">
        <v>113</v>
      </c>
      <c r="H118" s="9">
        <f t="shared" si="25"/>
        <v>3.2100334448160583</v>
      </c>
      <c r="I118" s="9">
        <f t="shared" si="13"/>
        <v>0.2153618974036528</v>
      </c>
      <c r="J118" s="9">
        <f t="shared" si="14"/>
        <v>8.1785063552139908E-2</v>
      </c>
      <c r="K118" s="9">
        <f t="shared" si="15"/>
        <v>3.9226758493789815E-2</v>
      </c>
      <c r="L118" s="9">
        <f t="shared" si="16"/>
        <v>0.14100205925793088</v>
      </c>
      <c r="M118" s="9">
        <f t="shared" si="17"/>
        <v>3.2856736775073905E-2</v>
      </c>
      <c r="X118" s="9">
        <f t="shared" si="18"/>
        <v>7.9623595825967314E-2</v>
      </c>
      <c r="Y118" s="9">
        <f t="shared" si="19"/>
        <v>4.0114160597059849E-2</v>
      </c>
      <c r="Z118" s="9">
        <f t="shared" si="20"/>
        <v>0.1567039032730716</v>
      </c>
      <c r="AB118" s="9">
        <f t="shared" si="21"/>
        <v>0.36940133711490891</v>
      </c>
      <c r="AC118" s="9">
        <f t="shared" si="22"/>
        <v>0.34284229279045086</v>
      </c>
      <c r="AD118" s="9">
        <f t="shared" si="23"/>
        <v>0.40238733172588742</v>
      </c>
      <c r="AE118" s="9">
        <f t="shared" si="24"/>
        <v>0.36696837373649727</v>
      </c>
    </row>
    <row r="119" spans="2:31" x14ac:dyDescent="0.3">
      <c r="B119" s="8">
        <v>5</v>
      </c>
      <c r="G119" s="9">
        <v>114</v>
      </c>
      <c r="H119" s="9">
        <f t="shared" si="25"/>
        <v>3.2297658862876304</v>
      </c>
      <c r="I119" s="9">
        <f t="shared" si="13"/>
        <v>0.2160969473880141</v>
      </c>
      <c r="J119" s="9">
        <f t="shared" si="14"/>
        <v>8.34444257321139E-2</v>
      </c>
      <c r="K119" s="9">
        <f t="shared" si="15"/>
        <v>4.4873426164391376E-2</v>
      </c>
      <c r="L119" s="9">
        <f t="shared" si="16"/>
        <v>0.14141333137638232</v>
      </c>
      <c r="M119" s="9">
        <f t="shared" si="17"/>
        <v>3.2859130991161424E-2</v>
      </c>
      <c r="X119" s="9">
        <f t="shared" si="18"/>
        <v>8.1495912150622227E-2</v>
      </c>
      <c r="Y119" s="9">
        <f t="shared" si="19"/>
        <v>4.030930161741221E-2</v>
      </c>
      <c r="Z119" s="9">
        <f t="shared" si="20"/>
        <v>0.15705267641188267</v>
      </c>
      <c r="AB119" s="9">
        <f t="shared" si="21"/>
        <v>0.37099106785260538</v>
      </c>
      <c r="AC119" s="9">
        <f t="shared" si="22"/>
        <v>0.3436289939408414</v>
      </c>
      <c r="AD119" s="9">
        <f t="shared" si="23"/>
        <v>0.40548294817174596</v>
      </c>
      <c r="AE119" s="9">
        <f t="shared" si="24"/>
        <v>0.36859844434667827</v>
      </c>
    </row>
    <row r="120" spans="2:31" x14ac:dyDescent="0.3">
      <c r="B120" s="8">
        <v>5.0999999999999996</v>
      </c>
      <c r="G120" s="9">
        <v>115</v>
      </c>
      <c r="H120" s="9">
        <f t="shared" si="25"/>
        <v>3.2494983277592024</v>
      </c>
      <c r="I120" s="9">
        <f t="shared" si="13"/>
        <v>0.21680741505954898</v>
      </c>
      <c r="J120" s="9">
        <f t="shared" si="14"/>
        <v>8.5175733751232538E-2</v>
      </c>
      <c r="K120" s="9">
        <f t="shared" si="15"/>
        <v>5.0373304355167577E-2</v>
      </c>
      <c r="L120" s="9">
        <f t="shared" si="16"/>
        <v>0.14182645800218135</v>
      </c>
      <c r="M120" s="9">
        <f t="shared" si="17"/>
        <v>3.286143842686582E-2</v>
      </c>
      <c r="X120" s="9">
        <f t="shared" si="18"/>
        <v>8.35433217760463E-2</v>
      </c>
      <c r="Y120" s="9">
        <f t="shared" si="19"/>
        <v>4.2440195538185538E-2</v>
      </c>
      <c r="Z120" s="9">
        <f t="shared" si="20"/>
        <v>0.15738958251921384</v>
      </c>
      <c r="AB120" s="9">
        <f t="shared" si="21"/>
        <v>0.37261875283502366</v>
      </c>
      <c r="AC120" s="9">
        <f t="shared" si="22"/>
        <v>0.34444656409026059</v>
      </c>
      <c r="AD120" s="9">
        <f t="shared" si="23"/>
        <v>0.40858530388174247</v>
      </c>
      <c r="AE120" s="9">
        <f t="shared" si="24"/>
        <v>0.37026197146124334</v>
      </c>
    </row>
    <row r="121" spans="2:31" x14ac:dyDescent="0.3">
      <c r="B121" s="8">
        <v>5.3</v>
      </c>
      <c r="G121" s="9">
        <v>116</v>
      </c>
      <c r="H121" s="9">
        <f t="shared" si="25"/>
        <v>3.2692307692307745</v>
      </c>
      <c r="I121" s="9">
        <f t="shared" si="13"/>
        <v>0.21749304177612908</v>
      </c>
      <c r="J121" s="9">
        <f t="shared" si="14"/>
        <v>8.69768983749344E-2</v>
      </c>
      <c r="K121" s="9">
        <f t="shared" si="15"/>
        <v>5.526733630849779E-2</v>
      </c>
      <c r="L121" s="9">
        <f t="shared" si="16"/>
        <v>0.14224132170638207</v>
      </c>
      <c r="M121" s="9">
        <f t="shared" si="17"/>
        <v>3.2863659063757225E-2</v>
      </c>
      <c r="X121" s="9">
        <f t="shared" si="18"/>
        <v>8.5734183509435943E-2</v>
      </c>
      <c r="Y121" s="9">
        <f t="shared" si="19"/>
        <v>4.3874564576268357E-2</v>
      </c>
      <c r="Z121" s="9">
        <f t="shared" si="20"/>
        <v>0.15772569403369807</v>
      </c>
      <c r="AB121" s="9">
        <f t="shared" si="21"/>
        <v>0.37428832344477386</v>
      </c>
      <c r="AC121" s="9">
        <f t="shared" si="22"/>
        <v>0.34529930991101299</v>
      </c>
      <c r="AD121" s="9">
        <f t="shared" si="23"/>
        <v>0.4116943257004943</v>
      </c>
      <c r="AE121" s="9">
        <f t="shared" si="24"/>
        <v>0.37196035419741164</v>
      </c>
    </row>
    <row r="122" spans="2:31" x14ac:dyDescent="0.3">
      <c r="B122" s="8">
        <v>5.5</v>
      </c>
      <c r="G122" s="9">
        <v>117</v>
      </c>
      <c r="H122" s="9">
        <f t="shared" si="25"/>
        <v>3.2889632107023465</v>
      </c>
      <c r="I122" s="9">
        <f t="shared" si="13"/>
        <v>0.2181535773872457</v>
      </c>
      <c r="J122" s="9">
        <f t="shared" si="14"/>
        <v>8.8845792991617031E-2</v>
      </c>
      <c r="K122" s="9">
        <f t="shared" si="15"/>
        <v>5.9232759784193789E-2</v>
      </c>
      <c r="L122" s="9">
        <f t="shared" si="16"/>
        <v>0.14265779797526709</v>
      </c>
      <c r="M122" s="9">
        <f t="shared" si="17"/>
        <v>3.2865792884093331E-2</v>
      </c>
      <c r="X122" s="9">
        <f t="shared" si="18"/>
        <v>8.8117304564984331E-2</v>
      </c>
      <c r="Y122" s="9">
        <f t="shared" si="19"/>
        <v>4.9499088043661432E-2</v>
      </c>
      <c r="Z122" s="9">
        <f t="shared" si="20"/>
        <v>0.15804663678406997</v>
      </c>
      <c r="AB122" s="9">
        <f t="shared" si="21"/>
        <v>0.3760036707085192</v>
      </c>
      <c r="AC122" s="9">
        <f t="shared" si="22"/>
        <v>0.34620449614086862</v>
      </c>
      <c r="AD122" s="9">
        <f t="shared" si="23"/>
        <v>0.4148098301616584</v>
      </c>
      <c r="AE122" s="9">
        <f t="shared" si="24"/>
        <v>0.37369495007487769</v>
      </c>
    </row>
    <row r="123" spans="2:31" x14ac:dyDescent="0.3">
      <c r="B123" s="8">
        <v>6.7</v>
      </c>
      <c r="G123" s="9">
        <v>118</v>
      </c>
      <c r="H123" s="9">
        <f t="shared" si="25"/>
        <v>3.3086956521739186</v>
      </c>
      <c r="I123" s="9">
        <f t="shared" si="13"/>
        <v>0.21878878038607041</v>
      </c>
      <c r="J123" s="9">
        <f t="shared" si="14"/>
        <v>9.078025538529659E-2</v>
      </c>
      <c r="K123" s="9">
        <f t="shared" si="15"/>
        <v>6.2147043328026771E-2</v>
      </c>
      <c r="L123" s="9">
        <f t="shared" si="16"/>
        <v>0.14307575529213801</v>
      </c>
      <c r="M123" s="9">
        <f t="shared" si="17"/>
        <v>3.286783987081978E-2</v>
      </c>
      <c r="X123" s="9">
        <f t="shared" si="18"/>
        <v>9.0445628250385518E-2</v>
      </c>
      <c r="Y123" s="9">
        <f t="shared" si="19"/>
        <v>5.6641419467860367E-2</v>
      </c>
      <c r="Z123" s="9">
        <f t="shared" si="20"/>
        <v>0.15835241077033016</v>
      </c>
      <c r="AB123" s="9">
        <f t="shared" si="21"/>
        <v>0.37776550212606314</v>
      </c>
      <c r="AC123" s="9">
        <f t="shared" si="22"/>
        <v>0.34725399250639927</v>
      </c>
      <c r="AD123" s="9">
        <f t="shared" si="23"/>
        <v>0.41793151794848499</v>
      </c>
      <c r="AE123" s="9">
        <f t="shared" si="24"/>
        <v>0.37546707429603954</v>
      </c>
    </row>
    <row r="124" spans="2:31" x14ac:dyDescent="0.3">
      <c r="B124" s="8">
        <v>6.9</v>
      </c>
      <c r="G124" s="9">
        <v>119</v>
      </c>
      <c r="H124" s="9">
        <f t="shared" si="25"/>
        <v>3.3284280936454906</v>
      </c>
      <c r="I124" s="9">
        <f t="shared" si="13"/>
        <v>0.21939841805657898</v>
      </c>
      <c r="J124" s="9">
        <f t="shared" si="14"/>
        <v>9.2778089345600043E-2</v>
      </c>
      <c r="K124" s="9">
        <f t="shared" si="15"/>
        <v>6.4107307977334729E-2</v>
      </c>
      <c r="L124" s="9">
        <f t="shared" si="16"/>
        <v>0.1434950552268171</v>
      </c>
      <c r="M124" s="9">
        <f t="shared" si="17"/>
        <v>3.2869800007570296E-2</v>
      </c>
      <c r="X124" s="9">
        <f t="shared" si="18"/>
        <v>9.2719154565639533E-2</v>
      </c>
      <c r="Y124" s="9">
        <f t="shared" si="19"/>
        <v>6.2390701126678272E-2</v>
      </c>
      <c r="Z124" s="9">
        <f t="shared" si="20"/>
        <v>0.15864301599247829</v>
      </c>
      <c r="AB124" s="9">
        <f t="shared" si="21"/>
        <v>0.37957273641150685</v>
      </c>
      <c r="AC124" s="9">
        <f t="shared" si="22"/>
        <v>0.34843068037224717</v>
      </c>
      <c r="AD124" s="9">
        <f t="shared" si="23"/>
        <v>0.4210590897442239</v>
      </c>
      <c r="AE124" s="9">
        <f t="shared" si="24"/>
        <v>0.37727799905957898</v>
      </c>
    </row>
    <row r="125" spans="2:31" x14ac:dyDescent="0.3">
      <c r="B125" s="8">
        <v>5</v>
      </c>
      <c r="G125" s="9">
        <v>120</v>
      </c>
      <c r="H125" s="9">
        <f t="shared" si="25"/>
        <v>3.3481605351170627</v>
      </c>
      <c r="I125" s="9">
        <f t="shared" si="13"/>
        <v>0.21998226661561399</v>
      </c>
      <c r="J125" s="9">
        <f t="shared" si="14"/>
        <v>9.4837066130094475E-2</v>
      </c>
      <c r="K125" s="9">
        <f t="shared" si="15"/>
        <v>6.5397383337428089E-2</v>
      </c>
      <c r="L125" s="9">
        <f t="shared" si="16"/>
        <v>0.14391555253275329</v>
      </c>
      <c r="M125" s="9">
        <f t="shared" si="17"/>
        <v>3.2871673278666767E-2</v>
      </c>
      <c r="X125" s="9">
        <f t="shared" si="18"/>
        <v>9.4937883510746349E-2</v>
      </c>
      <c r="Y125" s="9">
        <f t="shared" si="19"/>
        <v>6.6746933020115126E-2</v>
      </c>
      <c r="Z125" s="9">
        <f t="shared" si="20"/>
        <v>0.15892247331857567</v>
      </c>
      <c r="AB125" s="9">
        <f t="shared" si="21"/>
        <v>0.38142429227895081</v>
      </c>
      <c r="AC125" s="9">
        <f t="shared" si="22"/>
        <v>0.34970707146545021</v>
      </c>
      <c r="AD125" s="9">
        <f t="shared" si="23"/>
        <v>0.42419225078124628</v>
      </c>
      <c r="AE125" s="9">
        <f t="shared" si="24"/>
        <v>0.37912895290432364</v>
      </c>
    </row>
    <row r="126" spans="2:31" x14ac:dyDescent="0.3">
      <c r="B126" s="8">
        <v>5.7</v>
      </c>
      <c r="G126" s="9">
        <v>121</v>
      </c>
      <c r="H126" s="9">
        <f t="shared" si="25"/>
        <v>3.3678929765886347</v>
      </c>
      <c r="I126" s="9">
        <f t="shared" si="13"/>
        <v>0.22054011134976337</v>
      </c>
      <c r="J126" s="9">
        <f t="shared" si="14"/>
        <v>9.6954925794521557E-2</v>
      </c>
      <c r="K126" s="9">
        <f t="shared" si="15"/>
        <v>6.6408777732599414E-2</v>
      </c>
      <c r="L126" s="9">
        <f t="shared" si="16"/>
        <v>0.14433709525162164</v>
      </c>
      <c r="M126" s="9">
        <f t="shared" si="17"/>
        <v>3.2873459669119663E-2</v>
      </c>
      <c r="X126" s="9">
        <f t="shared" si="18"/>
        <v>9.7184175265261727E-2</v>
      </c>
      <c r="Y126" s="9">
        <f t="shared" si="19"/>
        <v>6.9710115148170965E-2</v>
      </c>
      <c r="Z126" s="9">
        <f t="shared" si="20"/>
        <v>0.1592176940565192</v>
      </c>
      <c r="AB126" s="9">
        <f t="shared" si="21"/>
        <v>0.38331924874857176</v>
      </c>
      <c r="AC126" s="9">
        <f t="shared" si="22"/>
        <v>0.35105567751304584</v>
      </c>
      <c r="AD126" s="9">
        <f t="shared" si="23"/>
        <v>0.42733111717991318</v>
      </c>
      <c r="AE126" s="9">
        <f t="shared" si="24"/>
        <v>0.38102112008064071</v>
      </c>
    </row>
    <row r="127" spans="2:31" x14ac:dyDescent="0.3">
      <c r="B127" s="8">
        <v>4.9000000000000004</v>
      </c>
      <c r="G127" s="9">
        <v>122</v>
      </c>
      <c r="H127" s="9">
        <f t="shared" si="25"/>
        <v>3.3876254180602068</v>
      </c>
      <c r="I127" s="9">
        <f t="shared" si="13"/>
        <v>0.22107174674693908</v>
      </c>
      <c r="J127" s="9">
        <f t="shared" si="14"/>
        <v>9.9129378406915228E-2</v>
      </c>
      <c r="K127" s="9">
        <f t="shared" si="15"/>
        <v>6.753544702155774E-2</v>
      </c>
      <c r="L127" s="9">
        <f t="shared" si="16"/>
        <v>0.14475952482529178</v>
      </c>
      <c r="M127" s="9">
        <f t="shared" si="17"/>
        <v>3.2875159164628166E-2</v>
      </c>
      <c r="X127" s="9">
        <f t="shared" si="18"/>
        <v>9.9707749865928119E-2</v>
      </c>
      <c r="Y127" s="9">
        <f t="shared" si="19"/>
        <v>7.3470269010716932E-2</v>
      </c>
      <c r="Z127" s="9">
        <f t="shared" si="20"/>
        <v>0.15949753965260755</v>
      </c>
      <c r="AB127" s="9">
        <f t="shared" si="21"/>
        <v>0.38526192688420319</v>
      </c>
      <c r="AC127" s="9">
        <f t="shared" si="22"/>
        <v>0.35246141526251035</v>
      </c>
      <c r="AD127" s="9">
        <f t="shared" si="23"/>
        <v>0.43047565730996923</v>
      </c>
      <c r="AE127" s="9">
        <f t="shared" si="24"/>
        <v>0.38295563994690485</v>
      </c>
    </row>
    <row r="128" spans="2:31" x14ac:dyDescent="0.3">
      <c r="B128" s="8">
        <v>6.7</v>
      </c>
      <c r="G128" s="9">
        <v>123</v>
      </c>
      <c r="H128" s="9">
        <f t="shared" si="25"/>
        <v>3.4073578595317788</v>
      </c>
      <c r="I128" s="9">
        <f t="shared" si="13"/>
        <v>0.22157697662254275</v>
      </c>
      <c r="J128" s="9">
        <f t="shared" si="14"/>
        <v>0.10135810516184154</v>
      </c>
      <c r="K128" s="9">
        <f t="shared" si="15"/>
        <v>6.9070568895283374E-2</v>
      </c>
      <c r="L128" s="9">
        <f t="shared" si="16"/>
        <v>0.14518267621503875</v>
      </c>
      <c r="M128" s="9">
        <f t="shared" si="17"/>
        <v>3.2876771751580353E-2</v>
      </c>
      <c r="X128" s="9">
        <f t="shared" si="18"/>
        <v>0.10217115480525647</v>
      </c>
      <c r="Y128" s="9">
        <f t="shared" si="19"/>
        <v>7.7221468696731826E-2</v>
      </c>
      <c r="Z128" s="9">
        <f t="shared" si="20"/>
        <v>0.15976201010684107</v>
      </c>
      <c r="AB128" s="9">
        <f t="shared" si="21"/>
        <v>0.38725380766078121</v>
      </c>
      <c r="AC128" s="9">
        <f t="shared" si="22"/>
        <v>0.35395103657155813</v>
      </c>
      <c r="AD128" s="9">
        <f t="shared" si="23"/>
        <v>0.43362556778232775</v>
      </c>
      <c r="AE128" s="9">
        <f t="shared" si="24"/>
        <v>0.38493360638891266</v>
      </c>
    </row>
    <row r="129" spans="2:31" x14ac:dyDescent="0.3">
      <c r="B129" s="8">
        <v>4.9000000000000004</v>
      </c>
      <c r="G129" s="9">
        <v>124</v>
      </c>
      <c r="H129" s="9">
        <f t="shared" si="25"/>
        <v>3.4270903010033509</v>
      </c>
      <c r="I129" s="9">
        <f t="shared" si="13"/>
        <v>0.22205561424010847</v>
      </c>
      <c r="J129" s="9">
        <f t="shared" si="14"/>
        <v>0.10363875941113888</v>
      </c>
      <c r="K129" s="9">
        <f t="shared" si="15"/>
        <v>7.113335870419242E-2</v>
      </c>
      <c r="L129" s="9">
        <f t="shared" si="16"/>
        <v>0.14560637802785353</v>
      </c>
      <c r="M129" s="9">
        <f t="shared" si="17"/>
        <v>3.2878297417053302E-2</v>
      </c>
      <c r="X129" s="9">
        <f t="shared" si="18"/>
        <v>0.10457439008324665</v>
      </c>
      <c r="Y129" s="9">
        <f t="shared" si="19"/>
        <v>7.9231356176020437E-2</v>
      </c>
      <c r="Z129" s="9">
        <f t="shared" si="20"/>
        <v>0.16001110541921965</v>
      </c>
      <c r="AB129" s="9">
        <f t="shared" si="21"/>
        <v>0.38929370378398509</v>
      </c>
      <c r="AC129" s="9">
        <f t="shared" si="22"/>
        <v>0.35549749803825692</v>
      </c>
      <c r="AD129" s="9">
        <f t="shared" si="23"/>
        <v>0.43678054520790122</v>
      </c>
      <c r="AE129" s="9">
        <f t="shared" si="24"/>
        <v>0.38695606726042903</v>
      </c>
    </row>
    <row r="130" spans="2:31" x14ac:dyDescent="0.3">
      <c r="B130" s="8">
        <v>5.7</v>
      </c>
      <c r="G130" s="9">
        <v>125</v>
      </c>
      <c r="H130" s="9">
        <f t="shared" si="25"/>
        <v>3.4468227424749229</v>
      </c>
      <c r="I130" s="9">
        <f t="shared" si="13"/>
        <v>0.22250748242632135</v>
      </c>
      <c r="J130" s="9">
        <f t="shared" si="14"/>
        <v>0.10596896762752023</v>
      </c>
      <c r="K130" s="9">
        <f t="shared" si="15"/>
        <v>7.3645039365376641E-2</v>
      </c>
      <c r="L130" s="9">
        <f t="shared" si="16"/>
        <v>0.14603045264970888</v>
      </c>
      <c r="M130" s="9">
        <f t="shared" si="17"/>
        <v>3.287973614881342E-2</v>
      </c>
      <c r="X130" s="9">
        <f t="shared" si="18"/>
        <v>0.10700954016924015</v>
      </c>
      <c r="Y130" s="9">
        <f t="shared" si="19"/>
        <v>7.9499931448582709E-2</v>
      </c>
      <c r="Z130" s="9">
        <f t="shared" si="20"/>
        <v>0.1602448255897431</v>
      </c>
      <c r="AB130" s="9">
        <f t="shared" si="21"/>
        <v>0.39138092576304229</v>
      </c>
      <c r="AC130" s="9">
        <f t="shared" si="22"/>
        <v>0.35706643932140369</v>
      </c>
      <c r="AD130" s="9">
        <f t="shared" si="23"/>
        <v>0.43994028619760445</v>
      </c>
      <c r="AE130" s="9">
        <f t="shared" si="24"/>
        <v>0.38902402384339008</v>
      </c>
    </row>
    <row r="131" spans="2:31" x14ac:dyDescent="0.3">
      <c r="B131" s="8">
        <v>6</v>
      </c>
      <c r="G131" s="9">
        <v>126</v>
      </c>
      <c r="H131" s="9">
        <f t="shared" si="25"/>
        <v>3.466555183946495</v>
      </c>
      <c r="I131" s="9">
        <f t="shared" si="13"/>
        <v>0.2229324136803105</v>
      </c>
      <c r="J131" s="9">
        <f t="shared" si="14"/>
        <v>0.10834633031726787</v>
      </c>
      <c r="K131" s="9">
        <f t="shared" si="15"/>
        <v>7.6358322259846526E-2</v>
      </c>
      <c r="L131" s="9">
        <f t="shared" si="16"/>
        <v>0.14645471638562851</v>
      </c>
      <c r="M131" s="9">
        <f t="shared" si="17"/>
        <v>3.2881087935316571E-2</v>
      </c>
      <c r="X131" s="9">
        <f t="shared" si="18"/>
        <v>0.1095052182351406</v>
      </c>
      <c r="Y131" s="9">
        <f t="shared" si="19"/>
        <v>7.8027194514418696E-2</v>
      </c>
      <c r="Z131" s="9">
        <f t="shared" si="20"/>
        <v>0.16046317061841175</v>
      </c>
      <c r="AB131" s="9">
        <f t="shared" si="21"/>
        <v>0.39351683204918114</v>
      </c>
      <c r="AC131" s="9">
        <f t="shared" si="22"/>
        <v>0.3586235000797956</v>
      </c>
      <c r="AD131" s="9">
        <f t="shared" si="23"/>
        <v>0.44310448736234975</v>
      </c>
      <c r="AE131" s="9">
        <f t="shared" si="24"/>
        <v>0.39113843032658335</v>
      </c>
    </row>
    <row r="132" spans="2:31" x14ac:dyDescent="0.3">
      <c r="B132" s="8">
        <v>4.8</v>
      </c>
      <c r="G132" s="9">
        <v>127</v>
      </c>
      <c r="H132" s="9">
        <f t="shared" si="25"/>
        <v>3.486287625418067</v>
      </c>
      <c r="I132" s="9">
        <f t="shared" si="13"/>
        <v>0.22333025027712314</v>
      </c>
      <c r="J132" s="9">
        <f t="shared" si="14"/>
        <v>0.11076842289799252</v>
      </c>
      <c r="K132" s="9">
        <f t="shared" si="15"/>
        <v>7.8929189525919319E-2</v>
      </c>
      <c r="L132" s="9">
        <f t="shared" si="16"/>
        <v>0.14687897960639226</v>
      </c>
      <c r="M132" s="9">
        <f t="shared" si="17"/>
        <v>3.2882352765707994E-2</v>
      </c>
      <c r="X132" s="9">
        <f t="shared" si="18"/>
        <v>0.11223146479737829</v>
      </c>
      <c r="Y132" s="9">
        <f t="shared" si="19"/>
        <v>7.6748247970628181E-2</v>
      </c>
      <c r="Z132" s="9">
        <f t="shared" si="20"/>
        <v>0.16066614050522546</v>
      </c>
      <c r="AB132" s="9">
        <f t="shared" si="21"/>
        <v>0.39570463758400848</v>
      </c>
      <c r="AC132" s="9">
        <f t="shared" si="22"/>
        <v>0.36014396553388023</v>
      </c>
      <c r="AD132" s="9">
        <f t="shared" si="23"/>
        <v>0.44627284531305067</v>
      </c>
      <c r="AE132" s="9">
        <f t="shared" si="24"/>
        <v>0.3933001933019778</v>
      </c>
    </row>
    <row r="133" spans="2:31" x14ac:dyDescent="0.3">
      <c r="B133" s="8">
        <v>4.9000000000000004</v>
      </c>
      <c r="G133" s="9">
        <v>128</v>
      </c>
      <c r="H133" s="9">
        <f t="shared" si="25"/>
        <v>3.5060200668896391</v>
      </c>
      <c r="I133" s="9">
        <f t="shared" si="13"/>
        <v>0.2237008443652902</v>
      </c>
      <c r="J133" s="9">
        <f t="shared" si="14"/>
        <v>0.11323279655705401</v>
      </c>
      <c r="K133" s="9">
        <f t="shared" si="15"/>
        <v>8.1008579466680525E-2</v>
      </c>
      <c r="L133" s="9">
        <f t="shared" si="16"/>
        <v>0.14730304690171547</v>
      </c>
      <c r="M133" s="9">
        <f t="shared" si="17"/>
        <v>3.2883530629822764E-2</v>
      </c>
      <c r="X133" s="9">
        <f t="shared" si="18"/>
        <v>0.11489539278180153</v>
      </c>
      <c r="Y133" s="9">
        <f t="shared" si="19"/>
        <v>7.5390614724705263E-2</v>
      </c>
      <c r="Z133" s="9">
        <f t="shared" si="20"/>
        <v>0.16085373525018429</v>
      </c>
      <c r="AB133" s="9">
        <f t="shared" si="21"/>
        <v>0.39794562377071735</v>
      </c>
      <c r="AC133" s="9">
        <f t="shared" si="22"/>
        <v>0.36164843716984418</v>
      </c>
      <c r="AD133" s="9">
        <f t="shared" si="23"/>
        <v>0.4494450566606194</v>
      </c>
      <c r="AE133" s="9">
        <f t="shared" si="24"/>
        <v>0.39551017127814397</v>
      </c>
    </row>
    <row r="134" spans="2:31" x14ac:dyDescent="0.3">
      <c r="B134" s="8">
        <v>5.6</v>
      </c>
      <c r="G134" s="9">
        <v>129</v>
      </c>
      <c r="H134" s="9">
        <f t="shared" si="25"/>
        <v>3.5257525083612111</v>
      </c>
      <c r="I134" s="9">
        <f t="shared" si="13"/>
        <v>0.22404405805839844</v>
      </c>
      <c r="J134" s="9">
        <f t="shared" si="14"/>
        <v>0.11573697910575764</v>
      </c>
      <c r="K134" s="9">
        <f t="shared" si="15"/>
        <v>8.2328163756111891E-2</v>
      </c>
      <c r="L134" s="9">
        <f t="shared" si="16"/>
        <v>0.14772671723971945</v>
      </c>
      <c r="M134" s="9">
        <f t="shared" si="17"/>
        <v>3.288462151818583E-2</v>
      </c>
      <c r="X134" s="9">
        <f t="shared" si="18"/>
        <v>0.11749700218841037</v>
      </c>
      <c r="Y134" s="9">
        <f t="shared" si="19"/>
        <v>7.2805809084202991E-2</v>
      </c>
      <c r="Z134" s="9">
        <f t="shared" si="20"/>
        <v>0.16102595485328811</v>
      </c>
      <c r="AB134" s="9">
        <f t="shared" si="21"/>
        <v>0.40023856091161925</v>
      </c>
      <c r="AC134" s="9">
        <f t="shared" si="22"/>
        <v>0.36310642694267858</v>
      </c>
      <c r="AD134" s="9">
        <f t="shared" si="23"/>
        <v>0.45262081801597115</v>
      </c>
      <c r="AE134" s="9">
        <f t="shared" si="24"/>
        <v>0.39776917421055785</v>
      </c>
    </row>
    <row r="135" spans="2:31" x14ac:dyDescent="0.3">
      <c r="B135" s="8">
        <v>5.8</v>
      </c>
      <c r="G135" s="9">
        <v>130</v>
      </c>
      <c r="H135" s="9">
        <f t="shared" si="25"/>
        <v>3.5454849498327832</v>
      </c>
      <c r="I135" s="9">
        <f t="shared" ref="I135:I198" si="26">_xlfn.NORM.DIST($H135, $E$5, $E$6, FALSE)</f>
        <v>0.22435976352059081</v>
      </c>
      <c r="J135" s="9">
        <f t="shared" ref="J135:J198" si="27">EstymacjaGaussowska($H135, $B$6:$B$155)</f>
        <v>0.11827847584385891</v>
      </c>
      <c r="K135" s="9">
        <f t="shared" ref="K135:K198" si="28">EstymacjaGaussowska($H135, $B$6:$B$155, $K$5)</f>
        <v>8.275920782291718E-2</v>
      </c>
      <c r="L135" s="9">
        <f t="shared" ref="L135:L198" si="29">EstymacjaGaussowska($H135, $B$6:$B$155, $L$5)</f>
        <v>0.14814978413251664</v>
      </c>
      <c r="M135" s="9">
        <f t="shared" ref="M135:M198" si="30">EstymacjaGaussowska($H135, $B$6:$B$155, $M$5)</f>
        <v>3.2885625422012059E-2</v>
      </c>
      <c r="X135" s="9">
        <f t="shared" ref="X135:X198" si="31">EstymacjaEpanecznikowa($H135, $B$6:$B$155, $X$5)</f>
        <v>0.12003629301720464</v>
      </c>
      <c r="Y135" s="9">
        <f t="shared" ref="Y135:Y198" si="32">EstymacjaEpanecznikowa($H135, $B$6:$B$155, $Y$5)</f>
        <v>7.55860058617214E-2</v>
      </c>
      <c r="Z135" s="9">
        <f t="shared" ref="Z135:Z198" si="33">EstymacjaEpanecznikowa($H135, $B$6:$B$155, $Z$5)</f>
        <v>0.16118279931453697</v>
      </c>
      <c r="AB135" s="9">
        <f t="shared" ref="AB135:AB198" si="34">EstymacjaDystrybuanty($H135, $B$6:$B$155, $AB$5)</f>
        <v>0.40258221930902394</v>
      </c>
      <c r="AC135" s="9">
        <f t="shared" ref="AC135:AC198" si="35">EstymacjaDystrybuanty($H135, $B$6:$B$155, $AC$5)</f>
        <v>0.36457278403373244</v>
      </c>
      <c r="AD135" s="9">
        <f t="shared" ref="AD135:AD198" si="36">EstymacjaDystrybuanty($H135, $B$6:$B$155, $AD$5)</f>
        <v>0.45579982599001673</v>
      </c>
      <c r="AE135" s="9">
        <f t="shared" ref="AE135:AE198" si="37">EstymacjaGaussowskaDystrybuanta($H135, $B$6:$B$155, $AE$5)</f>
        <v>0.4000779630488398</v>
      </c>
    </row>
    <row r="136" spans="2:31" x14ac:dyDescent="0.3">
      <c r="B136" s="8">
        <v>6.1</v>
      </c>
      <c r="G136" s="9">
        <v>131</v>
      </c>
      <c r="H136" s="9">
        <f t="shared" ref="H136:H199" si="38">$H135 + $E$9</f>
        <v>3.5652173913043552</v>
      </c>
      <c r="I136" s="9">
        <f t="shared" si="26"/>
        <v>0.22464784304591942</v>
      </c>
      <c r="J136" s="9">
        <f t="shared" si="27"/>
        <v>0.1208547704482283</v>
      </c>
      <c r="K136" s="9">
        <f t="shared" si="28"/>
        <v>8.2334068795221038E-2</v>
      </c>
      <c r="L136" s="9">
        <f t="shared" si="29"/>
        <v>0.14857203580771536</v>
      </c>
      <c r="M136" s="9">
        <f t="shared" si="30"/>
        <v>3.2886542333206432E-2</v>
      </c>
      <c r="X136" s="9">
        <f t="shared" si="31"/>
        <v>0.12255446728790365</v>
      </c>
      <c r="Y136" s="9">
        <f t="shared" si="32"/>
        <v>7.697315287385878E-2</v>
      </c>
      <c r="Z136" s="9">
        <f t="shared" si="33"/>
        <v>0.1613413919393363</v>
      </c>
      <c r="AB136" s="9">
        <f t="shared" si="34"/>
        <v>0.40497539431062157</v>
      </c>
      <c r="AC136" s="9">
        <f t="shared" si="35"/>
        <v>0.36608025705849701</v>
      </c>
      <c r="AD136" s="9">
        <f t="shared" si="36"/>
        <v>0.45898194275854742</v>
      </c>
      <c r="AE136" s="9">
        <f t="shared" si="37"/>
        <v>0.4024372493012553</v>
      </c>
    </row>
    <row r="137" spans="2:31" x14ac:dyDescent="0.3">
      <c r="B137" s="8">
        <v>6.4</v>
      </c>
      <c r="G137" s="9">
        <v>132</v>
      </c>
      <c r="H137" s="9">
        <f t="shared" si="38"/>
        <v>3.5849498327759273</v>
      </c>
      <c r="I137" s="9">
        <f t="shared" si="26"/>
        <v>0.22490818913148308</v>
      </c>
      <c r="J137" s="9">
        <f t="shared" si="27"/>
        <v>0.12346332589877124</v>
      </c>
      <c r="K137" s="9">
        <f t="shared" si="28"/>
        <v>8.1232033973736101E-2</v>
      </c>
      <c r="L137" s="9">
        <f t="shared" si="29"/>
        <v>0.14899325538565428</v>
      </c>
      <c r="M137" s="9">
        <f t="shared" si="30"/>
        <v>3.2887372244364076E-2</v>
      </c>
      <c r="X137" s="9">
        <f t="shared" si="31"/>
        <v>0.12563339110845656</v>
      </c>
      <c r="Y137" s="9">
        <f t="shared" si="32"/>
        <v>7.8645833068301363E-2</v>
      </c>
      <c r="Z137" s="9">
        <f t="shared" si="33"/>
        <v>0.1614848734417248</v>
      </c>
      <c r="AB137" s="9">
        <f t="shared" si="34"/>
        <v>0.40742418711476569</v>
      </c>
      <c r="AC137" s="9">
        <f t="shared" si="35"/>
        <v>0.36760858594623869</v>
      </c>
      <c r="AD137" s="9">
        <f t="shared" si="36"/>
        <v>0.46216704340421105</v>
      </c>
      <c r="AE137" s="9">
        <f t="shared" si="37"/>
        <v>0.40484769461711106</v>
      </c>
    </row>
    <row r="138" spans="2:31" x14ac:dyDescent="0.3">
      <c r="B138" s="8">
        <v>5.6</v>
      </c>
      <c r="G138" s="9">
        <v>133</v>
      </c>
      <c r="H138" s="9">
        <f t="shared" si="38"/>
        <v>3.6046822742474993</v>
      </c>
      <c r="I138" s="9">
        <f t="shared" si="26"/>
        <v>0.22514070454428567</v>
      </c>
      <c r="J138" s="9">
        <f t="shared" si="27"/>
        <v>0.1261015854538558</v>
      </c>
      <c r="K138" s="9">
        <f t="shared" si="28"/>
        <v>7.9740754458624274E-2</v>
      </c>
      <c r="L138" s="9">
        <f t="shared" si="29"/>
        <v>0.14941322106216037</v>
      </c>
      <c r="M138" s="9">
        <f t="shared" si="30"/>
        <v>3.2888115148770443E-2</v>
      </c>
      <c r="X138" s="9">
        <f t="shared" si="31"/>
        <v>0.12864140068528934</v>
      </c>
      <c r="Y138" s="9">
        <f t="shared" si="32"/>
        <v>8.0868219664342877E-2</v>
      </c>
      <c r="Z138" s="9">
        <f t="shared" si="33"/>
        <v>0.1616128766133865</v>
      </c>
      <c r="AB138" s="9">
        <f t="shared" si="34"/>
        <v>0.40993303494741223</v>
      </c>
      <c r="AC138" s="9">
        <f t="shared" si="35"/>
        <v>0.36918525016272563</v>
      </c>
      <c r="AD138" s="9">
        <f t="shared" si="36"/>
        <v>0.46535482257759486</v>
      </c>
      <c r="AE138" s="9">
        <f t="shared" si="37"/>
        <v>0.40730991038788761</v>
      </c>
    </row>
    <row r="139" spans="2:31" x14ac:dyDescent="0.3">
      <c r="B139" s="8">
        <v>5.0999999999999996</v>
      </c>
      <c r="G139" s="9">
        <v>134</v>
      </c>
      <c r="H139" s="9">
        <f t="shared" si="38"/>
        <v>3.6244147157190714</v>
      </c>
      <c r="I139" s="9">
        <f t="shared" si="26"/>
        <v>0.22534530238175715</v>
      </c>
      <c r="J139" s="9">
        <f t="shared" si="27"/>
        <v>0.12876697368659748</v>
      </c>
      <c r="K139" s="9">
        <f t="shared" si="28"/>
        <v>7.8208795387110369E-2</v>
      </c>
      <c r="L139" s="9">
        <f t="shared" si="29"/>
        <v>0.14983170629662551</v>
      </c>
      <c r="M139" s="9">
        <f t="shared" si="30"/>
        <v>3.2888771040401422E-2</v>
      </c>
      <c r="X139" s="9">
        <f t="shared" si="31"/>
        <v>0.13157849601840249</v>
      </c>
      <c r="Y139" s="9">
        <f t="shared" si="32"/>
        <v>8.1349294053658108E-2</v>
      </c>
      <c r="Z139" s="9">
        <f t="shared" si="33"/>
        <v>0.16172540145432202</v>
      </c>
      <c r="AB139" s="9">
        <f t="shared" si="34"/>
        <v>0.41250053849739821</v>
      </c>
      <c r="AC139" s="9">
        <f t="shared" si="35"/>
        <v>0.37078858732204473</v>
      </c>
      <c r="AD139" s="9">
        <f t="shared" si="36"/>
        <v>0.46854497485344437</v>
      </c>
      <c r="AE139" s="9">
        <f t="shared" si="37"/>
        <v>0.40982445736819684</v>
      </c>
    </row>
    <row r="140" spans="2:31" x14ac:dyDescent="0.3">
      <c r="B140" s="8">
        <v>5.6</v>
      </c>
      <c r="G140" s="9">
        <v>135</v>
      </c>
      <c r="H140" s="9">
        <f t="shared" si="38"/>
        <v>3.6441471571906434</v>
      </c>
      <c r="I140" s="9">
        <f t="shared" si="26"/>
        <v>0.22552190612588383</v>
      </c>
      <c r="J140" s="9">
        <f t="shared" si="27"/>
        <v>0.13145689759238025</v>
      </c>
      <c r="K140" s="9">
        <f t="shared" si="28"/>
        <v>7.7003342305157943E-2</v>
      </c>
      <c r="L140" s="9">
        <f t="shared" si="29"/>
        <v>0.15024848000519003</v>
      </c>
      <c r="M140" s="9">
        <f t="shared" si="30"/>
        <v>3.288933991392335E-2</v>
      </c>
      <c r="X140" s="9">
        <f t="shared" si="31"/>
        <v>0.1344446771077957</v>
      </c>
      <c r="Y140" s="9">
        <f t="shared" si="32"/>
        <v>8.0089056236247014E-2</v>
      </c>
      <c r="Z140" s="9">
        <f t="shared" si="33"/>
        <v>0.16182244796453102</v>
      </c>
      <c r="AB140" s="9">
        <f t="shared" si="34"/>
        <v>0.41512529845355906</v>
      </c>
      <c r="AC140" s="9">
        <f t="shared" si="35"/>
        <v>0.37238423708299306</v>
      </c>
      <c r="AD140" s="9">
        <f t="shared" si="36"/>
        <v>0.47173719480650428</v>
      </c>
      <c r="AE140" s="9">
        <f t="shared" si="37"/>
        <v>0.41239184531787876</v>
      </c>
    </row>
    <row r="141" spans="2:31" x14ac:dyDescent="0.3">
      <c r="B141" s="8">
        <v>6.1</v>
      </c>
      <c r="G141" s="9">
        <v>136</v>
      </c>
      <c r="H141" s="9">
        <f t="shared" si="38"/>
        <v>3.6638795986622155</v>
      </c>
      <c r="I141" s="9">
        <f t="shared" si="26"/>
        <v>0.22567044969090166</v>
      </c>
      <c r="J141" s="9">
        <f t="shared" si="27"/>
        <v>0.13416874777698012</v>
      </c>
      <c r="K141" s="9">
        <f t="shared" si="28"/>
        <v>7.6481427657259501E-2</v>
      </c>
      <c r="L141" s="9">
        <f t="shared" si="29"/>
        <v>0.15066330675881154</v>
      </c>
      <c r="M141" s="9">
        <f t="shared" si="30"/>
        <v>3.2889821764693059E-2</v>
      </c>
      <c r="X141" s="9">
        <f t="shared" si="31"/>
        <v>0.13723994395346889</v>
      </c>
      <c r="Y141" s="9">
        <f t="shared" si="32"/>
        <v>7.7087506212109649E-2</v>
      </c>
      <c r="Z141" s="9">
        <f t="shared" si="33"/>
        <v>0.16190401614401367</v>
      </c>
      <c r="AB141" s="9">
        <f t="shared" si="34"/>
        <v>0.41780591550473145</v>
      </c>
      <c r="AC141" s="9">
        <f t="shared" si="35"/>
        <v>0.37393783910436745</v>
      </c>
      <c r="AD141" s="9">
        <f t="shared" si="36"/>
        <v>0.47493117701151949</v>
      </c>
      <c r="AE141" s="9">
        <f t="shared" si="37"/>
        <v>0.41501253266673599</v>
      </c>
    </row>
    <row r="142" spans="2:31" x14ac:dyDescent="0.3">
      <c r="B142" s="8">
        <v>5.6</v>
      </c>
      <c r="G142" s="9">
        <v>137</v>
      </c>
      <c r="H142" s="9">
        <f t="shared" si="38"/>
        <v>3.6836120401337875</v>
      </c>
      <c r="I142" s="9">
        <f t="shared" si="26"/>
        <v>0.22579087746451051</v>
      </c>
      <c r="J142" s="9">
        <f t="shared" si="27"/>
        <v>0.1368998997335949</v>
      </c>
      <c r="K142" s="9">
        <f t="shared" si="28"/>
        <v>7.6975852241451162E-2</v>
      </c>
      <c r="L142" s="9">
        <f t="shared" si="29"/>
        <v>0.15107594698600293</v>
      </c>
      <c r="M142" s="9">
        <f t="shared" si="30"/>
        <v>3.2890216588758049E-2</v>
      </c>
      <c r="X142" s="9">
        <f t="shared" si="31"/>
        <v>0.14012947368714926</v>
      </c>
      <c r="Y142" s="9">
        <f t="shared" si="32"/>
        <v>7.6606031636137301E-2</v>
      </c>
      <c r="Z142" s="9">
        <f t="shared" si="33"/>
        <v>0.16197010599276959</v>
      </c>
      <c r="AB142" s="9">
        <f t="shared" si="34"/>
        <v>0.42054261338838617</v>
      </c>
      <c r="AC142" s="9">
        <f t="shared" si="35"/>
        <v>0.37543049829588465</v>
      </c>
      <c r="AD142" s="9">
        <f t="shared" si="36"/>
        <v>0.47812661604323448</v>
      </c>
      <c r="AE142" s="9">
        <f t="shared" si="37"/>
        <v>0.4176869262035694</v>
      </c>
    </row>
    <row r="143" spans="2:31" x14ac:dyDescent="0.3">
      <c r="B143" s="8">
        <v>5.5</v>
      </c>
      <c r="G143" s="9">
        <v>138</v>
      </c>
      <c r="H143" s="9">
        <f t="shared" si="38"/>
        <v>3.7033444816053596</v>
      </c>
      <c r="I143" s="9">
        <f t="shared" si="26"/>
        <v>0.22588314434257303</v>
      </c>
      <c r="J143" s="9">
        <f t="shared" si="27"/>
        <v>0.13964771521598959</v>
      </c>
      <c r="K143" s="9">
        <f t="shared" si="28"/>
        <v>7.8790962294614603E-2</v>
      </c>
      <c r="L143" s="9">
        <f t="shared" si="29"/>
        <v>0.15148615718000416</v>
      </c>
      <c r="M143" s="9">
        <f t="shared" si="30"/>
        <v>3.289052438285648E-2</v>
      </c>
      <c r="X143" s="9">
        <f t="shared" si="31"/>
        <v>0.14294697635500578</v>
      </c>
      <c r="Y143" s="9">
        <f t="shared" si="32"/>
        <v>8.1056707581463619E-2</v>
      </c>
      <c r="Z143" s="9">
        <f t="shared" si="33"/>
        <v>0.16202071751079933</v>
      </c>
      <c r="AB143" s="9">
        <f t="shared" si="34"/>
        <v>0.42333562827248195</v>
      </c>
      <c r="AC143" s="9">
        <f t="shared" si="35"/>
        <v>0.37699061506164117</v>
      </c>
      <c r="AD143" s="9">
        <f t="shared" si="36"/>
        <v>0.48132320647639487</v>
      </c>
      <c r="AE143" s="9">
        <f t="shared" si="37"/>
        <v>0.4204153807913576</v>
      </c>
    </row>
    <row r="144" spans="2:31" x14ac:dyDescent="0.3">
      <c r="B144" s="8">
        <v>4.8</v>
      </c>
      <c r="G144" s="9">
        <v>139</v>
      </c>
      <c r="H144" s="9">
        <f t="shared" si="38"/>
        <v>3.7230769230769316</v>
      </c>
      <c r="I144" s="9">
        <f t="shared" si="26"/>
        <v>0.2259472157572687</v>
      </c>
      <c r="J144" s="9">
        <f t="shared" si="27"/>
        <v>0.14240954371384831</v>
      </c>
      <c r="K144" s="9">
        <f t="shared" si="28"/>
        <v>8.220040839418058E-2</v>
      </c>
      <c r="L144" s="9">
        <f t="shared" si="29"/>
        <v>0.15189369011016587</v>
      </c>
      <c r="M144" s="9">
        <f t="shared" si="30"/>
        <v>3.2890745144417109E-2</v>
      </c>
      <c r="X144" s="9">
        <f t="shared" si="31"/>
        <v>0.14569141586266621</v>
      </c>
      <c r="Y144" s="9">
        <f t="shared" si="32"/>
        <v>8.2721283996027892E-2</v>
      </c>
      <c r="Z144" s="9">
        <f t="shared" si="33"/>
        <v>0.16205585069810249</v>
      </c>
      <c r="AB144" s="9">
        <f t="shared" si="34"/>
        <v>0.42618351850580199</v>
      </c>
      <c r="AC144" s="9">
        <f t="shared" si="35"/>
        <v>0.37861106625703556</v>
      </c>
      <c r="AD144" s="9">
        <f t="shared" si="36"/>
        <v>0.48452064288574453</v>
      </c>
      <c r="AE144" s="9">
        <f t="shared" si="37"/>
        <v>0.42319819911052659</v>
      </c>
    </row>
    <row r="145" spans="2:31" x14ac:dyDescent="0.3">
      <c r="B145" s="8">
        <v>5.4</v>
      </c>
      <c r="G145" s="9">
        <v>140</v>
      </c>
      <c r="H145" s="9">
        <f t="shared" si="38"/>
        <v>3.7428093645485037</v>
      </c>
      <c r="I145" s="9">
        <f t="shared" si="26"/>
        <v>0.22598306769867735</v>
      </c>
      <c r="J145" s="9">
        <f t="shared" si="27"/>
        <v>0.14518272403528429</v>
      </c>
      <c r="K145" s="9">
        <f t="shared" si="28"/>
        <v>8.7439463841481754E-2</v>
      </c>
      <c r="L145" s="9">
        <f t="shared" si="29"/>
        <v>0.15229829503730186</v>
      </c>
      <c r="M145" s="9">
        <f t="shared" si="30"/>
        <v>3.2890878871559601E-2</v>
      </c>
      <c r="X145" s="9">
        <f t="shared" si="31"/>
        <v>0.14836279221013027</v>
      </c>
      <c r="Y145" s="9">
        <f t="shared" si="32"/>
        <v>8.9610597404095813E-2</v>
      </c>
      <c r="Z145" s="9">
        <f t="shared" si="33"/>
        <v>0.16207550555467903</v>
      </c>
      <c r="AB145" s="9">
        <f t="shared" si="34"/>
        <v>0.4290848423738125</v>
      </c>
      <c r="AC145" s="9">
        <f t="shared" si="35"/>
        <v>0.38031273411540922</v>
      </c>
      <c r="AD145" s="9">
        <f t="shared" si="36"/>
        <v>0.48771861984602793</v>
      </c>
      <c r="AE145" s="9">
        <f t="shared" si="37"/>
        <v>0.42603563143238304</v>
      </c>
    </row>
    <row r="146" spans="2:31" x14ac:dyDescent="0.3">
      <c r="B146" s="8">
        <v>5.6</v>
      </c>
      <c r="G146" s="9">
        <v>141</v>
      </c>
      <c r="H146" s="9">
        <f t="shared" si="38"/>
        <v>3.7625418060200757</v>
      </c>
      <c r="I146" s="9">
        <f t="shared" si="26"/>
        <v>0.22599068672977446</v>
      </c>
      <c r="J146" s="9">
        <f t="shared" si="27"/>
        <v>0.14796458600031068</v>
      </c>
      <c r="K146" s="9">
        <f t="shared" si="28"/>
        <v>9.4687712435953697E-2</v>
      </c>
      <c r="L146" s="9">
        <f t="shared" si="29"/>
        <v>0.15269971793277584</v>
      </c>
      <c r="M146" s="9">
        <f t="shared" si="30"/>
        <v>3.2890925563094239E-2</v>
      </c>
      <c r="X146" s="9">
        <f t="shared" si="31"/>
        <v>0.15096110539739832</v>
      </c>
      <c r="Y146" s="9">
        <f t="shared" si="32"/>
        <v>9.4622034907520691E-2</v>
      </c>
      <c r="Z146" s="9">
        <f t="shared" si="33"/>
        <v>0.16207968208052936</v>
      </c>
      <c r="AB146" s="9">
        <f t="shared" si="34"/>
        <v>0.43203815816198188</v>
      </c>
      <c r="AC146" s="9">
        <f t="shared" si="35"/>
        <v>0.38213384996665095</v>
      </c>
      <c r="AD146" s="9">
        <f t="shared" si="36"/>
        <v>0.49091683193199209</v>
      </c>
      <c r="AE146" s="9">
        <f t="shared" si="37"/>
        <v>0.42892787542486427</v>
      </c>
    </row>
    <row r="147" spans="2:31" x14ac:dyDescent="0.3">
      <c r="B147" s="8">
        <v>5.0999999999999996</v>
      </c>
      <c r="G147" s="9">
        <v>142</v>
      </c>
      <c r="H147" s="9">
        <f t="shared" si="38"/>
        <v>3.7822742474916478</v>
      </c>
      <c r="I147" s="9">
        <f t="shared" si="26"/>
        <v>0.22597006999482433</v>
      </c>
      <c r="J147" s="9">
        <f t="shared" si="27"/>
        <v>0.15075245224792863</v>
      </c>
      <c r="K147" s="9">
        <f t="shared" si="28"/>
        <v>0.10404246133480644</v>
      </c>
      <c r="L147" s="9">
        <f t="shared" si="29"/>
        <v>0.1530977017010795</v>
      </c>
      <c r="M147" s="9">
        <f t="shared" si="30"/>
        <v>3.2890885218522202E-2</v>
      </c>
      <c r="X147" s="9">
        <f t="shared" si="31"/>
        <v>0.15364033176890934</v>
      </c>
      <c r="Y147" s="9">
        <f t="shared" si="32"/>
        <v>0.1033476048075361</v>
      </c>
      <c r="Z147" s="9">
        <f t="shared" si="33"/>
        <v>0.1620683802756531</v>
      </c>
      <c r="AB147" s="9">
        <f t="shared" si="34"/>
        <v>0.43504343372272447</v>
      </c>
      <c r="AC147" s="9">
        <f t="shared" si="35"/>
        <v>0.38405037924715085</v>
      </c>
      <c r="AD147" s="9">
        <f t="shared" si="36"/>
        <v>0.49411497371837981</v>
      </c>
      <c r="AE147" s="9">
        <f t="shared" si="37"/>
        <v>0.43187507599282382</v>
      </c>
    </row>
    <row r="148" spans="2:31" x14ac:dyDescent="0.3">
      <c r="B148" s="8">
        <v>5.0999999999999996</v>
      </c>
      <c r="G148" s="9">
        <v>143</v>
      </c>
      <c r="H148" s="9">
        <f t="shared" si="38"/>
        <v>3.8020066889632198</v>
      </c>
      <c r="I148" s="9">
        <f t="shared" si="26"/>
        <v>0.2259212252211637</v>
      </c>
      <c r="J148" s="9">
        <f t="shared" si="27"/>
        <v>0.15354364015833866</v>
      </c>
      <c r="K148" s="9">
        <f t="shared" si="28"/>
        <v>0.11548746843965445</v>
      </c>
      <c r="L148" s="9">
        <f t="shared" si="29"/>
        <v>0.15349198640565773</v>
      </c>
      <c r="M148" s="9">
        <f t="shared" si="30"/>
        <v>3.2890757838035432E-2</v>
      </c>
      <c r="X148" s="9">
        <f t="shared" si="31"/>
        <v>0.15625672863466056</v>
      </c>
      <c r="Y148" s="9">
        <f t="shared" si="32"/>
        <v>0.12252269871787444</v>
      </c>
      <c r="Z148" s="9">
        <f t="shared" si="33"/>
        <v>0.16204160014005056</v>
      </c>
      <c r="AB148" s="9">
        <f t="shared" si="34"/>
        <v>0.43810107020252881</v>
      </c>
      <c r="AC148" s="9">
        <f t="shared" si="35"/>
        <v>0.38628516491527859</v>
      </c>
      <c r="AD148" s="9">
        <f t="shared" si="36"/>
        <v>0.4973127397799369</v>
      </c>
      <c r="AE148" s="9">
        <f t="shared" si="37"/>
        <v>0.43487732515510297</v>
      </c>
    </row>
    <row r="149" spans="2:31" x14ac:dyDescent="0.3">
      <c r="B149" s="8">
        <v>5.9</v>
      </c>
      <c r="G149" s="9">
        <v>144</v>
      </c>
      <c r="H149" s="9">
        <f t="shared" si="38"/>
        <v>3.8217391304347919</v>
      </c>
      <c r="I149" s="9">
        <f t="shared" si="26"/>
        <v>0.22584417071437499</v>
      </c>
      <c r="J149" s="9">
        <f t="shared" si="27"/>
        <v>0.15633546389065231</v>
      </c>
      <c r="K149" s="9">
        <f t="shared" si="28"/>
        <v>0.12886426078092025</v>
      </c>
      <c r="L149" s="9">
        <f t="shared" si="29"/>
        <v>0.15388230949773066</v>
      </c>
      <c r="M149" s="9">
        <f t="shared" si="30"/>
        <v>3.2890543422516537E-2</v>
      </c>
      <c r="X149" s="9">
        <f t="shared" si="31"/>
        <v>0.15879791342373931</v>
      </c>
      <c r="Y149" s="9">
        <f t="shared" si="32"/>
        <v>0.13786690577341493</v>
      </c>
      <c r="Z149" s="9">
        <f t="shared" si="33"/>
        <v>0.16199934167372135</v>
      </c>
      <c r="AB149" s="9">
        <f t="shared" si="34"/>
        <v>0.44120959252140352</v>
      </c>
      <c r="AC149" s="9">
        <f t="shared" si="35"/>
        <v>0.38886052562638079</v>
      </c>
      <c r="AD149" s="9">
        <f t="shared" si="36"/>
        <v>0.50050982469140781</v>
      </c>
      <c r="AE149" s="9">
        <f t="shared" si="37"/>
        <v>0.43793466196068048</v>
      </c>
    </row>
    <row r="150" spans="2:31" x14ac:dyDescent="0.3">
      <c r="B150" s="8">
        <v>5.7</v>
      </c>
      <c r="G150" s="9">
        <v>145</v>
      </c>
      <c r="H150" s="9">
        <f t="shared" si="38"/>
        <v>3.8414715719063639</v>
      </c>
      <c r="I150" s="9">
        <f t="shared" si="26"/>
        <v>0.22573893534685288</v>
      </c>
      <c r="J150" s="9">
        <f t="shared" si="27"/>
        <v>0.15912523653536573</v>
      </c>
      <c r="K150" s="9">
        <f t="shared" si="28"/>
        <v>0.14385394102192145</v>
      </c>
      <c r="L150" s="9">
        <f t="shared" si="29"/>
        <v>0.15426840604786685</v>
      </c>
      <c r="M150" s="9">
        <f t="shared" si="30"/>
        <v>3.2890241973539153E-2</v>
      </c>
      <c r="X150" s="9">
        <f t="shared" si="31"/>
        <v>0.16126388613614517</v>
      </c>
      <c r="Y150" s="9">
        <f t="shared" si="32"/>
        <v>0.15309590909405099</v>
      </c>
      <c r="Z150" s="9">
        <f t="shared" si="33"/>
        <v>0.1619416048766657</v>
      </c>
      <c r="AB150" s="9">
        <f t="shared" si="34"/>
        <v>0.44436751656144535</v>
      </c>
      <c r="AC150" s="9">
        <f t="shared" si="35"/>
        <v>0.39173363358159102</v>
      </c>
      <c r="AD150" s="9">
        <f t="shared" si="36"/>
        <v>0.5037059230275388</v>
      </c>
      <c r="AE150" s="9">
        <f t="shared" si="37"/>
        <v>0.44104707244616131</v>
      </c>
    </row>
    <row r="151" spans="2:31" x14ac:dyDescent="0.3">
      <c r="B151" s="8">
        <v>5.2</v>
      </c>
      <c r="G151" s="9">
        <v>146</v>
      </c>
      <c r="H151" s="9">
        <f t="shared" si="38"/>
        <v>3.861204013377936</v>
      </c>
      <c r="I151" s="9">
        <f t="shared" si="26"/>
        <v>0.22560555853977399</v>
      </c>
      <c r="J151" s="9">
        <f t="shared" si="27"/>
        <v>0.16191027237976924</v>
      </c>
      <c r="K151" s="9">
        <f t="shared" si="28"/>
        <v>0.15997613156495899</v>
      </c>
      <c r="L151" s="9">
        <f t="shared" si="29"/>
        <v>0.15465000898005074</v>
      </c>
      <c r="M151" s="9">
        <f t="shared" si="30"/>
        <v>3.2889853493367441E-2</v>
      </c>
      <c r="X151" s="9">
        <f t="shared" si="31"/>
        <v>0.16365464677187855</v>
      </c>
      <c r="Y151" s="9">
        <f t="shared" si="32"/>
        <v>0.16521426150221563</v>
      </c>
      <c r="Z151" s="9">
        <f t="shared" si="33"/>
        <v>0.16186838974888373</v>
      </c>
      <c r="AB151" s="9">
        <f t="shared" si="34"/>
        <v>0.4475733582047558</v>
      </c>
      <c r="AC151" s="9">
        <f t="shared" si="35"/>
        <v>0.39487987871067315</v>
      </c>
      <c r="AD151" s="9">
        <f t="shared" si="36"/>
        <v>0.50690072936307262</v>
      </c>
      <c r="AE151" s="9">
        <f t="shared" si="37"/>
        <v>0.44421448963685634</v>
      </c>
    </row>
    <row r="152" spans="2:31" x14ac:dyDescent="0.3">
      <c r="B152" s="8">
        <v>5</v>
      </c>
      <c r="G152" s="9">
        <v>147</v>
      </c>
      <c r="H152" s="9">
        <f t="shared" si="38"/>
        <v>3.880936454849508</v>
      </c>
      <c r="I152" s="9">
        <f t="shared" si="26"/>
        <v>0.22544409023848616</v>
      </c>
      <c r="J152" s="9">
        <f t="shared" si="27"/>
        <v>0.16468788928340827</v>
      </c>
      <c r="K152" s="9">
        <f t="shared" si="28"/>
        <v>0.17660921100974683</v>
      </c>
      <c r="L152" s="9">
        <f t="shared" si="29"/>
        <v>0.15502684930799682</v>
      </c>
      <c r="M152" s="9">
        <f t="shared" si="30"/>
        <v>3.2889377984956496E-2</v>
      </c>
      <c r="X152" s="9">
        <f t="shared" si="31"/>
        <v>0.16611296101085407</v>
      </c>
      <c r="Y152" s="9">
        <f t="shared" si="32"/>
        <v>0.17654824805570443</v>
      </c>
      <c r="Z152" s="9">
        <f t="shared" si="33"/>
        <v>0.16177969629037517</v>
      </c>
      <c r="AB152" s="9">
        <f t="shared" si="34"/>
        <v>0.45082684440963022</v>
      </c>
      <c r="AC152" s="9">
        <f t="shared" si="35"/>
        <v>0.39823703858266718</v>
      </c>
      <c r="AD152" s="9">
        <f t="shared" si="36"/>
        <v>0.51009393827275584</v>
      </c>
      <c r="AE152" s="9">
        <f t="shared" si="37"/>
        <v>0.44743679359365812</v>
      </c>
    </row>
    <row r="153" spans="2:31" x14ac:dyDescent="0.3">
      <c r="B153" s="8">
        <v>5.2</v>
      </c>
      <c r="G153" s="9">
        <v>148</v>
      </c>
      <c r="H153" s="9">
        <f t="shared" si="38"/>
        <v>3.90066889632108</v>
      </c>
      <c r="I153" s="9">
        <f t="shared" si="26"/>
        <v>0.22525459088133806</v>
      </c>
      <c r="J153" s="9">
        <f t="shared" si="27"/>
        <v>0.16745541115969587</v>
      </c>
      <c r="K153" s="9">
        <f t="shared" si="28"/>
        <v>0.1930328751775415</v>
      </c>
      <c r="L153" s="9">
        <f t="shared" si="29"/>
        <v>0.15539865637344971</v>
      </c>
      <c r="M153" s="9">
        <f t="shared" si="30"/>
        <v>3.288881545195195E-2</v>
      </c>
      <c r="X153" s="9">
        <f t="shared" si="31"/>
        <v>0.16851765318137066</v>
      </c>
      <c r="Y153" s="9">
        <f t="shared" si="32"/>
        <v>0.19277786809771549</v>
      </c>
      <c r="Z153" s="9">
        <f t="shared" si="33"/>
        <v>0.16167552450114045</v>
      </c>
      <c r="AB153" s="9">
        <f t="shared" si="34"/>
        <v>0.45412851112430769</v>
      </c>
      <c r="AC153" s="9">
        <f t="shared" si="35"/>
        <v>0.40188833630872139</v>
      </c>
      <c r="AD153" s="9">
        <f t="shared" si="36"/>
        <v>0.5132852443313316</v>
      </c>
      <c r="AE153" s="9">
        <f t="shared" si="37"/>
        <v>0.45071381150784284</v>
      </c>
    </row>
    <row r="154" spans="2:31" x14ac:dyDescent="0.3">
      <c r="B154" s="8">
        <v>5.4</v>
      </c>
      <c r="G154" s="9">
        <v>149</v>
      </c>
      <c r="H154" s="9">
        <f t="shared" si="38"/>
        <v>3.9204013377926521</v>
      </c>
      <c r="I154" s="9">
        <f t="shared" si="26"/>
        <v>0.22503713136197689</v>
      </c>
      <c r="J154" s="9">
        <f t="shared" si="27"/>
        <v>0.17021017055879328</v>
      </c>
      <c r="K154" s="9">
        <f t="shared" si="28"/>
        <v>0.20849062370245061</v>
      </c>
      <c r="L154" s="9">
        <f t="shared" si="29"/>
        <v>0.15576515808621594</v>
      </c>
      <c r="M154" s="9">
        <f t="shared" si="30"/>
        <v>3.2888165898690168E-2</v>
      </c>
      <c r="X154" s="9">
        <f t="shared" si="31"/>
        <v>0.17084498435873832</v>
      </c>
      <c r="Y154" s="9">
        <f t="shared" si="32"/>
        <v>0.20448007640223811</v>
      </c>
      <c r="Z154" s="9">
        <f t="shared" si="33"/>
        <v>0.16155587438117894</v>
      </c>
      <c r="AB154" s="9">
        <f t="shared" si="34"/>
        <v>0.45747686502586288</v>
      </c>
      <c r="AC154" s="9">
        <f t="shared" si="35"/>
        <v>0.40581521561879641</v>
      </c>
      <c r="AD154" s="9">
        <f t="shared" si="36"/>
        <v>0.51647434211354548</v>
      </c>
      <c r="AE154" s="9">
        <f t="shared" si="37"/>
        <v>0.45404531784584906</v>
      </c>
    </row>
    <row r="155" spans="2:31" x14ac:dyDescent="0.3">
      <c r="B155" s="8">
        <v>5.0999999999999996</v>
      </c>
      <c r="G155" s="9">
        <v>150</v>
      </c>
      <c r="H155" s="9">
        <f t="shared" si="38"/>
        <v>3.9401337792642241</v>
      </c>
      <c r="I155" s="9">
        <f t="shared" si="26"/>
        <v>0.22479179298514687</v>
      </c>
      <c r="J155" s="9">
        <f t="shared" si="27"/>
        <v>0.17294951134595335</v>
      </c>
      <c r="K155" s="9">
        <f t="shared" si="28"/>
        <v>0.2222660874374805</v>
      </c>
      <c r="L155" s="9">
        <f t="shared" si="29"/>
        <v>0.15612608116567481</v>
      </c>
      <c r="M155" s="9">
        <f t="shared" si="30"/>
        <v>3.2887429330198073E-2</v>
      </c>
      <c r="X155" s="9">
        <f t="shared" si="31"/>
        <v>0.17309495454295695</v>
      </c>
      <c r="Y155" s="9">
        <f t="shared" si="32"/>
        <v>0.21508242169356862</v>
      </c>
      <c r="Z155" s="9">
        <f t="shared" si="33"/>
        <v>0.16142074593049102</v>
      </c>
      <c r="AB155" s="9">
        <f t="shared" si="34"/>
        <v>0.46087037959302524</v>
      </c>
      <c r="AC155" s="9">
        <f t="shared" si="35"/>
        <v>0.40995632667449938</v>
      </c>
      <c r="AD155" s="9">
        <f t="shared" si="36"/>
        <v>0.5196609261941435</v>
      </c>
      <c r="AE155" s="9">
        <f t="shared" si="37"/>
        <v>0.45743103454597406</v>
      </c>
    </row>
    <row r="156" spans="2:31" x14ac:dyDescent="0.3">
      <c r="G156" s="9">
        <v>151</v>
      </c>
      <c r="H156" s="9">
        <f t="shared" si="38"/>
        <v>3.9598662207357962</v>
      </c>
      <c r="I156" s="9">
        <f t="shared" si="26"/>
        <v>0.22451866741602722</v>
      </c>
      <c r="J156" s="9">
        <f t="shared" si="27"/>
        <v>0.17567079146863837</v>
      </c>
      <c r="K156" s="9">
        <f t="shared" si="28"/>
        <v>0.23376332668382716</v>
      </c>
      <c r="L156" s="9">
        <f t="shared" si="29"/>
        <v>0.15648115138350496</v>
      </c>
      <c r="M156" s="9">
        <f t="shared" si="30"/>
        <v>3.2886605752193161E-2</v>
      </c>
      <c r="X156" s="9">
        <f t="shared" si="31"/>
        <v>0.17526756373402652</v>
      </c>
      <c r="Y156" s="9">
        <f t="shared" si="32"/>
        <v>0.2221421145723618</v>
      </c>
      <c r="Z156" s="9">
        <f t="shared" si="33"/>
        <v>0.1612701391490767</v>
      </c>
      <c r="AB156" s="9">
        <f t="shared" si="34"/>
        <v>0.46430752830452632</v>
      </c>
      <c r="AC156" s="9">
        <f t="shared" si="35"/>
        <v>0.41427695252864122</v>
      </c>
      <c r="AD156" s="9">
        <f t="shared" si="36"/>
        <v>0.52284469114786924</v>
      </c>
      <c r="AE156" s="9">
        <f t="shared" si="37"/>
        <v>0.46087063126881245</v>
      </c>
    </row>
    <row r="157" spans="2:31" x14ac:dyDescent="0.3">
      <c r="G157" s="9">
        <v>152</v>
      </c>
      <c r="H157" s="9">
        <f t="shared" si="38"/>
        <v>3.9795986622073682</v>
      </c>
      <c r="I157" s="9">
        <f t="shared" si="26"/>
        <v>0.22421785662315363</v>
      </c>
      <c r="J157" s="9">
        <f t="shared" si="27"/>
        <v>0.17837138580490805</v>
      </c>
      <c r="K157" s="9">
        <f t="shared" si="28"/>
        <v>0.2425780336969636</v>
      </c>
      <c r="L157" s="9">
        <f t="shared" si="29"/>
        <v>0.15683009380737192</v>
      </c>
      <c r="M157" s="9">
        <f t="shared" si="30"/>
        <v>3.2885695171083376E-2</v>
      </c>
      <c r="X157" s="9">
        <f t="shared" si="31"/>
        <v>0.17756012963917603</v>
      </c>
      <c r="Y157" s="9">
        <f t="shared" si="32"/>
        <v>0.2275686456894509</v>
      </c>
      <c r="Z157" s="9">
        <f t="shared" si="33"/>
        <v>0.16110405403693615</v>
      </c>
      <c r="AB157" s="9">
        <f t="shared" si="34"/>
        <v>0.46778832602349402</v>
      </c>
      <c r="AC157" s="9">
        <f t="shared" si="35"/>
        <v>0.41869974130004722</v>
      </c>
      <c r="AD157" s="9">
        <f t="shared" si="36"/>
        <v>0.52602533154946718</v>
      </c>
      <c r="AE157" s="9">
        <f t="shared" si="37"/>
        <v>0.46436372570310569</v>
      </c>
    </row>
    <row r="158" spans="2:31" x14ac:dyDescent="0.3">
      <c r="G158" s="9">
        <v>153</v>
      </c>
      <c r="H158" s="9">
        <f t="shared" si="38"/>
        <v>3.9993311036789403</v>
      </c>
      <c r="I158" s="9">
        <f t="shared" si="26"/>
        <v>0.22388947281497326</v>
      </c>
      <c r="J158" s="9">
        <f t="shared" si="27"/>
        <v>0.18104868908480914</v>
      </c>
      <c r="K158" s="9">
        <f t="shared" si="28"/>
        <v>0.24854529412948559</v>
      </c>
      <c r="L158" s="9">
        <f t="shared" si="29"/>
        <v>0.15717263304532339</v>
      </c>
      <c r="M158" s="9">
        <f t="shared" si="30"/>
        <v>3.288469759396704E-2</v>
      </c>
      <c r="X158" s="9">
        <f t="shared" si="31"/>
        <v>0.17982476891001944</v>
      </c>
      <c r="Y158" s="9">
        <f t="shared" si="32"/>
        <v>0.24113317264218351</v>
      </c>
      <c r="Z158" s="9">
        <f t="shared" si="33"/>
        <v>0.16092249059406885</v>
      </c>
      <c r="AB158" s="9">
        <f t="shared" si="34"/>
        <v>0.47131449683074417</v>
      </c>
      <c r="AC158" s="9">
        <f t="shared" si="35"/>
        <v>0.42333321965662557</v>
      </c>
      <c r="AD158" s="9">
        <f t="shared" si="36"/>
        <v>0.52920254197368422</v>
      </c>
      <c r="AE158" s="9">
        <f t="shared" si="37"/>
        <v>0.46790988392853583</v>
      </c>
    </row>
    <row r="159" spans="2:31" x14ac:dyDescent="0.3">
      <c r="G159" s="9">
        <v>154</v>
      </c>
      <c r="H159" s="9">
        <f t="shared" si="38"/>
        <v>4.0190635451505123</v>
      </c>
      <c r="I159" s="9">
        <f t="shared" si="26"/>
        <v>0.22353363837008813</v>
      </c>
      <c r="J159" s="9">
        <f t="shared" si="27"/>
        <v>0.18370011887580029</v>
      </c>
      <c r="K159" s="9">
        <f t="shared" si="28"/>
        <v>0.2517517094848265</v>
      </c>
      <c r="L159" s="9">
        <f t="shared" si="29"/>
        <v>0.15750849349062793</v>
      </c>
      <c r="M159" s="9">
        <f t="shared" si="30"/>
        <v>3.2883613028632755E-2</v>
      </c>
      <c r="X159" s="9">
        <f t="shared" si="31"/>
        <v>0.18200882381299907</v>
      </c>
      <c r="Y159" s="9">
        <f t="shared" si="32"/>
        <v>0.249125500533392</v>
      </c>
      <c r="Z159" s="9">
        <f t="shared" si="33"/>
        <v>0.16072544882047507</v>
      </c>
      <c r="AB159" s="9">
        <f t="shared" si="34"/>
        <v>0.47488455943669844</v>
      </c>
      <c r="AC159" s="9">
        <f t="shared" si="35"/>
        <v>0.42817938270146355</v>
      </c>
      <c r="AD159" s="9">
        <f t="shared" si="36"/>
        <v>0.53237601699526393</v>
      </c>
      <c r="AE159" s="9">
        <f t="shared" si="37"/>
        <v>0.47150862083680634</v>
      </c>
    </row>
    <row r="160" spans="2:31" x14ac:dyDescent="0.3">
      <c r="G160" s="9">
        <v>155</v>
      </c>
      <c r="H160" s="9">
        <f t="shared" si="38"/>
        <v>4.0387959866220839</v>
      </c>
      <c r="I160" s="9">
        <f t="shared" si="26"/>
        <v>0.22315048576124816</v>
      </c>
      <c r="J160" s="9">
        <f t="shared" si="27"/>
        <v>0.18632311862262063</v>
      </c>
      <c r="K160" s="9">
        <f t="shared" si="28"/>
        <v>0.25250604050637449</v>
      </c>
      <c r="L160" s="9">
        <f t="shared" si="29"/>
        <v>0.15783739956680881</v>
      </c>
      <c r="M160" s="9">
        <f t="shared" si="30"/>
        <v>3.2882441483559212E-2</v>
      </c>
      <c r="X160" s="9">
        <f t="shared" si="31"/>
        <v>0.18411229434811535</v>
      </c>
      <c r="Y160" s="9">
        <f t="shared" si="32"/>
        <v>0.25468664443841754</v>
      </c>
      <c r="Z160" s="9">
        <f t="shared" si="33"/>
        <v>0.16051292871615502</v>
      </c>
      <c r="AB160" s="9">
        <f t="shared" si="34"/>
        <v>0.47849692371503572</v>
      </c>
      <c r="AC160" s="9">
        <f t="shared" si="35"/>
        <v>0.43315187088174101</v>
      </c>
      <c r="AD160" s="9">
        <f t="shared" si="36"/>
        <v>0.53554545118895047</v>
      </c>
      <c r="AE160" s="9">
        <f t="shared" si="37"/>
        <v>0.47515940061219986</v>
      </c>
    </row>
    <row r="161" spans="7:31" x14ac:dyDescent="0.3">
      <c r="G161" s="9">
        <v>156</v>
      </c>
      <c r="H161" s="9">
        <f t="shared" si="38"/>
        <v>4.0585284280936555</v>
      </c>
      <c r="I161" s="9">
        <f t="shared" si="26"/>
        <v>0.22274015747315945</v>
      </c>
      <c r="J161" s="9">
        <f t="shared" si="27"/>
        <v>0.18891516073143819</v>
      </c>
      <c r="K161" s="9">
        <f t="shared" si="28"/>
        <v>0.25127230772165771</v>
      </c>
      <c r="L161" s="9">
        <f t="shared" si="29"/>
        <v>0.15815907597261514</v>
      </c>
      <c r="M161" s="9">
        <f t="shared" si="30"/>
        <v>3.2881182967915264E-2</v>
      </c>
      <c r="X161" s="9">
        <f t="shared" si="31"/>
        <v>0.18613518051536804</v>
      </c>
      <c r="Y161" s="9">
        <f t="shared" si="32"/>
        <v>0.25592327124285258</v>
      </c>
      <c r="Z161" s="9">
        <f t="shared" si="33"/>
        <v>0.16028493028110838</v>
      </c>
      <c r="AB161" s="9">
        <f t="shared" si="34"/>
        <v>0.48214999953943288</v>
      </c>
      <c r="AC161" s="9">
        <f t="shared" si="35"/>
        <v>0.43819825110503419</v>
      </c>
      <c r="AD161" s="9">
        <f t="shared" si="36"/>
        <v>0.53871053912948874</v>
      </c>
      <c r="AE161" s="9">
        <f t="shared" si="37"/>
        <v>0.47886163727255704</v>
      </c>
    </row>
    <row r="162" spans="7:31" x14ac:dyDescent="0.3">
      <c r="G162" s="9">
        <v>157</v>
      </c>
      <c r="H162" s="9">
        <f t="shared" si="38"/>
        <v>4.0782608695652272</v>
      </c>
      <c r="I162" s="9">
        <f t="shared" si="26"/>
        <v>0.22230280591417936</v>
      </c>
      <c r="J162" s="9">
        <f t="shared" si="27"/>
        <v>0.19147374968763586</v>
      </c>
      <c r="K162" s="9">
        <f t="shared" si="28"/>
        <v>0.24857989632561089</v>
      </c>
      <c r="L162" s="9">
        <f t="shared" si="29"/>
        <v>0.15847324792667583</v>
      </c>
      <c r="M162" s="9">
        <f t="shared" si="30"/>
        <v>3.2879837491559823E-2</v>
      </c>
      <c r="X162" s="9">
        <f t="shared" si="31"/>
        <v>0.1884384264722157</v>
      </c>
      <c r="Y162" s="9">
        <f t="shared" si="32"/>
        <v>0.25267990842907884</v>
      </c>
      <c r="Z162" s="9">
        <f t="shared" si="33"/>
        <v>0.16004145351533539</v>
      </c>
      <c r="AB162" s="9">
        <f t="shared" si="34"/>
        <v>0.48584477414466609</v>
      </c>
      <c r="AC162" s="9">
        <f t="shared" si="35"/>
        <v>0.44321818817647712</v>
      </c>
      <c r="AD162" s="9">
        <f t="shared" si="36"/>
        <v>0.54187097539162521</v>
      </c>
      <c r="AE162" s="9">
        <f t="shared" si="37"/>
        <v>0.48261469527147116</v>
      </c>
    </row>
    <row r="163" spans="7:31" x14ac:dyDescent="0.3">
      <c r="G163" s="9">
        <v>158</v>
      </c>
      <c r="H163" s="9">
        <f t="shared" si="38"/>
        <v>4.0979933110367988</v>
      </c>
      <c r="I163" s="9">
        <f t="shared" si="26"/>
        <v>0.22183859332197506</v>
      </c>
      <c r="J163" s="9">
        <f t="shared" si="27"/>
        <v>0.19399642519615837</v>
      </c>
      <c r="K163" s="9">
        <f t="shared" si="28"/>
        <v>0.24493300049053554</v>
      </c>
      <c r="L163" s="9">
        <f t="shared" si="29"/>
        <v>0.15877964141158898</v>
      </c>
      <c r="M163" s="9">
        <f t="shared" si="30"/>
        <v>3.2878405065041395E-2</v>
      </c>
      <c r="X163" s="9">
        <f t="shared" si="31"/>
        <v>0.19079408510364257</v>
      </c>
      <c r="Y163" s="9">
        <f t="shared" si="32"/>
        <v>0.25094745035221439</v>
      </c>
      <c r="Z163" s="9">
        <f t="shared" si="33"/>
        <v>0.15978249841883591</v>
      </c>
      <c r="AB163" s="9">
        <f t="shared" si="34"/>
        <v>0.48958650892542871</v>
      </c>
      <c r="AC163" s="9">
        <f t="shared" si="35"/>
        <v>0.44819682229680124</v>
      </c>
      <c r="AD163" s="9">
        <f t="shared" si="36"/>
        <v>0.54502645455010468</v>
      </c>
      <c r="AE163" s="9">
        <f t="shared" si="37"/>
        <v>0.4864178901622494</v>
      </c>
    </row>
    <row r="164" spans="7:31" x14ac:dyDescent="0.3">
      <c r="G164" s="9">
        <v>159</v>
      </c>
      <c r="H164" s="9">
        <f t="shared" si="38"/>
        <v>4.1177257525083704</v>
      </c>
      <c r="I164" s="9">
        <f t="shared" si="26"/>
        <v>0.22134769166322743</v>
      </c>
      <c r="J164" s="9">
        <f t="shared" si="27"/>
        <v>0.19648076533301398</v>
      </c>
      <c r="K164" s="9">
        <f t="shared" si="28"/>
        <v>0.24074340936230287</v>
      </c>
      <c r="L164" s="9">
        <f t="shared" si="29"/>
        <v>0.15907798341719323</v>
      </c>
      <c r="M164" s="9">
        <f t="shared" si="30"/>
        <v>3.287688569959827E-2</v>
      </c>
      <c r="X164" s="9">
        <f t="shared" si="31"/>
        <v>0.19306271261777655</v>
      </c>
      <c r="Y164" s="9">
        <f t="shared" si="32"/>
        <v>0.24329453077248092</v>
      </c>
      <c r="Z164" s="9">
        <f t="shared" si="33"/>
        <v>0.15950806499160997</v>
      </c>
      <c r="AB164" s="9">
        <f t="shared" si="34"/>
        <v>0.49337386793404958</v>
      </c>
      <c r="AC164" s="9">
        <f t="shared" si="35"/>
        <v>0.45308285820947719</v>
      </c>
      <c r="AD164" s="9">
        <f t="shared" si="36"/>
        <v>0.54817667117966917</v>
      </c>
      <c r="AE164" s="9">
        <f t="shared" si="37"/>
        <v>0.4902704893239625</v>
      </c>
    </row>
    <row r="165" spans="7:31" x14ac:dyDescent="0.3">
      <c r="G165" s="9">
        <v>160</v>
      </c>
      <c r="H165" s="9">
        <f t="shared" si="38"/>
        <v>4.137458193979942</v>
      </c>
      <c r="I165" s="9">
        <f t="shared" si="26"/>
        <v>0.22083028252746659</v>
      </c>
      <c r="J165" s="9">
        <f t="shared" si="27"/>
        <v>0.19892438969624116</v>
      </c>
      <c r="K165" s="9">
        <f t="shared" si="28"/>
        <v>0.2363047493848128</v>
      </c>
      <c r="L165" s="9">
        <f t="shared" si="29"/>
        <v>0.15936800218277755</v>
      </c>
      <c r="M165" s="9">
        <f t="shared" si="30"/>
        <v>3.2875279407158384E-2</v>
      </c>
      <c r="X165" s="9">
        <f t="shared" si="31"/>
        <v>0.19524430901461809</v>
      </c>
      <c r="Y165" s="9">
        <f t="shared" si="32"/>
        <v>0.23828939620896195</v>
      </c>
      <c r="Z165" s="9">
        <f t="shared" si="33"/>
        <v>0.15921815323365743</v>
      </c>
      <c r="AB165" s="9">
        <f t="shared" si="34"/>
        <v>0.49720513383409931</v>
      </c>
      <c r="AC165" s="9">
        <f t="shared" si="35"/>
        <v>0.45781821759801006</v>
      </c>
      <c r="AD165" s="9">
        <f t="shared" si="36"/>
        <v>0.55132131985506727</v>
      </c>
      <c r="AE165" s="9">
        <f t="shared" si="37"/>
        <v>0.49417171274969701</v>
      </c>
    </row>
    <row r="166" spans="7:31" x14ac:dyDescent="0.3">
      <c r="G166" s="9">
        <v>161</v>
      </c>
      <c r="H166" s="9">
        <f t="shared" si="38"/>
        <v>4.1571906354515136</v>
      </c>
      <c r="I166" s="9">
        <f t="shared" si="26"/>
        <v>0.22028655701513136</v>
      </c>
      <c r="J166" s="9">
        <f t="shared" si="27"/>
        <v>0.20132496254446255</v>
      </c>
      <c r="K166" s="9">
        <f t="shared" si="28"/>
        <v>0.23181412344611468</v>
      </c>
      <c r="L166" s="9">
        <f t="shared" si="29"/>
        <v>0.15964942743798174</v>
      </c>
      <c r="M166" s="9">
        <f t="shared" si="30"/>
        <v>3.2873586200338888E-2</v>
      </c>
      <c r="X166" s="9">
        <f t="shared" si="31"/>
        <v>0.19733887429416713</v>
      </c>
      <c r="Y166" s="9">
        <f t="shared" si="32"/>
        <v>0.23189081169339629</v>
      </c>
      <c r="Z166" s="9">
        <f t="shared" si="33"/>
        <v>0.15891276314497868</v>
      </c>
      <c r="AB166" s="9">
        <f t="shared" si="34"/>
        <v>0.50107858928914994</v>
      </c>
      <c r="AC166" s="9">
        <f t="shared" si="35"/>
        <v>0.46246513672771994</v>
      </c>
      <c r="AD166" s="9">
        <f t="shared" si="36"/>
        <v>0.55446009515104122</v>
      </c>
      <c r="AE166" s="9">
        <f t="shared" si="37"/>
        <v>0.49812073389688605</v>
      </c>
    </row>
    <row r="167" spans="7:31" x14ac:dyDescent="0.3">
      <c r="G167" s="9">
        <v>162</v>
      </c>
      <c r="H167" s="9">
        <f t="shared" si="38"/>
        <v>4.1769230769230852</v>
      </c>
      <c r="I167" s="9">
        <f t="shared" si="26"/>
        <v>0.21971671561994932</v>
      </c>
      <c r="J167" s="9">
        <f t="shared" si="27"/>
        <v>0.20368019591103217</v>
      </c>
      <c r="K167" s="9">
        <f t="shared" si="28"/>
        <v>0.22743233294262924</v>
      </c>
      <c r="L167" s="9">
        <f t="shared" si="29"/>
        <v>0.15992199064214777</v>
      </c>
      <c r="M167" s="9">
        <f t="shared" si="30"/>
        <v>3.2871806092446207E-2</v>
      </c>
      <c r="X167" s="9">
        <f t="shared" si="31"/>
        <v>0.19951002009079702</v>
      </c>
      <c r="Y167" s="9">
        <f t="shared" si="32"/>
        <v>0.22103995048586733</v>
      </c>
      <c r="Z167" s="9">
        <f t="shared" si="33"/>
        <v>0.15859189472557333</v>
      </c>
      <c r="AB167" s="9">
        <f t="shared" si="34"/>
        <v>0.50499357548534118</v>
      </c>
      <c r="AC167" s="9">
        <f t="shared" si="35"/>
        <v>0.46693780390344869</v>
      </c>
      <c r="AD167" s="9">
        <f t="shared" si="36"/>
        <v>0.55759269164233738</v>
      </c>
      <c r="AE167" s="9">
        <f t="shared" si="37"/>
        <v>0.50211668059934045</v>
      </c>
    </row>
    <row r="168" spans="7:31" x14ac:dyDescent="0.3">
      <c r="G168" s="9">
        <v>163</v>
      </c>
      <c r="H168" s="9">
        <f t="shared" si="38"/>
        <v>4.1966555183946568</v>
      </c>
      <c r="I168" s="9">
        <f t="shared" si="26"/>
        <v>0.21912096810573778</v>
      </c>
      <c r="J168" s="9">
        <f t="shared" si="27"/>
        <v>0.20598785268171993</v>
      </c>
      <c r="K168" s="9">
        <f t="shared" si="28"/>
        <v>0.22336138051275065</v>
      </c>
      <c r="L168" s="9">
        <f t="shared" si="29"/>
        <v>0.16018542522188448</v>
      </c>
      <c r="M168" s="9">
        <f t="shared" si="30"/>
        <v>3.2869939097475896E-2</v>
      </c>
      <c r="X168" s="9">
        <f t="shared" si="31"/>
        <v>0.20167771226959011</v>
      </c>
      <c r="Y168" s="9">
        <f t="shared" si="32"/>
        <v>0.21994203838264068</v>
      </c>
      <c r="Z168" s="9">
        <f t="shared" si="33"/>
        <v>0.15825554797544147</v>
      </c>
      <c r="AB168" s="9">
        <f t="shared" si="34"/>
        <v>0.50895193062108846</v>
      </c>
      <c r="AC168" s="9">
        <f t="shared" si="35"/>
        <v>0.47129893764849207</v>
      </c>
      <c r="AD168" s="9">
        <f t="shared" si="36"/>
        <v>0.56071880390369899</v>
      </c>
      <c r="AE168" s="9">
        <f t="shared" si="37"/>
        <v>0.50615863604040401</v>
      </c>
    </row>
    <row r="169" spans="7:31" x14ac:dyDescent="0.3">
      <c r="G169" s="9">
        <v>164</v>
      </c>
      <c r="H169" s="9">
        <f t="shared" si="38"/>
        <v>4.2163879598662284</v>
      </c>
      <c r="I169" s="9">
        <f t="shared" si="26"/>
        <v>0.21849953337773326</v>
      </c>
      <c r="J169" s="9">
        <f t="shared" si="27"/>
        <v>0.20824574962392808</v>
      </c>
      <c r="K169" s="9">
        <f t="shared" si="28"/>
        <v>0.21991191338596927</v>
      </c>
      <c r="L169" s="9">
        <f t="shared" si="29"/>
        <v>0.16043946680660773</v>
      </c>
      <c r="M169" s="9">
        <f t="shared" si="30"/>
        <v>3.2867985230112223E-2</v>
      </c>
      <c r="X169" s="9">
        <f t="shared" si="31"/>
        <v>0.20375514995637617</v>
      </c>
      <c r="Y169" s="9">
        <f t="shared" si="32"/>
        <v>0.21257540233519973</v>
      </c>
      <c r="Z169" s="9">
        <f t="shared" si="33"/>
        <v>0.15790372289458329</v>
      </c>
      <c r="AB169" s="9">
        <f t="shared" si="34"/>
        <v>0.51295216914514119</v>
      </c>
      <c r="AC169" s="9">
        <f t="shared" si="35"/>
        <v>0.47557655829305218</v>
      </c>
      <c r="AD169" s="9">
        <f t="shared" si="36"/>
        <v>0.56383812650987286</v>
      </c>
      <c r="AE169" s="9">
        <f t="shared" si="37"/>
        <v>0.51024563978636628</v>
      </c>
    </row>
    <row r="170" spans="7:31" x14ac:dyDescent="0.3">
      <c r="G170" s="9">
        <v>165</v>
      </c>
      <c r="H170" s="9">
        <f t="shared" si="38"/>
        <v>4.2361204013378</v>
      </c>
      <c r="I170" s="9">
        <f t="shared" si="26"/>
        <v>0.21785263934855839</v>
      </c>
      <c r="J170" s="9">
        <f t="shared" si="27"/>
        <v>0.21045176035552327</v>
      </c>
      <c r="K170" s="9">
        <f t="shared" si="28"/>
        <v>0.2175356412645095</v>
      </c>
      <c r="L170" s="9">
        <f t="shared" si="29"/>
        <v>0.16068385346182587</v>
      </c>
      <c r="M170" s="9">
        <f t="shared" si="30"/>
        <v>3.2865944505728224E-2</v>
      </c>
      <c r="X170" s="9">
        <f t="shared" si="31"/>
        <v>0.2057423331511552</v>
      </c>
      <c r="Y170" s="9">
        <f t="shared" si="32"/>
        <v>0.21180379243032885</v>
      </c>
      <c r="Z170" s="9">
        <f t="shared" si="33"/>
        <v>0.15753641948299849</v>
      </c>
      <c r="AB170" s="9">
        <f t="shared" si="34"/>
        <v>0.51699251011601899</v>
      </c>
      <c r="AC170" s="9">
        <f t="shared" si="35"/>
        <v>0.47972672427767049</v>
      </c>
      <c r="AD170" s="9">
        <f t="shared" si="36"/>
        <v>0.56695035403560179</v>
      </c>
      <c r="AE170" s="9">
        <f t="shared" si="37"/>
        <v>0.51437668887907995</v>
      </c>
    </row>
    <row r="171" spans="7:31" x14ac:dyDescent="0.3">
      <c r="G171" s="9">
        <v>166</v>
      </c>
      <c r="H171" s="9">
        <f t="shared" si="38"/>
        <v>4.2558528428093716</v>
      </c>
      <c r="I171" s="9">
        <f t="shared" si="26"/>
        <v>0.21718052279894223</v>
      </c>
      <c r="J171" s="9">
        <f t="shared" si="27"/>
        <v>0.21260381824154184</v>
      </c>
      <c r="K171" s="9">
        <f t="shared" si="28"/>
        <v>0.21680760612404712</v>
      </c>
      <c r="L171" s="9">
        <f t="shared" si="29"/>
        <v>0.16091832591994454</v>
      </c>
      <c r="M171" s="9">
        <f t="shared" si="30"/>
        <v>3.2863816940385412E-2</v>
      </c>
      <c r="X171" s="9">
        <f t="shared" si="31"/>
        <v>0.20763926185392703</v>
      </c>
      <c r="Y171" s="9">
        <f t="shared" si="32"/>
        <v>0.21360708354610639</v>
      </c>
      <c r="Z171" s="9">
        <f t="shared" si="33"/>
        <v>0.15715363774068752</v>
      </c>
      <c r="AB171" s="9">
        <f t="shared" si="34"/>
        <v>0.52107117259224012</v>
      </c>
      <c r="AC171" s="9">
        <f t="shared" si="35"/>
        <v>0.48393136662405206</v>
      </c>
      <c r="AD171" s="9">
        <f t="shared" si="36"/>
        <v>0.5700551810556318</v>
      </c>
      <c r="AE171" s="9">
        <f t="shared" si="37"/>
        <v>0.51855073898646775</v>
      </c>
    </row>
    <row r="172" spans="7:31" x14ac:dyDescent="0.3">
      <c r="G172" s="9">
        <v>167</v>
      </c>
      <c r="H172" s="9">
        <f t="shared" si="38"/>
        <v>4.2755852842809432</v>
      </c>
      <c r="I172" s="9">
        <f t="shared" si="26"/>
        <v>0.2164834292333124</v>
      </c>
      <c r="J172" s="9">
        <f t="shared" si="27"/>
        <v>0.21469991920727793</v>
      </c>
      <c r="K172" s="9">
        <f t="shared" si="28"/>
        <v>0.21835712107754299</v>
      </c>
      <c r="L172" s="9">
        <f t="shared" si="29"/>
        <v>0.16114262780836336</v>
      </c>
      <c r="M172" s="9">
        <f t="shared" si="30"/>
        <v>3.2861602550833389E-2</v>
      </c>
      <c r="X172" s="9">
        <f t="shared" si="31"/>
        <v>0.20959267243885318</v>
      </c>
      <c r="Y172" s="9">
        <f t="shared" si="32"/>
        <v>0.21088296292439579</v>
      </c>
      <c r="Z172" s="9">
        <f t="shared" si="33"/>
        <v>0.15675537766764988</v>
      </c>
      <c r="AB172" s="9">
        <f t="shared" si="34"/>
        <v>0.52518722656259831</v>
      </c>
      <c r="AC172" s="9">
        <f t="shared" si="35"/>
        <v>0.48812692386326811</v>
      </c>
      <c r="AD172" s="9">
        <f t="shared" si="36"/>
        <v>0.57315230214470858</v>
      </c>
      <c r="AE172" s="9">
        <f t="shared" si="37"/>
        <v>0.52276670560938054</v>
      </c>
    </row>
    <row r="173" spans="7:31" x14ac:dyDescent="0.3">
      <c r="G173" s="9">
        <v>168</v>
      </c>
      <c r="H173" s="9">
        <f t="shared" si="38"/>
        <v>4.2953177257525148</v>
      </c>
      <c r="I173" s="9">
        <f t="shared" si="26"/>
        <v>0.21576161273038291</v>
      </c>
      <c r="J173" s="9">
        <f t="shared" si="27"/>
        <v>0.21673812445656734</v>
      </c>
      <c r="K173" s="9">
        <f t="shared" si="28"/>
        <v>0.22275983351831125</v>
      </c>
      <c r="L173" s="9">
        <f t="shared" si="29"/>
        <v>0.16135650587464884</v>
      </c>
      <c r="M173" s="9">
        <f t="shared" si="30"/>
        <v>3.2859301354510116E-2</v>
      </c>
      <c r="X173" s="9">
        <f t="shared" si="31"/>
        <v>0.21155649982531916</v>
      </c>
      <c r="Y173" s="9">
        <f t="shared" si="32"/>
        <v>0.23262935617545463</v>
      </c>
      <c r="Z173" s="9">
        <f t="shared" si="33"/>
        <v>0.15634163926388595</v>
      </c>
      <c r="AB173" s="9">
        <f t="shared" si="34"/>
        <v>0.52934253097106132</v>
      </c>
      <c r="AC173" s="9">
        <f t="shared" si="35"/>
        <v>0.49250248644038103</v>
      </c>
      <c r="AD173" s="9">
        <f t="shared" si="36"/>
        <v>0.57624141187757583</v>
      </c>
      <c r="AE173" s="9">
        <f t="shared" si="37"/>
        <v>0.527023465343052</v>
      </c>
    </row>
    <row r="174" spans="7:31" x14ac:dyDescent="0.3">
      <c r="G174" s="9">
        <v>169</v>
      </c>
      <c r="H174" s="9">
        <f t="shared" si="38"/>
        <v>4.3150501672240864</v>
      </c>
      <c r="I174" s="9">
        <f t="shared" si="26"/>
        <v>0.2150153357888642</v>
      </c>
      <c r="J174" s="9">
        <f t="shared" si="27"/>
        <v>0.21871656308446463</v>
      </c>
      <c r="K174" s="9">
        <f t="shared" si="28"/>
        <v>0.23041298849961359</v>
      </c>
      <c r="L174" s="9">
        <f t="shared" si="29"/>
        <v>0.1615597102085666</v>
      </c>
      <c r="M174" s="9">
        <f t="shared" si="30"/>
        <v>3.2856913369540997E-2</v>
      </c>
      <c r="X174" s="9">
        <f t="shared" si="31"/>
        <v>0.21342684934506373</v>
      </c>
      <c r="Y174" s="9">
        <f t="shared" si="32"/>
        <v>0.24835724219179833</v>
      </c>
      <c r="Z174" s="9">
        <f t="shared" si="33"/>
        <v>0.15591242252939547</v>
      </c>
      <c r="AB174" s="9">
        <f t="shared" si="34"/>
        <v>0.53353566421522125</v>
      </c>
      <c r="AC174" s="9">
        <f t="shared" si="35"/>
        <v>0.4972600325102482</v>
      </c>
      <c r="AD174" s="9">
        <f t="shared" si="36"/>
        <v>0.57932220482897923</v>
      </c>
      <c r="AE174" s="9">
        <f t="shared" si="37"/>
        <v>0.53131985719115482</v>
      </c>
    </row>
    <row r="175" spans="7:31" x14ac:dyDescent="0.3">
      <c r="G175" s="9">
        <v>170</v>
      </c>
      <c r="H175" s="9">
        <f t="shared" si="38"/>
        <v>4.334782608695658</v>
      </c>
      <c r="I175" s="9">
        <f t="shared" si="26"/>
        <v>0.21424486916842728</v>
      </c>
      <c r="J175" s="9">
        <f t="shared" si="27"/>
        <v>0.22063343457394455</v>
      </c>
      <c r="K175" s="9">
        <f t="shared" si="28"/>
        <v>0.24141977310575255</v>
      </c>
      <c r="L175" s="9">
        <f t="shared" si="29"/>
        <v>0.16175199446076563</v>
      </c>
      <c r="M175" s="9">
        <f t="shared" si="30"/>
        <v>3.2854438614739266E-2</v>
      </c>
      <c r="X175" s="9">
        <f t="shared" si="31"/>
        <v>0.2152037209980863</v>
      </c>
      <c r="Y175" s="9">
        <f t="shared" si="32"/>
        <v>0.26364467276487624</v>
      </c>
      <c r="Z175" s="9">
        <f t="shared" si="33"/>
        <v>0.15546772746417847</v>
      </c>
      <c r="AB175" s="9">
        <f t="shared" si="34"/>
        <v>0.5377647817485437</v>
      </c>
      <c r="AC175" s="9">
        <f t="shared" si="35"/>
        <v>0.50229386531974729</v>
      </c>
      <c r="AD175" s="9">
        <f t="shared" si="36"/>
        <v>0.58239437557366114</v>
      </c>
      <c r="AE175" s="9">
        <f t="shared" si="37"/>
        <v>0.53565468393029891</v>
      </c>
    </row>
    <row r="176" spans="7:31" x14ac:dyDescent="0.3">
      <c r="G176" s="9">
        <v>171</v>
      </c>
      <c r="H176" s="9">
        <f t="shared" si="38"/>
        <v>4.3545150501672296</v>
      </c>
      <c r="I176" s="9">
        <f t="shared" si="26"/>
        <v>0.21345049172605662</v>
      </c>
      <c r="J176" s="9">
        <f t="shared" si="27"/>
        <v>0.22248701116676445</v>
      </c>
      <c r="K176" s="9">
        <f t="shared" si="28"/>
        <v>0.25550695094683662</v>
      </c>
      <c r="L176" s="9">
        <f t="shared" si="29"/>
        <v>0.161933116057905</v>
      </c>
      <c r="M176" s="9">
        <f t="shared" si="30"/>
        <v>3.2851877109605264E-2</v>
      </c>
      <c r="X176" s="9">
        <f t="shared" si="31"/>
        <v>0.21688711478438749</v>
      </c>
      <c r="Y176" s="9">
        <f t="shared" si="32"/>
        <v>0.27769912823679038</v>
      </c>
      <c r="Z176" s="9">
        <f t="shared" si="33"/>
        <v>0.15500792127655033</v>
      </c>
      <c r="AB176" s="9">
        <f t="shared" si="34"/>
        <v>0.54202803902449559</v>
      </c>
      <c r="AC176" s="9">
        <f t="shared" si="35"/>
        <v>0.5076451908567402</v>
      </c>
      <c r="AD176" s="9">
        <f t="shared" si="36"/>
        <v>0.58545761876221236</v>
      </c>
      <c r="AE176" s="9">
        <f t="shared" si="37"/>
        <v>0.54002671352256393</v>
      </c>
    </row>
    <row r="177" spans="7:31" x14ac:dyDescent="0.3">
      <c r="G177" s="9">
        <v>172</v>
      </c>
      <c r="H177" s="9">
        <f t="shared" si="38"/>
        <v>4.3742474916388012</v>
      </c>
      <c r="I177" s="9">
        <f t="shared" si="26"/>
        <v>0.21263249024792935</v>
      </c>
      <c r="J177" s="9">
        <f t="shared" si="27"/>
        <v>0.22427564009917866</v>
      </c>
      <c r="K177" s="9">
        <f t="shared" si="28"/>
        <v>0.27199451875589836</v>
      </c>
      <c r="L177" s="9">
        <f t="shared" si="29"/>
        <v>0.1621028364140292</v>
      </c>
      <c r="M177" s="9">
        <f t="shared" si="30"/>
        <v>3.2849228874326675E-2</v>
      </c>
      <c r="X177" s="9">
        <f t="shared" si="31"/>
        <v>0.2185635949026957</v>
      </c>
      <c r="Y177" s="9">
        <f t="shared" si="32"/>
        <v>0.28548485976449023</v>
      </c>
      <c r="Z177" s="9">
        <f t="shared" si="33"/>
        <v>0.15454986325247291</v>
      </c>
      <c r="AB177" s="9">
        <f t="shared" si="34"/>
        <v>0.54632403544553487</v>
      </c>
      <c r="AC177" s="9">
        <f t="shared" si="35"/>
        <v>0.5132119964995816</v>
      </c>
      <c r="AD177" s="9">
        <f t="shared" si="36"/>
        <v>0.58851180947728043</v>
      </c>
      <c r="AE177" s="9">
        <f t="shared" si="37"/>
        <v>0.54443468057349131</v>
      </c>
    </row>
    <row r="178" spans="7:31" x14ac:dyDescent="0.3">
      <c r="G178" s="9">
        <v>173</v>
      </c>
      <c r="H178" s="9">
        <f t="shared" si="38"/>
        <v>4.3939799331103728</v>
      </c>
      <c r="I178" s="9">
        <f t="shared" si="26"/>
        <v>0.21179115927696393</v>
      </c>
      <c r="J178" s="9">
        <f t="shared" si="27"/>
        <v>0.22599774569379605</v>
      </c>
      <c r="K178" s="9">
        <f t="shared" si="28"/>
        <v>0.28982855155886383</v>
      </c>
      <c r="L178" s="9">
        <f t="shared" si="29"/>
        <v>0.16226092113799334</v>
      </c>
      <c r="M178" s="9">
        <f t="shared" si="30"/>
        <v>3.2846493929777766E-2</v>
      </c>
      <c r="X178" s="9">
        <f t="shared" si="31"/>
        <v>0.22022511708994488</v>
      </c>
      <c r="Y178" s="9">
        <f t="shared" si="32"/>
        <v>0.29713894562308496</v>
      </c>
      <c r="Z178" s="9">
        <f t="shared" si="33"/>
        <v>0.15407643008654057</v>
      </c>
      <c r="AB178" s="9">
        <f t="shared" si="34"/>
        <v>0.55065337898025069</v>
      </c>
      <c r="AC178" s="9">
        <f t="shared" si="35"/>
        <v>0.51896094035262219</v>
      </c>
      <c r="AD178" s="9">
        <f t="shared" si="36"/>
        <v>0.59155680989465431</v>
      </c>
      <c r="AE178" s="9">
        <f t="shared" si="37"/>
        <v>0.54887728783279066</v>
      </c>
    </row>
    <row r="179" spans="7:31" x14ac:dyDescent="0.3">
      <c r="G179" s="9">
        <v>174</v>
      </c>
      <c r="H179" s="9">
        <f t="shared" si="38"/>
        <v>4.4137123745819444</v>
      </c>
      <c r="I179" s="9">
        <f t="shared" si="26"/>
        <v>0.21092680093618266</v>
      </c>
      <c r="J179" s="9">
        <f t="shared" si="27"/>
        <v>0.22765183129954969</v>
      </c>
      <c r="K179" s="9">
        <f t="shared" si="28"/>
        <v>0.30767957559344744</v>
      </c>
      <c r="L179" s="9">
        <f t="shared" si="29"/>
        <v>0.16240714023675054</v>
      </c>
      <c r="M179" s="9">
        <f t="shared" si="30"/>
        <v>3.2843672297519354E-2</v>
      </c>
      <c r="X179" s="9">
        <f t="shared" si="31"/>
        <v>0.2217910124939961</v>
      </c>
      <c r="Y179" s="9">
        <f t="shared" si="32"/>
        <v>0.30277312359366015</v>
      </c>
      <c r="Z179" s="9">
        <f t="shared" si="33"/>
        <v>0.15358762177875324</v>
      </c>
      <c r="AB179" s="9">
        <f t="shared" si="34"/>
        <v>0.55501456492932866</v>
      </c>
      <c r="AC179" s="9">
        <f t="shared" si="35"/>
        <v>0.52489183136899775</v>
      </c>
      <c r="AD179" s="9">
        <f t="shared" si="36"/>
        <v>0.59459231662524759</v>
      </c>
      <c r="AE179" s="9">
        <f t="shared" si="37"/>
        <v>0.55335320773484054</v>
      </c>
    </row>
    <row r="180" spans="7:31" x14ac:dyDescent="0.3">
      <c r="G180" s="9">
        <v>175</v>
      </c>
      <c r="H180" s="9">
        <f t="shared" si="38"/>
        <v>4.433444816053516</v>
      </c>
      <c r="I180" s="9">
        <f t="shared" si="26"/>
        <v>0.21003972474803589</v>
      </c>
      <c r="J180" s="9">
        <f t="shared" si="27"/>
        <v>0.22923648107241917</v>
      </c>
      <c r="K180" s="9">
        <f t="shared" si="28"/>
        <v>0.32409868124910285</v>
      </c>
      <c r="L180" s="9">
        <f t="shared" si="29"/>
        <v>0.16254126831432036</v>
      </c>
      <c r="M180" s="9">
        <f t="shared" si="30"/>
        <v>3.2840763999798551E-2</v>
      </c>
      <c r="X180" s="9">
        <f t="shared" si="31"/>
        <v>0.22326128111484919</v>
      </c>
      <c r="Y180" s="9">
        <f t="shared" si="32"/>
        <v>0.3091373420797508</v>
      </c>
      <c r="Z180" s="9">
        <f t="shared" si="33"/>
        <v>0.15308343832911078</v>
      </c>
      <c r="AB180" s="9">
        <f t="shared" si="34"/>
        <v>0.55940570634286668</v>
      </c>
      <c r="AC180" s="9">
        <f t="shared" si="35"/>
        <v>0.53090102417300156</v>
      </c>
      <c r="AD180" s="9">
        <f t="shared" si="36"/>
        <v>0.59761802627997307</v>
      </c>
      <c r="AE180" s="9">
        <f t="shared" si="37"/>
        <v>0.55786108397590728</v>
      </c>
    </row>
    <row r="181" spans="7:31" x14ac:dyDescent="0.3">
      <c r="G181" s="9">
        <v>176</v>
      </c>
      <c r="H181" s="9">
        <f t="shared" si="38"/>
        <v>4.4531772575250876</v>
      </c>
      <c r="I181" s="9">
        <f t="shared" si="26"/>
        <v>0.20913024744983988</v>
      </c>
      <c r="J181" s="9">
        <f t="shared" si="27"/>
        <v>0.23075036159032236</v>
      </c>
      <c r="K181" s="9">
        <f t="shared" si="28"/>
        <v>0.3377122367715153</v>
      </c>
      <c r="L181" s="9">
        <f t="shared" si="29"/>
        <v>0.16266308476625849</v>
      </c>
      <c r="M181" s="9">
        <f t="shared" si="30"/>
        <v>3.2837769059548501E-2</v>
      </c>
      <c r="X181" s="9">
        <f t="shared" si="31"/>
        <v>0.22463592295250448</v>
      </c>
      <c r="Y181" s="9">
        <f t="shared" si="32"/>
        <v>0.31732150945136278</v>
      </c>
      <c r="Z181" s="9">
        <f t="shared" si="33"/>
        <v>0.15256387973761368</v>
      </c>
      <c r="AB181" s="9">
        <f t="shared" si="34"/>
        <v>0.56382491627096087</v>
      </c>
      <c r="AC181" s="9">
        <f t="shared" si="35"/>
        <v>0.53709154091410194</v>
      </c>
      <c r="AD181" s="9">
        <f t="shared" si="36"/>
        <v>0.60063363546974524</v>
      </c>
      <c r="AE181" s="9">
        <f t="shared" si="37"/>
        <v>0.56239953312487523</v>
      </c>
    </row>
    <row r="182" spans="7:31" x14ac:dyDescent="0.3">
      <c r="G182" s="9">
        <v>177</v>
      </c>
      <c r="H182" s="9">
        <f t="shared" si="38"/>
        <v>4.4729096989966592</v>
      </c>
      <c r="I182" s="9">
        <f t="shared" si="26"/>
        <v>0.20819869280548162</v>
      </c>
      <c r="J182" s="9">
        <f t="shared" si="27"/>
        <v>0.23219222329633632</v>
      </c>
      <c r="K182" s="9">
        <f t="shared" si="28"/>
        <v>0.34742490176007673</v>
      </c>
      <c r="L182" s="9">
        <f t="shared" si="29"/>
        <v>0.16277237396945757</v>
      </c>
      <c r="M182" s="9">
        <f t="shared" si="30"/>
        <v>3.2834687500387767E-2</v>
      </c>
      <c r="X182" s="9">
        <f t="shared" si="31"/>
        <v>0.22599023227774109</v>
      </c>
      <c r="Y182" s="9">
        <f t="shared" si="32"/>
        <v>0.31958521532010575</v>
      </c>
      <c r="Z182" s="9">
        <f t="shared" si="33"/>
        <v>0.15204571086099306</v>
      </c>
      <c r="AB182" s="9">
        <f t="shared" si="34"/>
        <v>0.56827064344506895</v>
      </c>
      <c r="AC182" s="9">
        <f t="shared" si="35"/>
        <v>0.54338513867881133</v>
      </c>
      <c r="AD182" s="9">
        <f t="shared" si="36"/>
        <v>0.60363899831302137</v>
      </c>
      <c r="AE182" s="9">
        <f t="shared" si="37"/>
        <v>0.56696714626415778</v>
      </c>
    </row>
    <row r="183" spans="7:31" x14ac:dyDescent="0.3">
      <c r="G183" s="9">
        <v>178</v>
      </c>
      <c r="H183" s="9">
        <f t="shared" si="38"/>
        <v>4.4926421404682308</v>
      </c>
      <c r="I183" s="9">
        <f t="shared" si="26"/>
        <v>0.20724539141354736</v>
      </c>
      <c r="J183" s="9">
        <f t="shared" si="27"/>
        <v>0.23356090176524222</v>
      </c>
      <c r="K183" s="9">
        <f t="shared" si="28"/>
        <v>0.35259289652912568</v>
      </c>
      <c r="L183" s="9">
        <f t="shared" si="29"/>
        <v>0.16286892546711609</v>
      </c>
      <c r="M183" s="9">
        <f t="shared" si="30"/>
        <v>3.2831519346620507E-2</v>
      </c>
      <c r="X183" s="9">
        <f t="shared" si="31"/>
        <v>0.22733885037264451</v>
      </c>
      <c r="Y183" s="9">
        <f t="shared" si="32"/>
        <v>0.33158701336338842</v>
      </c>
      <c r="Z183" s="9">
        <f t="shared" si="33"/>
        <v>0.15151309188139403</v>
      </c>
      <c r="AB183" s="9">
        <f t="shared" si="34"/>
        <v>0.57274344901988883</v>
      </c>
      <c r="AC183" s="9">
        <f t="shared" si="35"/>
        <v>0.54979380859633942</v>
      </c>
      <c r="AD183" s="9">
        <f t="shared" si="36"/>
        <v>0.60663400157991132</v>
      </c>
      <c r="AE183" s="9">
        <f t="shared" si="37"/>
        <v>0.57156249065735121</v>
      </c>
    </row>
    <row r="184" spans="7:31" x14ac:dyDescent="0.3">
      <c r="G184" s="9">
        <v>179</v>
      </c>
      <c r="H184" s="9">
        <f t="shared" si="38"/>
        <v>4.5123745819398025</v>
      </c>
      <c r="I184" s="9">
        <f t="shared" si="26"/>
        <v>0.20627068051203393</v>
      </c>
      <c r="J184" s="9">
        <f t="shared" si="27"/>
        <v>0.2348553187892066</v>
      </c>
      <c r="K184" s="9">
        <f t="shared" si="28"/>
        <v>0.35312927958731993</v>
      </c>
      <c r="L184" s="9">
        <f t="shared" si="29"/>
        <v>0.16295253414871319</v>
      </c>
      <c r="M184" s="9">
        <f t="shared" si="30"/>
        <v>3.2828264623235702E-2</v>
      </c>
      <c r="X184" s="9">
        <f t="shared" si="31"/>
        <v>0.22858969276787339</v>
      </c>
      <c r="Y184" s="9">
        <f t="shared" si="32"/>
        <v>0.33943767517676293</v>
      </c>
      <c r="Z184" s="9">
        <f t="shared" si="33"/>
        <v>0.15096520094881169</v>
      </c>
      <c r="AB184" s="9">
        <f t="shared" si="34"/>
        <v>0.57724190144569765</v>
      </c>
      <c r="AC184" s="9">
        <f t="shared" si="35"/>
        <v>0.55642688508441285</v>
      </c>
      <c r="AD184" s="9">
        <f t="shared" si="36"/>
        <v>0.60961834429750061</v>
      </c>
      <c r="AE184" s="9">
        <f t="shared" si="37"/>
        <v>0.57618411144010651</v>
      </c>
    </row>
    <row r="185" spans="7:31" x14ac:dyDescent="0.3">
      <c r="G185" s="9">
        <v>180</v>
      </c>
      <c r="H185" s="9">
        <f t="shared" si="38"/>
        <v>4.5321070234113741</v>
      </c>
      <c r="I185" s="9">
        <f t="shared" si="26"/>
        <v>0.20527490377980387</v>
      </c>
      <c r="J185" s="9">
        <f t="shared" si="27"/>
        <v>0.23607448327926797</v>
      </c>
      <c r="K185" s="9">
        <f t="shared" si="28"/>
        <v>0.34951323376008353</v>
      </c>
      <c r="L185" s="9">
        <f t="shared" si="29"/>
        <v>0.16302300042484091</v>
      </c>
      <c r="M185" s="9">
        <f t="shared" si="30"/>
        <v>3.2824923355907136E-2</v>
      </c>
      <c r="X185" s="9">
        <f t="shared" si="31"/>
        <v>0.22974275946342801</v>
      </c>
      <c r="Y185" s="9">
        <f t="shared" si="32"/>
        <v>0.34309127934093642</v>
      </c>
      <c r="Z185" s="9">
        <f t="shared" si="33"/>
        <v>0.1504020380632459</v>
      </c>
      <c r="AB185" s="9">
        <f t="shared" si="34"/>
        <v>0.58176407136922414</v>
      </c>
      <c r="AC185" s="9">
        <f t="shared" si="35"/>
        <v>0.56315391542512705</v>
      </c>
      <c r="AD185" s="9">
        <f t="shared" si="36"/>
        <v>0.61259172511287108</v>
      </c>
      <c r="AE185" s="9">
        <f t="shared" si="37"/>
        <v>0.58083053333060575</v>
      </c>
    </row>
    <row r="186" spans="7:31" x14ac:dyDescent="0.3">
      <c r="G186" s="9">
        <v>181</v>
      </c>
      <c r="H186" s="9">
        <f t="shared" si="38"/>
        <v>4.5518394648829457</v>
      </c>
      <c r="I186" s="9">
        <f t="shared" si="26"/>
        <v>0.20425841113494814</v>
      </c>
      <c r="J186" s="9">
        <f t="shared" si="27"/>
        <v>0.23721749198016789</v>
      </c>
      <c r="K186" s="9">
        <f t="shared" si="28"/>
        <v>0.34269558354949142</v>
      </c>
      <c r="L186" s="9">
        <f t="shared" si="29"/>
        <v>0.16308013039674601</v>
      </c>
      <c r="M186" s="9">
        <f t="shared" si="30"/>
        <v>3.2821495570992905E-2</v>
      </c>
      <c r="X186" s="9">
        <f t="shared" si="31"/>
        <v>0.23086554096080628</v>
      </c>
      <c r="Y186" s="9">
        <f t="shared" si="32"/>
        <v>0.34415967767794381</v>
      </c>
      <c r="Z186" s="9">
        <f t="shared" si="33"/>
        <v>0.14982360322469654</v>
      </c>
      <c r="AB186" s="9">
        <f t="shared" si="34"/>
        <v>0.58630856309105106</v>
      </c>
      <c r="AC186" s="9">
        <f t="shared" si="35"/>
        <v>0.56994593851502273</v>
      </c>
      <c r="AD186" s="9">
        <f t="shared" si="36"/>
        <v>0.61555384267310387</v>
      </c>
      <c r="AE186" s="9">
        <f t="shared" si="37"/>
        <v>0.58550026235599018</v>
      </c>
    </row>
    <row r="187" spans="7:31" x14ac:dyDescent="0.3">
      <c r="G187" s="9">
        <v>182</v>
      </c>
      <c r="H187" s="9">
        <f t="shared" si="38"/>
        <v>4.5715719063545173</v>
      </c>
      <c r="I187" s="9">
        <f t="shared" si="26"/>
        <v>0.20322155853022145</v>
      </c>
      <c r="J187" s="9">
        <f t="shared" si="27"/>
        <v>0.23828352999694916</v>
      </c>
      <c r="K187" s="9">
        <f t="shared" si="28"/>
        <v>0.33391819665078681</v>
      </c>
      <c r="L187" s="9">
        <f t="shared" si="29"/>
        <v>0.16312373602044355</v>
      </c>
      <c r="M187" s="9">
        <f t="shared" si="30"/>
        <v>3.281798129553519E-2</v>
      </c>
      <c r="X187" s="9">
        <f t="shared" si="31"/>
        <v>0.23200411495104739</v>
      </c>
      <c r="Y187" s="9">
        <f t="shared" si="32"/>
        <v>0.33826282718804623</v>
      </c>
      <c r="Z187" s="9">
        <f t="shared" si="33"/>
        <v>0.14926103498686491</v>
      </c>
      <c r="AB187" s="9">
        <f t="shared" si="34"/>
        <v>0.59087491267526826</v>
      </c>
      <c r="AC187" s="9">
        <f t="shared" si="35"/>
        <v>0.57669032303016643</v>
      </c>
      <c r="AD187" s="9">
        <f t="shared" si="36"/>
        <v>0.61850466738411325</v>
      </c>
      <c r="AE187" s="9">
        <f t="shared" si="37"/>
        <v>0.5901917875910434</v>
      </c>
    </row>
    <row r="188" spans="7:31" x14ac:dyDescent="0.3">
      <c r="G188" s="9">
        <v>183</v>
      </c>
      <c r="H188" s="9">
        <f t="shared" si="38"/>
        <v>4.5913043478260889</v>
      </c>
      <c r="I188" s="9">
        <f t="shared" si="26"/>
        <v>0.20216470774571718</v>
      </c>
      <c r="J188" s="9">
        <f t="shared" si="27"/>
        <v>0.23927187113261086</v>
      </c>
      <c r="K188" s="9">
        <f t="shared" si="28"/>
        <v>0.32448770859600529</v>
      </c>
      <c r="L188" s="9">
        <f t="shared" si="29"/>
        <v>0.16315363526527052</v>
      </c>
      <c r="M188" s="9">
        <f t="shared" si="30"/>
        <v>3.2814380557259673E-2</v>
      </c>
      <c r="X188" s="9">
        <f t="shared" si="31"/>
        <v>0.23319802927080963</v>
      </c>
      <c r="Y188" s="9">
        <f t="shared" si="32"/>
        <v>0.33693190640171722</v>
      </c>
      <c r="Z188" s="9">
        <f t="shared" si="33"/>
        <v>0.14868742204185392</v>
      </c>
      <c r="AB188" s="9">
        <f t="shared" si="34"/>
        <v>0.59546486402997423</v>
      </c>
      <c r="AC188" s="9">
        <f t="shared" si="35"/>
        <v>0.58333658760130802</v>
      </c>
      <c r="AD188" s="9">
        <f t="shared" si="36"/>
        <v>0.62144431740242789</v>
      </c>
      <c r="AE188" s="9">
        <f t="shared" si="37"/>
        <v>0.59490358290539491</v>
      </c>
    </row>
    <row r="189" spans="7:31" x14ac:dyDescent="0.3">
      <c r="G189" s="9">
        <v>184</v>
      </c>
      <c r="H189" s="9">
        <f t="shared" si="38"/>
        <v>4.6110367892976605</v>
      </c>
      <c r="I189" s="9">
        <f t="shared" si="26"/>
        <v>0.20108822617895122</v>
      </c>
      <c r="J189" s="9">
        <f t="shared" si="27"/>
        <v>0.24018187803701066</v>
      </c>
      <c r="K189" s="9">
        <f t="shared" si="28"/>
        <v>0.31555618627712062</v>
      </c>
      <c r="L189" s="9">
        <f t="shared" si="29"/>
        <v>0.1631696522667534</v>
      </c>
      <c r="M189" s="9">
        <f t="shared" si="30"/>
        <v>3.2810693384575464E-2</v>
      </c>
      <c r="X189" s="9">
        <f t="shared" si="31"/>
        <v>0.23429201897442084</v>
      </c>
      <c r="Y189" s="9">
        <f t="shared" si="32"/>
        <v>0.33114130547019621</v>
      </c>
      <c r="Z189" s="9">
        <f t="shared" si="33"/>
        <v>0.14809874352160238</v>
      </c>
      <c r="AB189" s="9">
        <f t="shared" si="34"/>
        <v>0.6000773883507996</v>
      </c>
      <c r="AC189" s="9">
        <f t="shared" si="35"/>
        <v>0.58994168951378279</v>
      </c>
      <c r="AD189" s="9">
        <f t="shared" si="36"/>
        <v>0.62437249999658595</v>
      </c>
      <c r="AE189" s="9">
        <f t="shared" si="37"/>
        <v>0.59963410871552503</v>
      </c>
    </row>
    <row r="190" spans="7:31" x14ac:dyDescent="0.3">
      <c r="G190" s="9">
        <v>185</v>
      </c>
      <c r="H190" s="9">
        <f t="shared" si="38"/>
        <v>4.6307692307692321</v>
      </c>
      <c r="I190" s="9">
        <f t="shared" si="26"/>
        <v>0.19999248663252395</v>
      </c>
      <c r="J190" s="9">
        <f t="shared" si="27"/>
        <v>0.2410130021680639</v>
      </c>
      <c r="K190" s="9">
        <f t="shared" si="28"/>
        <v>0.3079582313916665</v>
      </c>
      <c r="L190" s="9">
        <f t="shared" si="29"/>
        <v>0.1631716174736729</v>
      </c>
      <c r="M190" s="9">
        <f t="shared" si="30"/>
        <v>3.2806919806574547E-2</v>
      </c>
      <c r="X190" s="9">
        <f t="shared" si="31"/>
        <v>0.23528608406188134</v>
      </c>
      <c r="Y190" s="9">
        <f t="shared" si="32"/>
        <v>0.32281412139076826</v>
      </c>
      <c r="Z190" s="9">
        <f t="shared" si="33"/>
        <v>0.14749499942611061</v>
      </c>
      <c r="AB190" s="9">
        <f t="shared" si="34"/>
        <v>0.60471051388110053</v>
      </c>
      <c r="AC190" s="9">
        <f t="shared" si="35"/>
        <v>0.5963708031886138</v>
      </c>
      <c r="AD190" s="9">
        <f t="shared" si="36"/>
        <v>0.62728891788600716</v>
      </c>
      <c r="AE190" s="9">
        <f t="shared" si="37"/>
        <v>0.6043818137378606</v>
      </c>
    </row>
    <row r="191" spans="7:31" x14ac:dyDescent="0.3">
      <c r="G191" s="9">
        <v>186</v>
      </c>
      <c r="H191" s="9">
        <f t="shared" si="38"/>
        <v>4.6505016722408037</v>
      </c>
      <c r="I191" s="9">
        <f t="shared" si="26"/>
        <v>0.19887786709953256</v>
      </c>
      <c r="J191" s="9">
        <f t="shared" si="27"/>
        <v>0.24176478356716222</v>
      </c>
      <c r="K191" s="9">
        <f t="shared" si="28"/>
        <v>0.3021363728976888</v>
      </c>
      <c r="L191" s="9">
        <f t="shared" si="29"/>
        <v>0.16315936778921381</v>
      </c>
      <c r="M191" s="9">
        <f t="shared" si="30"/>
        <v>3.2803059853031398E-2</v>
      </c>
      <c r="X191" s="9">
        <f t="shared" si="31"/>
        <v>0.23618022453319126</v>
      </c>
      <c r="Y191" s="9">
        <f t="shared" si="32"/>
        <v>0.31729504710843215</v>
      </c>
      <c r="Z191" s="9">
        <f t="shared" si="33"/>
        <v>0.14687618975537819</v>
      </c>
      <c r="AB191" s="9">
        <f t="shared" si="34"/>
        <v>0.60936226886423817</v>
      </c>
      <c r="AC191" s="9">
        <f t="shared" si="35"/>
        <v>0.60269771498709457</v>
      </c>
      <c r="AD191" s="9">
        <f t="shared" si="36"/>
        <v>0.6301932737901097</v>
      </c>
      <c r="AE191" s="9">
        <f t="shared" si="37"/>
        <v>0.60914513673925463</v>
      </c>
    </row>
    <row r="192" spans="7:31" x14ac:dyDescent="0.3">
      <c r="G192" s="9">
        <v>187</v>
      </c>
      <c r="H192" s="9">
        <f t="shared" si="38"/>
        <v>4.6702341137123753</v>
      </c>
      <c r="I192" s="9">
        <f t="shared" si="26"/>
        <v>0.19774475054690527</v>
      </c>
      <c r="J192" s="9">
        <f t="shared" si="27"/>
        <v>0.24243685045157093</v>
      </c>
      <c r="K192" s="9">
        <f t="shared" si="28"/>
        <v>0.29816044383818613</v>
      </c>
      <c r="L192" s="9">
        <f t="shared" si="29"/>
        <v>0.16313274670609576</v>
      </c>
      <c r="M192" s="9">
        <f t="shared" si="30"/>
        <v>3.2799113554402688E-2</v>
      </c>
      <c r="X192" s="9">
        <f t="shared" si="31"/>
        <v>0.23697444038835044</v>
      </c>
      <c r="Y192" s="9">
        <f t="shared" si="32"/>
        <v>0.30481072399919118</v>
      </c>
      <c r="Z192" s="9">
        <f t="shared" si="33"/>
        <v>0.14634293370825924</v>
      </c>
      <c r="AB192" s="9">
        <f t="shared" si="34"/>
        <v>0.61403068154357399</v>
      </c>
      <c r="AC192" s="9">
        <f t="shared" si="35"/>
        <v>0.6088470012929168</v>
      </c>
      <c r="AD192" s="9">
        <f t="shared" si="36"/>
        <v>0.63308608138115774</v>
      </c>
      <c r="AE192" s="9">
        <f t="shared" si="37"/>
        <v>0.61392250828123962</v>
      </c>
    </row>
    <row r="193" spans="7:31" x14ac:dyDescent="0.3">
      <c r="G193" s="9">
        <v>188</v>
      </c>
      <c r="H193" s="9">
        <f t="shared" si="38"/>
        <v>4.6899665551839469</v>
      </c>
      <c r="I193" s="9">
        <f t="shared" si="26"/>
        <v>0.19659352469683158</v>
      </c>
      <c r="J193" s="9">
        <f t="shared" si="27"/>
        <v>0.24302891862739365</v>
      </c>
      <c r="K193" s="9">
        <f t="shared" si="28"/>
        <v>0.29582090926055493</v>
      </c>
      <c r="L193" s="9">
        <f t="shared" si="29"/>
        <v>0.16309160443558904</v>
      </c>
      <c r="M193" s="9">
        <f t="shared" si="30"/>
        <v>3.2795080941826815E-2</v>
      </c>
      <c r="X193" s="9">
        <f t="shared" si="31"/>
        <v>0.23766873162735874</v>
      </c>
      <c r="Y193" s="9">
        <f t="shared" si="32"/>
        <v>0.29852254097860736</v>
      </c>
      <c r="Z193" s="9">
        <f t="shared" si="33"/>
        <v>0.14581772421432393</v>
      </c>
      <c r="AB193" s="9">
        <f t="shared" si="34"/>
        <v>0.61871378016246881</v>
      </c>
      <c r="AC193" s="9">
        <f t="shared" si="35"/>
        <v>0.61477147478519567</v>
      </c>
      <c r="AD193" s="9">
        <f t="shared" si="36"/>
        <v>0.63596862650815122</v>
      </c>
      <c r="AE193" s="9">
        <f t="shared" si="37"/>
        <v>0.61871235245444389</v>
      </c>
    </row>
    <row r="194" spans="7:31" x14ac:dyDescent="0.3">
      <c r="G194" s="9">
        <v>189</v>
      </c>
      <c r="H194" s="9">
        <f t="shared" si="38"/>
        <v>4.7096989966555185</v>
      </c>
      <c r="I194" s="9">
        <f t="shared" si="26"/>
        <v>0.19542458180646191</v>
      </c>
      <c r="J194" s="9">
        <f t="shared" si="27"/>
        <v>0.24354079072748125</v>
      </c>
      <c r="K194" s="9">
        <f t="shared" si="28"/>
        <v>0.29475912467423554</v>
      </c>
      <c r="L194" s="9">
        <f t="shared" si="29"/>
        <v>0.16303579803032558</v>
      </c>
      <c r="M194" s="9">
        <f t="shared" si="30"/>
        <v>3.2790962047123451E-2</v>
      </c>
      <c r="X194" s="9">
        <f t="shared" si="31"/>
        <v>0.23826309825021622</v>
      </c>
      <c r="Y194" s="9">
        <f t="shared" si="32"/>
        <v>0.28977170929565249</v>
      </c>
      <c r="Z194" s="9">
        <f t="shared" si="33"/>
        <v>0.1452781714672487</v>
      </c>
      <c r="AB194" s="9">
        <f t="shared" si="34"/>
        <v>0.62340959296428056</v>
      </c>
      <c r="AC194" s="9">
        <f t="shared" si="35"/>
        <v>0.62059003252483003</v>
      </c>
      <c r="AD194" s="9">
        <f t="shared" si="36"/>
        <v>0.63884066645584392</v>
      </c>
      <c r="AE194" s="9">
        <f t="shared" si="37"/>
        <v>0.62351308859970755</v>
      </c>
    </row>
    <row r="195" spans="7:31" x14ac:dyDescent="0.3">
      <c r="G195" s="9">
        <v>190</v>
      </c>
      <c r="H195" s="9">
        <f t="shared" si="38"/>
        <v>4.7294314381270901</v>
      </c>
      <c r="I195" s="9">
        <f t="shared" si="26"/>
        <v>0.19423831844605152</v>
      </c>
      <c r="J195" s="9">
        <f t="shared" si="27"/>
        <v>0.24397235527942657</v>
      </c>
      <c r="K195" s="9">
        <f t="shared" si="28"/>
        <v>0.29459390151504505</v>
      </c>
      <c r="L195" s="9">
        <f t="shared" si="29"/>
        <v>0.16296519150082242</v>
      </c>
      <c r="M195" s="9">
        <f t="shared" si="30"/>
        <v>3.2786756902793292E-2</v>
      </c>
      <c r="X195" s="9">
        <f t="shared" si="31"/>
        <v>0.23875754025692314</v>
      </c>
      <c r="Y195" s="9">
        <f t="shared" si="32"/>
        <v>0.28175512008814507</v>
      </c>
      <c r="Z195" s="9">
        <f t="shared" si="33"/>
        <v>0.14472427546703368</v>
      </c>
      <c r="AB195" s="9">
        <f t="shared" si="34"/>
        <v>0.62811614819237027</v>
      </c>
      <c r="AC195" s="9">
        <f t="shared" si="35"/>
        <v>0.62617739094868829</v>
      </c>
      <c r="AD195" s="9">
        <f t="shared" si="36"/>
        <v>0.64170191819683264</v>
      </c>
      <c r="AE195" s="9">
        <f t="shared" si="37"/>
        <v>0.62832313301245768</v>
      </c>
    </row>
    <row r="196" spans="7:31" x14ac:dyDescent="0.3">
      <c r="G196" s="9">
        <v>191</v>
      </c>
      <c r="H196" s="9">
        <f t="shared" si="38"/>
        <v>4.7491638795986617</v>
      </c>
      <c r="I196" s="9">
        <f t="shared" si="26"/>
        <v>0.19303513527572308</v>
      </c>
      <c r="J196" s="9">
        <f t="shared" si="27"/>
        <v>0.24432358560950848</v>
      </c>
      <c r="K196" s="9">
        <f t="shared" si="28"/>
        <v>0.29501310590455376</v>
      </c>
      <c r="L196" s="9">
        <f t="shared" si="29"/>
        <v>0.16287965592564263</v>
      </c>
      <c r="M196" s="9">
        <f t="shared" si="30"/>
        <v>3.2782465542017414E-2</v>
      </c>
      <c r="X196" s="9">
        <f t="shared" si="31"/>
        <v>0.23915205764747938</v>
      </c>
      <c r="Y196" s="9">
        <f t="shared" si="32"/>
        <v>0.2893785259016603</v>
      </c>
      <c r="Z196" s="9">
        <f t="shared" si="33"/>
        <v>0.14415603621367876</v>
      </c>
      <c r="AB196" s="9">
        <f t="shared" si="34"/>
        <v>0.63283147409009866</v>
      </c>
      <c r="AC196" s="9">
        <f t="shared" si="35"/>
        <v>0.6318220569996652</v>
      </c>
      <c r="AD196" s="9">
        <f t="shared" si="36"/>
        <v>0.64455209870371355</v>
      </c>
      <c r="AE196" s="9">
        <f t="shared" si="37"/>
        <v>0.63314090062707562</v>
      </c>
    </row>
    <row r="197" spans="7:31" x14ac:dyDescent="0.3">
      <c r="G197" s="9">
        <v>192</v>
      </c>
      <c r="H197" s="9">
        <f t="shared" si="38"/>
        <v>4.7688963210702333</v>
      </c>
      <c r="I197" s="9">
        <f t="shared" si="26"/>
        <v>0.19181543682102384</v>
      </c>
      <c r="J197" s="9">
        <f t="shared" si="27"/>
        <v>0.24459453858912367</v>
      </c>
      <c r="K197" s="9">
        <f t="shared" si="28"/>
        <v>0.29581646525619715</v>
      </c>
      <c r="L197" s="9">
        <f t="shared" si="29"/>
        <v>0.16277906955512514</v>
      </c>
      <c r="M197" s="9">
        <f t="shared" si="30"/>
        <v>3.2778087998657023E-2</v>
      </c>
      <c r="X197" s="9">
        <f t="shared" si="31"/>
        <v>0.23946736303363761</v>
      </c>
      <c r="Y197" s="9">
        <f t="shared" si="32"/>
        <v>0.29108147021230629</v>
      </c>
      <c r="Z197" s="9">
        <f t="shared" si="33"/>
        <v>0.14374478772685148</v>
      </c>
      <c r="AB197" s="9">
        <f t="shared" si="34"/>
        <v>0.63755364961677985</v>
      </c>
      <c r="AC197" s="9">
        <f t="shared" si="35"/>
        <v>0.63755873887962655</v>
      </c>
      <c r="AD197" s="9">
        <f t="shared" si="36"/>
        <v>0.64739219140757076</v>
      </c>
      <c r="AE197" s="9">
        <f t="shared" si="37"/>
        <v>0.63796480667806554</v>
      </c>
    </row>
    <row r="198" spans="7:31" x14ac:dyDescent="0.3">
      <c r="G198" s="9">
        <v>193</v>
      </c>
      <c r="H198" s="9">
        <f t="shared" si="38"/>
        <v>4.7886287625418049</v>
      </c>
      <c r="I198" s="9">
        <f t="shared" si="26"/>
        <v>0.19057963124745139</v>
      </c>
      <c r="J198" s="9">
        <f t="shared" si="27"/>
        <v>0.24478535323089221</v>
      </c>
      <c r="K198" s="9">
        <f t="shared" si="28"/>
        <v>0.29691424082345141</v>
      </c>
      <c r="L198" s="9">
        <f t="shared" si="29"/>
        <v>0.16266331790862565</v>
      </c>
      <c r="M198" s="9">
        <f t="shared" si="30"/>
        <v>3.277362430725287E-2</v>
      </c>
      <c r="X198" s="9">
        <f t="shared" si="31"/>
        <v>0.23974486463759312</v>
      </c>
      <c r="Y198" s="9">
        <f t="shared" si="32"/>
        <v>0.29638459376794135</v>
      </c>
      <c r="Z198" s="9">
        <f t="shared" si="33"/>
        <v>0.14337755777175154</v>
      </c>
      <c r="AB198" s="9">
        <f t="shared" si="34"/>
        <v>0.64228182931413258</v>
      </c>
      <c r="AC198" s="9">
        <f t="shared" si="35"/>
        <v>0.64332940274453132</v>
      </c>
      <c r="AD198" s="9">
        <f t="shared" si="36"/>
        <v>0.65022502522620418</v>
      </c>
      <c r="AE198" s="9">
        <f t="shared" si="37"/>
        <v>0.6427932683349995</v>
      </c>
    </row>
    <row r="199" spans="7:31" x14ac:dyDescent="0.3">
      <c r="G199" s="9">
        <v>194</v>
      </c>
      <c r="H199" s="9">
        <f t="shared" si="38"/>
        <v>4.8083612040133765</v>
      </c>
      <c r="I199" s="9">
        <f t="shared" ref="I199:I262" si="39">_xlfn.NORM.DIST($H199, $E$5, $E$6, FALSE)</f>
        <v>0.18932813013412392</v>
      </c>
      <c r="J199" s="9">
        <f t="shared" ref="J199:J262" si="40">EstymacjaGaussowska($H199, $B$6:$B$155)</f>
        <v>0.24489624914218783</v>
      </c>
      <c r="K199" s="9">
        <f t="shared" ref="K199:K262" si="41">EstymacjaGaussowska($H199, $B$6:$B$155, $K$5)</f>
        <v>0.29829941719988656</v>
      </c>
      <c r="L199" s="9">
        <f t="shared" ref="L199:L262" si="42">EstymacjaGaussowska($H199, $B$6:$B$155, $L$5)</f>
        <v>0.16253229386521159</v>
      </c>
      <c r="M199" s="9">
        <f t="shared" ref="M199:M262" si="43">EstymacjaGaussowska($H199, $B$6:$B$155, $M$5)</f>
        <v>3.276907450302486E-2</v>
      </c>
      <c r="X199" s="9">
        <f t="shared" ref="X199:X262" si="44">EstymacjaEpanecznikowa($H199, $B$6:$B$155, $X$5)</f>
        <v>0.23992136716716</v>
      </c>
      <c r="Y199" s="9">
        <f t="shared" ref="Y199:Y262" si="45">EstymacjaEpanecznikowa($H199, $B$6:$B$155, $Y$5)</f>
        <v>0.30047225038881614</v>
      </c>
      <c r="Z199" s="9">
        <f t="shared" ref="Z199:Z262" si="46">EstymacjaEpanecznikowa($H199, $B$6:$B$155, $Z$5)</f>
        <v>0.14299732601884152</v>
      </c>
      <c r="AB199" s="9">
        <f t="shared" ref="AB199:AB262" si="47">EstymacjaDystrybuanty($H199, $B$6:$B$155, $AB$5)</f>
        <v>0.64701448831648145</v>
      </c>
      <c r="AC199" s="9">
        <f t="shared" ref="AC199:AC262" si="48">EstymacjaDystrybuanty($H199, $B$6:$B$155, $AC$5)</f>
        <v>0.64923015023606756</v>
      </c>
      <c r="AD199" s="9">
        <f t="shared" ref="AD199:AD262" si="49">EstymacjaDystrybuanty($H199, $B$6:$B$155, $AD$5)</f>
        <v>0.65305048442263469</v>
      </c>
      <c r="AE199" s="9">
        <f t="shared" ref="AE199:AE262" si="50">EstymacjaGaussowskaDystrybuanta($H199, $B$6:$B$155, $AE$5)</f>
        <v>0.64762470630832358</v>
      </c>
    </row>
    <row r="200" spans="7:31" x14ac:dyDescent="0.3">
      <c r="G200" s="9">
        <v>195</v>
      </c>
      <c r="H200" s="9">
        <f t="shared" ref="H200:H263" si="51">$H199 + $E$9</f>
        <v>4.8280936454849481</v>
      </c>
      <c r="I200" s="9">
        <f t="shared" si="39"/>
        <v>0.18806134824676815</v>
      </c>
      <c r="J200" s="9">
        <f t="shared" si="40"/>
        <v>0.2449275248443859</v>
      </c>
      <c r="K200" s="9">
        <f t="shared" si="41"/>
        <v>0.30001478654804875</v>
      </c>
      <c r="L200" s="9">
        <f t="shared" si="42"/>
        <v>0.16238589774776749</v>
      </c>
      <c r="M200" s="9">
        <f t="shared" si="43"/>
        <v>3.2764438621871665E-2</v>
      </c>
      <c r="X200" s="9">
        <f t="shared" si="44"/>
        <v>0.23999687062233777</v>
      </c>
      <c r="Y200" s="9">
        <f t="shared" si="45"/>
        <v>0.29996551402989224</v>
      </c>
      <c r="Z200" s="9">
        <f t="shared" si="46"/>
        <v>0.1426040924681212</v>
      </c>
      <c r="AB200" s="9">
        <f t="shared" si="47"/>
        <v>0.65174963366550254</v>
      </c>
      <c r="AC200" s="9">
        <f t="shared" si="48"/>
        <v>0.65514548039294196</v>
      </c>
      <c r="AD200" s="9">
        <f t="shared" si="49"/>
        <v>0.65586831243964927</v>
      </c>
      <c r="AE200" s="9">
        <f t="shared" si="50"/>
        <v>0.6524575464233292</v>
      </c>
    </row>
    <row r="201" spans="7:31" x14ac:dyDescent="0.3">
      <c r="G201" s="9">
        <v>196</v>
      </c>
      <c r="H201" s="9">
        <f t="shared" si="51"/>
        <v>4.8478260869565197</v>
      </c>
      <c r="I201" s="9">
        <f t="shared" si="39"/>
        <v>0.18677970331020091</v>
      </c>
      <c r="J201" s="9">
        <f t="shared" si="40"/>
        <v>0.24487955596659056</v>
      </c>
      <c r="K201" s="9">
        <f t="shared" si="41"/>
        <v>0.30213073448299843</v>
      </c>
      <c r="L201" s="9">
        <f t="shared" si="42"/>
        <v>0.16222403740047206</v>
      </c>
      <c r="M201" s="9">
        <f t="shared" si="43"/>
        <v>3.275971670037011E-2</v>
      </c>
      <c r="X201" s="9">
        <f t="shared" si="44"/>
        <v>0.24007202766730687</v>
      </c>
      <c r="Y201" s="9">
        <f t="shared" si="45"/>
        <v>0.30202557491174858</v>
      </c>
      <c r="Z201" s="9">
        <f t="shared" si="46"/>
        <v>0.14219785711959054</v>
      </c>
      <c r="AB201" s="9">
        <f t="shared" si="47"/>
        <v>0.6564858668968252</v>
      </c>
      <c r="AC201" s="9">
        <f t="shared" si="48"/>
        <v>0.66109516545977731</v>
      </c>
      <c r="AD201" s="9">
        <f t="shared" si="49"/>
        <v>0.65867825272003144</v>
      </c>
      <c r="AE201" s="9">
        <f t="shared" si="50"/>
        <v>0.65729022115969471</v>
      </c>
    </row>
    <row r="202" spans="7:31" x14ac:dyDescent="0.3">
      <c r="G202" s="9">
        <v>197</v>
      </c>
      <c r="H202" s="9">
        <f t="shared" si="51"/>
        <v>4.8675585284280913</v>
      </c>
      <c r="I202" s="9">
        <f t="shared" si="39"/>
        <v>0.18548361578047537</v>
      </c>
      <c r="J202" s="9">
        <f t="shared" si="40"/>
        <v>0.24475279332300284</v>
      </c>
      <c r="K202" s="9">
        <f t="shared" si="41"/>
        <v>0.30473800818479024</v>
      </c>
      <c r="L202" s="9">
        <f t="shared" si="42"/>
        <v>0.162046628259614</v>
      </c>
      <c r="M202" s="9">
        <f t="shared" si="43"/>
        <v>3.2754908775774645E-2</v>
      </c>
      <c r="X202" s="9">
        <f t="shared" si="44"/>
        <v>0.24013022779054666</v>
      </c>
      <c r="Y202" s="9">
        <f t="shared" si="45"/>
        <v>0.29781691184939063</v>
      </c>
      <c r="Z202" s="9">
        <f t="shared" si="46"/>
        <v>0.14193442995198127</v>
      </c>
      <c r="AB202" s="9">
        <f t="shared" si="47"/>
        <v>0.66122368911738494</v>
      </c>
      <c r="AC202" s="9">
        <f t="shared" si="48"/>
        <v>0.66702365194322633</v>
      </c>
      <c r="AD202" s="9">
        <f t="shared" si="49"/>
        <v>0.66148109634032382</v>
      </c>
      <c r="AE202" s="9">
        <f t="shared" si="50"/>
        <v>0.66212117115422098</v>
      </c>
    </row>
    <row r="203" spans="7:31" x14ac:dyDescent="0.3">
      <c r="G203" s="9">
        <v>198</v>
      </c>
      <c r="H203" s="9">
        <f t="shared" si="51"/>
        <v>4.8872909698996629</v>
      </c>
      <c r="I203" s="9">
        <f t="shared" si="39"/>
        <v>0.18417350861686638</v>
      </c>
      <c r="J203" s="9">
        <f t="shared" si="40"/>
        <v>0.24454776088345523</v>
      </c>
      <c r="K203" s="9">
        <f t="shared" si="41"/>
        <v>0.30794755683036357</v>
      </c>
      <c r="L203" s="9">
        <f t="shared" si="42"/>
        <v>0.16185359341772396</v>
      </c>
      <c r="M203" s="9">
        <f t="shared" si="43"/>
        <v>3.2750014886017247E-2</v>
      </c>
      <c r="X203" s="9">
        <f t="shared" si="44"/>
        <v>0.24015742615289754</v>
      </c>
      <c r="Y203" s="9">
        <f t="shared" si="45"/>
        <v>0.30435105959621384</v>
      </c>
      <c r="Z203" s="9">
        <f t="shared" si="46"/>
        <v>0.14173179586624102</v>
      </c>
      <c r="AB203" s="9">
        <f t="shared" si="47"/>
        <v>0.66596247744091741</v>
      </c>
      <c r="AC203" s="9">
        <f t="shared" si="48"/>
        <v>0.67290070822325954</v>
      </c>
      <c r="AD203" s="9">
        <f t="shared" si="49"/>
        <v>0.66427982911345285</v>
      </c>
      <c r="AE203" s="9">
        <f t="shared" si="50"/>
        <v>0.66694884666456367</v>
      </c>
    </row>
    <row r="204" spans="7:31" x14ac:dyDescent="0.3">
      <c r="G204" s="9">
        <v>199</v>
      </c>
      <c r="H204" s="9">
        <f t="shared" si="51"/>
        <v>4.9070234113712345</v>
      </c>
      <c r="I204" s="9">
        <f t="shared" si="39"/>
        <v>0.18284980705386519</v>
      </c>
      <c r="J204" s="9">
        <f t="shared" si="40"/>
        <v>0.24426505364690621</v>
      </c>
      <c r="K204" s="9">
        <f t="shared" si="41"/>
        <v>0.31188199115292348</v>
      </c>
      <c r="L204" s="9">
        <f t="shared" si="42"/>
        <v>0.1616448636810037</v>
      </c>
      <c r="M204" s="9">
        <f t="shared" si="43"/>
        <v>3.2745035069706406E-2</v>
      </c>
      <c r="X204" s="9">
        <f t="shared" si="44"/>
        <v>0.24008469989909831</v>
      </c>
      <c r="Y204" s="9">
        <f t="shared" si="45"/>
        <v>0.31624510738114175</v>
      </c>
      <c r="Z204" s="9">
        <f t="shared" si="46"/>
        <v>0.14151750143802003</v>
      </c>
      <c r="AB204" s="9">
        <f t="shared" si="47"/>
        <v>0.67070081657622205</v>
      </c>
      <c r="AC204" s="9">
        <f t="shared" si="48"/>
        <v>0.67903853647562873</v>
      </c>
      <c r="AD204" s="9">
        <f t="shared" si="49"/>
        <v>0.66707444837783114</v>
      </c>
      <c r="AE204" s="9">
        <f t="shared" si="50"/>
        <v>0.67177170899194227</v>
      </c>
    </row>
    <row r="205" spans="7:31" x14ac:dyDescent="0.3">
      <c r="G205" s="9">
        <v>200</v>
      </c>
      <c r="H205" s="9">
        <f t="shared" si="51"/>
        <v>4.9267558528428061</v>
      </c>
      <c r="I205" s="9">
        <f t="shared" si="39"/>
        <v>0.18151293837335405</v>
      </c>
      <c r="J205" s="9">
        <f t="shared" si="40"/>
        <v>0.24390533542791115</v>
      </c>
      <c r="K205" s="9">
        <f t="shared" si="41"/>
        <v>0.31664379611845861</v>
      </c>
      <c r="L205" s="9">
        <f t="shared" si="42"/>
        <v>0.16142037762004466</v>
      </c>
      <c r="M205" s="9">
        <f t="shared" si="43"/>
        <v>3.2739969366126817E-2</v>
      </c>
      <c r="X205" s="9">
        <f t="shared" si="44"/>
        <v>0.23991204902914792</v>
      </c>
      <c r="Y205" s="9">
        <f t="shared" si="45"/>
        <v>0.32225556085930057</v>
      </c>
      <c r="Z205" s="9">
        <f t="shared" si="46"/>
        <v>0.14129154666731852</v>
      </c>
      <c r="AB205" s="9">
        <f t="shared" si="47"/>
        <v>0.67543673476666155</v>
      </c>
      <c r="AC205" s="9">
        <f t="shared" si="48"/>
        <v>0.68532670799243001</v>
      </c>
      <c r="AD205" s="9">
        <f t="shared" si="49"/>
        <v>0.66986472404643371</v>
      </c>
      <c r="AE205" s="9">
        <f t="shared" si="50"/>
        <v>0.6765882318610178</v>
      </c>
    </row>
    <row r="206" spans="7:31" x14ac:dyDescent="0.3">
      <c r="G206" s="9">
        <v>201</v>
      </c>
      <c r="H206" s="9">
        <f t="shared" si="51"/>
        <v>4.9464882943143778</v>
      </c>
      <c r="I206" s="9">
        <f t="shared" si="39"/>
        <v>0.18016333167712983</v>
      </c>
      <c r="J206" s="9">
        <f t="shared" si="40"/>
        <v>0.2434693365662349</v>
      </c>
      <c r="K206" s="9">
        <f t="shared" si="41"/>
        <v>0.32225454353607574</v>
      </c>
      <c r="L206" s="9">
        <f t="shared" si="42"/>
        <v>0.16118008161382993</v>
      </c>
      <c r="M206" s="9">
        <f t="shared" si="43"/>
        <v>3.273481781523916E-2</v>
      </c>
      <c r="X206" s="9">
        <f t="shared" si="44"/>
        <v>0.23963947354304699</v>
      </c>
      <c r="Y206" s="9">
        <f t="shared" si="45"/>
        <v>0.33692095129188265</v>
      </c>
      <c r="Z206" s="9">
        <f t="shared" si="46"/>
        <v>0.14105393155413648</v>
      </c>
      <c r="AB206" s="9">
        <f t="shared" si="47"/>
        <v>0.68016826025559463</v>
      </c>
      <c r="AC206" s="9">
        <f t="shared" si="48"/>
        <v>0.69184231508457983</v>
      </c>
      <c r="AD206" s="9">
        <f t="shared" si="49"/>
        <v>0.67265042603223746</v>
      </c>
      <c r="AE206" s="9">
        <f t="shared" si="50"/>
        <v>0.68139690275530462</v>
      </c>
    </row>
    <row r="207" spans="7:31" x14ac:dyDescent="0.3">
      <c r="G207" s="9">
        <v>202</v>
      </c>
      <c r="H207" s="9">
        <f t="shared" si="51"/>
        <v>4.9662207357859494</v>
      </c>
      <c r="I207" s="9">
        <f t="shared" si="39"/>
        <v>0.17880141765994387</v>
      </c>
      <c r="J207" s="9">
        <f t="shared" si="40"/>
        <v>0.24295785156984853</v>
      </c>
      <c r="K207" s="9">
        <f t="shared" si="41"/>
        <v>0.32857399415338678</v>
      </c>
      <c r="L207" s="9">
        <f t="shared" si="42"/>
        <v>0.16092392988702633</v>
      </c>
      <c r="M207" s="9">
        <f t="shared" si="43"/>
        <v>3.2729580457679049E-2</v>
      </c>
      <c r="X207" s="9">
        <f t="shared" si="44"/>
        <v>0.23926697344079548</v>
      </c>
      <c r="Y207" s="9">
        <f t="shared" si="45"/>
        <v>0.34427283045621465</v>
      </c>
      <c r="Z207" s="9">
        <f t="shared" si="46"/>
        <v>0.14088019800043047</v>
      </c>
      <c r="AB207" s="9">
        <f t="shared" si="47"/>
        <v>0.68489342128638109</v>
      </c>
      <c r="AC207" s="9">
        <f t="shared" si="48"/>
        <v>0.69857514941857235</v>
      </c>
      <c r="AD207" s="9">
        <f t="shared" si="49"/>
        <v>0.67543178171051799</v>
      </c>
      <c r="AE207" s="9">
        <f t="shared" si="50"/>
        <v>0.68619622420672943</v>
      </c>
    </row>
    <row r="208" spans="7:31" x14ac:dyDescent="0.3">
      <c r="G208" s="9">
        <v>203</v>
      </c>
      <c r="H208" s="9">
        <f t="shared" si="51"/>
        <v>4.985953177257521</v>
      </c>
      <c r="I208" s="9">
        <f t="shared" si="39"/>
        <v>0.17742762838322362</v>
      </c>
      <c r="J208" s="9">
        <f t="shared" si="40"/>
        <v>0.24237173670156781</v>
      </c>
      <c r="K208" s="9">
        <f t="shared" si="41"/>
        <v>0.33522258716877623</v>
      </c>
      <c r="L208" s="9">
        <f t="shared" si="42"/>
        <v>0.16065188454057533</v>
      </c>
      <c r="M208" s="9">
        <f t="shared" si="43"/>
        <v>3.2724257334756889E-2</v>
      </c>
      <c r="X208" s="9">
        <f t="shared" si="44"/>
        <v>0.23879454872239286</v>
      </c>
      <c r="Y208" s="9">
        <f t="shared" si="45"/>
        <v>0.34805344386178028</v>
      </c>
      <c r="Z208" s="9">
        <f t="shared" si="46"/>
        <v>0.14074284661659528</v>
      </c>
      <c r="AB208" s="9">
        <f t="shared" si="47"/>
        <v>0.68961024610238197</v>
      </c>
      <c r="AC208" s="9">
        <f t="shared" si="48"/>
        <v>0.70539891569401203</v>
      </c>
      <c r="AD208" s="9">
        <f t="shared" si="49"/>
        <v>0.67821035481914715</v>
      </c>
      <c r="AE208" s="9">
        <f t="shared" si="50"/>
        <v>0.69098471503809833</v>
      </c>
    </row>
    <row r="209" spans="7:31" x14ac:dyDescent="0.3">
      <c r="G209" s="9">
        <v>204</v>
      </c>
      <c r="H209" s="9">
        <f t="shared" si="51"/>
        <v>5.0056856187290926</v>
      </c>
      <c r="I209" s="9">
        <f t="shared" si="39"/>
        <v>0.17604239704964061</v>
      </c>
      <c r="J209" s="9">
        <f t="shared" si="40"/>
        <v>0.24171190751953908</v>
      </c>
      <c r="K209" s="9">
        <f t="shared" si="41"/>
        <v>0.34153908112028014</v>
      </c>
      <c r="L209" s="9">
        <f t="shared" si="42"/>
        <v>0.16036391557560223</v>
      </c>
      <c r="M209" s="9">
        <f t="shared" si="43"/>
        <v>3.2718848488457214E-2</v>
      </c>
      <c r="X209" s="9">
        <f t="shared" si="44"/>
        <v>0.23822219938783959</v>
      </c>
      <c r="Y209" s="9">
        <f t="shared" si="45"/>
        <v>0.34798556219948584</v>
      </c>
      <c r="Z209" s="9">
        <f t="shared" si="46"/>
        <v>0.14059455721238021</v>
      </c>
      <c r="AB209" s="9">
        <f t="shared" si="47"/>
        <v>0.69431676294695766</v>
      </c>
      <c r="AC209" s="9">
        <f t="shared" si="48"/>
        <v>0.71227936163265748</v>
      </c>
      <c r="AD209" s="9">
        <f t="shared" si="49"/>
        <v>0.68098610973271012</v>
      </c>
      <c r="AE209" s="9">
        <f t="shared" si="50"/>
        <v>0.695760911557468</v>
      </c>
    </row>
    <row r="210" spans="7:31" x14ac:dyDescent="0.3">
      <c r="G210" s="9">
        <v>205</v>
      </c>
      <c r="H210" s="9">
        <f t="shared" si="51"/>
        <v>5.0254180602006642</v>
      </c>
      <c r="I210" s="9">
        <f t="shared" si="39"/>
        <v>0.17464615777868553</v>
      </c>
      <c r="J210" s="9">
        <f t="shared" si="40"/>
        <v>0.24097933638165145</v>
      </c>
      <c r="K210" s="9">
        <f t="shared" si="41"/>
        <v>0.3466023309894945</v>
      </c>
      <c r="L210" s="9">
        <f t="shared" si="42"/>
        <v>0.1600600009106658</v>
      </c>
      <c r="M210" s="9">
        <f t="shared" si="43"/>
        <v>3.2713353961438006E-2</v>
      </c>
      <c r="X210" s="9">
        <f t="shared" si="44"/>
        <v>0.23754992543713568</v>
      </c>
      <c r="Y210" s="9">
        <f t="shared" si="45"/>
        <v>0.34136252299068365</v>
      </c>
      <c r="Z210" s="9">
        <f t="shared" si="46"/>
        <v>0.140435329787785</v>
      </c>
      <c r="AB210" s="9">
        <f t="shared" si="47"/>
        <v>0.69901100006346772</v>
      </c>
      <c r="AC210" s="9">
        <f t="shared" si="48"/>
        <v>0.71908075512749225</v>
      </c>
      <c r="AD210" s="9">
        <f t="shared" si="49"/>
        <v>0.68375883061736131</v>
      </c>
      <c r="AE210" s="9">
        <f t="shared" si="50"/>
        <v>0.70052336870362397</v>
      </c>
    </row>
    <row r="211" spans="7:31" x14ac:dyDescent="0.3">
      <c r="G211" s="9">
        <v>206</v>
      </c>
      <c r="H211" s="9">
        <f t="shared" si="51"/>
        <v>5.0451505016722358</v>
      </c>
      <c r="I211" s="9">
        <f t="shared" si="39"/>
        <v>0.17323934538341174</v>
      </c>
      <c r="J211" s="9">
        <f t="shared" si="40"/>
        <v>0.24017504992377459</v>
      </c>
      <c r="K211" s="9">
        <f t="shared" si="41"/>
        <v>0.34933135258195636</v>
      </c>
      <c r="L211" s="9">
        <f t="shared" si="42"/>
        <v>0.15974012639238119</v>
      </c>
      <c r="M211" s="9">
        <f t="shared" si="43"/>
        <v>3.2707773797030361E-2</v>
      </c>
      <c r="X211" s="9">
        <f t="shared" si="44"/>
        <v>0.23685554336143788</v>
      </c>
      <c r="Y211" s="9">
        <f t="shared" si="45"/>
        <v>0.3418849166527031</v>
      </c>
      <c r="Z211" s="9">
        <f t="shared" si="46"/>
        <v>0.14026516434280986</v>
      </c>
      <c r="AB211" s="9">
        <f t="shared" si="47"/>
        <v>0.70369134144331369</v>
      </c>
      <c r="AC211" s="9">
        <f t="shared" si="48"/>
        <v>0.72583270595888816</v>
      </c>
      <c r="AD211" s="9">
        <f t="shared" si="49"/>
        <v>0.68652830163925183</v>
      </c>
      <c r="AE211" s="9">
        <f t="shared" si="50"/>
        <v>0.70527066114202452</v>
      </c>
    </row>
    <row r="212" spans="7:31" x14ac:dyDescent="0.3">
      <c r="G212" s="9">
        <v>207</v>
      </c>
      <c r="H212" s="9">
        <f t="shared" si="51"/>
        <v>5.0648829431438074</v>
      </c>
      <c r="I212" s="9">
        <f t="shared" si="39"/>
        <v>0.17182239514850345</v>
      </c>
      <c r="J212" s="9">
        <f t="shared" si="40"/>
        <v>0.23930012652147617</v>
      </c>
      <c r="K212" s="9">
        <f t="shared" si="41"/>
        <v>0.34865457375620224</v>
      </c>
      <c r="L212" s="9">
        <f t="shared" si="42"/>
        <v>0.15940428579945257</v>
      </c>
      <c r="M212" s="9">
        <f t="shared" si="43"/>
        <v>3.2702108039237898E-2</v>
      </c>
      <c r="X212" s="9">
        <f t="shared" si="44"/>
        <v>0.23615649936401098</v>
      </c>
      <c r="Y212" s="9">
        <f t="shared" si="45"/>
        <v>0.33579032392916303</v>
      </c>
      <c r="Z212" s="9">
        <f t="shared" si="46"/>
        <v>0.14012245484495497</v>
      </c>
      <c r="AB212" s="9">
        <f t="shared" si="47"/>
        <v>0.70835830825510826</v>
      </c>
      <c r="AC212" s="9">
        <f t="shared" si="48"/>
        <v>0.73252968024436005</v>
      </c>
      <c r="AD212" s="9">
        <f t="shared" si="49"/>
        <v>0.68929451381607942</v>
      </c>
      <c r="AE212" s="9">
        <f t="shared" si="50"/>
        <v>0.71000138431081961</v>
      </c>
    </row>
    <row r="213" spans="7:31" x14ac:dyDescent="0.3">
      <c r="G213" s="9">
        <v>208</v>
      </c>
      <c r="H213" s="9">
        <f t="shared" si="51"/>
        <v>5.084615384615379</v>
      </c>
      <c r="I213" s="9">
        <f t="shared" si="39"/>
        <v>0.17039574260982485</v>
      </c>
      <c r="J213" s="9">
        <f t="shared" si="40"/>
        <v>0.23835569374455937</v>
      </c>
      <c r="K213" s="9">
        <f t="shared" si="41"/>
        <v>0.34371499759633356</v>
      </c>
      <c r="L213" s="9">
        <f t="shared" si="42"/>
        <v>0.1590524808401601</v>
      </c>
      <c r="M213" s="9">
        <f t="shared" si="43"/>
        <v>3.2696356732735854E-2</v>
      </c>
      <c r="X213" s="9">
        <f t="shared" si="44"/>
        <v>0.23543899800594228</v>
      </c>
      <c r="Y213" s="9">
        <f t="shared" si="45"/>
        <v>0.32630715065739807</v>
      </c>
      <c r="Z213" s="9">
        <f t="shared" si="46"/>
        <v>0.14000100504111587</v>
      </c>
      <c r="AB213" s="9">
        <f t="shared" si="47"/>
        <v>0.71301133607640965</v>
      </c>
      <c r="AC213" s="9">
        <f t="shared" si="48"/>
        <v>0.73905446382004036</v>
      </c>
      <c r="AD213" s="9">
        <f t="shared" si="49"/>
        <v>0.6920582910120191</v>
      </c>
      <c r="AE213" s="9">
        <f t="shared" si="50"/>
        <v>0.7147141554166917</v>
      </c>
    </row>
    <row r="214" spans="7:31" x14ac:dyDescent="0.3">
      <c r="G214" s="9">
        <v>209</v>
      </c>
      <c r="H214" s="9">
        <f t="shared" si="51"/>
        <v>5.1043478260869506</v>
      </c>
      <c r="I214" s="9">
        <f t="shared" si="39"/>
        <v>0.16895982333560164</v>
      </c>
      <c r="J214" s="9">
        <f t="shared" si="40"/>
        <v>0.23734292581340241</v>
      </c>
      <c r="K214" s="9">
        <f t="shared" si="41"/>
        <v>0.33406174789176496</v>
      </c>
      <c r="L214" s="9">
        <f t="shared" si="42"/>
        <v>0.1586847211433495</v>
      </c>
      <c r="M214" s="9">
        <f t="shared" si="43"/>
        <v>3.2690519922870948E-2</v>
      </c>
      <c r="X214" s="9">
        <f t="shared" si="44"/>
        <v>0.23462264648996123</v>
      </c>
      <c r="Y214" s="9">
        <f t="shared" si="45"/>
        <v>0.31423306889855768</v>
      </c>
      <c r="Z214" s="9">
        <f t="shared" si="46"/>
        <v>0.13986902997238279</v>
      </c>
      <c r="AB214" s="9">
        <f t="shared" si="47"/>
        <v>0.71764923056667818</v>
      </c>
      <c r="AC214" s="9">
        <f t="shared" si="48"/>
        <v>0.74538620113574861</v>
      </c>
      <c r="AD214" s="9">
        <f t="shared" si="49"/>
        <v>0.6948195678622251</v>
      </c>
      <c r="AE214" s="9">
        <f t="shared" si="50"/>
        <v>0.71940761438046419</v>
      </c>
    </row>
    <row r="215" spans="7:31" x14ac:dyDescent="0.3">
      <c r="G215" s="9">
        <v>210</v>
      </c>
      <c r="H215" s="9">
        <f t="shared" si="51"/>
        <v>5.1240802675585222</v>
      </c>
      <c r="I215" s="9">
        <f t="shared" si="39"/>
        <v>0.16751507270938634</v>
      </c>
      <c r="J215" s="9">
        <f t="shared" si="40"/>
        <v>0.23626304106566948</v>
      </c>
      <c r="K215" s="9">
        <f t="shared" si="41"/>
        <v>0.3197769022541862</v>
      </c>
      <c r="L215" s="9">
        <f t="shared" si="42"/>
        <v>0.1583010242429829</v>
      </c>
      <c r="M215" s="9">
        <f t="shared" si="43"/>
        <v>3.2684597655660542E-2</v>
      </c>
      <c r="X215" s="9">
        <f t="shared" si="44"/>
        <v>0.23370744481606739</v>
      </c>
      <c r="Y215" s="9">
        <f t="shared" si="45"/>
        <v>0.29531944694755174</v>
      </c>
      <c r="Z215" s="9">
        <f t="shared" si="46"/>
        <v>0.13972652963875565</v>
      </c>
      <c r="AB215" s="9">
        <f t="shared" si="47"/>
        <v>0.72227004117096083</v>
      </c>
      <c r="AC215" s="9">
        <f t="shared" si="48"/>
        <v>0.75140764278924377</v>
      </c>
      <c r="AD215" s="9">
        <f t="shared" si="49"/>
        <v>0.69757813667752544</v>
      </c>
      <c r="AE215" s="9">
        <f t="shared" si="50"/>
        <v>0.72408042473262713</v>
      </c>
    </row>
    <row r="216" spans="7:31" x14ac:dyDescent="0.3">
      <c r="G216" s="9">
        <v>211</v>
      </c>
      <c r="H216" s="9">
        <f t="shared" si="51"/>
        <v>5.1438127090300938</v>
      </c>
      <c r="I216" s="9">
        <f t="shared" si="39"/>
        <v>0.16606192571495354</v>
      </c>
      <c r="J216" s="9">
        <f t="shared" si="40"/>
        <v>0.23511729944148943</v>
      </c>
      <c r="K216" s="9">
        <f t="shared" si="41"/>
        <v>0.3015013985326454</v>
      </c>
      <c r="L216" s="9">
        <f t="shared" si="42"/>
        <v>0.15790141555631251</v>
      </c>
      <c r="M216" s="9">
        <f t="shared" si="43"/>
        <v>3.2678589977791994E-2</v>
      </c>
      <c r="X216" s="9">
        <f t="shared" si="44"/>
        <v>0.23272659959451195</v>
      </c>
      <c r="Y216" s="9">
        <f t="shared" si="45"/>
        <v>0.28926322212009203</v>
      </c>
      <c r="Z216" s="9">
        <f t="shared" si="46"/>
        <v>0.13957350404023475</v>
      </c>
      <c r="AB216" s="9">
        <f t="shared" si="47"/>
        <v>0.72687194697151036</v>
      </c>
      <c r="AC216" s="9">
        <f t="shared" si="48"/>
        <v>0.75718442719823431</v>
      </c>
      <c r="AD216" s="9">
        <f t="shared" si="49"/>
        <v>0.70033378976874539</v>
      </c>
      <c r="AE216" s="9">
        <f t="shared" si="50"/>
        <v>0.72873127445901675</v>
      </c>
    </row>
    <row r="217" spans="7:31" x14ac:dyDescent="0.3">
      <c r="G217" s="9">
        <v>212</v>
      </c>
      <c r="H217" s="9">
        <f t="shared" si="51"/>
        <v>5.1635451505016654</v>
      </c>
      <c r="I217" s="9">
        <f t="shared" si="39"/>
        <v>0.16460081672326954</v>
      </c>
      <c r="J217" s="9">
        <f t="shared" si="40"/>
        <v>0.23390699999469816</v>
      </c>
      <c r="K217" s="9">
        <f t="shared" si="41"/>
        <v>0.2803507908396356</v>
      </c>
      <c r="L217" s="9">
        <f t="shared" si="42"/>
        <v>0.15748592835574413</v>
      </c>
      <c r="M217" s="9">
        <f t="shared" si="43"/>
        <v>3.2672496936622143E-2</v>
      </c>
      <c r="X217" s="9">
        <f t="shared" si="44"/>
        <v>0.23169829753268203</v>
      </c>
      <c r="Y217" s="9">
        <f t="shared" si="45"/>
        <v>0.27763479823110848</v>
      </c>
      <c r="Z217" s="9">
        <f t="shared" si="46"/>
        <v>0.13940995317681965</v>
      </c>
      <c r="AB217" s="9">
        <f t="shared" si="47"/>
        <v>0.73145422630120127</v>
      </c>
      <c r="AC217" s="9">
        <f t="shared" si="48"/>
        <v>0.76278673095935312</v>
      </c>
      <c r="AD217" s="9">
        <f t="shared" si="49"/>
        <v>0.70308631944671329</v>
      </c>
      <c r="AE217" s="9">
        <f t="shared" si="50"/>
        <v>0.7333588767971384</v>
      </c>
    </row>
    <row r="218" spans="7:31" x14ac:dyDescent="0.3">
      <c r="G218" s="9">
        <v>213</v>
      </c>
      <c r="H218" s="9">
        <f t="shared" si="51"/>
        <v>5.183277591973237</v>
      </c>
      <c r="I218" s="9">
        <f t="shared" si="39"/>
        <v>0.16313217928167834</v>
      </c>
      <c r="J218" s="9">
        <f t="shared" si="40"/>
        <v>0.23263347843718879</v>
      </c>
      <c r="K218" s="9">
        <f t="shared" si="41"/>
        <v>0.25774175862994331</v>
      </c>
      <c r="L218" s="9">
        <f t="shared" si="42"/>
        <v>0.15705460373446534</v>
      </c>
      <c r="M218" s="9">
        <f t="shared" si="43"/>
        <v>3.266631858017674E-2</v>
      </c>
      <c r="X218" s="9">
        <f t="shared" si="44"/>
        <v>0.23073459763207391</v>
      </c>
      <c r="Y218" s="9">
        <f t="shared" si="45"/>
        <v>0.26314553995250206</v>
      </c>
      <c r="Z218" s="9">
        <f t="shared" si="46"/>
        <v>0.13923587704851068</v>
      </c>
      <c r="AB218" s="9">
        <f t="shared" si="47"/>
        <v>0.73601681831753973</v>
      </c>
      <c r="AC218" s="9">
        <f t="shared" si="48"/>
        <v>0.76811398266590347</v>
      </c>
      <c r="AD218" s="9">
        <f t="shared" si="49"/>
        <v>0.70583551802225319</v>
      </c>
      <c r="AE218" s="9">
        <f t="shared" si="50"/>
        <v>0.73796197098368355</v>
      </c>
    </row>
    <row r="219" spans="7:31" x14ac:dyDescent="0.3">
      <c r="G219" s="9">
        <v>214</v>
      </c>
      <c r="H219" s="9">
        <f t="shared" si="51"/>
        <v>5.2030100334448086</v>
      </c>
      <c r="I219" s="9">
        <f t="shared" si="39"/>
        <v>0.16165644590544109</v>
      </c>
      <c r="J219" s="9">
        <f t="shared" si="40"/>
        <v>0.23129810472283308</v>
      </c>
      <c r="K219" s="9">
        <f t="shared" si="41"/>
        <v>0.23517339976882956</v>
      </c>
      <c r="L219" s="9">
        <f t="shared" si="42"/>
        <v>0.15660749056591894</v>
      </c>
      <c r="M219" s="9">
        <f t="shared" si="43"/>
        <v>3.2660054957149617E-2</v>
      </c>
      <c r="X219" s="9">
        <f t="shared" si="44"/>
        <v>0.22967484490283191</v>
      </c>
      <c r="Y219" s="9">
        <f t="shared" si="45"/>
        <v>0.24767442370223486</v>
      </c>
      <c r="Z219" s="9">
        <f t="shared" si="46"/>
        <v>0.13905127565530764</v>
      </c>
      <c r="AB219" s="9">
        <f t="shared" si="47"/>
        <v>0.740559483819483</v>
      </c>
      <c r="AC219" s="9">
        <f t="shared" si="48"/>
        <v>0.77316415328592791</v>
      </c>
      <c r="AD219" s="9">
        <f t="shared" si="49"/>
        <v>0.70858117780619378</v>
      </c>
      <c r="AE219" s="9">
        <f t="shared" si="50"/>
        <v>0.74253932295397851</v>
      </c>
    </row>
    <row r="220" spans="7:31" x14ac:dyDescent="0.3">
      <c r="G220" s="9">
        <v>215</v>
      </c>
      <c r="H220" s="9">
        <f t="shared" si="51"/>
        <v>5.2227424749163802</v>
      </c>
      <c r="I220" s="9">
        <f t="shared" si="39"/>
        <v>0.16017404787176465</v>
      </c>
      <c r="J220" s="9">
        <f t="shared" si="40"/>
        <v>0.22990228067682131</v>
      </c>
      <c r="K220" s="9">
        <f t="shared" si="41"/>
        <v>0.21401615121951878</v>
      </c>
      <c r="L220" s="9">
        <f t="shared" si="42"/>
        <v>0.15614464545720511</v>
      </c>
      <c r="M220" s="9">
        <f t="shared" si="43"/>
        <v>3.2653706116902374E-2</v>
      </c>
      <c r="X220" s="9">
        <f t="shared" si="44"/>
        <v>0.22851516755743903</v>
      </c>
      <c r="Y220" s="9">
        <f t="shared" si="45"/>
        <v>0.22593458350775336</v>
      </c>
      <c r="Z220" s="9">
        <f t="shared" si="46"/>
        <v>0.13885614899721069</v>
      </c>
      <c r="AB220" s="9">
        <f t="shared" si="47"/>
        <v>0.74508025193440108</v>
      </c>
      <c r="AC220" s="9">
        <f t="shared" si="48"/>
        <v>0.77784719239587863</v>
      </c>
      <c r="AD220" s="9">
        <f t="shared" si="49"/>
        <v>0.71132309110936087</v>
      </c>
      <c r="AE220" s="9">
        <f t="shared" si="50"/>
        <v>0.74708972599418677</v>
      </c>
    </row>
    <row r="221" spans="7:31" x14ac:dyDescent="0.3">
      <c r="G221" s="9">
        <v>216</v>
      </c>
      <c r="H221" s="9">
        <f t="shared" si="51"/>
        <v>5.2424749163879518</v>
      </c>
      <c r="I221" s="9">
        <f t="shared" si="39"/>
        <v>0.15868541501645037</v>
      </c>
      <c r="J221" s="9">
        <f t="shared" si="40"/>
        <v>0.22844743767564593</v>
      </c>
      <c r="K221" s="9">
        <f t="shared" si="41"/>
        <v>0.1953538790169031</v>
      </c>
      <c r="L221" s="9">
        <f t="shared" si="42"/>
        <v>0.15566613269650267</v>
      </c>
      <c r="M221" s="9">
        <f t="shared" si="43"/>
        <v>3.264727210946327E-2</v>
      </c>
      <c r="X221" s="9">
        <f t="shared" si="44"/>
        <v>0.2272830755094371</v>
      </c>
      <c r="Y221" s="9">
        <f t="shared" si="45"/>
        <v>0.21365735699534391</v>
      </c>
      <c r="Z221" s="9">
        <f t="shared" si="46"/>
        <v>0.1386504970742197</v>
      </c>
      <c r="AB221" s="9">
        <f t="shared" si="47"/>
        <v>0.74957723993035763</v>
      </c>
      <c r="AC221" s="9">
        <f t="shared" si="48"/>
        <v>0.78218581046910574</v>
      </c>
      <c r="AD221" s="9">
        <f t="shared" si="49"/>
        <v>0.7140610502425796</v>
      </c>
      <c r="AE221" s="9">
        <f t="shared" si="50"/>
        <v>0.75161200134724127</v>
      </c>
    </row>
    <row r="222" spans="7:31" x14ac:dyDescent="0.3">
      <c r="G222" s="9">
        <v>217</v>
      </c>
      <c r="H222" s="9">
        <f t="shared" si="51"/>
        <v>5.2622073578595234</v>
      </c>
      <c r="I222" s="9">
        <f t="shared" si="39"/>
        <v>0.15719097553329103</v>
      </c>
      <c r="J222" s="9">
        <f t="shared" si="40"/>
        <v>0.22693503438228996</v>
      </c>
      <c r="K222" s="9">
        <f t="shared" si="41"/>
        <v>0.17990523466949052</v>
      </c>
      <c r="L222" s="9">
        <f t="shared" si="42"/>
        <v>0.15517202419460757</v>
      </c>
      <c r="M222" s="9">
        <f t="shared" si="43"/>
        <v>3.2640752985527044E-2</v>
      </c>
      <c r="X222" s="9">
        <f t="shared" si="44"/>
        <v>0.22600807601500558</v>
      </c>
      <c r="Y222" s="9">
        <f t="shared" si="45"/>
        <v>0.19719457820022898</v>
      </c>
      <c r="Z222" s="9">
        <f t="shared" si="46"/>
        <v>0.13844874688223863</v>
      </c>
      <c r="AB222" s="9">
        <f t="shared" si="47"/>
        <v>0.75404967303512149</v>
      </c>
      <c r="AC222" s="9">
        <f t="shared" si="48"/>
        <v>0.78624738376441772</v>
      </c>
      <c r="AD222" s="9">
        <f t="shared" si="49"/>
        <v>0.71679490596138362</v>
      </c>
      <c r="AE222" s="9">
        <f t="shared" si="50"/>
        <v>0.75610499877352089</v>
      </c>
    </row>
    <row r="223" spans="7:31" x14ac:dyDescent="0.3">
      <c r="G223" s="9">
        <v>218</v>
      </c>
      <c r="H223" s="9">
        <f t="shared" si="51"/>
        <v>5.281939799331095</v>
      </c>
      <c r="I223" s="9">
        <f t="shared" si="39"/>
        <v>0.15569115577634107</v>
      </c>
      <c r="J223" s="9">
        <f t="shared" si="40"/>
        <v>0.22536655454052443</v>
      </c>
      <c r="K223" s="9">
        <f t="shared" si="41"/>
        <v>0.16802641783640979</v>
      </c>
      <c r="L223" s="9">
        <f t="shared" si="42"/>
        <v>0.15466239942068408</v>
      </c>
      <c r="M223" s="9">
        <f t="shared" si="43"/>
        <v>3.2634148796453877E-2</v>
      </c>
      <c r="X223" s="9">
        <f t="shared" si="44"/>
        <v>0.22463422636266167</v>
      </c>
      <c r="Y223" s="9">
        <f t="shared" si="45"/>
        <v>0.17914280824605536</v>
      </c>
      <c r="Z223" s="9">
        <f t="shared" si="46"/>
        <v>0.13825731228698498</v>
      </c>
      <c r="AB223" s="9">
        <f t="shared" si="47"/>
        <v>0.75849597200950969</v>
      </c>
      <c r="AC223" s="9">
        <f t="shared" si="48"/>
        <v>0.78994515487241046</v>
      </c>
      <c r="AD223" s="9">
        <f t="shared" si="49"/>
        <v>0.71952496598814686</v>
      </c>
      <c r="AE223" s="9">
        <f t="shared" si="50"/>
        <v>0.76056759706740762</v>
      </c>
    </row>
    <row r="224" spans="7:31" x14ac:dyDescent="0.3">
      <c r="G224" s="9">
        <v>219</v>
      </c>
      <c r="H224" s="9">
        <f t="shared" si="51"/>
        <v>5.3016722408026666</v>
      </c>
      <c r="I224" s="9">
        <f t="shared" si="39"/>
        <v>0.15418638006517985</v>
      </c>
      <c r="J224" s="9">
        <f t="shared" si="40"/>
        <v>0.22374350483155514</v>
      </c>
      <c r="K224" s="9">
        <f t="shared" si="41"/>
        <v>0.15977698753431352</v>
      </c>
      <c r="L224" s="9">
        <f t="shared" si="42"/>
        <v>0.15413734533234022</v>
      </c>
      <c r="M224" s="9">
        <f t="shared" si="43"/>
        <v>3.2627459594269041E-2</v>
      </c>
      <c r="X224" s="9">
        <f t="shared" si="44"/>
        <v>0.22316152655240515</v>
      </c>
      <c r="Y224" s="9">
        <f t="shared" si="45"/>
        <v>0.1639520727748377</v>
      </c>
      <c r="Z224" s="9">
        <f t="shared" si="46"/>
        <v>0.13805555880458045</v>
      </c>
      <c r="AB224" s="9">
        <f t="shared" si="47"/>
        <v>0.762914186298562</v>
      </c>
      <c r="AC224" s="9">
        <f t="shared" si="48"/>
        <v>0.79333994013188847</v>
      </c>
      <c r="AD224" s="9">
        <f t="shared" si="49"/>
        <v>0.72225114673454482</v>
      </c>
      <c r="AE224" s="9">
        <f t="shared" si="50"/>
        <v>0.76499870453095398</v>
      </c>
    </row>
    <row r="225" spans="7:31" x14ac:dyDescent="0.3">
      <c r="G225" s="9">
        <v>220</v>
      </c>
      <c r="H225" s="9">
        <f t="shared" si="51"/>
        <v>5.3214046822742382</v>
      </c>
      <c r="I225" s="9">
        <f t="shared" si="39"/>
        <v>0.15267707049328619</v>
      </c>
      <c r="J225" s="9">
        <f t="shared" si="40"/>
        <v>0.22206741279558331</v>
      </c>
      <c r="K225" s="9">
        <f t="shared" si="41"/>
        <v>0.1550187091557331</v>
      </c>
      <c r="L225" s="9">
        <f t="shared" si="42"/>
        <v>0.15359695630013201</v>
      </c>
      <c r="M225" s="9">
        <f t="shared" si="43"/>
        <v>3.2620685431661918E-2</v>
      </c>
      <c r="X225" s="9">
        <f t="shared" si="44"/>
        <v>0.22158997658423593</v>
      </c>
      <c r="Y225" s="9">
        <f t="shared" si="45"/>
        <v>0.14284087580075089</v>
      </c>
      <c r="Z225" s="9">
        <f t="shared" si="46"/>
        <v>0.1378434864350247</v>
      </c>
      <c r="AB225" s="9">
        <f t="shared" si="47"/>
        <v>0.76730236534732754</v>
      </c>
      <c r="AC225" s="9">
        <f t="shared" si="48"/>
        <v>0.79637656251272471</v>
      </c>
      <c r="AD225" s="9">
        <f t="shared" si="49"/>
        <v>0.72497324458374113</v>
      </c>
      <c r="AE225" s="9">
        <f t="shared" si="50"/>
        <v>0.76939725940587189</v>
      </c>
    </row>
    <row r="226" spans="7:31" x14ac:dyDescent="0.3">
      <c r="G226" s="9">
        <v>221</v>
      </c>
      <c r="H226" s="9">
        <f t="shared" si="51"/>
        <v>5.3411371237458098</v>
      </c>
      <c r="I226" s="9">
        <f t="shared" si="39"/>
        <v>0.15116364673963667</v>
      </c>
      <c r="J226" s="9">
        <f t="shared" si="40"/>
        <v>0.22033982482019393</v>
      </c>
      <c r="K226" s="9">
        <f t="shared" si="41"/>
        <v>0.15351602812912063</v>
      </c>
      <c r="L226" s="9">
        <f t="shared" si="42"/>
        <v>0.1530413340266133</v>
      </c>
      <c r="M226" s="9">
        <f t="shared" si="43"/>
        <v>3.2613826361985475E-2</v>
      </c>
      <c r="X226" s="9">
        <f t="shared" si="44"/>
        <v>0.21994139461360604</v>
      </c>
      <c r="Y226" s="9">
        <f t="shared" si="45"/>
        <v>0.14495721293173411</v>
      </c>
      <c r="Z226" s="9">
        <f t="shared" si="46"/>
        <v>0.13762109517831825</v>
      </c>
      <c r="AB226" s="9">
        <f t="shared" si="47"/>
        <v>0.77165861463073471</v>
      </c>
      <c r="AC226" s="9">
        <f t="shared" si="48"/>
        <v>0.79919047143108035</v>
      </c>
      <c r="AD226" s="9">
        <f t="shared" si="49"/>
        <v>0.72769105591889927</v>
      </c>
      <c r="AE226" s="9">
        <f t="shared" si="50"/>
        <v>0.77376223026517688</v>
      </c>
    </row>
    <row r="227" spans="7:31" x14ac:dyDescent="0.3">
      <c r="G227" s="9">
        <v>222</v>
      </c>
      <c r="H227" s="9">
        <f t="shared" si="51"/>
        <v>5.3608695652173814</v>
      </c>
      <c r="I227" s="9">
        <f t="shared" si="39"/>
        <v>0.14964652588363728</v>
      </c>
      <c r="J227" s="9">
        <f t="shared" si="40"/>
        <v>0.21856230419683123</v>
      </c>
      <c r="K227" s="9">
        <f t="shared" si="41"/>
        <v>0.15501351771952568</v>
      </c>
      <c r="L227" s="9">
        <f t="shared" si="42"/>
        <v>0.15247058746005185</v>
      </c>
      <c r="M227" s="9">
        <f t="shared" si="43"/>
        <v>3.2606882439255504E-2</v>
      </c>
      <c r="X227" s="9">
        <f t="shared" si="44"/>
        <v>0.21825659856824817</v>
      </c>
      <c r="Y227" s="9">
        <f t="shared" si="45"/>
        <v>0.14744522342371913</v>
      </c>
      <c r="Z227" s="9">
        <f t="shared" si="46"/>
        <v>0.13738838503446071</v>
      </c>
      <c r="AB227" s="9">
        <f t="shared" si="47"/>
        <v>0.77598213353688539</v>
      </c>
      <c r="AC227" s="9">
        <f t="shared" si="48"/>
        <v>0.80208053246302502</v>
      </c>
      <c r="AD227" s="9">
        <f t="shared" si="49"/>
        <v>0.73040437712318196</v>
      </c>
      <c r="AE227" s="9">
        <f t="shared" si="50"/>
        <v>0.77809261636580207</v>
      </c>
    </row>
    <row r="228" spans="7:31" x14ac:dyDescent="0.3">
      <c r="G228" s="9">
        <v>223</v>
      </c>
      <c r="H228" s="9">
        <f t="shared" si="51"/>
        <v>5.3806020066889531</v>
      </c>
      <c r="I228" s="9">
        <f t="shared" si="39"/>
        <v>0.14812612222349394</v>
      </c>
      <c r="J228" s="9">
        <f t="shared" si="40"/>
        <v>0.2167364292459944</v>
      </c>
      <c r="K228" s="9">
        <f t="shared" si="41"/>
        <v>0.15927661029619136</v>
      </c>
      <c r="L228" s="9">
        <f t="shared" si="42"/>
        <v>0.15188483270292991</v>
      </c>
      <c r="M228" s="9">
        <f t="shared" si="43"/>
        <v>3.2599853718150003E-2</v>
      </c>
      <c r="X228" s="9">
        <f t="shared" si="44"/>
        <v>0.21654400755844883</v>
      </c>
      <c r="Y228" s="9">
        <f t="shared" si="45"/>
        <v>0.15180190552713957</v>
      </c>
      <c r="Z228" s="9">
        <f t="shared" si="46"/>
        <v>0.13714535600345226</v>
      </c>
      <c r="AB228" s="9">
        <f t="shared" si="47"/>
        <v>0.78027202452573852</v>
      </c>
      <c r="AC228" s="9">
        <f t="shared" si="48"/>
        <v>0.80499932544624697</v>
      </c>
      <c r="AD228" s="9">
        <f t="shared" si="49"/>
        <v>0.73311300457975181</v>
      </c>
      <c r="AE228" s="9">
        <f t="shared" si="50"/>
        <v>0.78238744796354531</v>
      </c>
    </row>
    <row r="229" spans="7:31" x14ac:dyDescent="0.3">
      <c r="G229" s="9">
        <v>224</v>
      </c>
      <c r="H229" s="9">
        <f t="shared" si="51"/>
        <v>5.4003344481605247</v>
      </c>
      <c r="I229" s="9">
        <f t="shared" si="39"/>
        <v>0.1466028470981233</v>
      </c>
      <c r="J229" s="9">
        <f t="shared" si="40"/>
        <v>0.21486379151118298</v>
      </c>
      <c r="K229" s="9">
        <f t="shared" si="41"/>
        <v>0.16609321256067103</v>
      </c>
      <c r="L229" s="9">
        <f t="shared" si="42"/>
        <v>0.15128419291536019</v>
      </c>
      <c r="M229" s="9">
        <f t="shared" si="43"/>
        <v>3.2592740254008344E-2</v>
      </c>
      <c r="X229" s="9">
        <f t="shared" si="44"/>
        <v>0.21474585616896308</v>
      </c>
      <c r="Y229" s="9">
        <f t="shared" si="45"/>
        <v>0.17020964151587376</v>
      </c>
      <c r="Z229" s="9">
        <f t="shared" si="46"/>
        <v>0.13689200808529264</v>
      </c>
      <c r="AB229" s="9">
        <f t="shared" si="47"/>
        <v>0.7845273880686271</v>
      </c>
      <c r="AC229" s="9">
        <f t="shared" si="48"/>
        <v>0.80818495253414613</v>
      </c>
      <c r="AD229" s="9">
        <f t="shared" si="49"/>
        <v>0.73581673467177533</v>
      </c>
      <c r="AE229" s="9">
        <f t="shared" si="50"/>
        <v>0.7866457865916946</v>
      </c>
    </row>
    <row r="230" spans="7:31" x14ac:dyDescent="0.3">
      <c r="G230" s="9">
        <v>225</v>
      </c>
      <c r="H230" s="9">
        <f t="shared" si="51"/>
        <v>5.4200668896320963</v>
      </c>
      <c r="I230" s="9">
        <f t="shared" si="39"/>
        <v>0.14507710871270088</v>
      </c>
      <c r="J230" s="9">
        <f t="shared" si="40"/>
        <v>0.21294599402104206</v>
      </c>
      <c r="K230" s="9">
        <f t="shared" si="41"/>
        <v>0.17524291012081861</v>
      </c>
      <c r="L230" s="9">
        <f t="shared" si="42"/>
        <v>0.15066879821354609</v>
      </c>
      <c r="M230" s="9">
        <f t="shared" si="43"/>
        <v>3.2585542102830579E-2</v>
      </c>
      <c r="X230" s="9">
        <f t="shared" si="44"/>
        <v>0.212848854621565</v>
      </c>
      <c r="Y230" s="9">
        <f t="shared" si="45"/>
        <v>0.18339344088442933</v>
      </c>
      <c r="Z230" s="9">
        <f t="shared" si="46"/>
        <v>0.13662834127998225</v>
      </c>
      <c r="AB230" s="9">
        <f t="shared" si="47"/>
        <v>0.78874629441698685</v>
      </c>
      <c r="AC230" s="9">
        <f t="shared" si="48"/>
        <v>0.81168226868326243</v>
      </c>
      <c r="AD230" s="9">
        <f t="shared" si="49"/>
        <v>0.73851536378241145</v>
      </c>
      <c r="AE230" s="9">
        <f t="shared" si="50"/>
        <v>0.79086672530469482</v>
      </c>
    </row>
    <row r="231" spans="7:31" x14ac:dyDescent="0.3">
      <c r="G231" s="9">
        <v>226</v>
      </c>
      <c r="H231" s="9">
        <f t="shared" si="51"/>
        <v>5.4397993311036679</v>
      </c>
      <c r="I231" s="9">
        <f t="shared" si="39"/>
        <v>0.14354931196793994</v>
      </c>
      <c r="J231" s="9">
        <f t="shared" si="40"/>
        <v>0.21098464961861463</v>
      </c>
      <c r="K231" s="9">
        <f t="shared" si="41"/>
        <v>0.1864465145548449</v>
      </c>
      <c r="L231" s="9">
        <f t="shared" si="42"/>
        <v>0.15003878556342107</v>
      </c>
      <c r="M231" s="9">
        <f t="shared" si="43"/>
        <v>3.257825932127674E-2</v>
      </c>
      <c r="X231" s="9">
        <f t="shared" si="44"/>
        <v>0.21090139692419438</v>
      </c>
      <c r="Y231" s="9">
        <f t="shared" si="45"/>
        <v>0.19806483411691658</v>
      </c>
      <c r="Z231" s="9">
        <f t="shared" si="46"/>
        <v>0.13635435558752085</v>
      </c>
      <c r="AB231" s="9">
        <f t="shared" si="47"/>
        <v>0.79292688495435071</v>
      </c>
      <c r="AC231" s="9">
        <f t="shared" si="48"/>
        <v>0.81544189830615399</v>
      </c>
      <c r="AD231" s="9">
        <f t="shared" si="49"/>
        <v>0.74120868829482656</v>
      </c>
      <c r="AE231" s="9">
        <f t="shared" si="50"/>
        <v>0.79504938888818255</v>
      </c>
    </row>
    <row r="232" spans="7:31" x14ac:dyDescent="0.3">
      <c r="G232" s="9">
        <v>227</v>
      </c>
      <c r="H232" s="9">
        <f t="shared" si="51"/>
        <v>5.4595317725752395</v>
      </c>
      <c r="I232" s="9">
        <f t="shared" si="39"/>
        <v>0.14201985829318986</v>
      </c>
      <c r="J232" s="9">
        <f t="shared" si="40"/>
        <v>0.208981379356111</v>
      </c>
      <c r="K232" s="9">
        <f t="shared" si="41"/>
        <v>0.1993119136814589</v>
      </c>
      <c r="L232" s="9">
        <f t="shared" si="42"/>
        <v>0.1493942986696031</v>
      </c>
      <c r="M232" s="9">
        <f t="shared" si="43"/>
        <v>3.2570891966666134E-2</v>
      </c>
      <c r="X232" s="9">
        <f t="shared" si="44"/>
        <v>0.209059839243002</v>
      </c>
      <c r="Y232" s="9">
        <f t="shared" si="45"/>
        <v>0.2096135708371222</v>
      </c>
      <c r="Z232" s="9">
        <f t="shared" si="46"/>
        <v>0.13607005100790839</v>
      </c>
      <c r="AB232" s="9">
        <f t="shared" si="47"/>
        <v>0.79707047245667473</v>
      </c>
      <c r="AC232" s="9">
        <f t="shared" si="48"/>
        <v>0.8194715881792376</v>
      </c>
      <c r="AD232" s="9">
        <f t="shared" si="49"/>
        <v>0.74389650459218193</v>
      </c>
      <c r="AE232" s="9">
        <f t="shared" si="50"/>
        <v>0.79919293403670544</v>
      </c>
    </row>
    <row r="233" spans="7:31" x14ac:dyDescent="0.3">
      <c r="G233" s="9">
        <v>228</v>
      </c>
      <c r="H233" s="9">
        <f t="shared" si="51"/>
        <v>5.4792642140468111</v>
      </c>
      <c r="I233" s="9">
        <f t="shared" si="39"/>
        <v>0.14048914548343888</v>
      </c>
      <c r="J233" s="9">
        <f t="shared" si="40"/>
        <v>0.2069378109531336</v>
      </c>
      <c r="K233" s="9">
        <f t="shared" si="41"/>
        <v>0.2132929741729985</v>
      </c>
      <c r="L233" s="9">
        <f t="shared" si="42"/>
        <v>0.14873548785980664</v>
      </c>
      <c r="M233" s="9">
        <f t="shared" si="43"/>
        <v>3.2563440096976488E-2</v>
      </c>
      <c r="X233" s="9">
        <f t="shared" si="44"/>
        <v>0.20712265477861164</v>
      </c>
      <c r="Y233" s="9">
        <f t="shared" si="45"/>
        <v>0.21834644414368029</v>
      </c>
      <c r="Z233" s="9">
        <f t="shared" si="46"/>
        <v>0.13577542754114499</v>
      </c>
      <c r="AB233" s="9">
        <f t="shared" si="47"/>
        <v>0.80117677805488752</v>
      </c>
      <c r="AC233" s="9">
        <f t="shared" si="48"/>
        <v>0.82368695660950997</v>
      </c>
      <c r="AD233" s="9">
        <f t="shared" si="49"/>
        <v>0.74657860905764184</v>
      </c>
      <c r="AE233" s="9">
        <f t="shared" si="50"/>
        <v>0.80329654950040019</v>
      </c>
    </row>
    <row r="234" spans="7:31" x14ac:dyDescent="0.3">
      <c r="G234" s="9">
        <v>229</v>
      </c>
      <c r="H234" s="9">
        <f t="shared" si="51"/>
        <v>5.4989966555183827</v>
      </c>
      <c r="I234" s="9">
        <f t="shared" si="39"/>
        <v>0.13895756754030139</v>
      </c>
      <c r="J234" s="9">
        <f t="shared" si="40"/>
        <v>0.20485557731588594</v>
      </c>
      <c r="K234" s="9">
        <f t="shared" si="41"/>
        <v>0.22767660646201149</v>
      </c>
      <c r="L234" s="9">
        <f t="shared" si="42"/>
        <v>0.14806250996485615</v>
      </c>
      <c r="M234" s="9">
        <f t="shared" si="43"/>
        <v>3.2555903770843157E-2</v>
      </c>
      <c r="X234" s="9">
        <f t="shared" si="44"/>
        <v>0.20508984353102311</v>
      </c>
      <c r="Y234" s="9">
        <f t="shared" si="45"/>
        <v>0.23200541514830905</v>
      </c>
      <c r="Z234" s="9">
        <f t="shared" si="46"/>
        <v>0.13547048518723084</v>
      </c>
      <c r="AB234" s="9">
        <f t="shared" si="47"/>
        <v>0.80524391479908497</v>
      </c>
      <c r="AC234" s="9">
        <f t="shared" si="48"/>
        <v>0.82813939021971017</v>
      </c>
      <c r="AD234" s="9">
        <f t="shared" si="49"/>
        <v>0.74925479807436934</v>
      </c>
      <c r="AE234" s="9">
        <f t="shared" si="50"/>
        <v>0.80735945620183402</v>
      </c>
    </row>
    <row r="235" spans="7:31" x14ac:dyDescent="0.3">
      <c r="G235" s="9">
        <v>230</v>
      </c>
      <c r="H235" s="9">
        <f t="shared" si="51"/>
        <v>5.5187290969899543</v>
      </c>
      <c r="I235" s="9">
        <f t="shared" si="39"/>
        <v>0.13742551451706631</v>
      </c>
      <c r="J235" s="9">
        <f t="shared" si="40"/>
        <v>0.20273631511452833</v>
      </c>
      <c r="K235" s="9">
        <f t="shared" si="41"/>
        <v>0.24160858252712988</v>
      </c>
      <c r="L235" s="9">
        <f t="shared" si="42"/>
        <v>0.14737552819444569</v>
      </c>
      <c r="M235" s="9">
        <f t="shared" si="43"/>
        <v>3.25482830475586E-2</v>
      </c>
      <c r="X235" s="9">
        <f t="shared" si="44"/>
        <v>0.20296140550023675</v>
      </c>
      <c r="Y235" s="9">
        <f t="shared" si="45"/>
        <v>0.24009218709141411</v>
      </c>
      <c r="Z235" s="9">
        <f t="shared" si="46"/>
        <v>0.13515522394616539</v>
      </c>
      <c r="AB235" s="9">
        <f t="shared" si="47"/>
        <v>0.80926999573936487</v>
      </c>
      <c r="AC235" s="9">
        <f t="shared" si="48"/>
        <v>0.8328063721298965</v>
      </c>
      <c r="AD235" s="9">
        <f t="shared" si="49"/>
        <v>0.75192486802552827</v>
      </c>
      <c r="AE235" s="9">
        <f t="shared" si="50"/>
        <v>0.81138090732423851</v>
      </c>
    </row>
    <row r="236" spans="7:31" x14ac:dyDescent="0.3">
      <c r="G236" s="9">
        <v>231</v>
      </c>
      <c r="H236" s="9">
        <f t="shared" si="51"/>
        <v>5.5384615384615259</v>
      </c>
      <c r="I236" s="9">
        <f t="shared" si="39"/>
        <v>0.13589337236787774</v>
      </c>
      <c r="J236" s="9">
        <f t="shared" si="40"/>
        <v>0.20058166341552236</v>
      </c>
      <c r="K236" s="9">
        <f t="shared" si="41"/>
        <v>0.25416100139996994</v>
      </c>
      <c r="L236" s="9">
        <f t="shared" si="42"/>
        <v>0.14667471200879517</v>
      </c>
      <c r="M236" s="9">
        <f t="shared" si="43"/>
        <v>3.2540577987071252E-2</v>
      </c>
      <c r="X236" s="9">
        <f t="shared" si="44"/>
        <v>0.20078958796188881</v>
      </c>
      <c r="Y236" s="9">
        <f t="shared" si="45"/>
        <v>0.2487460235325159</v>
      </c>
      <c r="Z236" s="9">
        <f t="shared" si="46"/>
        <v>0.13482964381794918</v>
      </c>
      <c r="AB236" s="9">
        <f t="shared" si="47"/>
        <v>0.81325319826042419</v>
      </c>
      <c r="AC236" s="9">
        <f t="shared" si="48"/>
        <v>0.83762305919243851</v>
      </c>
      <c r="AD236" s="9">
        <f t="shared" si="49"/>
        <v>0.75458861529428034</v>
      </c>
      <c r="AE236" s="9">
        <f t="shared" si="50"/>
        <v>0.81536018837218704</v>
      </c>
    </row>
    <row r="237" spans="7:31" x14ac:dyDescent="0.3">
      <c r="G237" s="9">
        <v>232</v>
      </c>
      <c r="H237" s="9">
        <f t="shared" si="51"/>
        <v>5.5581939799330975</v>
      </c>
      <c r="I237" s="9">
        <f t="shared" si="39"/>
        <v>0.13436152280111568</v>
      </c>
      <c r="J237" s="9">
        <f t="shared" si="40"/>
        <v>0.19839326236554955</v>
      </c>
      <c r="K237" s="9">
        <f t="shared" si="41"/>
        <v>0.26443411937584671</v>
      </c>
      <c r="L237" s="9">
        <f t="shared" si="42"/>
        <v>0.14596023698635532</v>
      </c>
      <c r="M237" s="9">
        <f t="shared" si="43"/>
        <v>3.2532788649985114E-2</v>
      </c>
      <c r="X237" s="9">
        <f t="shared" si="44"/>
        <v>0.19889143911162607</v>
      </c>
      <c r="Y237" s="9">
        <f t="shared" si="45"/>
        <v>0.25445398591863522</v>
      </c>
      <c r="Z237" s="9">
        <f t="shared" si="46"/>
        <v>0.13449374480258192</v>
      </c>
      <c r="AB237" s="9">
        <f t="shared" si="47"/>
        <v>0.81719668790922773</v>
      </c>
      <c r="AC237" s="9">
        <f t="shared" si="48"/>
        <v>0.84259575897288053</v>
      </c>
      <c r="AD237" s="9">
        <f t="shared" si="49"/>
        <v>0.75724583626378938</v>
      </c>
      <c r="AE237" s="9">
        <f t="shared" si="50"/>
        <v>0.81929661720581748</v>
      </c>
    </row>
    <row r="238" spans="7:31" x14ac:dyDescent="0.3">
      <c r="G238" s="9">
        <v>233</v>
      </c>
      <c r="H238" s="9">
        <f t="shared" si="51"/>
        <v>5.5779264214046691</v>
      </c>
      <c r="I238" s="9">
        <f t="shared" si="39"/>
        <v>0.13283034313703981</v>
      </c>
      <c r="J238" s="9">
        <f t="shared" si="40"/>
        <v>0.19617275192337699</v>
      </c>
      <c r="K238" s="9">
        <f t="shared" si="41"/>
        <v>0.27167477158548192</v>
      </c>
      <c r="L238" s="9">
        <f t="shared" si="42"/>
        <v>0.14523228468771365</v>
      </c>
      <c r="M238" s="9">
        <f t="shared" si="43"/>
        <v>3.2524915097558615E-2</v>
      </c>
      <c r="X238" s="9">
        <f t="shared" si="44"/>
        <v>0.19690303576935636</v>
      </c>
      <c r="Y238" s="9">
        <f t="shared" si="45"/>
        <v>0.25620305174190511</v>
      </c>
      <c r="Z238" s="9">
        <f t="shared" si="46"/>
        <v>0.13414752690006373</v>
      </c>
      <c r="AB238" s="9">
        <f t="shared" si="47"/>
        <v>0.82110183197619757</v>
      </c>
      <c r="AC238" s="9">
        <f t="shared" si="48"/>
        <v>0.84763368992577592</v>
      </c>
      <c r="AD238" s="9">
        <f t="shared" si="49"/>
        <v>0.75989632731722001</v>
      </c>
      <c r="AE238" s="9">
        <f t="shared" si="50"/>
        <v>0.82318954404956168</v>
      </c>
    </row>
    <row r="239" spans="7:31" x14ac:dyDescent="0.3">
      <c r="G239" s="9">
        <v>234</v>
      </c>
      <c r="H239" s="9">
        <f t="shared" si="51"/>
        <v>5.5976588628762407</v>
      </c>
      <c r="I239" s="9">
        <f t="shared" si="39"/>
        <v>0.13130020616975444</v>
      </c>
      <c r="J239" s="9">
        <f t="shared" si="40"/>
        <v>0.19392177063589816</v>
      </c>
      <c r="K239" s="9">
        <f t="shared" si="41"/>
        <v>0.27538611871568097</v>
      </c>
      <c r="L239" s="9">
        <f t="shared" si="42"/>
        <v>0.14449104251585934</v>
      </c>
      <c r="M239" s="9">
        <f t="shared" si="43"/>
        <v>3.2516957391704078E-2</v>
      </c>
      <c r="X239" s="9">
        <f t="shared" si="44"/>
        <v>0.19482437793507956</v>
      </c>
      <c r="Y239" s="9">
        <f t="shared" si="45"/>
        <v>0.26339555656867497</v>
      </c>
      <c r="Z239" s="9">
        <f t="shared" si="46"/>
        <v>0.1337909901103945</v>
      </c>
      <c r="AB239" s="9">
        <f t="shared" si="47"/>
        <v>0.82496684951985355</v>
      </c>
      <c r="AC239" s="9">
        <f t="shared" si="48"/>
        <v>0.85276989991938246</v>
      </c>
      <c r="AD239" s="9">
        <f t="shared" si="49"/>
        <v>0.76253988483773438</v>
      </c>
      <c r="AE239" s="9">
        <f t="shared" si="50"/>
        <v>0.82703835147628812</v>
      </c>
    </row>
    <row r="240" spans="7:31" x14ac:dyDescent="0.3">
      <c r="G240" s="9">
        <v>235</v>
      </c>
      <c r="H240" s="9">
        <f t="shared" si="51"/>
        <v>5.6173913043478123</v>
      </c>
      <c r="I240" s="9">
        <f t="shared" si="39"/>
        <v>0.12977148003354974</v>
      </c>
      <c r="J240" s="9">
        <f t="shared" si="40"/>
        <v>0.19164195445447274</v>
      </c>
      <c r="K240" s="9">
        <f t="shared" si="41"/>
        <v>0.2754022047526265</v>
      </c>
      <c r="L240" s="9">
        <f t="shared" si="42"/>
        <v>0.14373670357296289</v>
      </c>
      <c r="M240" s="9">
        <f t="shared" si="43"/>
        <v>3.250891559498665E-2</v>
      </c>
      <c r="X240" s="9">
        <f t="shared" si="44"/>
        <v>0.19265546560879551</v>
      </c>
      <c r="Y240" s="9">
        <f t="shared" si="45"/>
        <v>0.2646675998925756</v>
      </c>
      <c r="Z240" s="9">
        <f t="shared" si="46"/>
        <v>0.13342413443357432</v>
      </c>
      <c r="AB240" s="9">
        <f t="shared" si="47"/>
        <v>0.82878995959871526</v>
      </c>
      <c r="AC240" s="9">
        <f t="shared" si="48"/>
        <v>0.85798962301347259</v>
      </c>
      <c r="AD240" s="9">
        <f t="shared" si="49"/>
        <v>0.765176305208494</v>
      </c>
      <c r="AE240" s="9">
        <f t="shared" si="50"/>
        <v>0.83084245436770365</v>
      </c>
    </row>
    <row r="241" spans="7:31" x14ac:dyDescent="0.3">
      <c r="G241" s="9">
        <v>236</v>
      </c>
      <c r="H241" s="9">
        <f t="shared" si="51"/>
        <v>5.6371237458193839</v>
      </c>
      <c r="I241" s="9">
        <f t="shared" si="39"/>
        <v>0.1282445280736679</v>
      </c>
      <c r="J241" s="9">
        <f t="shared" si="40"/>
        <v>0.18933493558765577</v>
      </c>
      <c r="K241" s="9">
        <f t="shared" si="41"/>
        <v>0.27190741566735438</v>
      </c>
      <c r="L241" s="9">
        <f t="shared" si="42"/>
        <v>0.14296946651383044</v>
      </c>
      <c r="M241" s="9">
        <f t="shared" si="43"/>
        <v>3.2500789770623803E-2</v>
      </c>
      <c r="X241" s="9">
        <f t="shared" si="44"/>
        <v>0.19041061632918413</v>
      </c>
      <c r="Y241" s="9">
        <f t="shared" si="45"/>
        <v>0.26558937984182235</v>
      </c>
      <c r="Z241" s="9">
        <f t="shared" si="46"/>
        <v>0.13304695986960335</v>
      </c>
      <c r="AB241" s="9">
        <f t="shared" si="47"/>
        <v>0.83256938932795732</v>
      </c>
      <c r="AC241" s="9">
        <f t="shared" si="48"/>
        <v>0.86321331193324191</v>
      </c>
      <c r="AD241" s="9">
        <f t="shared" si="49"/>
        <v>0.76780538481266636</v>
      </c>
      <c r="AE241" s="9">
        <f t="shared" si="50"/>
        <v>0.83460129985176246</v>
      </c>
    </row>
    <row r="242" spans="7:31" x14ac:dyDescent="0.3">
      <c r="G242" s="9">
        <v>237</v>
      </c>
      <c r="H242" s="9">
        <f t="shared" si="51"/>
        <v>5.6568561872909555</v>
      </c>
      <c r="I242" s="9">
        <f t="shared" si="39"/>
        <v>0.12671970872154026</v>
      </c>
      <c r="J242" s="9">
        <f t="shared" si="40"/>
        <v>0.18700234138641436</v>
      </c>
      <c r="K242" s="9">
        <f t="shared" si="41"/>
        <v>0.26539422687067454</v>
      </c>
      <c r="L242" s="9">
        <f t="shared" si="42"/>
        <v>0.14218953539619555</v>
      </c>
      <c r="M242" s="9">
        <f t="shared" si="43"/>
        <v>3.2492579982484178E-2</v>
      </c>
      <c r="X242" s="9">
        <f t="shared" si="44"/>
        <v>0.18831390213315891</v>
      </c>
      <c r="Y242" s="9">
        <f t="shared" si="45"/>
        <v>0.26373886670010188</v>
      </c>
      <c r="Z242" s="9">
        <f t="shared" si="46"/>
        <v>0.13265946641848123</v>
      </c>
      <c r="AB242" s="9">
        <f t="shared" si="47"/>
        <v>0.83630611213652883</v>
      </c>
      <c r="AC242" s="9">
        <f t="shared" si="48"/>
        <v>0.86844437134061114</v>
      </c>
      <c r="AD242" s="9">
        <f t="shared" si="49"/>
        <v>0.77042692003341107</v>
      </c>
      <c r="AE242" s="9">
        <f t="shared" si="50"/>
        <v>0.83831436721775821</v>
      </c>
    </row>
    <row r="243" spans="7:31" x14ac:dyDescent="0.3">
      <c r="G243" s="9">
        <v>238</v>
      </c>
      <c r="H243" s="9">
        <f t="shared" si="51"/>
        <v>5.6765886287625271</v>
      </c>
      <c r="I243" s="9">
        <f t="shared" si="39"/>
        <v>0.12519737537453621</v>
      </c>
      <c r="J243" s="9">
        <f t="shared" si="40"/>
        <v>0.18464579325800243</v>
      </c>
      <c r="K243" s="9">
        <f t="shared" si="41"/>
        <v>0.25656873401270386</v>
      </c>
      <c r="L243" s="9">
        <f t="shared" si="42"/>
        <v>0.14139711952800713</v>
      </c>
      <c r="M243" s="9">
        <f t="shared" si="43"/>
        <v>3.2484286295086984E-2</v>
      </c>
      <c r="X243" s="9">
        <f t="shared" si="44"/>
        <v>0.18613015681984102</v>
      </c>
      <c r="Y243" s="9">
        <f t="shared" si="45"/>
        <v>0.2567425533836693</v>
      </c>
      <c r="Z243" s="9">
        <f t="shared" si="46"/>
        <v>0.13226165408020804</v>
      </c>
      <c r="AB243" s="9">
        <f t="shared" si="47"/>
        <v>0.84000060298673196</v>
      </c>
      <c r="AC243" s="9">
        <f t="shared" si="48"/>
        <v>0.87358738272999437</v>
      </c>
      <c r="AD243" s="9">
        <f t="shared" si="49"/>
        <v>0.77304070725389229</v>
      </c>
      <c r="AE243" s="9">
        <f t="shared" si="50"/>
        <v>0.84198116780971866</v>
      </c>
    </row>
    <row r="244" spans="7:31" x14ac:dyDescent="0.3">
      <c r="G244" s="9">
        <v>239</v>
      </c>
      <c r="H244" s="9">
        <f t="shared" si="51"/>
        <v>5.6963210702340987</v>
      </c>
      <c r="I244" s="9">
        <f t="shared" si="39"/>
        <v>0.1236778762802604</v>
      </c>
      <c r="J244" s="9">
        <f t="shared" si="40"/>
        <v>0.18226690560477407</v>
      </c>
      <c r="K244" s="9">
        <f t="shared" si="41"/>
        <v>0.24622710918281346</v>
      </c>
      <c r="L244" s="9">
        <f t="shared" si="42"/>
        <v>0.14059243331187984</v>
      </c>
      <c r="M244" s="9">
        <f t="shared" si="43"/>
        <v>3.2475908773601014E-2</v>
      </c>
      <c r="X244" s="9">
        <f t="shared" si="44"/>
        <v>0.18385938038923058</v>
      </c>
      <c r="Y244" s="9">
        <f t="shared" si="45"/>
        <v>0.25198198289308144</v>
      </c>
      <c r="Z244" s="9">
        <f t="shared" si="46"/>
        <v>0.13185352285478411</v>
      </c>
      <c r="AB244" s="9">
        <f t="shared" si="47"/>
        <v>0.84365114454213741</v>
      </c>
      <c r="AC244" s="9">
        <f t="shared" si="48"/>
        <v>0.87861630672861901</v>
      </c>
      <c r="AD244" s="9">
        <f t="shared" si="49"/>
        <v>0.77564654285727452</v>
      </c>
      <c r="AE244" s="9">
        <f t="shared" si="50"/>
        <v>0.84560124489860533</v>
      </c>
    </row>
    <row r="245" spans="7:31" x14ac:dyDescent="0.3">
      <c r="G245" s="9">
        <v>240</v>
      </c>
      <c r="H245" s="9">
        <f t="shared" si="51"/>
        <v>5.7160535117056703</v>
      </c>
      <c r="I245" s="9">
        <f t="shared" si="39"/>
        <v>0.12216155442543009</v>
      </c>
      <c r="J245" s="9">
        <f t="shared" si="40"/>
        <v>0.17986728478438704</v>
      </c>
      <c r="K245" s="9">
        <f t="shared" si="41"/>
        <v>0.23513274791953614</v>
      </c>
      <c r="L245" s="9">
        <f t="shared" si="42"/>
        <v>0.13977569608687035</v>
      </c>
      <c r="M245" s="9">
        <f t="shared" si="43"/>
        <v>3.2467447483843871E-2</v>
      </c>
      <c r="X245" s="9">
        <f t="shared" si="44"/>
        <v>0.18150157284132765</v>
      </c>
      <c r="Y245" s="9">
        <f t="shared" si="45"/>
        <v>0.24130095089962447</v>
      </c>
      <c r="Z245" s="9">
        <f t="shared" si="46"/>
        <v>0.13143507274220903</v>
      </c>
      <c r="AB245" s="9">
        <f t="shared" si="47"/>
        <v>0.84725601946631557</v>
      </c>
      <c r="AC245" s="9">
        <f t="shared" si="48"/>
        <v>0.88349288046862096</v>
      </c>
      <c r="AD245" s="9">
        <f t="shared" si="49"/>
        <v>0.77824422322671905</v>
      </c>
      <c r="AE245" s="9">
        <f t="shared" si="50"/>
        <v>0.84917417353380609</v>
      </c>
    </row>
    <row r="246" spans="7:31" x14ac:dyDescent="0.3">
      <c r="G246" s="9">
        <v>241</v>
      </c>
      <c r="H246" s="9">
        <f t="shared" si="51"/>
        <v>5.7357859531772419</v>
      </c>
      <c r="I246" s="9">
        <f t="shared" si="39"/>
        <v>0.12064874742936081</v>
      </c>
      <c r="J246" s="9">
        <f t="shared" si="40"/>
        <v>0.17744852808805353</v>
      </c>
      <c r="K246" s="9">
        <f t="shared" si="41"/>
        <v>0.22392145349985015</v>
      </c>
      <c r="L246" s="9">
        <f t="shared" si="42"/>
        <v>0.13894713196774225</v>
      </c>
      <c r="M246" s="9">
        <f t="shared" si="43"/>
        <v>3.2458902492281123E-2</v>
      </c>
      <c r="X246" s="9">
        <f t="shared" si="44"/>
        <v>0.17905673417613202</v>
      </c>
      <c r="Y246" s="9">
        <f t="shared" si="45"/>
        <v>0.23220595868858998</v>
      </c>
      <c r="Z246" s="9">
        <f t="shared" si="46"/>
        <v>0.13100630374248312</v>
      </c>
      <c r="AB246" s="9">
        <f t="shared" si="47"/>
        <v>0.85081351042284037</v>
      </c>
      <c r="AC246" s="9">
        <f t="shared" si="48"/>
        <v>0.88814558625456019</v>
      </c>
      <c r="AD246" s="9">
        <f t="shared" si="49"/>
        <v>0.78083354474539068</v>
      </c>
      <c r="AE246" s="9">
        <f t="shared" si="50"/>
        <v>0.85269956037428019</v>
      </c>
    </row>
    <row r="247" spans="7:31" x14ac:dyDescent="0.3">
      <c r="G247" s="9">
        <v>242</v>
      </c>
      <c r="H247" s="9">
        <f t="shared" si="51"/>
        <v>5.7555183946488135</v>
      </c>
      <c r="I247" s="9">
        <f t="shared" si="39"/>
        <v>0.11913978744208356</v>
      </c>
      <c r="J247" s="9">
        <f t="shared" si="40"/>
        <v>0.17501222273374775</v>
      </c>
      <c r="K247" s="9">
        <f t="shared" si="41"/>
        <v>0.21305180566168014</v>
      </c>
      <c r="L247" s="9">
        <f t="shared" si="42"/>
        <v>0.13810696968188904</v>
      </c>
      <c r="M247" s="9">
        <f t="shared" si="43"/>
        <v>3.2450273866025371E-2</v>
      </c>
      <c r="X247" s="9">
        <f t="shared" si="44"/>
        <v>0.17685791787128116</v>
      </c>
      <c r="Y247" s="9">
        <f t="shared" si="45"/>
        <v>0.22269072046065252</v>
      </c>
      <c r="Z247" s="9">
        <f t="shared" si="46"/>
        <v>0.13056721585560618</v>
      </c>
      <c r="AB247" s="9">
        <f t="shared" si="47"/>
        <v>0.8543251438706928</v>
      </c>
      <c r="AC247" s="9">
        <f t="shared" si="48"/>
        <v>0.89264171471596987</v>
      </c>
      <c r="AD247" s="9">
        <f t="shared" si="49"/>
        <v>0.78341430379645127</v>
      </c>
      <c r="AE247" s="9">
        <f t="shared" si="50"/>
        <v>0.85617704349970569</v>
      </c>
    </row>
    <row r="248" spans="7:31" x14ac:dyDescent="0.3">
      <c r="G248" s="9">
        <v>243</v>
      </c>
      <c r="H248" s="9">
        <f t="shared" si="51"/>
        <v>5.7752508361203851</v>
      </c>
      <c r="I248" s="9">
        <f t="shared" si="39"/>
        <v>0.11763500104711279</v>
      </c>
      <c r="J248" s="9">
        <f t="shared" si="40"/>
        <v>0.17255994487156637</v>
      </c>
      <c r="K248" s="9">
        <f t="shared" si="41"/>
        <v>0.20280375701239708</v>
      </c>
      <c r="L248" s="9">
        <f t="shared" si="42"/>
        <v>0.13725544240407692</v>
      </c>
      <c r="M248" s="9">
        <f t="shared" si="43"/>
        <v>3.2441561672835337E-2</v>
      </c>
      <c r="X248" s="9">
        <f t="shared" si="44"/>
        <v>0.17457996624497849</v>
      </c>
      <c r="Y248" s="9">
        <f t="shared" si="45"/>
        <v>0.20829980805388151</v>
      </c>
      <c r="Z248" s="9">
        <f t="shared" si="46"/>
        <v>0.1301178090815783</v>
      </c>
      <c r="AB248" s="9">
        <f t="shared" si="47"/>
        <v>0.85779264365444263</v>
      </c>
      <c r="AC248" s="9">
        <f t="shared" si="48"/>
        <v>0.89690197981827391</v>
      </c>
      <c r="AD248" s="9">
        <f t="shared" si="49"/>
        <v>0.78598629676306531</v>
      </c>
      <c r="AE248" s="9">
        <f t="shared" si="50"/>
        <v>0.85960629220187057</v>
      </c>
    </row>
    <row r="249" spans="7:31" x14ac:dyDescent="0.3">
      <c r="G249" s="9">
        <v>244</v>
      </c>
      <c r="H249" s="9">
        <f t="shared" si="51"/>
        <v>5.7949832775919567</v>
      </c>
      <c r="I249" s="9">
        <f t="shared" si="39"/>
        <v>0.11613470916887986</v>
      </c>
      <c r="J249" s="9">
        <f t="shared" si="40"/>
        <v>0.17009325859876134</v>
      </c>
      <c r="K249" s="9">
        <f t="shared" si="41"/>
        <v>0.19331531252163447</v>
      </c>
      <c r="L249" s="9">
        <f t="shared" si="42"/>
        <v>0.13639278758917575</v>
      </c>
      <c r="M249" s="9">
        <f t="shared" si="43"/>
        <v>3.243276598111499E-2</v>
      </c>
      <c r="X249" s="9">
        <f t="shared" si="44"/>
        <v>0.17221928133433603</v>
      </c>
      <c r="Y249" s="9">
        <f t="shared" si="45"/>
        <v>0.19616014570603921</v>
      </c>
      <c r="Z249" s="9">
        <f t="shared" si="46"/>
        <v>0.12965808342039933</v>
      </c>
      <c r="AB249" s="9">
        <f t="shared" si="47"/>
        <v>0.8612143776262059</v>
      </c>
      <c r="AC249" s="9">
        <f t="shared" si="48"/>
        <v>0.90089737535236625</v>
      </c>
      <c r="AD249" s="9">
        <f t="shared" si="49"/>
        <v>0.78854932002839473</v>
      </c>
      <c r="AE249" s="9">
        <f t="shared" si="50"/>
        <v>0.86298700675655349</v>
      </c>
    </row>
    <row r="250" spans="7:31" x14ac:dyDescent="0.3">
      <c r="G250" s="9">
        <v>245</v>
      </c>
      <c r="H250" s="9">
        <f t="shared" si="51"/>
        <v>5.8147157190635284</v>
      </c>
      <c r="I250" s="9">
        <f t="shared" si="39"/>
        <v>0.11463922698484244</v>
      </c>
      <c r="J250" s="9">
        <f t="shared" si="40"/>
        <v>0.16761371498230954</v>
      </c>
      <c r="K250" s="9">
        <f t="shared" si="41"/>
        <v>0.18463878454378665</v>
      </c>
      <c r="L250" s="9">
        <f t="shared" si="42"/>
        <v>0.1355192468030442</v>
      </c>
      <c r="M250" s="9">
        <f t="shared" si="43"/>
        <v>3.2423886859912925E-2</v>
      </c>
      <c r="X250" s="9">
        <f t="shared" si="44"/>
        <v>0.16977586313935356</v>
      </c>
      <c r="Y250" s="9">
        <f t="shared" si="45"/>
        <v>0.17890639797634617</v>
      </c>
      <c r="Z250" s="9">
        <f t="shared" si="46"/>
        <v>0.1291880388720695</v>
      </c>
      <c r="AB250" s="9">
        <f t="shared" si="47"/>
        <v>0.86458871325629083</v>
      </c>
      <c r="AC250" s="9">
        <f t="shared" si="48"/>
        <v>0.90460702742059884</v>
      </c>
      <c r="AD250" s="9">
        <f t="shared" si="49"/>
        <v>0.79110316997560393</v>
      </c>
      <c r="AE250" s="9">
        <f t="shared" si="50"/>
        <v>0.86631891817603124</v>
      </c>
    </row>
    <row r="251" spans="7:31" x14ac:dyDescent="0.3">
      <c r="G251" s="9">
        <v>246</v>
      </c>
      <c r="H251" s="9">
        <f t="shared" si="51"/>
        <v>5.8344481605351</v>
      </c>
      <c r="I251" s="9">
        <f t="shared" si="39"/>
        <v>0.11314886384227693</v>
      </c>
      <c r="J251" s="9">
        <f t="shared" si="40"/>
        <v>0.16512285108725852</v>
      </c>
      <c r="K251" s="9">
        <f t="shared" si="41"/>
        <v>0.17679632163459649</v>
      </c>
      <c r="L251" s="9">
        <f t="shared" si="42"/>
        <v>0.13463506555173296</v>
      </c>
      <c r="M251" s="9">
        <f t="shared" si="43"/>
        <v>3.2414924378920899E-2</v>
      </c>
      <c r="X251" s="9">
        <f t="shared" si="44"/>
        <v>0.16724971166003125</v>
      </c>
      <c r="Y251" s="9">
        <f t="shared" si="45"/>
        <v>0.16940546642150348</v>
      </c>
      <c r="Z251" s="9">
        <f t="shared" si="46"/>
        <v>0.12870767543658879</v>
      </c>
      <c r="AB251" s="9">
        <f t="shared" si="47"/>
        <v>0.86791401801500812</v>
      </c>
      <c r="AC251" s="9">
        <f t="shared" si="48"/>
        <v>0.90799290517983777</v>
      </c>
      <c r="AD251" s="9">
        <f t="shared" si="49"/>
        <v>0.79364764298785573</v>
      </c>
      <c r="AE251" s="9">
        <f t="shared" si="50"/>
        <v>0.86960178794236642</v>
      </c>
    </row>
    <row r="252" spans="7:31" x14ac:dyDescent="0.3">
      <c r="G252" s="9">
        <v>247</v>
      </c>
      <c r="H252" s="9">
        <f t="shared" si="51"/>
        <v>5.8541806020066716</v>
      </c>
      <c r="I252" s="9">
        <f t="shared" si="39"/>
        <v>0.11166392317975507</v>
      </c>
      <c r="J252" s="9">
        <f t="shared" si="40"/>
        <v>0.16262218900947595</v>
      </c>
      <c r="K252" s="9">
        <f t="shared" si="41"/>
        <v>0.16981852505838127</v>
      </c>
      <c r="L252" s="9">
        <f t="shared" si="42"/>
        <v>0.13374049310917296</v>
      </c>
      <c r="M252" s="9">
        <f t="shared" si="43"/>
        <v>3.2405878608473576E-2</v>
      </c>
      <c r="X252" s="9">
        <f t="shared" si="44"/>
        <v>0.16479587381594213</v>
      </c>
      <c r="Y252" s="9">
        <f t="shared" si="45"/>
        <v>0.16687908803344267</v>
      </c>
      <c r="Z252" s="9">
        <f t="shared" si="46"/>
        <v>0.12821699311395696</v>
      </c>
      <c r="AB252" s="9">
        <f t="shared" si="47"/>
        <v>0.87119006617203465</v>
      </c>
      <c r="AC252" s="9">
        <f t="shared" si="48"/>
        <v>0.91131648954765965</v>
      </c>
      <c r="AD252" s="9">
        <f t="shared" si="49"/>
        <v>0.7961825354483143</v>
      </c>
      <c r="AE252" s="9">
        <f t="shared" si="50"/>
        <v>0.87283540772156598</v>
      </c>
    </row>
    <row r="253" spans="7:31" x14ac:dyDescent="0.3">
      <c r="G253" s="9">
        <v>248</v>
      </c>
      <c r="H253" s="9">
        <f t="shared" si="51"/>
        <v>5.8739130434782432</v>
      </c>
      <c r="I253" s="9">
        <f t="shared" si="39"/>
        <v>0.11018470245330431</v>
      </c>
      <c r="J253" s="9">
        <f t="shared" si="40"/>
        <v>0.16011323491183524</v>
      </c>
      <c r="K253" s="9">
        <f t="shared" si="41"/>
        <v>0.16375762866199731</v>
      </c>
      <c r="L253" s="9">
        <f t="shared" si="42"/>
        <v>0.13283578234351401</v>
      </c>
      <c r="M253" s="9">
        <f t="shared" si="43"/>
        <v>3.2396749619547097E-2</v>
      </c>
      <c r="X253" s="9">
        <f t="shared" si="44"/>
        <v>0.1622745847154265</v>
      </c>
      <c r="Y253" s="9">
        <f t="shared" si="45"/>
        <v>0.1608700852319295</v>
      </c>
      <c r="Z253" s="9">
        <f t="shared" si="46"/>
        <v>0.12771599190417415</v>
      </c>
      <c r="AB253" s="9">
        <f t="shared" si="47"/>
        <v>0.8744171480225863</v>
      </c>
      <c r="AC253" s="9">
        <f t="shared" si="48"/>
        <v>0.91455586196060057</v>
      </c>
      <c r="AD253" s="9">
        <f t="shared" si="49"/>
        <v>0.79870764374014125</v>
      </c>
      <c r="AE253" s="9">
        <f t="shared" si="50"/>
        <v>0.87601959905868876</v>
      </c>
    </row>
    <row r="254" spans="7:31" x14ac:dyDescent="0.3">
      <c r="G254" s="9">
        <v>249</v>
      </c>
      <c r="H254" s="9">
        <f t="shared" si="51"/>
        <v>5.8936454849498148</v>
      </c>
      <c r="I254" s="9">
        <f t="shared" si="39"/>
        <v>0.10871149306724434</v>
      </c>
      <c r="J254" s="9">
        <f t="shared" si="40"/>
        <v>0.15759747806327717</v>
      </c>
      <c r="K254" s="9">
        <f t="shared" si="41"/>
        <v>0.15867504416633232</v>
      </c>
      <c r="L254" s="9">
        <f t="shared" si="42"/>
        <v>0.13192118954227625</v>
      </c>
      <c r="M254" s="9">
        <f t="shared" si="43"/>
        <v>3.2387537483758271E-2</v>
      </c>
      <c r="X254" s="9">
        <f t="shared" si="44"/>
        <v>0.15967271124704741</v>
      </c>
      <c r="Y254" s="9">
        <f t="shared" si="45"/>
        <v>0.16133049998488791</v>
      </c>
      <c r="Z254" s="9">
        <f t="shared" si="46"/>
        <v>0.12720467180724046</v>
      </c>
      <c r="AB254" s="9">
        <f t="shared" si="47"/>
        <v>0.87759368362036905</v>
      </c>
      <c r="AC254" s="9">
        <f t="shared" si="48"/>
        <v>0.91772929767591482</v>
      </c>
      <c r="AD254" s="9">
        <f t="shared" si="49"/>
        <v>0.80122276424650063</v>
      </c>
      <c r="AE254" s="9">
        <f t="shared" si="50"/>
        <v>0.87915421305396158</v>
      </c>
    </row>
    <row r="255" spans="7:31" x14ac:dyDescent="0.3">
      <c r="G255" s="9">
        <v>250</v>
      </c>
      <c r="H255" s="9">
        <f t="shared" si="51"/>
        <v>5.9133779264213864</v>
      </c>
      <c r="I255" s="9">
        <f t="shared" si="39"/>
        <v>0.10724458030969151</v>
      </c>
      <c r="J255" s="9">
        <f t="shared" si="40"/>
        <v>0.15507638988060377</v>
      </c>
      <c r="K255" s="9">
        <f t="shared" si="41"/>
        <v>0.15460977512752877</v>
      </c>
      <c r="L255" s="9">
        <f t="shared" si="42"/>
        <v>0.1309969742364783</v>
      </c>
      <c r="M255" s="9">
        <f t="shared" si="43"/>
        <v>3.2378242273363812E-2</v>
      </c>
      <c r="X255" s="9">
        <f t="shared" si="44"/>
        <v>0.15699025341080489</v>
      </c>
      <c r="Y255" s="9">
        <f t="shared" si="45"/>
        <v>0.15875985094750469</v>
      </c>
      <c r="Z255" s="9">
        <f t="shared" si="46"/>
        <v>0.12668303282315571</v>
      </c>
      <c r="AB255" s="9">
        <f t="shared" si="47"/>
        <v>0.88071808283905828</v>
      </c>
      <c r="AC255" s="9">
        <f t="shared" si="48"/>
        <v>0.92089482447420301</v>
      </c>
      <c r="AD255" s="9">
        <f t="shared" si="49"/>
        <v>0.80372769335055627</v>
      </c>
      <c r="AE255" s="9">
        <f t="shared" si="50"/>
        <v>0.88223913001996734</v>
      </c>
    </row>
    <row r="256" spans="7:31" x14ac:dyDescent="0.3">
      <c r="G256" s="9">
        <v>251</v>
      </c>
      <c r="H256" s="9">
        <f t="shared" si="51"/>
        <v>5.933110367892958</v>
      </c>
      <c r="I256" s="9">
        <f t="shared" si="39"/>
        <v>0.10578424329271631</v>
      </c>
      <c r="J256" s="9">
        <f t="shared" si="40"/>
        <v>0.15255142297326577</v>
      </c>
      <c r="K256" s="9">
        <f t="shared" si="41"/>
        <v>0.15153817867855954</v>
      </c>
      <c r="L256" s="9">
        <f t="shared" si="42"/>
        <v>0.1300633990239069</v>
      </c>
      <c r="M256" s="9">
        <f t="shared" si="43"/>
        <v>3.2368864061259349E-2</v>
      </c>
      <c r="X256" s="9">
        <f t="shared" si="44"/>
        <v>0.1542272112066988</v>
      </c>
      <c r="Y256" s="9">
        <f t="shared" si="45"/>
        <v>0.15748510636364191</v>
      </c>
      <c r="Z256" s="9">
        <f t="shared" si="46"/>
        <v>0.12615107495192004</v>
      </c>
      <c r="AB256" s="9">
        <f t="shared" si="47"/>
        <v>0.88378875555233227</v>
      </c>
      <c r="AC256" s="9">
        <f t="shared" si="48"/>
        <v>0.92399243686309451</v>
      </c>
      <c r="AD256" s="9">
        <f t="shared" si="49"/>
        <v>0.80622222743547067</v>
      </c>
      <c r="AE256" s="9">
        <f t="shared" si="50"/>
        <v>0.8852742591199414</v>
      </c>
    </row>
    <row r="257" spans="7:31" x14ac:dyDescent="0.3">
      <c r="G257" s="9">
        <v>252</v>
      </c>
      <c r="H257" s="9">
        <f t="shared" si="51"/>
        <v>5.9528428093645296</v>
      </c>
      <c r="I257" s="9">
        <f t="shared" si="39"/>
        <v>0.10433075489713682</v>
      </c>
      <c r="J257" s="9">
        <f t="shared" si="40"/>
        <v>0.15002401019181139</v>
      </c>
      <c r="K257" s="9">
        <f t="shared" si="41"/>
        <v>0.14933683645309156</v>
      </c>
      <c r="L257" s="9">
        <f t="shared" si="42"/>
        <v>0.12912072939168437</v>
      </c>
      <c r="M257" s="9">
        <f t="shared" si="43"/>
        <v>3.2359402920978199E-2</v>
      </c>
      <c r="X257" s="9">
        <f t="shared" si="44"/>
        <v>0.15167073858985852</v>
      </c>
      <c r="Y257" s="9">
        <f t="shared" si="45"/>
        <v>0.15872468454470454</v>
      </c>
      <c r="Z257" s="9">
        <f t="shared" si="46"/>
        <v>0.12560879819353335</v>
      </c>
      <c r="AB257" s="9">
        <f t="shared" si="47"/>
        <v>0.88680652573795971</v>
      </c>
      <c r="AC257" s="9">
        <f t="shared" si="48"/>
        <v>0.92711795918254647</v>
      </c>
      <c r="AD257" s="9">
        <f t="shared" si="49"/>
        <v>0.808706162884407</v>
      </c>
      <c r="AE257" s="9">
        <f t="shared" si="50"/>
        <v>0.88825953798726798</v>
      </c>
    </row>
    <row r="258" spans="7:31" x14ac:dyDescent="0.3">
      <c r="G258" s="9">
        <v>253</v>
      </c>
      <c r="H258" s="9">
        <f t="shared" si="51"/>
        <v>5.9725752508361012</v>
      </c>
      <c r="I258" s="9">
        <f t="shared" si="39"/>
        <v>0.1028843817219262</v>
      </c>
      <c r="J258" s="9">
        <f t="shared" si="40"/>
        <v>0.14749556368104824</v>
      </c>
      <c r="K258" s="9">
        <f t="shared" si="41"/>
        <v>0.14775950840938865</v>
      </c>
      <c r="L258" s="9">
        <f t="shared" si="42"/>
        <v>0.12816923353829895</v>
      </c>
      <c r="M258" s="9">
        <f t="shared" si="43"/>
        <v>3.2349858926690865E-2</v>
      </c>
      <c r="X258" s="9">
        <f t="shared" si="44"/>
        <v>0.14908689416649309</v>
      </c>
      <c r="Y258" s="9">
        <f t="shared" si="45"/>
        <v>0.15648163831231474</v>
      </c>
      <c r="Z258" s="9">
        <f t="shared" si="46"/>
        <v>0.12505620254799585</v>
      </c>
      <c r="AB258" s="9">
        <f t="shared" si="47"/>
        <v>0.88977399237400501</v>
      </c>
      <c r="AC258" s="9">
        <f t="shared" si="48"/>
        <v>0.93023358106470333</v>
      </c>
      <c r="AD258" s="9">
        <f t="shared" si="49"/>
        <v>0.81117929608052874</v>
      </c>
      <c r="AE258" s="9">
        <f t="shared" si="50"/>
        <v>0.89119493232623459</v>
      </c>
    </row>
    <row r="259" spans="7:31" x14ac:dyDescent="0.3">
      <c r="G259" s="9">
        <v>254</v>
      </c>
      <c r="H259" s="9">
        <f t="shared" si="51"/>
        <v>5.9923076923076728</v>
      </c>
      <c r="I259" s="9">
        <f t="shared" si="39"/>
        <v>0.10144538403820945</v>
      </c>
      <c r="J259" s="9">
        <f t="shared" si="40"/>
        <v>0.14496747393934298</v>
      </c>
      <c r="K259" s="9">
        <f t="shared" si="41"/>
        <v>0.14643685899998982</v>
      </c>
      <c r="L259" s="9">
        <f t="shared" si="42"/>
        <v>0.12720918219525196</v>
      </c>
      <c r="M259" s="9">
        <f t="shared" si="43"/>
        <v>3.234023215320362E-2</v>
      </c>
      <c r="X259" s="9">
        <f t="shared" si="44"/>
        <v>0.14642676320821657</v>
      </c>
      <c r="Y259" s="9">
        <f t="shared" si="45"/>
        <v>0.15075596766647253</v>
      </c>
      <c r="Z259" s="9">
        <f t="shared" si="46"/>
        <v>0.12449328801530714</v>
      </c>
      <c r="AB259" s="9">
        <f t="shared" si="47"/>
        <v>0.89268972079140096</v>
      </c>
      <c r="AC259" s="9">
        <f t="shared" si="48"/>
        <v>0.93327058182715839</v>
      </c>
      <c r="AD259" s="9">
        <f t="shared" si="49"/>
        <v>0.81364142340699852</v>
      </c>
      <c r="AE259" s="9">
        <f t="shared" si="50"/>
        <v>0.89408043549416527</v>
      </c>
    </row>
    <row r="260" spans="7:31" x14ac:dyDescent="0.3">
      <c r="G260" s="9">
        <v>255</v>
      </c>
      <c r="H260" s="9">
        <f t="shared" si="51"/>
        <v>6.0120401337792444</v>
      </c>
      <c r="I260" s="9">
        <f t="shared" si="39"/>
        <v>0.1000140157478205</v>
      </c>
      <c r="J260" s="9">
        <f t="shared" si="40"/>
        <v>0.14244110888583125</v>
      </c>
      <c r="K260" s="9">
        <f t="shared" si="41"/>
        <v>0.14490403418262615</v>
      </c>
      <c r="L260" s="9">
        <f t="shared" si="42"/>
        <v>0.12624084844848255</v>
      </c>
      <c r="M260" s="9">
        <f t="shared" si="43"/>
        <v>3.2330522675957853E-2</v>
      </c>
      <c r="X260" s="9">
        <f t="shared" si="44"/>
        <v>0.14369034571502953</v>
      </c>
      <c r="Y260" s="9">
        <f t="shared" si="45"/>
        <v>0.14154767260717788</v>
      </c>
      <c r="Z260" s="9">
        <f t="shared" si="46"/>
        <v>0.12392005459546762</v>
      </c>
      <c r="AB260" s="9">
        <f t="shared" si="47"/>
        <v>0.89555220567056537</v>
      </c>
      <c r="AC260" s="9">
        <f t="shared" si="48"/>
        <v>0.9361602407875057</v>
      </c>
      <c r="AD260" s="9">
        <f t="shared" si="49"/>
        <v>0.81609234124697916</v>
      </c>
      <c r="AE260" s="9">
        <f t="shared" si="50"/>
        <v>0.89691606806506952</v>
      </c>
    </row>
    <row r="261" spans="7:31" x14ac:dyDescent="0.3">
      <c r="G261" s="9">
        <v>256</v>
      </c>
      <c r="H261" s="9">
        <f t="shared" si="51"/>
        <v>6.031772575250816</v>
      </c>
      <c r="I261" s="9">
        <f t="shared" si="39"/>
        <v>9.8590524346387362E-2</v>
      </c>
      <c r="J261" s="9">
        <f t="shared" si="40"/>
        <v>0.13991781293763031</v>
      </c>
      <c r="K261" s="9">
        <f t="shared" si="41"/>
        <v>0.14265613105583455</v>
      </c>
      <c r="L261" s="9">
        <f t="shared" si="42"/>
        <v>0.1252645075597206</v>
      </c>
      <c r="M261" s="9">
        <f t="shared" si="43"/>
        <v>3.2320730571028855E-2</v>
      </c>
      <c r="X261" s="9">
        <f t="shared" si="44"/>
        <v>0.14087764168693162</v>
      </c>
      <c r="Y261" s="9">
        <f t="shared" si="45"/>
        <v>0.13384568013818815</v>
      </c>
      <c r="Z261" s="9">
        <f t="shared" si="46"/>
        <v>0.12333650228847716</v>
      </c>
      <c r="AB261" s="9">
        <f t="shared" si="47"/>
        <v>0.89835994169191036</v>
      </c>
      <c r="AC261" s="9">
        <f t="shared" si="48"/>
        <v>0.93885408474485244</v>
      </c>
      <c r="AD261" s="9">
        <f t="shared" si="49"/>
        <v>0.81853184598363704</v>
      </c>
      <c r="AE261" s="9">
        <f t="shared" si="50"/>
        <v>0.89970187737496965</v>
      </c>
    </row>
    <row r="262" spans="7:31" x14ac:dyDescent="0.3">
      <c r="G262" s="9">
        <v>257</v>
      </c>
      <c r="H262" s="9">
        <f t="shared" si="51"/>
        <v>6.0515050167223876</v>
      </c>
      <c r="I262" s="9">
        <f t="shared" si="39"/>
        <v>9.7175150890908987E-2</v>
      </c>
      <c r="J262" s="9">
        <f t="shared" si="40"/>
        <v>0.13739890609944258</v>
      </c>
      <c r="K262" s="9">
        <f t="shared" si="41"/>
        <v>0.13922528995935901</v>
      </c>
      <c r="L262" s="9">
        <f t="shared" si="42"/>
        <v>0.12428043678792584</v>
      </c>
      <c r="M262" s="9">
        <f t="shared" si="43"/>
        <v>3.2310855915125024E-2</v>
      </c>
      <c r="X262" s="9">
        <f t="shared" si="44"/>
        <v>0.13851711877509826</v>
      </c>
      <c r="Y262" s="9">
        <f t="shared" si="45"/>
        <v>0.13046635390649311</v>
      </c>
      <c r="Z262" s="9">
        <f t="shared" si="46"/>
        <v>0.12274263109433564</v>
      </c>
      <c r="AB262" s="9">
        <f t="shared" si="47"/>
        <v>0.90111551410591761</v>
      </c>
      <c r="AC262" s="9">
        <f t="shared" si="48"/>
        <v>0.94146585432233565</v>
      </c>
      <c r="AD262" s="9">
        <f t="shared" si="49"/>
        <v>0.82095973400013322</v>
      </c>
      <c r="AE262" s="9">
        <f t="shared" si="50"/>
        <v>0.90243793704914843</v>
      </c>
    </row>
    <row r="263" spans="7:31" x14ac:dyDescent="0.3">
      <c r="G263" s="9">
        <v>258</v>
      </c>
      <c r="H263" s="9">
        <f t="shared" si="51"/>
        <v>6.0712374581939592</v>
      </c>
      <c r="I263" s="9">
        <f t="shared" ref="I263:I305" si="52">_xlfn.NORM.DIST($H263, $E$5, $E$6, FALSE)</f>
        <v>9.5768129971785521E-2</v>
      </c>
      <c r="J263" s="9">
        <f t="shared" ref="J263:J305" si="53">EstymacjaGaussowska($H263, $B$6:$B$155)</f>
        <v>0.13488568306819076</v>
      </c>
      <c r="K263" s="9">
        <f t="shared" ref="K263:K305" si="54">EstymacjaGaussowska($H263, $B$6:$B$155, $K$5)</f>
        <v>0.13426649121947073</v>
      </c>
      <c r="L263" s="9">
        <f t="shared" ref="L263:L305" si="55">EstymacjaGaussowska($H263, $B$6:$B$155, $L$5)</f>
        <v>0.12328891521095929</v>
      </c>
      <c r="M263" s="9">
        <f t="shared" ref="M263:M305" si="56">EstymacjaGaussowska($H263, $B$6:$B$155, $M$5)</f>
        <v>3.2300898785586708E-2</v>
      </c>
      <c r="X263" s="9">
        <f t="shared" ref="X263:X305" si="57">EstymacjaEpanecznikowa($H263, $B$6:$B$155, $X$5)</f>
        <v>0.1362319919531034</v>
      </c>
      <c r="Y263" s="9">
        <f t="shared" ref="Y263:Y305" si="58">EstymacjaEpanecznikowa($H263, $B$6:$B$155, $Y$5)</f>
        <v>0.12464919058538138</v>
      </c>
      <c r="Z263" s="9">
        <f t="shared" ref="Z263:Z305" si="59">EstymacjaEpanecznikowa($H263, $B$6:$B$155, $Z$5)</f>
        <v>0.12213844101304311</v>
      </c>
      <c r="AB263" s="9">
        <f t="shared" ref="AB263:AB305" si="60">EstymacjaDystrybuanty($H263, $B$6:$B$155, $AB$5)</f>
        <v>0.90382636078816536</v>
      </c>
      <c r="AC263" s="9">
        <f t="shared" ref="AC263:AC305" si="61">EstymacjaDystrybuanty($H263, $B$6:$B$155, $AC$5)</f>
        <v>0.94398688930389629</v>
      </c>
      <c r="AD263" s="9">
        <f t="shared" ref="AD263:AD305" si="62">EstymacjaDystrybuanty($H263, $B$6:$B$155, $AD$5)</f>
        <v>0.8233758016796302</v>
      </c>
      <c r="AE263" s="9">
        <f t="shared" ref="AE263:AE305" si="63">EstymacjaGaussowskaDystrybuanta($H263, $B$6:$B$155, $AE$5)</f>
        <v>0.9051243465115707</v>
      </c>
    </row>
    <row r="264" spans="7:31" x14ac:dyDescent="0.3">
      <c r="G264" s="9">
        <v>259</v>
      </c>
      <c r="H264" s="9">
        <f t="shared" ref="H264:H305" si="64">$H263 + $E$9</f>
        <v>6.0909698996655308</v>
      </c>
      <c r="I264" s="9">
        <f t="shared" si="52"/>
        <v>9.4369689689258421E-2</v>
      </c>
      <c r="J264" s="9">
        <f t="shared" si="53"/>
        <v>0.1323794123555519</v>
      </c>
      <c r="K264" s="9">
        <f t="shared" si="54"/>
        <v>0.12763401335430744</v>
      </c>
      <c r="L264" s="9">
        <f t="shared" si="55"/>
        <v>0.12229022354764013</v>
      </c>
      <c r="M264" s="9">
        <f t="shared" si="56"/>
        <v>3.2290859260385288E-2</v>
      </c>
      <c r="X264" s="9">
        <f t="shared" si="57"/>
        <v>0.13387917426210311</v>
      </c>
      <c r="Y264" s="9">
        <f t="shared" si="58"/>
        <v>0.11921450566508823</v>
      </c>
      <c r="Z264" s="9">
        <f t="shared" si="59"/>
        <v>0.12152393204459976</v>
      </c>
      <c r="AB264" s="9">
        <f t="shared" si="60"/>
        <v>0.90649144848608743</v>
      </c>
      <c r="AC264" s="9">
        <f t="shared" si="61"/>
        <v>0.94638987151060783</v>
      </c>
      <c r="AD264" s="9">
        <f t="shared" si="62"/>
        <v>0.82577984540529104</v>
      </c>
      <c r="AE264" s="9">
        <f t="shared" si="63"/>
        <v>0.90776123047680968</v>
      </c>
    </row>
    <row r="265" spans="7:31" x14ac:dyDescent="0.3">
      <c r="G265" s="9">
        <v>260</v>
      </c>
      <c r="H265" s="9">
        <f t="shared" si="64"/>
        <v>6.1107023411371024</v>
      </c>
      <c r="I265" s="9">
        <f t="shared" si="52"/>
        <v>9.2980051634215424E-2</v>
      </c>
      <c r="J265" s="9">
        <f t="shared" si="53"/>
        <v>0.12988133543143957</v>
      </c>
      <c r="K265" s="9">
        <f t="shared" si="54"/>
        <v>0.11942916255554875</v>
      </c>
      <c r="L265" s="9">
        <f t="shared" si="55"/>
        <v>0.1212846439803318</v>
      </c>
      <c r="M265" s="9">
        <f t="shared" si="56"/>
        <v>3.2280737418122159E-2</v>
      </c>
      <c r="X265" s="9">
        <f t="shared" si="57"/>
        <v>0.13145866570209749</v>
      </c>
      <c r="Y265" s="9">
        <f t="shared" si="58"/>
        <v>0.11203675772143319</v>
      </c>
      <c r="Z265" s="9">
        <f t="shared" si="59"/>
        <v>0.12089910418900529</v>
      </c>
      <c r="AB265" s="9">
        <f t="shared" si="60"/>
        <v>0.90910944149357342</v>
      </c>
      <c r="AC265" s="9">
        <f t="shared" si="61"/>
        <v>0.94867602889943559</v>
      </c>
      <c r="AD265" s="9">
        <f t="shared" si="62"/>
        <v>0.82817166156028155</v>
      </c>
      <c r="AE265" s="9">
        <f t="shared" si="63"/>
        <v>0.9103487384248623</v>
      </c>
    </row>
    <row r="266" spans="7:31" x14ac:dyDescent="0.3">
      <c r="G266" s="9">
        <v>261</v>
      </c>
      <c r="H266" s="9">
        <f t="shared" si="64"/>
        <v>6.130434782608674</v>
      </c>
      <c r="I266" s="9">
        <f t="shared" si="52"/>
        <v>9.159943087331085E-2</v>
      </c>
      <c r="J266" s="9">
        <f t="shared" si="53"/>
        <v>0.1273926658916236</v>
      </c>
      <c r="K266" s="9">
        <f t="shared" si="54"/>
        <v>0.11000393398102315</v>
      </c>
      <c r="L266" s="9">
        <f t="shared" si="55"/>
        <v>0.12027245997820279</v>
      </c>
      <c r="M266" s="9">
        <f t="shared" si="56"/>
        <v>3.2270533338027617E-2</v>
      </c>
      <c r="X266" s="9">
        <f t="shared" si="57"/>
        <v>0.12897046627308653</v>
      </c>
      <c r="Y266" s="9">
        <f t="shared" si="58"/>
        <v>0.10484580361797097</v>
      </c>
      <c r="Z266" s="9">
        <f t="shared" si="59"/>
        <v>0.12026395744625996</v>
      </c>
      <c r="AB266" s="9">
        <f t="shared" si="60"/>
        <v>0.91167900410451275</v>
      </c>
      <c r="AC266" s="9">
        <f t="shared" si="61"/>
        <v>0.95080248270723799</v>
      </c>
      <c r="AD266" s="9">
        <f t="shared" si="62"/>
        <v>0.83055104652776268</v>
      </c>
      <c r="AE266" s="9">
        <f t="shared" si="63"/>
        <v>0.91288704405928645</v>
      </c>
    </row>
    <row r="267" spans="7:31" x14ac:dyDescent="0.3">
      <c r="G267" s="9">
        <v>262</v>
      </c>
      <c r="H267" s="9">
        <f t="shared" si="64"/>
        <v>6.1501672240802456</v>
      </c>
      <c r="I267" s="9">
        <f t="shared" si="52"/>
        <v>9.0228035938349785E-2</v>
      </c>
      <c r="J267" s="9">
        <f t="shared" si="53"/>
        <v>0.12491458865278095</v>
      </c>
      <c r="K267" s="9">
        <f t="shared" si="54"/>
        <v>9.9914645693493093E-2</v>
      </c>
      <c r="L267" s="9">
        <f t="shared" si="55"/>
        <v>0.11925395612130361</v>
      </c>
      <c r="M267" s="9">
        <f t="shared" si="56"/>
        <v>3.2260247099959886E-2</v>
      </c>
      <c r="X267" s="9">
        <f t="shared" si="57"/>
        <v>0.12659557606296101</v>
      </c>
      <c r="Y267" s="9">
        <f t="shared" si="58"/>
        <v>0.10057811302318317</v>
      </c>
      <c r="Z267" s="9">
        <f t="shared" si="59"/>
        <v>0.11961849181636358</v>
      </c>
      <c r="AB267" s="9">
        <f t="shared" si="60"/>
        <v>0.91420008094915151</v>
      </c>
      <c r="AC267" s="9">
        <f t="shared" si="61"/>
        <v>0.95283267644734926</v>
      </c>
      <c r="AD267" s="9">
        <f t="shared" si="62"/>
        <v>0.83291779669089872</v>
      </c>
      <c r="AE267" s="9">
        <f t="shared" si="63"/>
        <v>0.91537634474920049</v>
      </c>
    </row>
    <row r="268" spans="7:31" x14ac:dyDescent="0.3">
      <c r="G268" s="9">
        <v>263</v>
      </c>
      <c r="H268" s="9">
        <f t="shared" si="64"/>
        <v>6.1698996655518172</v>
      </c>
      <c r="I268" s="9">
        <f t="shared" si="52"/>
        <v>8.8866068819881044E-2</v>
      </c>
      <c r="J268" s="9">
        <f t="shared" si="53"/>
        <v>0.12244825917832786</v>
      </c>
      <c r="K268" s="9">
        <f t="shared" si="54"/>
        <v>8.9832093387295781E-2</v>
      </c>
      <c r="L268" s="9">
        <f t="shared" si="55"/>
        <v>0.11822941792559884</v>
      </c>
      <c r="M268" s="9">
        <f t="shared" si="56"/>
        <v>3.2249878784404093E-2</v>
      </c>
      <c r="X268" s="9">
        <f t="shared" si="57"/>
        <v>0.12422683271553207</v>
      </c>
      <c r="Y268" s="9">
        <f t="shared" si="58"/>
        <v>9.4220847780323899E-2</v>
      </c>
      <c r="Z268" s="9">
        <f t="shared" si="59"/>
        <v>0.11896270729931628</v>
      </c>
      <c r="AB268" s="9">
        <f t="shared" si="60"/>
        <v>0.91667485620806266</v>
      </c>
      <c r="AC268" s="9">
        <f t="shared" si="61"/>
        <v>0.95475804202785863</v>
      </c>
      <c r="AD268" s="9">
        <f t="shared" si="62"/>
        <v>0.83527170843285214</v>
      </c>
      <c r="AE268" s="9">
        <f t="shared" si="63"/>
        <v>0.91781686095567128</v>
      </c>
    </row>
    <row r="269" spans="7:31" x14ac:dyDescent="0.3">
      <c r="G269" s="9">
        <v>264</v>
      </c>
      <c r="H269" s="9">
        <f t="shared" si="64"/>
        <v>6.1896321070233888</v>
      </c>
      <c r="I269" s="9">
        <f t="shared" si="52"/>
        <v>8.7513724964941003E-2</v>
      </c>
      <c r="J269" s="9">
        <f t="shared" si="53"/>
        <v>0.11999480273839661</v>
      </c>
      <c r="K269" s="9">
        <f t="shared" si="54"/>
        <v>8.0426610522058531E-2</v>
      </c>
      <c r="L269" s="9">
        <f t="shared" si="55"/>
        <v>0.11719913166909131</v>
      </c>
      <c r="M269" s="9">
        <f t="shared" si="56"/>
        <v>3.2239428472471236E-2</v>
      </c>
      <c r="X269" s="9">
        <f t="shared" si="57"/>
        <v>0.12179362187381243</v>
      </c>
      <c r="Y269" s="9">
        <f t="shared" si="58"/>
        <v>8.8343406343462078E-2</v>
      </c>
      <c r="Z269" s="9">
        <f t="shared" si="59"/>
        <v>0.11829660389511799</v>
      </c>
      <c r="AB269" s="9">
        <f t="shared" si="60"/>
        <v>0.91910225432698134</v>
      </c>
      <c r="AC269" s="9">
        <f t="shared" si="61"/>
        <v>0.9565545279997949</v>
      </c>
      <c r="AD269" s="9">
        <f t="shared" si="62"/>
        <v>0.83761257813678636</v>
      </c>
      <c r="AE269" s="9">
        <f t="shared" si="63"/>
        <v>0.92020883564317313</v>
      </c>
    </row>
    <row r="270" spans="7:31" x14ac:dyDescent="0.3">
      <c r="G270" s="9">
        <v>265</v>
      </c>
      <c r="H270" s="9">
        <f t="shared" si="64"/>
        <v>6.2093645484949604</v>
      </c>
      <c r="I270" s="9">
        <f t="shared" si="52"/>
        <v>8.6171193278888267E-2</v>
      </c>
      <c r="J270" s="9">
        <f t="shared" si="53"/>
        <v>0.1175553137072948</v>
      </c>
      <c r="K270" s="9">
        <f t="shared" si="54"/>
        <v>7.2253594507967728E-2</v>
      </c>
      <c r="L270" s="9">
        <f t="shared" si="55"/>
        <v>0.11616338421917012</v>
      </c>
      <c r="M270" s="9">
        <f t="shared" si="56"/>
        <v>3.2228896245897039E-2</v>
      </c>
      <c r="X270" s="9">
        <f t="shared" si="57"/>
        <v>0.11929594353780187</v>
      </c>
      <c r="Y270" s="9">
        <f t="shared" si="58"/>
        <v>8.1345692373722633E-2</v>
      </c>
      <c r="Z270" s="9">
        <f t="shared" si="59"/>
        <v>0.11762018160376876</v>
      </c>
      <c r="AB270" s="9">
        <f t="shared" si="60"/>
        <v>0.9214810032048486</v>
      </c>
      <c r="AC270" s="9">
        <f t="shared" si="61"/>
        <v>0.95823272681066896</v>
      </c>
      <c r="AD270" s="9">
        <f t="shared" si="62"/>
        <v>0.83994020218586529</v>
      </c>
      <c r="AE270" s="9">
        <f t="shared" si="63"/>
        <v>0.92255253367680701</v>
      </c>
    </row>
    <row r="271" spans="7:31" x14ac:dyDescent="0.3">
      <c r="G271" s="9">
        <v>266</v>
      </c>
      <c r="H271" s="9">
        <f t="shared" si="64"/>
        <v>6.229096989966532</v>
      </c>
      <c r="I271" s="9">
        <f t="shared" si="52"/>
        <v>8.4838656131265719E-2</v>
      </c>
      <c r="J271" s="9">
        <f t="shared" si="53"/>
        <v>0.1151308549017139</v>
      </c>
      <c r="K271" s="9">
        <f t="shared" si="54"/>
        <v>6.566504393719802E-2</v>
      </c>
      <c r="L271" s="9">
        <f t="shared" si="55"/>
        <v>0.11512246286131517</v>
      </c>
      <c r="M271" s="9">
        <f t="shared" si="56"/>
        <v>3.2218282187041009E-2</v>
      </c>
      <c r="X271" s="9">
        <f t="shared" si="57"/>
        <v>0.11673379770750053</v>
      </c>
      <c r="Y271" s="9">
        <f t="shared" si="58"/>
        <v>7.4133178213922554E-2</v>
      </c>
      <c r="Z271" s="9">
        <f t="shared" si="59"/>
        <v>0.11693344042526849</v>
      </c>
      <c r="AB271" s="9">
        <f t="shared" si="60"/>
        <v>0.92380983074060585</v>
      </c>
      <c r="AC271" s="9">
        <f t="shared" si="61"/>
        <v>0.9597548691820238</v>
      </c>
      <c r="AD271" s="9">
        <f t="shared" si="62"/>
        <v>0.84225437696325223</v>
      </c>
      <c r="AE271" s="9">
        <f t="shared" si="63"/>
        <v>0.92484824120604781</v>
      </c>
    </row>
    <row r="272" spans="7:31" x14ac:dyDescent="0.3">
      <c r="G272" s="9">
        <v>267</v>
      </c>
      <c r="H272" s="9">
        <f t="shared" si="64"/>
        <v>6.2488294314381037</v>
      </c>
      <c r="I272" s="9">
        <f t="shared" si="52"/>
        <v>8.3516289365624524E-2</v>
      </c>
      <c r="J272" s="9">
        <f t="shared" si="53"/>
        <v>0.11272245696284137</v>
      </c>
      <c r="K272" s="9">
        <f t="shared" si="54"/>
        <v>6.0765464038368626E-2</v>
      </c>
      <c r="L272" s="9">
        <f t="shared" si="55"/>
        <v>0.11407665512928511</v>
      </c>
      <c r="M272" s="9">
        <f t="shared" si="56"/>
        <v>3.2207586378885183E-2</v>
      </c>
      <c r="X272" s="9">
        <f t="shared" si="57"/>
        <v>0.11438025042031999</v>
      </c>
      <c r="Y272" s="9">
        <f t="shared" si="58"/>
        <v>7.0694824449795662E-2</v>
      </c>
      <c r="Z272" s="9">
        <f t="shared" si="59"/>
        <v>0.11623638035961725</v>
      </c>
      <c r="AB272" s="9">
        <f t="shared" si="60"/>
        <v>0.92608921429319102</v>
      </c>
      <c r="AC272" s="9">
        <f t="shared" si="61"/>
        <v>0.96118663758679379</v>
      </c>
      <c r="AD272" s="9">
        <f t="shared" si="62"/>
        <v>0.84455489885210899</v>
      </c>
      <c r="AE272" s="9">
        <f t="shared" si="63"/>
        <v>0.92709626503586529</v>
      </c>
    </row>
    <row r="273" spans="7:31" x14ac:dyDescent="0.3">
      <c r="G273" s="9">
        <v>268</v>
      </c>
      <c r="H273" s="9">
        <f t="shared" si="64"/>
        <v>6.2685618729096753</v>
      </c>
      <c r="I273" s="9">
        <f t="shared" si="52"/>
        <v>8.2204262313241669E-2</v>
      </c>
      <c r="J273" s="9">
        <f t="shared" si="53"/>
        <v>0.1103311177853827</v>
      </c>
      <c r="K273" s="9">
        <f t="shared" si="54"/>
        <v>5.741869101049292E-2</v>
      </c>
      <c r="L273" s="9">
        <f t="shared" si="55"/>
        <v>0.11302624863691156</v>
      </c>
      <c r="M273" s="9">
        <f t="shared" si="56"/>
        <v>3.2196808905033215E-2</v>
      </c>
      <c r="X273" s="9">
        <f t="shared" si="57"/>
        <v>0.11211353507762688</v>
      </c>
      <c r="Y273" s="9">
        <f t="shared" si="58"/>
        <v>6.5515158478942528E-2</v>
      </c>
      <c r="Z273" s="9">
        <f t="shared" si="59"/>
        <v>0.11552900140681514</v>
      </c>
      <c r="AB273" s="9">
        <f t="shared" si="60"/>
        <v>0.92832394915058447</v>
      </c>
      <c r="AC273" s="9">
        <f t="shared" si="61"/>
        <v>0.96253337870655342</v>
      </c>
      <c r="AD273" s="9">
        <f t="shared" si="62"/>
        <v>0.84684156423560042</v>
      </c>
      <c r="AE273" s="9">
        <f t="shared" si="63"/>
        <v>0.92929693198611441</v>
      </c>
    </row>
    <row r="274" spans="7:31" x14ac:dyDescent="0.3">
      <c r="G274" s="9">
        <v>269</v>
      </c>
      <c r="H274" s="9">
        <f t="shared" si="64"/>
        <v>6.2882943143812469</v>
      </c>
      <c r="I274" s="9">
        <f t="shared" si="52"/>
        <v>8.0902737810661138E-2</v>
      </c>
      <c r="J274" s="9">
        <f t="shared" si="53"/>
        <v>0.10795780199631004</v>
      </c>
      <c r="K274" s="9">
        <f t="shared" si="54"/>
        <v>5.5299733406864317E-2</v>
      </c>
      <c r="L274" s="9">
        <f t="shared" si="55"/>
        <v>0.11197153091162261</v>
      </c>
      <c r="M274" s="9">
        <f t="shared" si="56"/>
        <v>3.2185949849709329E-2</v>
      </c>
      <c r="X274" s="9">
        <f t="shared" si="57"/>
        <v>0.10978772453183366</v>
      </c>
      <c r="Y274" s="9">
        <f t="shared" si="58"/>
        <v>5.8594180301363201E-2</v>
      </c>
      <c r="Z274" s="9">
        <f t="shared" si="59"/>
        <v>0.11481130356686199</v>
      </c>
      <c r="AB274" s="9">
        <f t="shared" si="60"/>
        <v>0.9305133731338272</v>
      </c>
      <c r="AC274" s="9">
        <f t="shared" si="61"/>
        <v>0.96376073220009917</v>
      </c>
      <c r="AD274" s="9">
        <f t="shared" si="62"/>
        <v>0.849114169496888</v>
      </c>
      <c r="AE274" s="9">
        <f t="shared" si="63"/>
        <v>0.93145058824013494</v>
      </c>
    </row>
    <row r="275" spans="7:31" x14ac:dyDescent="0.3">
      <c r="G275" s="9">
        <v>270</v>
      </c>
      <c r="H275" s="9">
        <f t="shared" si="64"/>
        <v>6.3080267558528185</v>
      </c>
      <c r="I275" s="9">
        <f t="shared" si="52"/>
        <v>7.9611872220985605E-2</v>
      </c>
      <c r="J275" s="9">
        <f t="shared" si="53"/>
        <v>0.10560344048593427</v>
      </c>
      <c r="K275" s="9">
        <f t="shared" si="54"/>
        <v>5.3976374124165852E-2</v>
      </c>
      <c r="L275" s="9">
        <f t="shared" si="55"/>
        <v>0.11091278922981374</v>
      </c>
      <c r="M275" s="9">
        <f t="shared" si="56"/>
        <v>3.2175009297756942E-2</v>
      </c>
      <c r="X275" s="9">
        <f t="shared" si="57"/>
        <v>0.10740281878294067</v>
      </c>
      <c r="Y275" s="9">
        <f t="shared" si="58"/>
        <v>4.9931889917057638E-2</v>
      </c>
      <c r="Z275" s="9">
        <f t="shared" si="59"/>
        <v>0.11408328683975787</v>
      </c>
      <c r="AB275" s="9">
        <f t="shared" si="60"/>
        <v>0.93265632015028188</v>
      </c>
      <c r="AC275" s="9">
        <f t="shared" si="61"/>
        <v>0.96483433772622862</v>
      </c>
      <c r="AD275" s="9">
        <f t="shared" si="62"/>
        <v>0.85137251101913725</v>
      </c>
      <c r="AE275" s="9">
        <f t="shared" si="63"/>
        <v>0.93355759868358501</v>
      </c>
    </row>
    <row r="276" spans="7:31" x14ac:dyDescent="0.3">
      <c r="G276" s="9">
        <v>271</v>
      </c>
      <c r="H276" s="9">
        <f t="shared" si="64"/>
        <v>6.3277591973243901</v>
      </c>
      <c r="I276" s="9">
        <f t="shared" si="52"/>
        <v>7.8331815458844253E-2</v>
      </c>
      <c r="J276" s="9">
        <f t="shared" si="53"/>
        <v>0.10326892999364129</v>
      </c>
      <c r="K276" s="9">
        <f t="shared" si="54"/>
        <v>5.3001152858671692E-2</v>
      </c>
      <c r="L276" s="9">
        <f t="shared" si="55"/>
        <v>0.1098503104541786</v>
      </c>
      <c r="M276" s="9">
        <f t="shared" si="56"/>
        <v>3.2163987334637816E-2</v>
      </c>
      <c r="X276" s="9">
        <f t="shared" si="57"/>
        <v>0.1049588178309477</v>
      </c>
      <c r="Y276" s="9">
        <f t="shared" si="58"/>
        <v>4.2042860207588628E-2</v>
      </c>
      <c r="Z276" s="9">
        <f t="shared" si="59"/>
        <v>0.1133449512255028</v>
      </c>
      <c r="AB276" s="9">
        <f t="shared" si="60"/>
        <v>0.93475162410731416</v>
      </c>
      <c r="AC276" s="9">
        <f t="shared" si="61"/>
        <v>0.96572503968974843</v>
      </c>
      <c r="AD276" s="9">
        <f t="shared" si="62"/>
        <v>0.85361638518550798</v>
      </c>
      <c r="AE276" s="9">
        <f t="shared" si="63"/>
        <v>0.93561834623455653</v>
      </c>
    </row>
    <row r="277" spans="7:31" x14ac:dyDescent="0.3">
      <c r="G277" s="9">
        <v>272</v>
      </c>
      <c r="H277" s="9">
        <f t="shared" si="64"/>
        <v>6.3474916387959617</v>
      </c>
      <c r="I277" s="9">
        <f t="shared" si="52"/>
        <v>7.7062711018959618E-2</v>
      </c>
      <c r="J277" s="9">
        <f t="shared" si="53"/>
        <v>0.10095513275035416</v>
      </c>
      <c r="K277" s="9">
        <f t="shared" si="54"/>
        <v>5.1995465912611123E-2</v>
      </c>
      <c r="L277" s="9">
        <f t="shared" si="55"/>
        <v>0.10878438087311322</v>
      </c>
      <c r="M277" s="9">
        <f t="shared" si="56"/>
        <v>3.2152884046430928E-2</v>
      </c>
      <c r="X277" s="9">
        <f t="shared" si="57"/>
        <v>0.10265131363966727</v>
      </c>
      <c r="Y277" s="9">
        <f t="shared" si="58"/>
        <v>4.2479663947581847E-2</v>
      </c>
      <c r="Z277" s="9">
        <f t="shared" si="59"/>
        <v>0.11259629672409684</v>
      </c>
      <c r="AB277" s="9">
        <f t="shared" si="60"/>
        <v>0.93679924152944394</v>
      </c>
      <c r="AC277" s="9">
        <f t="shared" si="61"/>
        <v>0.96656010291491612</v>
      </c>
      <c r="AD277" s="9">
        <f t="shared" si="62"/>
        <v>0.85584558837916824</v>
      </c>
      <c r="AE277" s="9">
        <f t="shared" si="63"/>
        <v>0.93763323116607178</v>
      </c>
    </row>
    <row r="278" spans="7:31" x14ac:dyDescent="0.3">
      <c r="G278" s="9">
        <v>273</v>
      </c>
      <c r="H278" s="9">
        <f t="shared" si="64"/>
        <v>6.3672240802675333</v>
      </c>
      <c r="I278" s="9">
        <f t="shared" si="52"/>
        <v>7.5804696008235112E-2</v>
      </c>
      <c r="J278" s="9">
        <f t="shared" si="53"/>
        <v>9.866287617947285E-2</v>
      </c>
      <c r="K278" s="9">
        <f t="shared" si="54"/>
        <v>5.0712232700994953E-2</v>
      </c>
      <c r="L278" s="9">
        <f t="shared" si="55"/>
        <v>0.10771528604229957</v>
      </c>
      <c r="M278" s="9">
        <f t="shared" si="56"/>
        <v>3.2141699519831229E-2</v>
      </c>
      <c r="X278" s="9">
        <f t="shared" si="57"/>
        <v>0.10042832328392098</v>
      </c>
      <c r="Y278" s="9">
        <f t="shared" si="58"/>
        <v>4.2219942804884593E-2</v>
      </c>
      <c r="Z278" s="9">
        <f t="shared" si="59"/>
        <v>0.11184901025337889</v>
      </c>
      <c r="AB278" s="9">
        <f t="shared" si="60"/>
        <v>0.9388029601614335</v>
      </c>
      <c r="AC278" s="9">
        <f t="shared" si="61"/>
        <v>0.9673969132760768</v>
      </c>
      <c r="AD278" s="9">
        <f t="shared" si="62"/>
        <v>0.85805999361191176</v>
      </c>
      <c r="AE278" s="9">
        <f t="shared" si="63"/>
        <v>0.93960267042209811</v>
      </c>
    </row>
    <row r="279" spans="7:31" x14ac:dyDescent="0.3">
      <c r="G279" s="9">
        <v>274</v>
      </c>
      <c r="H279" s="9">
        <f t="shared" si="64"/>
        <v>6.3869565217391049</v>
      </c>
      <c r="I279" s="9">
        <f t="shared" si="52"/>
        <v>7.4557901181282485E-2</v>
      </c>
      <c r="J279" s="9">
        <f t="shared" si="53"/>
        <v>9.6392952657719397E-2</v>
      </c>
      <c r="K279" s="9">
        <f t="shared" si="54"/>
        <v>4.9069649541717275E-2</v>
      </c>
      <c r="L279" s="9">
        <f t="shared" si="55"/>
        <v>0.10664331062857398</v>
      </c>
      <c r="M279" s="9">
        <f t="shared" si="56"/>
        <v>3.2130433842148622E-2</v>
      </c>
      <c r="X279" s="9">
        <f t="shared" si="57"/>
        <v>9.8150535558027524E-2</v>
      </c>
      <c r="Y279" s="9">
        <f t="shared" si="58"/>
        <v>4.3326458921306585E-2</v>
      </c>
      <c r="Z279" s="9">
        <f t="shared" si="59"/>
        <v>0.11109737814089247</v>
      </c>
      <c r="AB279" s="9">
        <f t="shared" si="60"/>
        <v>0.94076227312338723</v>
      </c>
      <c r="AC279" s="9">
        <f t="shared" si="61"/>
        <v>0.96823270929921557</v>
      </c>
      <c r="AD279" s="9">
        <f t="shared" si="62"/>
        <v>0.86025964869044591</v>
      </c>
      <c r="AE279" s="9">
        <f t="shared" si="63"/>
        <v>0.9415270969282491</v>
      </c>
    </row>
    <row r="280" spans="7:31" x14ac:dyDescent="0.3">
      <c r="G280" s="9">
        <v>275</v>
      </c>
      <c r="H280" s="9">
        <f t="shared" si="64"/>
        <v>6.4066889632106765</v>
      </c>
      <c r="I280" s="9">
        <f t="shared" si="52"/>
        <v>7.3322450979307563E-2</v>
      </c>
      <c r="J280" s="9">
        <f t="shared" si="53"/>
        <v>9.4146119336966969E-2</v>
      </c>
      <c r="K280" s="9">
        <f t="shared" si="54"/>
        <v>4.7154192725086218E-2</v>
      </c>
      <c r="L280" s="9">
        <f t="shared" si="55"/>
        <v>0.10556873825617936</v>
      </c>
      <c r="M280" s="9">
        <f t="shared" si="56"/>
        <v>3.2119087101306711E-2</v>
      </c>
      <c r="X280" s="9">
        <f t="shared" si="57"/>
        <v>9.5817950461986864E-2</v>
      </c>
      <c r="Y280" s="9">
        <f t="shared" si="58"/>
        <v>4.5259610608436238E-2</v>
      </c>
      <c r="Z280" s="9">
        <f t="shared" si="59"/>
        <v>0.11033553033012654</v>
      </c>
      <c r="AB280" s="9">
        <f t="shared" si="60"/>
        <v>0.94267609912940431</v>
      </c>
      <c r="AC280" s="9">
        <f t="shared" si="61"/>
        <v>0.96910843703237182</v>
      </c>
      <c r="AD280" s="9">
        <f t="shared" si="62"/>
        <v>0.86244437144197639</v>
      </c>
      <c r="AE280" s="9">
        <f t="shared" si="63"/>
        <v>0.94340695889837567</v>
      </c>
    </row>
    <row r="281" spans="7:31" x14ac:dyDescent="0.3">
      <c r="G281" s="9">
        <v>276</v>
      </c>
      <c r="H281" s="9">
        <f t="shared" si="64"/>
        <v>6.4264214046822481</v>
      </c>
      <c r="I281" s="9">
        <f t="shared" si="52"/>
        <v>7.2098463572269567E-2</v>
      </c>
      <c r="J281" s="9">
        <f t="shared" si="53"/>
        <v>9.1923098027777206E-2</v>
      </c>
      <c r="K281" s="9">
        <f t="shared" si="54"/>
        <v>4.5195423089059286E-2</v>
      </c>
      <c r="L281" s="9">
        <f t="shared" si="55"/>
        <v>0.1044918513555002</v>
      </c>
      <c r="M281" s="9">
        <f t="shared" si="56"/>
        <v>3.2107659385841744E-2</v>
      </c>
      <c r="X281" s="9">
        <f t="shared" si="57"/>
        <v>9.3430567995799033E-2</v>
      </c>
      <c r="Y281" s="9">
        <f t="shared" si="58"/>
        <v>4.6147974971530156E-2</v>
      </c>
      <c r="Z281" s="9">
        <f t="shared" si="59"/>
        <v>0.10956346682108113</v>
      </c>
      <c r="AB281" s="9">
        <f t="shared" si="60"/>
        <v>0.94454335689358804</v>
      </c>
      <c r="AC281" s="9">
        <f t="shared" si="61"/>
        <v>0.97001200246568908</v>
      </c>
      <c r="AD281" s="9">
        <f t="shared" si="62"/>
        <v>0.8646139602858367</v>
      </c>
      <c r="AE281" s="9">
        <f t="shared" si="63"/>
        <v>0.94524271913823688</v>
      </c>
    </row>
    <row r="282" spans="7:31" x14ac:dyDescent="0.3">
      <c r="G282" s="9">
        <v>277</v>
      </c>
      <c r="H282" s="9">
        <f t="shared" si="64"/>
        <v>6.4461538461538197</v>
      </c>
      <c r="I282" s="9">
        <f t="shared" si="52"/>
        <v>7.0886050904230127E-2</v>
      </c>
      <c r="J282" s="9">
        <f t="shared" si="53"/>
        <v>8.9724575145002414E-2</v>
      </c>
      <c r="K282" s="9">
        <f t="shared" si="54"/>
        <v>4.3518300770353187E-2</v>
      </c>
      <c r="L282" s="9">
        <f t="shared" si="55"/>
        <v>0.10341293101437134</v>
      </c>
      <c r="M282" s="9">
        <f t="shared" si="56"/>
        <v>3.2096150784901599E-2</v>
      </c>
      <c r="X282" s="9">
        <f t="shared" si="57"/>
        <v>9.1204326724677195E-2</v>
      </c>
      <c r="Y282" s="9">
        <f t="shared" si="58"/>
        <v>4.5991552010588341E-2</v>
      </c>
      <c r="Z282" s="9">
        <f t="shared" si="59"/>
        <v>0.1087811876137562</v>
      </c>
      <c r="AB282" s="9">
        <f t="shared" si="60"/>
        <v>0.94636406042529431</v>
      </c>
      <c r="AC282" s="9">
        <f t="shared" si="61"/>
        <v>0.97092278939444554</v>
      </c>
      <c r="AD282" s="9">
        <f t="shared" si="62"/>
        <v>0.86676821364135914</v>
      </c>
      <c r="AE282" s="9">
        <f t="shared" si="63"/>
        <v>0.94703485434749479</v>
      </c>
    </row>
    <row r="283" spans="7:31" x14ac:dyDescent="0.3">
      <c r="G283" s="9">
        <v>278</v>
      </c>
      <c r="H283" s="9">
        <f t="shared" si="64"/>
        <v>6.4658862876253913</v>
      </c>
      <c r="I283" s="9">
        <f t="shared" si="52"/>
        <v>6.9685318741804225E-2</v>
      </c>
      <c r="J283" s="9">
        <f t="shared" si="53"/>
        <v>8.7551201715436427E-2</v>
      </c>
      <c r="K283" s="9">
        <f t="shared" si="54"/>
        <v>4.2480972513101144E-2</v>
      </c>
      <c r="L283" s="9">
        <f t="shared" si="55"/>
        <v>0.10233225683205159</v>
      </c>
      <c r="M283" s="9">
        <f t="shared" si="56"/>
        <v>3.2084561388244219E-2</v>
      </c>
      <c r="X283" s="9">
        <f t="shared" si="57"/>
        <v>8.9130986548121446E-2</v>
      </c>
      <c r="Y283" s="9">
        <f t="shared" si="58"/>
        <v>4.4790341725610784E-2</v>
      </c>
      <c r="Z283" s="9">
        <f t="shared" si="59"/>
        <v>0.10798869270815198</v>
      </c>
      <c r="AB283" s="9">
        <f t="shared" si="60"/>
        <v>0.94814336970562429</v>
      </c>
      <c r="AC283" s="9">
        <f t="shared" si="61"/>
        <v>0.9718201816139197</v>
      </c>
      <c r="AD283" s="9">
        <f t="shared" si="62"/>
        <v>0.86890692992787366</v>
      </c>
      <c r="AE283" s="9">
        <f t="shared" si="63"/>
        <v>0.94878385442124036</v>
      </c>
    </row>
    <row r="284" spans="7:31" x14ac:dyDescent="0.3">
      <c r="G284" s="9">
        <v>279</v>
      </c>
      <c r="H284" s="9">
        <f t="shared" si="64"/>
        <v>6.4856187290969629</v>
      </c>
      <c r="I284" s="9">
        <f t="shared" si="52"/>
        <v>6.8496366725626215E-2</v>
      </c>
      <c r="J284" s="9">
        <f t="shared" si="53"/>
        <v>8.5403593447130305E-2</v>
      </c>
      <c r="K284" s="9">
        <f t="shared" si="54"/>
        <v>4.2407490626980508E-2</v>
      </c>
      <c r="L284" s="9">
        <f t="shared" si="55"/>
        <v>0.10125010677594737</v>
      </c>
      <c r="M284" s="9">
        <f t="shared" si="56"/>
        <v>3.2072891286236888E-2</v>
      </c>
      <c r="X284" s="9">
        <f t="shared" si="57"/>
        <v>8.7008221292609475E-2</v>
      </c>
      <c r="Y284" s="9">
        <f t="shared" si="58"/>
        <v>4.6158429848030896E-2</v>
      </c>
      <c r="Z284" s="9">
        <f t="shared" si="59"/>
        <v>0.1071859821042682</v>
      </c>
      <c r="AB284" s="9">
        <f t="shared" si="60"/>
        <v>0.94988127928353017</v>
      </c>
      <c r="AC284" s="9">
        <f t="shared" si="61"/>
        <v>0.97270035089074403</v>
      </c>
      <c r="AD284" s="9">
        <f t="shared" si="62"/>
        <v>0.87102990756471366</v>
      </c>
      <c r="AE284" s="9">
        <f t="shared" si="63"/>
        <v>0.95049022175228814</v>
      </c>
    </row>
    <row r="285" spans="7:31" x14ac:dyDescent="0.3">
      <c r="G285" s="9">
        <v>280</v>
      </c>
      <c r="H285" s="9">
        <f t="shared" si="64"/>
        <v>6.5053511705685345</v>
      </c>
      <c r="I285" s="9">
        <f t="shared" si="52"/>
        <v>6.7319288424741261E-2</v>
      </c>
      <c r="J285" s="9">
        <f t="shared" si="53"/>
        <v>8.3282330859616824E-2</v>
      </c>
      <c r="K285" s="9">
        <f t="shared" si="54"/>
        <v>4.3525465889964976E-2</v>
      </c>
      <c r="L285" s="9">
        <f t="shared" si="55"/>
        <v>0.10016675704116836</v>
      </c>
      <c r="M285" s="9">
        <f t="shared" si="56"/>
        <v>3.2061140569854839E-2</v>
      </c>
      <c r="X285" s="9">
        <f t="shared" si="57"/>
        <v>8.4836030958141226E-2</v>
      </c>
      <c r="Y285" s="9">
        <f t="shared" si="58"/>
        <v>5.0086712131342845E-2</v>
      </c>
      <c r="Z285" s="9">
        <f t="shared" si="59"/>
        <v>0.10637305580210495</v>
      </c>
      <c r="AB285" s="9">
        <f t="shared" si="60"/>
        <v>0.95157681388153648</v>
      </c>
      <c r="AC285" s="9">
        <f t="shared" si="61"/>
        <v>0.97365279006802652</v>
      </c>
      <c r="AD285" s="9">
        <f t="shared" si="62"/>
        <v>0.8731369449712082</v>
      </c>
      <c r="AE285" s="9">
        <f t="shared" si="63"/>
        <v>0.95215447053543201</v>
      </c>
    </row>
    <row r="286" spans="7:31" x14ac:dyDescent="0.3">
      <c r="G286" s="9">
        <v>281</v>
      </c>
      <c r="H286" s="9">
        <f t="shared" si="64"/>
        <v>6.5250836120401061</v>
      </c>
      <c r="I286" s="9">
        <f t="shared" si="52"/>
        <v>6.6154171393832645E-2</v>
      </c>
      <c r="J286" s="9">
        <f t="shared" si="53"/>
        <v>8.1187959473932383E-2</v>
      </c>
      <c r="K286" s="9">
        <f t="shared" si="54"/>
        <v>4.5917923960960408E-2</v>
      </c>
      <c r="L286" s="9">
        <f t="shared" si="55"/>
        <v>9.908248191299264E-2</v>
      </c>
      <c r="M286" s="9">
        <f t="shared" si="56"/>
        <v>3.2049309330680044E-2</v>
      </c>
      <c r="X286" s="9">
        <f t="shared" si="57"/>
        <v>8.2614415544716588E-2</v>
      </c>
      <c r="Y286" s="9">
        <f t="shared" si="58"/>
        <v>5.257002043006169E-2</v>
      </c>
      <c r="Z286" s="9">
        <f t="shared" si="59"/>
        <v>0.10554991380166225</v>
      </c>
      <c r="AB286" s="9">
        <f t="shared" si="60"/>
        <v>0.95322899822216167</v>
      </c>
      <c r="AC286" s="9">
        <f t="shared" si="61"/>
        <v>0.97466578225313527</v>
      </c>
      <c r="AD286" s="9">
        <f t="shared" si="62"/>
        <v>0.87522784056669123</v>
      </c>
      <c r="AE286" s="9">
        <f t="shared" si="63"/>
        <v>0.95377712607487053</v>
      </c>
    </row>
    <row r="287" spans="7:31" x14ac:dyDescent="0.3">
      <c r="G287" s="9">
        <v>282</v>
      </c>
      <c r="H287" s="9">
        <f t="shared" si="64"/>
        <v>6.5448160535116777</v>
      </c>
      <c r="I287" s="9">
        <f t="shared" si="52"/>
        <v>6.5001097233193944E-2</v>
      </c>
      <c r="J287" s="9">
        <f t="shared" si="53"/>
        <v>7.9120990060973409E-2</v>
      </c>
      <c r="K287" s="9">
        <f t="shared" si="54"/>
        <v>4.9496535307162907E-2</v>
      </c>
      <c r="L287" s="9">
        <f t="shared" si="55"/>
        <v>9.7997553632317227E-2</v>
      </c>
      <c r="M287" s="9">
        <f t="shared" si="56"/>
        <v>3.2037397660900115E-2</v>
      </c>
      <c r="X287" s="9">
        <f t="shared" si="57"/>
        <v>8.0493304547339356E-2</v>
      </c>
      <c r="Y287" s="9">
        <f t="shared" si="58"/>
        <v>5.7162362453226437E-2</v>
      </c>
      <c r="Z287" s="9">
        <f t="shared" si="59"/>
        <v>0.10471655610294008</v>
      </c>
      <c r="AB287" s="9">
        <f t="shared" si="60"/>
        <v>0.95483751742664313</v>
      </c>
      <c r="AC287" s="9">
        <f t="shared" si="61"/>
        <v>0.97575071685393922</v>
      </c>
      <c r="AD287" s="9">
        <f t="shared" si="62"/>
        <v>0.87730239277049349</v>
      </c>
      <c r="AE287" s="9">
        <f t="shared" si="63"/>
        <v>0.95535872409595735</v>
      </c>
    </row>
    <row r="288" spans="7:31" x14ac:dyDescent="0.3">
      <c r="G288" s="9">
        <v>283</v>
      </c>
      <c r="H288" s="9">
        <f t="shared" si="64"/>
        <v>6.5645484949832493</v>
      </c>
      <c r="I288" s="9">
        <f t="shared" si="52"/>
        <v>6.3860141651354271E-2</v>
      </c>
      <c r="J288" s="9">
        <f t="shared" si="53"/>
        <v>7.7081898946393806E-2</v>
      </c>
      <c r="K288" s="9">
        <f t="shared" si="54"/>
        <v>5.4000256158662482E-2</v>
      </c>
      <c r="L288" s="9">
        <f t="shared" si="55"/>
        <v>9.6912242264162687E-2</v>
      </c>
      <c r="M288" s="9">
        <f t="shared" si="56"/>
        <v>3.2025405653307158E-2</v>
      </c>
      <c r="X288" s="9">
        <f t="shared" si="57"/>
        <v>7.8511457221438138E-2</v>
      </c>
      <c r="Y288" s="9">
        <f t="shared" si="58"/>
        <v>6.036165471101021E-2</v>
      </c>
      <c r="Z288" s="9">
        <f t="shared" si="59"/>
        <v>0.10387298270593844</v>
      </c>
      <c r="AB288" s="9">
        <f t="shared" si="60"/>
        <v>0.95640636771018928</v>
      </c>
      <c r="AC288" s="9">
        <f t="shared" si="61"/>
        <v>0.97691252543845153</v>
      </c>
      <c r="AD288" s="9">
        <f t="shared" si="62"/>
        <v>0.87936040000194704</v>
      </c>
      <c r="AE288" s="9">
        <f t="shared" si="63"/>
        <v>0.95689981006241154</v>
      </c>
    </row>
    <row r="289" spans="7:31" x14ac:dyDescent="0.3">
      <c r="G289" s="9">
        <v>284</v>
      </c>
      <c r="H289" s="9">
        <f t="shared" si="64"/>
        <v>6.5842809364548209</v>
      </c>
      <c r="I289" s="9">
        <f t="shared" si="52"/>
        <v>6.2731374530264075E-2</v>
      </c>
      <c r="J289" s="9">
        <f t="shared" si="53"/>
        <v>7.5071128369934986E-2</v>
      </c>
      <c r="K289" s="9">
        <f t="shared" si="54"/>
        <v>5.9019885214484841E-2</v>
      </c>
      <c r="L289" s="9">
        <f t="shared" si="55"/>
        <v>9.5826815569298965E-2</v>
      </c>
      <c r="M289" s="9">
        <f t="shared" si="56"/>
        <v>3.2013333401296307E-2</v>
      </c>
      <c r="X289" s="9">
        <f t="shared" si="57"/>
        <v>7.6484482649533378E-2</v>
      </c>
      <c r="Y289" s="9">
        <f t="shared" si="58"/>
        <v>6.2167897203412995E-2</v>
      </c>
      <c r="Z289" s="9">
        <f t="shared" si="59"/>
        <v>0.10301919361065741</v>
      </c>
      <c r="AB289" s="9">
        <f t="shared" si="60"/>
        <v>0.95793566607200209</v>
      </c>
      <c r="AC289" s="9">
        <f t="shared" si="61"/>
        <v>0.9781237197337096</v>
      </c>
      <c r="AD289" s="9">
        <f t="shared" si="62"/>
        <v>0.88140166068038295</v>
      </c>
      <c r="AE289" s="9">
        <f t="shared" si="63"/>
        <v>0.95840093850008412</v>
      </c>
    </row>
    <row r="290" spans="7:31" x14ac:dyDescent="0.3">
      <c r="G290" s="9">
        <v>285</v>
      </c>
      <c r="H290" s="9">
        <f t="shared" si="64"/>
        <v>6.6040133779263925</v>
      </c>
      <c r="I290" s="9">
        <f t="shared" si="52"/>
        <v>6.161485999294871E-2</v>
      </c>
      <c r="J290" s="9">
        <f t="shared" si="53"/>
        <v>7.3089086896787864E-2</v>
      </c>
      <c r="K290" s="9">
        <f t="shared" si="54"/>
        <v>6.4045694877481435E-2</v>
      </c>
      <c r="L290" s="9">
        <f t="shared" si="55"/>
        <v>9.4741538879055842E-2</v>
      </c>
      <c r="M290" s="9">
        <f t="shared" si="56"/>
        <v>3.2001180998864835E-2</v>
      </c>
      <c r="X290" s="9">
        <f t="shared" si="57"/>
        <v>7.4412380831625047E-2</v>
      </c>
      <c r="Y290" s="9">
        <f t="shared" si="58"/>
        <v>6.2581089930434819E-2</v>
      </c>
      <c r="Z290" s="9">
        <f t="shared" si="59"/>
        <v>0.10215518881709679</v>
      </c>
      <c r="AB290" s="9">
        <f t="shared" si="60"/>
        <v>0.95942452204133988</v>
      </c>
      <c r="AC290" s="9">
        <f t="shared" si="61"/>
        <v>0.97935681146675146</v>
      </c>
      <c r="AD290" s="9">
        <f t="shared" si="62"/>
        <v>0.88342597322513217</v>
      </c>
      <c r="AE290" s="9">
        <f t="shared" si="63"/>
        <v>0.95986267232834033</v>
      </c>
    </row>
    <row r="291" spans="7:31" x14ac:dyDescent="0.3">
      <c r="G291" s="9">
        <v>286</v>
      </c>
      <c r="H291" s="9">
        <f t="shared" si="64"/>
        <v>6.6237458193979641</v>
      </c>
      <c r="I291" s="9">
        <f t="shared" si="52"/>
        <v>6.0510656473535783E-2</v>
      </c>
      <c r="J291" s="9">
        <f t="shared" si="53"/>
        <v>7.1136149878319538E-2</v>
      </c>
      <c r="K291" s="9">
        <f t="shared" si="54"/>
        <v>6.853239291625815E-2</v>
      </c>
      <c r="L291" s="9">
        <f t="shared" si="55"/>
        <v>9.3656674973375723E-2</v>
      </c>
      <c r="M291" s="9">
        <f t="shared" si="56"/>
        <v>3.1988948540610761E-2</v>
      </c>
      <c r="X291" s="9">
        <f t="shared" si="57"/>
        <v>7.2295151767713159E-2</v>
      </c>
      <c r="Y291" s="9">
        <f t="shared" si="58"/>
        <v>6.162904586497811E-2</v>
      </c>
      <c r="Z291" s="9">
        <f t="shared" si="59"/>
        <v>0.10128096832525685</v>
      </c>
      <c r="AB291" s="9">
        <f t="shared" si="60"/>
        <v>0.96087204514746283</v>
      </c>
      <c r="AC291" s="9">
        <f t="shared" si="61"/>
        <v>0.98058431429771686</v>
      </c>
      <c r="AD291" s="9">
        <f t="shared" si="62"/>
        <v>0.88543313605552798</v>
      </c>
      <c r="AE291" s="9">
        <f t="shared" si="63"/>
        <v>0.96128558220004212</v>
      </c>
    </row>
    <row r="292" spans="7:31" x14ac:dyDescent="0.3">
      <c r="G292" s="9">
        <v>287</v>
      </c>
      <c r="H292" s="9">
        <f t="shared" si="64"/>
        <v>6.6434782608695357</v>
      </c>
      <c r="I292" s="9">
        <f t="shared" si="52"/>
        <v>5.941881678956281E-2</v>
      </c>
      <c r="J292" s="9">
        <f t="shared" si="53"/>
        <v>6.9212659959255268E-2</v>
      </c>
      <c r="K292" s="9">
        <f t="shared" si="54"/>
        <v>7.1973151827235446E-2</v>
      </c>
      <c r="L292" s="9">
        <f t="shared" si="55"/>
        <v>9.25724839621649E-2</v>
      </c>
      <c r="M292" s="9">
        <f t="shared" si="56"/>
        <v>3.1976636121731607E-2</v>
      </c>
      <c r="X292" s="9">
        <f t="shared" si="57"/>
        <v>7.0387051242420812E-2</v>
      </c>
      <c r="Y292" s="9">
        <f t="shared" si="58"/>
        <v>6.3379212201570626E-2</v>
      </c>
      <c r="Z292" s="9">
        <f t="shared" si="59"/>
        <v>0.10039653213513738</v>
      </c>
      <c r="AB292" s="9">
        <f t="shared" si="60"/>
        <v>0.96227829507612195</v>
      </c>
      <c r="AC292" s="9">
        <f t="shared" si="61"/>
        <v>0.98181939138265761</v>
      </c>
      <c r="AD292" s="9">
        <f t="shared" si="62"/>
        <v>0.88742294759090101</v>
      </c>
      <c r="AE292" s="9">
        <f t="shared" si="63"/>
        <v>0.96267024585108663</v>
      </c>
    </row>
    <row r="293" spans="7:31" x14ac:dyDescent="0.3">
      <c r="G293" s="9">
        <v>288</v>
      </c>
      <c r="H293" s="9">
        <f t="shared" si="64"/>
        <v>6.6632107023411073</v>
      </c>
      <c r="I293" s="9">
        <f t="shared" si="52"/>
        <v>5.8339388216470278E-2</v>
      </c>
      <c r="J293" s="9">
        <f t="shared" si="53"/>
        <v>6.7318927628197217E-2</v>
      </c>
      <c r="K293" s="9">
        <f t="shared" si="54"/>
        <v>7.3972266450507279E-2</v>
      </c>
      <c r="L293" s="9">
        <f t="shared" si="55"/>
        <v>9.1489223169992528E-2</v>
      </c>
      <c r="M293" s="9">
        <f t="shared" si="56"/>
        <v>3.196424383802323E-2</v>
      </c>
      <c r="X293" s="9">
        <f t="shared" si="57"/>
        <v>6.8856221420363059E-2</v>
      </c>
      <c r="Y293" s="9">
        <f t="shared" si="58"/>
        <v>6.4084591214127393E-2</v>
      </c>
      <c r="Z293" s="9">
        <f t="shared" si="59"/>
        <v>9.9518095543432841E-2</v>
      </c>
      <c r="AB293" s="9">
        <f t="shared" si="60"/>
        <v>0.96365216001162513</v>
      </c>
      <c r="AC293" s="9">
        <f t="shared" si="61"/>
        <v>0.98307869542003989</v>
      </c>
      <c r="AD293" s="9">
        <f t="shared" si="62"/>
        <v>0.88939528006763136</v>
      </c>
      <c r="AE293" s="9">
        <f t="shared" si="63"/>
        <v>0.9640172474603933</v>
      </c>
    </row>
    <row r="294" spans="7:31" x14ac:dyDescent="0.3">
      <c r="G294" s="9">
        <v>289</v>
      </c>
      <c r="H294" s="9">
        <f t="shared" si="64"/>
        <v>6.682943143812679</v>
      </c>
      <c r="I294" s="9">
        <f t="shared" si="52"/>
        <v>5.7272412564186276E-2</v>
      </c>
      <c r="J294" s="9">
        <f t="shared" si="53"/>
        <v>6.5455231808179248E-2</v>
      </c>
      <c r="K294" s="9">
        <f t="shared" si="54"/>
        <v>7.4304537263703507E-2</v>
      </c>
      <c r="L294" s="9">
        <f t="shared" si="55"/>
        <v>9.0407147024187173E-2</v>
      </c>
      <c r="M294" s="9">
        <f t="shared" si="56"/>
        <v>3.1951771785878692E-2</v>
      </c>
      <c r="X294" s="9">
        <f t="shared" si="57"/>
        <v>6.7288860018207247E-2</v>
      </c>
      <c r="Y294" s="9">
        <f t="shared" si="58"/>
        <v>6.5035984976252542E-2</v>
      </c>
      <c r="Z294" s="9">
        <f t="shared" si="59"/>
        <v>9.8648506308063266E-2</v>
      </c>
      <c r="AB294" s="9">
        <f t="shared" si="60"/>
        <v>0.96499545750862925</v>
      </c>
      <c r="AC294" s="9">
        <f t="shared" si="61"/>
        <v>0.98434585848900802</v>
      </c>
      <c r="AD294" s="9">
        <f t="shared" si="62"/>
        <v>0.89135045196298623</v>
      </c>
      <c r="AE294" s="9">
        <f t="shared" si="63"/>
        <v>0.96532717702114212</v>
      </c>
    </row>
    <row r="295" spans="7:31" x14ac:dyDescent="0.3">
      <c r="G295" s="9">
        <v>290</v>
      </c>
      <c r="H295" s="9">
        <f t="shared" si="64"/>
        <v>6.7026755852842506</v>
      </c>
      <c r="I295" s="9">
        <f t="shared" si="52"/>
        <v>5.6217926255707366E-2</v>
      </c>
      <c r="J295" s="9">
        <f t="shared" si="53"/>
        <v>6.3621820483809849E-2</v>
      </c>
      <c r="K295" s="9">
        <f t="shared" si="54"/>
        <v>7.2949623204037889E-2</v>
      </c>
      <c r="L295" s="9">
        <f t="shared" si="55"/>
        <v>8.9326506946371301E-2</v>
      </c>
      <c r="M295" s="9">
        <f t="shared" si="56"/>
        <v>3.1939220062286597E-2</v>
      </c>
      <c r="X295" s="9">
        <f t="shared" si="57"/>
        <v>6.5684967035953293E-2</v>
      </c>
      <c r="Y295" s="9">
        <f t="shared" si="58"/>
        <v>6.7308544974863507E-2</v>
      </c>
      <c r="Z295" s="9">
        <f t="shared" si="59"/>
        <v>9.7768907752157352E-2</v>
      </c>
      <c r="AB295" s="9">
        <f t="shared" si="60"/>
        <v>0.96630746670986623</v>
      </c>
      <c r="AC295" s="9">
        <f t="shared" si="61"/>
        <v>0.98565388952409283</v>
      </c>
      <c r="AD295" s="9">
        <f t="shared" si="62"/>
        <v>0.89328836598548433</v>
      </c>
      <c r="AE295" s="9">
        <f t="shared" si="63"/>
        <v>0.96660062972403848</v>
      </c>
    </row>
    <row r="296" spans="7:31" x14ac:dyDescent="0.3">
      <c r="G296" s="9">
        <v>291</v>
      </c>
      <c r="H296" s="9">
        <f t="shared" si="64"/>
        <v>6.7224080267558222</v>
      </c>
      <c r="I296" s="9">
        <f t="shared" si="52"/>
        <v>5.5175960407581784E-2</v>
      </c>
      <c r="J296" s="9">
        <f t="shared" si="53"/>
        <v>6.1818911361439577E-2</v>
      </c>
      <c r="K296" s="9">
        <f t="shared" si="54"/>
        <v>7.0092407329350209E-2</v>
      </c>
      <c r="L296" s="9">
        <f t="shared" si="55"/>
        <v>8.8247551247476394E-2</v>
      </c>
      <c r="M296" s="9">
        <f t="shared" si="56"/>
        <v>3.1926588764830406E-2</v>
      </c>
      <c r="X296" s="9">
        <f t="shared" si="57"/>
        <v>6.4044542473601182E-2</v>
      </c>
      <c r="Y296" s="9">
        <f t="shared" si="58"/>
        <v>6.8188055208093512E-2</v>
      </c>
      <c r="Z296" s="9">
        <f t="shared" si="59"/>
        <v>9.6879299875714975E-2</v>
      </c>
      <c r="AB296" s="9">
        <f t="shared" si="60"/>
        <v>0.9675874667580715</v>
      </c>
      <c r="AC296" s="9">
        <f t="shared" si="61"/>
        <v>0.98699301957985996</v>
      </c>
      <c r="AD296" s="9">
        <f t="shared" si="62"/>
        <v>0.89520882462679296</v>
      </c>
      <c r="AE296" s="9">
        <f t="shared" si="63"/>
        <v>0.96783820535329212</v>
      </c>
    </row>
    <row r="297" spans="7:31" x14ac:dyDescent="0.3">
      <c r="G297" s="9">
        <v>292</v>
      </c>
      <c r="H297" s="9">
        <f t="shared" si="64"/>
        <v>6.7421404682273938</v>
      </c>
      <c r="I297" s="9">
        <f t="shared" si="52"/>
        <v>5.4146540912199781E-2</v>
      </c>
      <c r="J297" s="9">
        <f t="shared" si="53"/>
        <v>6.004669255870887E-2</v>
      </c>
      <c r="K297" s="9">
        <f t="shared" si="54"/>
        <v>6.6086330484726438E-2</v>
      </c>
      <c r="L297" s="9">
        <f t="shared" si="55"/>
        <v>8.7170525026271206E-2</v>
      </c>
      <c r="M297" s="9">
        <f t="shared" si="56"/>
        <v>3.191387799168665E-2</v>
      </c>
      <c r="X297" s="9">
        <f t="shared" si="57"/>
        <v>6.2419759353198219E-2</v>
      </c>
      <c r="Y297" s="9">
        <f t="shared" si="58"/>
        <v>6.7674515675942515E-2</v>
      </c>
      <c r="Z297" s="9">
        <f t="shared" si="59"/>
        <v>9.5979682678736036E-2</v>
      </c>
      <c r="AB297" s="9">
        <f t="shared" si="60"/>
        <v>0.96883489692017022</v>
      </c>
      <c r="AC297" s="9">
        <f t="shared" si="61"/>
        <v>0.9883357603833467</v>
      </c>
      <c r="AD297" s="9">
        <f t="shared" si="62"/>
        <v>0.89711163037858244</v>
      </c>
      <c r="AE297" s="9">
        <f t="shared" si="63"/>
        <v>0.96904050769590033</v>
      </c>
    </row>
    <row r="298" spans="7:31" x14ac:dyDescent="0.3">
      <c r="G298" s="9">
        <v>293</v>
      </c>
      <c r="H298" s="9">
        <f t="shared" si="64"/>
        <v>6.7618729096989654</v>
      </c>
      <c r="I298" s="9">
        <f t="shared" si="52"/>
        <v>5.3129688521797065E-2</v>
      </c>
      <c r="J298" s="9">
        <f t="shared" si="53"/>
        <v>5.830532331978338E-2</v>
      </c>
      <c r="K298" s="9">
        <f t="shared" si="54"/>
        <v>6.1384887755138173E-2</v>
      </c>
      <c r="L298" s="9">
        <f t="shared" si="55"/>
        <v>8.6095670071438271E-2</v>
      </c>
      <c r="M298" s="9">
        <f t="shared" si="56"/>
        <v>3.1901087841624078E-2</v>
      </c>
      <c r="X298" s="9">
        <f t="shared" si="57"/>
        <v>6.0875289374862543E-2</v>
      </c>
      <c r="Y298" s="9">
        <f t="shared" si="58"/>
        <v>6.5767926378410571E-2</v>
      </c>
      <c r="Z298" s="9">
        <f t="shared" si="59"/>
        <v>9.5070056161220773E-2</v>
      </c>
      <c r="AB298" s="9">
        <f t="shared" si="60"/>
        <v>0.97005140962437642</v>
      </c>
      <c r="AC298" s="9">
        <f t="shared" si="61"/>
        <v>0.98965462366159085</v>
      </c>
      <c r="AD298" s="9">
        <f t="shared" si="62"/>
        <v>0.89899658573251984</v>
      </c>
      <c r="AE298" s="9">
        <f t="shared" si="63"/>
        <v>0.9702081439648178</v>
      </c>
    </row>
    <row r="299" spans="7:31" x14ac:dyDescent="0.3">
      <c r="G299" s="9">
        <v>294</v>
      </c>
      <c r="H299" s="9">
        <f t="shared" si="64"/>
        <v>6.781605351170537</v>
      </c>
      <c r="I299" s="9">
        <f t="shared" si="52"/>
        <v>5.2125418934077253E-2</v>
      </c>
      <c r="J299" s="9">
        <f t="shared" si="53"/>
        <v>5.6594934752569735E-2</v>
      </c>
      <c r="K299" s="9">
        <f t="shared" si="54"/>
        <v>5.6454905555358259E-2</v>
      </c>
      <c r="L299" s="9">
        <f t="shared" si="55"/>
        <v>8.5023224767224362E-2</v>
      </c>
      <c r="M299" s="9">
        <f t="shared" si="56"/>
        <v>3.1888218414002086E-2</v>
      </c>
      <c r="X299" s="9">
        <f t="shared" si="57"/>
        <v>5.9296436732905147E-2</v>
      </c>
      <c r="Y299" s="9">
        <f t="shared" si="58"/>
        <v>6.2468287315497646E-2</v>
      </c>
      <c r="Z299" s="9">
        <f t="shared" si="59"/>
        <v>9.415042032316906E-2</v>
      </c>
      <c r="AB299" s="9">
        <f t="shared" si="60"/>
        <v>0.97123710693817999</v>
      </c>
      <c r="AC299" s="9">
        <f t="shared" si="61"/>
        <v>0.99092212114162992</v>
      </c>
      <c r="AD299" s="9">
        <f t="shared" si="62"/>
        <v>0.90086349318027359</v>
      </c>
      <c r="AE299" s="9">
        <f t="shared" si="63"/>
        <v>0.97134172423644505</v>
      </c>
    </row>
    <row r="300" spans="7:31" x14ac:dyDescent="0.3">
      <c r="G300" s="9">
        <v>295</v>
      </c>
      <c r="H300" s="9">
        <f t="shared" si="64"/>
        <v>6.8013377926421086</v>
      </c>
      <c r="I300" s="9">
        <f t="shared" si="52"/>
        <v>5.1133742879359352E-2</v>
      </c>
      <c r="J300" s="9">
        <f t="shared" si="53"/>
        <v>5.4915630584224023E-2</v>
      </c>
      <c r="K300" s="9">
        <f t="shared" si="54"/>
        <v>5.1690958466934486E-2</v>
      </c>
      <c r="L300" s="9">
        <f t="shared" si="55"/>
        <v>8.3953424002690444E-2</v>
      </c>
      <c r="M300" s="9">
        <f t="shared" si="56"/>
        <v>3.1875269808769528E-2</v>
      </c>
      <c r="X300" s="9">
        <f t="shared" si="57"/>
        <v>5.768320142732599E-2</v>
      </c>
      <c r="Y300" s="9">
        <f t="shared" si="58"/>
        <v>5.777559848720374E-2</v>
      </c>
      <c r="Z300" s="9">
        <f t="shared" si="59"/>
        <v>9.3220775164580882E-2</v>
      </c>
      <c r="AB300" s="9">
        <f t="shared" si="60"/>
        <v>0.97239131040768578</v>
      </c>
      <c r="AC300" s="9">
        <f t="shared" si="61"/>
        <v>0.99211076455050151</v>
      </c>
      <c r="AD300" s="9">
        <f t="shared" si="62"/>
        <v>0.90271215521351</v>
      </c>
      <c r="AE300" s="9">
        <f t="shared" si="63"/>
        <v>0.97244186090286278</v>
      </c>
    </row>
    <row r="301" spans="7:31" x14ac:dyDescent="0.3">
      <c r="G301" s="9">
        <v>296</v>
      </c>
      <c r="H301" s="9">
        <f t="shared" si="64"/>
        <v>6.8210702341136802</v>
      </c>
      <c r="I301" s="9">
        <f t="shared" si="52"/>
        <v>5.0154666209156859E-2</v>
      </c>
      <c r="J301" s="9">
        <f t="shared" si="53"/>
        <v>5.3267487931314639E-2</v>
      </c>
      <c r="K301" s="9">
        <f t="shared" si="54"/>
        <v>4.7350932816803568E-2</v>
      </c>
      <c r="L301" s="9">
        <f t="shared" si="55"/>
        <v>8.2886499084583218E-2</v>
      </c>
      <c r="M301" s="9">
        <f t="shared" si="56"/>
        <v>3.1862242126463505E-2</v>
      </c>
      <c r="X301" s="9">
        <f t="shared" si="57"/>
        <v>5.6035583458125038E-2</v>
      </c>
      <c r="Y301" s="9">
        <f t="shared" si="58"/>
        <v>5.168985989352886E-2</v>
      </c>
      <c r="Z301" s="9">
        <f t="shared" si="59"/>
        <v>9.2281120685456242E-2</v>
      </c>
      <c r="AB301" s="9">
        <f t="shared" si="60"/>
        <v>0.97351334157899638</v>
      </c>
      <c r="AC301" s="9">
        <f t="shared" si="61"/>
        <v>0.99319306561524323</v>
      </c>
      <c r="AD301" s="9">
        <f t="shared" si="62"/>
        <v>0.90454237432390072</v>
      </c>
      <c r="AE301" s="9">
        <f t="shared" si="63"/>
        <v>0.97350916813912225</v>
      </c>
    </row>
    <row r="302" spans="7:31" x14ac:dyDescent="0.3">
      <c r="G302" s="9">
        <v>297</v>
      </c>
      <c r="H302" s="9">
        <f t="shared" si="64"/>
        <v>6.8408026755852518</v>
      </c>
      <c r="I302" s="9">
        <f t="shared" si="52"/>
        <v>4.9188189986096024E-2</v>
      </c>
      <c r="J302" s="9">
        <f t="shared" si="53"/>
        <v>5.1650558081081412E-2</v>
      </c>
      <c r="K302" s="9">
        <f t="shared" si="54"/>
        <v>4.3527494967876772E-2</v>
      </c>
      <c r="L302" s="9">
        <f t="shared" si="55"/>
        <v>8.1822677653842046E-2</v>
      </c>
      <c r="M302" s="9">
        <f t="shared" si="56"/>
        <v>3.1849135468207924E-2</v>
      </c>
      <c r="X302" s="9">
        <f t="shared" si="57"/>
        <v>5.439437480047854E-2</v>
      </c>
      <c r="Y302" s="9">
        <f t="shared" si="58"/>
        <v>4.7782487363228578E-2</v>
      </c>
      <c r="Z302" s="9">
        <f t="shared" si="59"/>
        <v>9.1331456885795206E-2</v>
      </c>
      <c r="AB302" s="9">
        <f t="shared" si="60"/>
        <v>0.97460261993956121</v>
      </c>
      <c r="AC302" s="9">
        <f t="shared" si="61"/>
        <v>0.99417186388014067</v>
      </c>
      <c r="AD302" s="9">
        <f t="shared" si="62"/>
        <v>0.90635395300311361</v>
      </c>
      <c r="AE302" s="9">
        <f t="shared" si="63"/>
        <v>0.9745442613858385</v>
      </c>
    </row>
    <row r="303" spans="7:31" x14ac:dyDescent="0.3">
      <c r="G303" s="9">
        <v>298</v>
      </c>
      <c r="H303" s="9">
        <f t="shared" si="64"/>
        <v>6.8605351170568234</v>
      </c>
      <c r="I303" s="9">
        <f t="shared" si="52"/>
        <v>4.8234310575080756E-2</v>
      </c>
      <c r="J303" s="9">
        <f t="shared" si="53"/>
        <v>5.0064867280344441E-2</v>
      </c>
      <c r="K303" s="9">
        <f t="shared" si="54"/>
        <v>4.0160418589624894E-2</v>
      </c>
      <c r="L303" s="9">
        <f t="shared" si="55"/>
        <v>8.0762183605759222E-2</v>
      </c>
      <c r="M303" s="9">
        <f t="shared" si="56"/>
        <v>3.1835949935712267E-2</v>
      </c>
      <c r="X303" s="9">
        <f t="shared" si="57"/>
        <v>5.2846863558994123E-2</v>
      </c>
      <c r="Y303" s="9">
        <f t="shared" si="58"/>
        <v>4.3334762794524466E-2</v>
      </c>
      <c r="Z303" s="9">
        <f t="shared" si="59"/>
        <v>9.0383231445922474E-2</v>
      </c>
      <c r="AB303" s="9">
        <f t="shared" si="60"/>
        <v>0.97566073867340586</v>
      </c>
      <c r="AC303" s="9">
        <f t="shared" si="61"/>
        <v>0.99507256480009498</v>
      </c>
      <c r="AD303" s="9">
        <f t="shared" si="62"/>
        <v>0.90814673055338269</v>
      </c>
      <c r="AE303" s="9">
        <f t="shared" si="63"/>
        <v>0.97554775684729544</v>
      </c>
    </row>
    <row r="304" spans="7:31" x14ac:dyDescent="0.3">
      <c r="G304" s="9">
        <v>299</v>
      </c>
      <c r="H304" s="9">
        <f t="shared" si="64"/>
        <v>6.880267558528395</v>
      </c>
      <c r="I304" s="9">
        <f t="shared" si="52"/>
        <v>4.7293019735612639E-2</v>
      </c>
      <c r="J304" s="9">
        <f t="shared" si="53"/>
        <v>4.8510417528749065E-2</v>
      </c>
      <c r="K304" s="9">
        <f t="shared" si="54"/>
        <v>3.7083466980628157E-2</v>
      </c>
      <c r="L304" s="9">
        <f t="shared" si="55"/>
        <v>7.9705237013799515E-2</v>
      </c>
      <c r="M304" s="9">
        <f t="shared" si="56"/>
        <v>3.1822685631270352E-2</v>
      </c>
      <c r="X304" s="9">
        <f t="shared" si="57"/>
        <v>5.126711857036434E-2</v>
      </c>
      <c r="Y304" s="9">
        <f t="shared" si="58"/>
        <v>3.7842250901784634E-2</v>
      </c>
      <c r="Z304" s="9">
        <f t="shared" si="59"/>
        <v>8.9448799373074594E-2</v>
      </c>
      <c r="AB304" s="9">
        <f t="shared" si="60"/>
        <v>0.97668800320698623</v>
      </c>
      <c r="AC304" s="9">
        <f t="shared" si="61"/>
        <v>0.99587519315295481</v>
      </c>
      <c r="AD304" s="9">
        <f t="shared" si="62"/>
        <v>0.90992100918447227</v>
      </c>
      <c r="AE304" s="9">
        <f t="shared" si="63"/>
        <v>0.97652027100515582</v>
      </c>
    </row>
    <row r="305" spans="7:31" x14ac:dyDescent="0.3">
      <c r="G305" s="9">
        <v>300</v>
      </c>
      <c r="H305" s="9">
        <f t="shared" si="64"/>
        <v>6.8999999999999666</v>
      </c>
      <c r="I305" s="9">
        <f t="shared" si="52"/>
        <v>4.6364304715175199E-2</v>
      </c>
      <c r="J305" s="9">
        <f t="shared" si="53"/>
        <v>4.6987187373196654E-2</v>
      </c>
      <c r="K305" s="9">
        <f t="shared" si="54"/>
        <v>3.4090503642349099E-2</v>
      </c>
      <c r="L305" s="9">
        <f t="shared" si="55"/>
        <v>7.8652054057088708E-2</v>
      </c>
      <c r="M305" s="9">
        <f t="shared" si="56"/>
        <v>3.1809342657758831E-2</v>
      </c>
      <c r="X305" s="9">
        <f t="shared" si="57"/>
        <v>4.9655139834589135E-2</v>
      </c>
      <c r="Y305" s="9">
        <f t="shared" si="58"/>
        <v>3.1304951685009068E-2</v>
      </c>
      <c r="Z305" s="9">
        <f t="shared" si="59"/>
        <v>8.8504564357433244E-2</v>
      </c>
      <c r="AB305" s="9">
        <f t="shared" si="60"/>
        <v>0.97768377748977497</v>
      </c>
      <c r="AC305" s="9">
        <f t="shared" si="61"/>
        <v>0.99655913273399832</v>
      </c>
      <c r="AD305" s="9">
        <f t="shared" si="62"/>
        <v>0.91167675247138091</v>
      </c>
      <c r="AE305" s="9">
        <f t="shared" si="63"/>
        <v>0.97746242014784301</v>
      </c>
    </row>
  </sheetData>
  <mergeCells count="5">
    <mergeCell ref="J4:M4"/>
    <mergeCell ref="X4:Z4"/>
    <mergeCell ref="X2:Z2"/>
    <mergeCell ref="AB2:AD2"/>
    <mergeCell ref="AB4:AD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17BA9-A836-41EF-B788-576AA8AAFB18}">
  <sheetPr codeName="Arkusz4"/>
  <dimension ref="B2:X55"/>
  <sheetViews>
    <sheetView topLeftCell="O1" workbookViewId="0">
      <selection activeCell="AH13" sqref="AH13"/>
    </sheetView>
  </sheetViews>
  <sheetFormatPr defaultRowHeight="14.4" x14ac:dyDescent="0.3"/>
  <cols>
    <col min="2" max="2" width="12.6640625" bestFit="1" customWidth="1"/>
    <col min="3" max="3" width="11.5546875" bestFit="1" customWidth="1"/>
    <col min="4" max="4" width="12" bestFit="1" customWidth="1"/>
    <col min="5" max="5" width="10.88671875" bestFit="1" customWidth="1"/>
    <col min="6" max="6" width="10.5546875" customWidth="1"/>
    <col min="8" max="8" width="13.44140625" customWidth="1"/>
    <col min="9" max="9" width="12.6640625" bestFit="1" customWidth="1"/>
    <col min="12" max="12" width="12.6640625" bestFit="1" customWidth="1"/>
    <col min="13" max="13" width="11.33203125" customWidth="1"/>
    <col min="16" max="18" width="12.6640625" bestFit="1" customWidth="1"/>
    <col min="19" max="19" width="11.33203125" customWidth="1"/>
    <col min="20" max="20" width="10.6640625" customWidth="1"/>
    <col min="24" max="24" width="13.109375" customWidth="1"/>
  </cols>
  <sheetData>
    <row r="2" spans="2:24" x14ac:dyDescent="0.3">
      <c r="B2" s="30"/>
      <c r="C2" s="1"/>
      <c r="D2" s="1"/>
      <c r="E2" s="1"/>
      <c r="F2" s="1"/>
      <c r="I2" s="1"/>
    </row>
    <row r="3" spans="2:24" x14ac:dyDescent="0.3">
      <c r="B3" s="1"/>
      <c r="C3" s="1"/>
      <c r="D3" s="1"/>
      <c r="E3" s="1"/>
      <c r="F3" s="1"/>
      <c r="H3" s="1"/>
      <c r="I3" s="1"/>
    </row>
    <row r="4" spans="2:24" x14ac:dyDescent="0.3">
      <c r="B4" s="1"/>
      <c r="C4" s="1"/>
      <c r="D4" s="1"/>
      <c r="E4" s="1"/>
      <c r="F4" s="1"/>
      <c r="H4" s="1"/>
      <c r="I4" s="1"/>
    </row>
    <row r="5" spans="2:24" ht="41.4" x14ac:dyDescent="0.3">
      <c r="B5" s="26" t="s">
        <v>0</v>
      </c>
      <c r="C5" s="27" t="s">
        <v>1</v>
      </c>
      <c r="D5" s="27" t="s">
        <v>2</v>
      </c>
      <c r="E5" s="27" t="s">
        <v>3</v>
      </c>
      <c r="F5" s="27" t="s">
        <v>35</v>
      </c>
      <c r="H5" s="28" t="s">
        <v>5</v>
      </c>
      <c r="I5" s="3">
        <f>AVERAGE(D6:D155)</f>
        <v>4.26</v>
      </c>
      <c r="K5" s="29" t="s">
        <v>24</v>
      </c>
      <c r="L5" s="29" t="s">
        <v>26</v>
      </c>
      <c r="M5" s="28" t="s">
        <v>25</v>
      </c>
      <c r="N5" s="28" t="s">
        <v>27</v>
      </c>
      <c r="O5" s="28" t="s">
        <v>28</v>
      </c>
      <c r="P5" s="28" t="s">
        <v>29</v>
      </c>
      <c r="Q5" s="28" t="s">
        <v>30</v>
      </c>
      <c r="R5" s="28" t="s">
        <v>31</v>
      </c>
      <c r="S5" s="28" t="s">
        <v>32</v>
      </c>
      <c r="T5" s="28" t="s">
        <v>33</v>
      </c>
      <c r="V5" s="28" t="s">
        <v>24</v>
      </c>
      <c r="W5" s="28" t="s">
        <v>36</v>
      </c>
      <c r="X5" s="28" t="s">
        <v>17</v>
      </c>
    </row>
    <row r="6" spans="2:24" ht="27.6" x14ac:dyDescent="0.3">
      <c r="B6" s="2">
        <v>7</v>
      </c>
      <c r="C6" s="2">
        <v>3.2</v>
      </c>
      <c r="D6" s="2">
        <v>4.7</v>
      </c>
      <c r="E6" s="2">
        <v>1.4</v>
      </c>
      <c r="F6" s="2" t="s">
        <v>14</v>
      </c>
      <c r="H6" s="28" t="s">
        <v>8</v>
      </c>
      <c r="I6" s="4">
        <f>_xlfn.STDEV.S(D6:D155)</f>
        <v>0.46991097723996639</v>
      </c>
      <c r="K6" s="3">
        <v>1</v>
      </c>
      <c r="L6" s="11">
        <f>I10 - $I$9/2</f>
        <v>2.9249999999999998</v>
      </c>
      <c r="M6" s="11">
        <f>L6 + $I$9</f>
        <v>3.0749999999999997</v>
      </c>
      <c r="N6" s="3">
        <f>COUNTIF(D:D, "&lt;=" &amp; M6)</f>
        <v>1</v>
      </c>
      <c r="O6" s="3">
        <f>N6</f>
        <v>1</v>
      </c>
      <c r="P6" s="4">
        <f>$O6/$I$7/$I$9</f>
        <v>0.13333333333333336</v>
      </c>
      <c r="Q6" s="4">
        <f>_xlfn.NORM.DIST((L6 + M6)/2, $I$5, $I$6, FALSE)</f>
        <v>2.3317073828917807E-2</v>
      </c>
      <c r="R6" s="3">
        <f>EstymacjaGaussowska(($L6 + $M6)/2, $D$6:$D$155)</f>
        <v>7.2286816673830967E-2</v>
      </c>
      <c r="S6" s="3">
        <f>$N6/$I$7</f>
        <v>0.02</v>
      </c>
      <c r="T6" s="3">
        <f>_xlfn.NORM.DIST((L6 + M6)/2, $I$5, $I$6, TRUE)</f>
        <v>3.6661910126892178E-3</v>
      </c>
      <c r="V6" s="6">
        <v>1</v>
      </c>
      <c r="W6" s="6">
        <f>SMALL(D:D, $V6)</f>
        <v>3</v>
      </c>
      <c r="X6" s="6">
        <f>_xlfn.NORM.INV(($V6-1/2)/$I$7, $I$5, $I$6)</f>
        <v>3.1668235971093504</v>
      </c>
    </row>
    <row r="7" spans="2:24" ht="27.6" x14ac:dyDescent="0.3">
      <c r="B7" s="2">
        <v>6.4</v>
      </c>
      <c r="C7" s="2">
        <v>3.2</v>
      </c>
      <c r="D7" s="2">
        <v>4.5</v>
      </c>
      <c r="E7" s="2">
        <v>1.5</v>
      </c>
      <c r="F7" s="2" t="s">
        <v>14</v>
      </c>
      <c r="H7" s="28" t="s">
        <v>9</v>
      </c>
      <c r="I7" s="3">
        <f>COUNT(D6:D155)</f>
        <v>50</v>
      </c>
      <c r="K7" s="3">
        <v>2</v>
      </c>
      <c r="L7" s="11">
        <f>$M6</f>
        <v>3.0749999999999997</v>
      </c>
      <c r="M7" s="11">
        <f>$L7 + $I$9</f>
        <v>3.2249999999999996</v>
      </c>
      <c r="N7" s="3">
        <f t="shared" ref="N7:N20" si="0">COUNTIF(D:D, "&lt;=" &amp; M7)</f>
        <v>1</v>
      </c>
      <c r="O7" s="3">
        <f>N7 - N6</f>
        <v>0</v>
      </c>
      <c r="P7" s="4">
        <f t="shared" ref="P7:P20" si="1">$O7/$I$7/$I$9</f>
        <v>0</v>
      </c>
      <c r="Q7" s="4">
        <f t="shared" ref="Q7:Q20" si="2">_xlfn.NORM.DIST((L7 + M7)/2, $I$5, $I$6, FALSE)</f>
        <v>5.2151530396710465E-2</v>
      </c>
      <c r="R7" s="3">
        <f t="shared" ref="R7:R20" si="3">EstymacjaGaussowska(($L7 + $M7)/2, $D$6:$D$155)</f>
        <v>0.11424146492105218</v>
      </c>
      <c r="S7" s="3">
        <f t="shared" ref="S7:S20" si="4">$N7/$I$7</f>
        <v>0.02</v>
      </c>
      <c r="T7" s="3">
        <f t="shared" ref="T7:T20" si="5">_xlfn.NORM.DIST((L7 + M7)/2, $I$5, $I$6, TRUE)</f>
        <v>9.0846556744512107E-3</v>
      </c>
      <c r="V7" s="6">
        <v>2</v>
      </c>
      <c r="W7" s="6">
        <f t="shared" ref="W7:W55" si="6">SMALL(D:D, $V7)</f>
        <v>3.3</v>
      </c>
      <c r="X7" s="6">
        <f t="shared" ref="X7:X55" si="7">_xlfn.NORM.INV(($V7-1/2)/$I$7, $I$5, $I$6)</f>
        <v>3.376194437606963</v>
      </c>
    </row>
    <row r="8" spans="2:24" x14ac:dyDescent="0.3">
      <c r="B8" s="2">
        <v>6.9</v>
      </c>
      <c r="C8" s="2">
        <v>3.1</v>
      </c>
      <c r="D8" s="2">
        <v>4.9000000000000004</v>
      </c>
      <c r="E8" s="2">
        <v>1.5</v>
      </c>
      <c r="F8" s="2" t="s">
        <v>14</v>
      </c>
      <c r="H8" s="28" t="s">
        <v>10</v>
      </c>
      <c r="I8" s="3">
        <v>15</v>
      </c>
      <c r="K8" s="3">
        <v>3</v>
      </c>
      <c r="L8" s="11">
        <f t="shared" ref="L8:L20" si="8">$M7</f>
        <v>3.2249999999999996</v>
      </c>
      <c r="M8" s="11">
        <f t="shared" ref="M8:M20" si="9">L8 + $I$9</f>
        <v>3.3749999999999996</v>
      </c>
      <c r="N8" s="3">
        <f t="shared" si="0"/>
        <v>3</v>
      </c>
      <c r="O8" s="3">
        <f t="shared" ref="O8:O20" si="10">N8 - N7</f>
        <v>2</v>
      </c>
      <c r="P8" s="4">
        <f t="shared" si="1"/>
        <v>0.26666666666666672</v>
      </c>
      <c r="Q8" s="4">
        <f t="shared" si="2"/>
        <v>0.1053435106144725</v>
      </c>
      <c r="R8" s="3">
        <f t="shared" si="3"/>
        <v>0.16289235062310403</v>
      </c>
      <c r="S8" s="3">
        <f t="shared" si="4"/>
        <v>0.06</v>
      </c>
      <c r="T8" s="3">
        <f t="shared" si="5"/>
        <v>2.0529181822787367E-2</v>
      </c>
      <c r="V8" s="6">
        <v>3</v>
      </c>
      <c r="W8" s="6">
        <f t="shared" si="6"/>
        <v>3.3</v>
      </c>
      <c r="X8" s="6">
        <f t="shared" si="7"/>
        <v>3.4870652247425302</v>
      </c>
    </row>
    <row r="9" spans="2:24" x14ac:dyDescent="0.3">
      <c r="B9" s="2">
        <v>5.5</v>
      </c>
      <c r="C9" s="2">
        <v>2.2999999999999998</v>
      </c>
      <c r="D9" s="2">
        <v>4</v>
      </c>
      <c r="E9" s="2">
        <v>1.3</v>
      </c>
      <c r="F9" s="2" t="s">
        <v>14</v>
      </c>
      <c r="H9" s="28" t="s">
        <v>11</v>
      </c>
      <c r="I9" s="3">
        <f>(I11 - I10)/(I8 - 1)</f>
        <v>0.14999999999999997</v>
      </c>
      <c r="K9" s="3">
        <v>4</v>
      </c>
      <c r="L9" s="11">
        <f t="shared" si="8"/>
        <v>3.3749999999999996</v>
      </c>
      <c r="M9" s="11">
        <f t="shared" si="9"/>
        <v>3.5249999999999995</v>
      </c>
      <c r="N9" s="3">
        <f t="shared" si="0"/>
        <v>5</v>
      </c>
      <c r="O9" s="3">
        <f t="shared" si="10"/>
        <v>2</v>
      </c>
      <c r="P9" s="4">
        <f t="shared" si="1"/>
        <v>0.26666666666666672</v>
      </c>
      <c r="Q9" s="4">
        <f t="shared" si="2"/>
        <v>0.19217471138343636</v>
      </c>
      <c r="R9" s="3">
        <f t="shared" si="3"/>
        <v>0.21483444659751386</v>
      </c>
      <c r="S9" s="3">
        <f t="shared" si="4"/>
        <v>0.1</v>
      </c>
      <c r="T9" s="3">
        <f t="shared" si="5"/>
        <v>4.2378230799085315E-2</v>
      </c>
      <c r="V9" s="6">
        <v>4</v>
      </c>
      <c r="W9" s="6">
        <f t="shared" si="6"/>
        <v>3.5</v>
      </c>
      <c r="X9" s="6">
        <f t="shared" si="7"/>
        <v>3.5665095957463513</v>
      </c>
    </row>
    <row r="10" spans="2:24" x14ac:dyDescent="0.3">
      <c r="B10" s="2">
        <v>6.5</v>
      </c>
      <c r="C10" s="2">
        <v>2.8</v>
      </c>
      <c r="D10" s="2">
        <v>4.5999999999999996</v>
      </c>
      <c r="E10" s="2">
        <v>1.5</v>
      </c>
      <c r="F10" s="2" t="s">
        <v>14</v>
      </c>
      <c r="H10" s="28" t="s">
        <v>12</v>
      </c>
      <c r="I10" s="3">
        <f>MIN(D:D)</f>
        <v>3</v>
      </c>
      <c r="K10" s="3">
        <v>5</v>
      </c>
      <c r="L10" s="11">
        <f t="shared" si="8"/>
        <v>3.5249999999999995</v>
      </c>
      <c r="M10" s="11">
        <f t="shared" si="9"/>
        <v>3.6749999999999994</v>
      </c>
      <c r="N10" s="3">
        <f t="shared" si="0"/>
        <v>6</v>
      </c>
      <c r="O10" s="3">
        <f t="shared" si="10"/>
        <v>1</v>
      </c>
      <c r="P10" s="4">
        <f t="shared" si="1"/>
        <v>0.13333333333333336</v>
      </c>
      <c r="Q10" s="4">
        <f t="shared" si="2"/>
        <v>0.31661567201537133</v>
      </c>
      <c r="R10" s="3">
        <f t="shared" si="3"/>
        <v>0.28126091263596298</v>
      </c>
      <c r="S10" s="3">
        <f t="shared" si="4"/>
        <v>0.12</v>
      </c>
      <c r="T10" s="3">
        <f t="shared" si="5"/>
        <v>8.0081829354758383E-2</v>
      </c>
      <c r="V10" s="6">
        <v>5</v>
      </c>
      <c r="W10" s="6">
        <f t="shared" si="6"/>
        <v>3.5</v>
      </c>
      <c r="X10" s="6">
        <f t="shared" si="7"/>
        <v>3.6299644918792264</v>
      </c>
    </row>
    <row r="11" spans="2:24" x14ac:dyDescent="0.3">
      <c r="B11" s="2">
        <v>5.7</v>
      </c>
      <c r="C11" s="2">
        <v>2.8</v>
      </c>
      <c r="D11" s="2">
        <v>4.5</v>
      </c>
      <c r="E11" s="2">
        <v>1.3</v>
      </c>
      <c r="F11" s="2" t="s">
        <v>14</v>
      </c>
      <c r="H11" s="28" t="s">
        <v>13</v>
      </c>
      <c r="I11" s="3">
        <f>MAX(D:D)</f>
        <v>5.0999999999999996</v>
      </c>
      <c r="K11" s="3">
        <v>6</v>
      </c>
      <c r="L11" s="11">
        <f t="shared" si="8"/>
        <v>3.6749999999999994</v>
      </c>
      <c r="M11" s="11">
        <f t="shared" si="9"/>
        <v>3.8249999999999993</v>
      </c>
      <c r="N11" s="3">
        <f t="shared" si="0"/>
        <v>8</v>
      </c>
      <c r="O11" s="3">
        <f t="shared" si="10"/>
        <v>2</v>
      </c>
      <c r="P11" s="4">
        <f t="shared" si="1"/>
        <v>0.26666666666666672</v>
      </c>
      <c r="Q11" s="4">
        <f t="shared" si="2"/>
        <v>0.47110346532153069</v>
      </c>
      <c r="R11" s="3">
        <f t="shared" si="3"/>
        <v>0.38514043991163227</v>
      </c>
      <c r="S11" s="3">
        <f t="shared" si="4"/>
        <v>0.16</v>
      </c>
      <c r="T11" s="3">
        <f t="shared" si="5"/>
        <v>0.13889175703011239</v>
      </c>
      <c r="V11" s="6">
        <v>6</v>
      </c>
      <c r="W11" s="6">
        <f t="shared" si="6"/>
        <v>3.6</v>
      </c>
      <c r="X11" s="6">
        <f t="shared" si="7"/>
        <v>3.6836409725012973</v>
      </c>
    </row>
    <row r="12" spans="2:24" x14ac:dyDescent="0.3">
      <c r="B12" s="2">
        <v>6.3</v>
      </c>
      <c r="C12" s="2">
        <v>3.3</v>
      </c>
      <c r="D12" s="2">
        <v>4.7</v>
      </c>
      <c r="E12" s="2">
        <v>1.6</v>
      </c>
      <c r="F12" s="2" t="s">
        <v>14</v>
      </c>
      <c r="K12" s="3">
        <v>7</v>
      </c>
      <c r="L12" s="11">
        <f t="shared" si="8"/>
        <v>3.8249999999999993</v>
      </c>
      <c r="M12" s="11">
        <f t="shared" si="9"/>
        <v>3.9749999999999992</v>
      </c>
      <c r="N12" s="3">
        <f t="shared" si="0"/>
        <v>11</v>
      </c>
      <c r="O12" s="3">
        <f t="shared" si="10"/>
        <v>3</v>
      </c>
      <c r="P12" s="4">
        <f t="shared" si="1"/>
        <v>0.40000000000000008</v>
      </c>
      <c r="Q12" s="4">
        <f t="shared" si="2"/>
        <v>0.63306442625652404</v>
      </c>
      <c r="R12" s="3">
        <f t="shared" si="3"/>
        <v>0.51855908403867901</v>
      </c>
      <c r="S12" s="3">
        <f t="shared" si="4"/>
        <v>0.22</v>
      </c>
      <c r="T12" s="3">
        <f t="shared" si="5"/>
        <v>0.22180764161143202</v>
      </c>
      <c r="V12" s="6">
        <v>7</v>
      </c>
      <c r="W12" s="6">
        <f t="shared" si="6"/>
        <v>3.7</v>
      </c>
      <c r="X12" s="6">
        <f t="shared" si="7"/>
        <v>3.7306964437989478</v>
      </c>
    </row>
    <row r="13" spans="2:24" x14ac:dyDescent="0.3">
      <c r="B13" s="2">
        <v>4.9000000000000004</v>
      </c>
      <c r="C13" s="2">
        <v>2.4</v>
      </c>
      <c r="D13" s="2">
        <v>3.3</v>
      </c>
      <c r="E13" s="2">
        <v>1</v>
      </c>
      <c r="F13" s="2" t="s">
        <v>14</v>
      </c>
      <c r="K13" s="3">
        <v>8</v>
      </c>
      <c r="L13" s="11">
        <f t="shared" si="8"/>
        <v>3.9749999999999992</v>
      </c>
      <c r="M13" s="11">
        <f t="shared" si="9"/>
        <v>4.1249999999999991</v>
      </c>
      <c r="N13" s="3">
        <f t="shared" si="0"/>
        <v>19</v>
      </c>
      <c r="O13" s="3">
        <f t="shared" si="10"/>
        <v>8</v>
      </c>
      <c r="P13" s="4">
        <f t="shared" si="1"/>
        <v>1.0666666666666669</v>
      </c>
      <c r="Q13" s="4">
        <f t="shared" si="2"/>
        <v>0.76829364578941428</v>
      </c>
      <c r="R13" s="3">
        <f t="shared" si="3"/>
        <v>0.63527121298281763</v>
      </c>
      <c r="S13" s="3">
        <f t="shared" si="4"/>
        <v>0.38</v>
      </c>
      <c r="T13" s="3">
        <f t="shared" si="5"/>
        <v>0.32747610261167093</v>
      </c>
      <c r="V13" s="6">
        <v>8</v>
      </c>
      <c r="W13" s="6">
        <f t="shared" si="6"/>
        <v>3.8</v>
      </c>
      <c r="X13" s="6">
        <f t="shared" si="7"/>
        <v>3.7729685730988423</v>
      </c>
    </row>
    <row r="14" spans="2:24" x14ac:dyDescent="0.3">
      <c r="B14" s="2">
        <v>6.6</v>
      </c>
      <c r="C14" s="2">
        <v>2.9</v>
      </c>
      <c r="D14" s="2">
        <v>4.5999999999999996</v>
      </c>
      <c r="E14" s="2">
        <v>1.3</v>
      </c>
      <c r="F14" s="2" t="s">
        <v>14</v>
      </c>
      <c r="K14" s="3">
        <v>9</v>
      </c>
      <c r="L14" s="11">
        <f t="shared" si="8"/>
        <v>4.1249999999999991</v>
      </c>
      <c r="M14" s="11">
        <f t="shared" si="9"/>
        <v>4.2749999999999995</v>
      </c>
      <c r="N14" s="3">
        <f t="shared" si="0"/>
        <v>23</v>
      </c>
      <c r="O14" s="3">
        <f t="shared" si="10"/>
        <v>4</v>
      </c>
      <c r="P14" s="4">
        <f t="shared" si="1"/>
        <v>0.53333333333333344</v>
      </c>
      <c r="Q14" s="4">
        <f t="shared" si="2"/>
        <v>0.8420818234029448</v>
      </c>
      <c r="R14" s="3">
        <f t="shared" si="3"/>
        <v>0.7142359361629097</v>
      </c>
      <c r="S14" s="3">
        <f t="shared" si="4"/>
        <v>0.46</v>
      </c>
      <c r="T14" s="3">
        <f t="shared" si="5"/>
        <v>0.44919962163456878</v>
      </c>
      <c r="V14" s="6">
        <v>9</v>
      </c>
      <c r="W14" s="6">
        <f t="shared" si="6"/>
        <v>3.9</v>
      </c>
      <c r="X14" s="6">
        <f t="shared" si="7"/>
        <v>3.8116272734456511</v>
      </c>
    </row>
    <row r="15" spans="2:24" x14ac:dyDescent="0.3">
      <c r="B15" s="2">
        <v>5.2</v>
      </c>
      <c r="C15" s="2">
        <v>2.7</v>
      </c>
      <c r="D15" s="2">
        <v>3.9</v>
      </c>
      <c r="E15" s="2">
        <v>1.4</v>
      </c>
      <c r="F15" s="2" t="s">
        <v>14</v>
      </c>
      <c r="K15" s="3">
        <v>10</v>
      </c>
      <c r="L15" s="11">
        <f t="shared" si="8"/>
        <v>4.2749999999999995</v>
      </c>
      <c r="M15" s="11">
        <f t="shared" si="9"/>
        <v>4.4249999999999998</v>
      </c>
      <c r="N15" s="3">
        <f t="shared" si="0"/>
        <v>29</v>
      </c>
      <c r="O15" s="3">
        <f t="shared" si="10"/>
        <v>6</v>
      </c>
      <c r="P15" s="4">
        <f t="shared" si="1"/>
        <v>0.80000000000000016</v>
      </c>
      <c r="Q15" s="4">
        <f t="shared" si="2"/>
        <v>0.83354502756350068</v>
      </c>
      <c r="R15" s="3">
        <f t="shared" si="3"/>
        <v>0.77017954190074966</v>
      </c>
      <c r="S15" s="3">
        <f t="shared" si="4"/>
        <v>0.57999999999999996</v>
      </c>
      <c r="T15" s="3">
        <f t="shared" si="5"/>
        <v>0.57594310218789357</v>
      </c>
      <c r="V15" s="6">
        <v>10</v>
      </c>
      <c r="W15" s="6">
        <f t="shared" si="6"/>
        <v>3.9</v>
      </c>
      <c r="X15" s="6">
        <f t="shared" si="7"/>
        <v>3.8474668940771313</v>
      </c>
    </row>
    <row r="16" spans="2:24" x14ac:dyDescent="0.3">
      <c r="B16" s="2">
        <v>5</v>
      </c>
      <c r="C16" s="2">
        <v>2</v>
      </c>
      <c r="D16" s="2">
        <v>3.5</v>
      </c>
      <c r="E16" s="2">
        <v>1</v>
      </c>
      <c r="F16" s="2" t="s">
        <v>14</v>
      </c>
      <c r="K16" s="3">
        <v>11</v>
      </c>
      <c r="L16" s="11">
        <f t="shared" si="8"/>
        <v>4.4249999999999998</v>
      </c>
      <c r="M16" s="11">
        <f t="shared" si="9"/>
        <v>4.5750000000000002</v>
      </c>
      <c r="N16" s="3">
        <f t="shared" si="0"/>
        <v>36</v>
      </c>
      <c r="O16" s="3">
        <f t="shared" si="10"/>
        <v>7</v>
      </c>
      <c r="P16" s="4">
        <f t="shared" si="1"/>
        <v>0.93333333333333368</v>
      </c>
      <c r="Q16" s="4">
        <f t="shared" si="2"/>
        <v>0.74516347176063358</v>
      </c>
      <c r="R16" s="3">
        <f t="shared" si="3"/>
        <v>0.78405908674254088</v>
      </c>
      <c r="S16" s="3">
        <f t="shared" si="4"/>
        <v>0.72</v>
      </c>
      <c r="T16" s="3">
        <f t="shared" si="5"/>
        <v>0.69523169805790674</v>
      </c>
      <c r="V16" s="6">
        <v>11</v>
      </c>
      <c r="W16" s="6">
        <f t="shared" si="6"/>
        <v>3.9</v>
      </c>
      <c r="X16" s="6">
        <f t="shared" si="7"/>
        <v>3.8810538037465863</v>
      </c>
    </row>
    <row r="17" spans="2:24" x14ac:dyDescent="0.3">
      <c r="B17" s="2">
        <v>5.9</v>
      </c>
      <c r="C17" s="2">
        <v>3</v>
      </c>
      <c r="D17" s="2">
        <v>4.2</v>
      </c>
      <c r="E17" s="2">
        <v>1.5</v>
      </c>
      <c r="F17" s="2" t="s">
        <v>14</v>
      </c>
      <c r="K17" s="3">
        <v>12</v>
      </c>
      <c r="L17" s="11">
        <f t="shared" si="8"/>
        <v>4.5750000000000002</v>
      </c>
      <c r="M17" s="11">
        <f t="shared" si="9"/>
        <v>4.7250000000000005</v>
      </c>
      <c r="N17" s="3">
        <f t="shared" si="0"/>
        <v>44</v>
      </c>
      <c r="O17" s="3">
        <f t="shared" si="10"/>
        <v>8</v>
      </c>
      <c r="P17" s="4">
        <f t="shared" si="1"/>
        <v>1.0666666666666669</v>
      </c>
      <c r="Q17" s="4">
        <f t="shared" si="2"/>
        <v>0.60161931394853496</v>
      </c>
      <c r="R17" s="3">
        <f t="shared" si="3"/>
        <v>0.70877823645377103</v>
      </c>
      <c r="S17" s="3">
        <f t="shared" si="4"/>
        <v>0.88</v>
      </c>
      <c r="T17" s="3">
        <f t="shared" si="5"/>
        <v>0.79671489958657071</v>
      </c>
      <c r="V17" s="6">
        <v>12</v>
      </c>
      <c r="W17" s="6">
        <f t="shared" si="6"/>
        <v>4</v>
      </c>
      <c r="X17" s="6">
        <f t="shared" si="7"/>
        <v>3.9128077550687057</v>
      </c>
    </row>
    <row r="18" spans="2:24" x14ac:dyDescent="0.3">
      <c r="B18" s="2">
        <v>6</v>
      </c>
      <c r="C18" s="2">
        <v>2.2000000000000002</v>
      </c>
      <c r="D18" s="2">
        <v>4</v>
      </c>
      <c r="E18" s="2">
        <v>1</v>
      </c>
      <c r="F18" s="2" t="s">
        <v>14</v>
      </c>
      <c r="K18" s="3">
        <v>13</v>
      </c>
      <c r="L18" s="11">
        <f t="shared" si="8"/>
        <v>4.7250000000000005</v>
      </c>
      <c r="M18" s="11">
        <f t="shared" si="9"/>
        <v>4.8750000000000009</v>
      </c>
      <c r="N18" s="3">
        <f t="shared" si="0"/>
        <v>46</v>
      </c>
      <c r="O18" s="3">
        <f t="shared" si="10"/>
        <v>2</v>
      </c>
      <c r="P18" s="4">
        <f t="shared" si="1"/>
        <v>0.26666666666666672</v>
      </c>
      <c r="Q18" s="4">
        <f t="shared" si="2"/>
        <v>0.43867178619146596</v>
      </c>
      <c r="R18" s="3">
        <f t="shared" si="3"/>
        <v>0.54773141546263759</v>
      </c>
      <c r="S18" s="3">
        <f t="shared" si="4"/>
        <v>0.92</v>
      </c>
      <c r="T18" s="3">
        <f t="shared" si="5"/>
        <v>0.87475372280634878</v>
      </c>
      <c r="V18" s="6">
        <v>13</v>
      </c>
      <c r="W18" s="6">
        <f t="shared" si="6"/>
        <v>4</v>
      </c>
      <c r="X18" s="6">
        <f t="shared" si="7"/>
        <v>3.943049862347018</v>
      </c>
    </row>
    <row r="19" spans="2:24" x14ac:dyDescent="0.3">
      <c r="B19" s="2">
        <v>6.1</v>
      </c>
      <c r="C19" s="2">
        <v>2.9</v>
      </c>
      <c r="D19" s="2">
        <v>4.7</v>
      </c>
      <c r="E19" s="2">
        <v>1.4</v>
      </c>
      <c r="F19" s="2" t="s">
        <v>14</v>
      </c>
      <c r="K19" s="3">
        <v>14</v>
      </c>
      <c r="L19" s="11">
        <f t="shared" si="8"/>
        <v>4.8750000000000009</v>
      </c>
      <c r="M19" s="11">
        <f t="shared" si="9"/>
        <v>5.0250000000000012</v>
      </c>
      <c r="N19" s="3">
        <f t="shared" si="0"/>
        <v>49</v>
      </c>
      <c r="O19" s="3">
        <f t="shared" si="10"/>
        <v>3</v>
      </c>
      <c r="P19" s="4">
        <f t="shared" si="1"/>
        <v>0.40000000000000008</v>
      </c>
      <c r="Q19" s="4">
        <f t="shared" si="2"/>
        <v>0.28887193881437689</v>
      </c>
      <c r="R19" s="3">
        <f t="shared" si="3"/>
        <v>0.35973451132412049</v>
      </c>
      <c r="S19" s="3">
        <f t="shared" si="4"/>
        <v>0.98</v>
      </c>
      <c r="T19" s="3">
        <f t="shared" si="5"/>
        <v>0.92899720792243379</v>
      </c>
      <c r="V19" s="6">
        <v>14</v>
      </c>
      <c r="W19" s="6">
        <f t="shared" si="6"/>
        <v>4</v>
      </c>
      <c r="X19" s="6">
        <f t="shared" si="7"/>
        <v>3.9720324485260297</v>
      </c>
    </row>
    <row r="20" spans="2:24" x14ac:dyDescent="0.3">
      <c r="B20" s="2">
        <v>5.6</v>
      </c>
      <c r="C20" s="2">
        <v>2.9</v>
      </c>
      <c r="D20" s="2">
        <v>3.6</v>
      </c>
      <c r="E20" s="2">
        <v>1.3</v>
      </c>
      <c r="F20" s="2" t="s">
        <v>14</v>
      </c>
      <c r="K20" s="3">
        <v>15</v>
      </c>
      <c r="L20" s="11">
        <f t="shared" si="8"/>
        <v>5.0250000000000012</v>
      </c>
      <c r="M20" s="11">
        <f t="shared" si="9"/>
        <v>5.1750000000000016</v>
      </c>
      <c r="N20" s="3">
        <f t="shared" si="0"/>
        <v>50</v>
      </c>
      <c r="O20" s="3">
        <f t="shared" si="10"/>
        <v>1</v>
      </c>
      <c r="P20" s="4">
        <f t="shared" si="1"/>
        <v>0.13333333333333336</v>
      </c>
      <c r="Q20" s="4">
        <f t="shared" si="2"/>
        <v>0.17179824770554378</v>
      </c>
      <c r="R20" s="3">
        <f t="shared" si="3"/>
        <v>0.1999356276909334</v>
      </c>
      <c r="S20" s="3">
        <f t="shared" si="4"/>
        <v>1</v>
      </c>
      <c r="T20" s="3">
        <f t="shared" si="5"/>
        <v>0.96307750748372134</v>
      </c>
      <c r="V20" s="6">
        <v>15</v>
      </c>
      <c r="W20" s="6">
        <f t="shared" si="6"/>
        <v>4</v>
      </c>
      <c r="X20" s="6">
        <f t="shared" si="7"/>
        <v>3.9999584456439288</v>
      </c>
    </row>
    <row r="21" spans="2:24" x14ac:dyDescent="0.3">
      <c r="B21" s="2">
        <v>6.7</v>
      </c>
      <c r="C21" s="2">
        <v>3.1</v>
      </c>
      <c r="D21" s="2">
        <v>4.4000000000000004</v>
      </c>
      <c r="E21" s="2">
        <v>1.4</v>
      </c>
      <c r="F21" s="2" t="s">
        <v>14</v>
      </c>
      <c r="V21" s="6">
        <v>16</v>
      </c>
      <c r="W21" s="6">
        <f t="shared" si="6"/>
        <v>4</v>
      </c>
      <c r="X21" s="6">
        <f t="shared" si="7"/>
        <v>4.0269944787131813</v>
      </c>
    </row>
    <row r="22" spans="2:24" x14ac:dyDescent="0.3">
      <c r="B22" s="2">
        <v>5.6</v>
      </c>
      <c r="C22" s="2">
        <v>3</v>
      </c>
      <c r="D22" s="2">
        <v>4.5</v>
      </c>
      <c r="E22" s="2">
        <v>1.5</v>
      </c>
      <c r="F22" s="2" t="s">
        <v>14</v>
      </c>
      <c r="V22" s="6">
        <v>17</v>
      </c>
      <c r="W22" s="6">
        <f t="shared" si="6"/>
        <v>4.0999999999999996</v>
      </c>
      <c r="X22" s="6">
        <f t="shared" si="7"/>
        <v>4.0532799744177632</v>
      </c>
    </row>
    <row r="23" spans="2:24" x14ac:dyDescent="0.3">
      <c r="B23" s="2">
        <v>5.8</v>
      </c>
      <c r="C23" s="2">
        <v>2.7</v>
      </c>
      <c r="D23" s="2">
        <v>4.0999999999999996</v>
      </c>
      <c r="E23" s="2">
        <v>1</v>
      </c>
      <c r="F23" s="2" t="s">
        <v>14</v>
      </c>
      <c r="V23" s="6">
        <v>18</v>
      </c>
      <c r="W23" s="6">
        <f t="shared" si="6"/>
        <v>4.0999999999999996</v>
      </c>
      <c r="X23" s="6">
        <f t="shared" si="7"/>
        <v>4.0789336830798604</v>
      </c>
    </row>
    <row r="24" spans="2:24" x14ac:dyDescent="0.3">
      <c r="B24" s="2">
        <v>6.2</v>
      </c>
      <c r="C24" s="2">
        <v>2.2000000000000002</v>
      </c>
      <c r="D24" s="2">
        <v>4.5</v>
      </c>
      <c r="E24" s="2">
        <v>1.5</v>
      </c>
      <c r="F24" s="2" t="s">
        <v>14</v>
      </c>
      <c r="V24" s="6">
        <v>19</v>
      </c>
      <c r="W24" s="6">
        <f t="shared" si="6"/>
        <v>4.0999999999999996</v>
      </c>
      <c r="X24" s="6">
        <f t="shared" si="7"/>
        <v>4.1040584696755218</v>
      </c>
    </row>
    <row r="25" spans="2:24" x14ac:dyDescent="0.3">
      <c r="B25" s="2">
        <v>5.6</v>
      </c>
      <c r="C25" s="2">
        <v>2.5</v>
      </c>
      <c r="D25" s="2">
        <v>3.9</v>
      </c>
      <c r="E25" s="2">
        <v>1.1000000000000001</v>
      </c>
      <c r="F25" s="2" t="s">
        <v>14</v>
      </c>
      <c r="V25" s="6">
        <v>20</v>
      </c>
      <c r="W25" s="6">
        <f t="shared" si="6"/>
        <v>4.2</v>
      </c>
      <c r="X25" s="6">
        <f t="shared" si="7"/>
        <v>4.1287449195610728</v>
      </c>
    </row>
    <row r="26" spans="2:24" x14ac:dyDescent="0.3">
      <c r="B26" s="2">
        <v>5.9</v>
      </c>
      <c r="C26" s="2">
        <v>3.2</v>
      </c>
      <c r="D26" s="2">
        <v>4.8</v>
      </c>
      <c r="E26" s="2">
        <v>1.8</v>
      </c>
      <c r="F26" s="2" t="s">
        <v>14</v>
      </c>
      <c r="V26" s="6">
        <v>21</v>
      </c>
      <c r="W26" s="6">
        <f t="shared" si="6"/>
        <v>4.2</v>
      </c>
      <c r="X26" s="6">
        <f t="shared" si="7"/>
        <v>4.1530741176605117</v>
      </c>
    </row>
    <row r="27" spans="2:24" x14ac:dyDescent="0.3">
      <c r="B27" s="2">
        <v>6.1</v>
      </c>
      <c r="C27" s="2">
        <v>2.8</v>
      </c>
      <c r="D27" s="2">
        <v>4</v>
      </c>
      <c r="E27" s="2">
        <v>1.3</v>
      </c>
      <c r="F27" s="2" t="s">
        <v>14</v>
      </c>
      <c r="V27" s="6">
        <v>22</v>
      </c>
      <c r="W27" s="6">
        <f t="shared" si="6"/>
        <v>4.2</v>
      </c>
      <c r="X27" s="6">
        <f t="shared" si="7"/>
        <v>4.177119843867942</v>
      </c>
    </row>
    <row r="28" spans="2:24" x14ac:dyDescent="0.3">
      <c r="B28" s="2">
        <v>6.3</v>
      </c>
      <c r="C28" s="2">
        <v>2.5</v>
      </c>
      <c r="D28" s="2">
        <v>4.9000000000000004</v>
      </c>
      <c r="E28" s="2">
        <v>1.5</v>
      </c>
      <c r="F28" s="2" t="s">
        <v>14</v>
      </c>
      <c r="V28" s="6">
        <v>23</v>
      </c>
      <c r="W28" s="6">
        <f t="shared" si="6"/>
        <v>4.2</v>
      </c>
      <c r="X28" s="6">
        <f t="shared" si="7"/>
        <v>4.2009503536980413</v>
      </c>
    </row>
    <row r="29" spans="2:24" x14ac:dyDescent="0.3">
      <c r="B29" s="2">
        <v>6.1</v>
      </c>
      <c r="C29" s="2">
        <v>2.8</v>
      </c>
      <c r="D29" s="2">
        <v>4.7</v>
      </c>
      <c r="E29" s="2">
        <v>1.2</v>
      </c>
      <c r="F29" s="2" t="s">
        <v>14</v>
      </c>
      <c r="V29" s="6">
        <v>24</v>
      </c>
      <c r="W29" s="6">
        <f t="shared" si="6"/>
        <v>4.3</v>
      </c>
      <c r="X29" s="6">
        <f t="shared" si="7"/>
        <v>4.2246298655439514</v>
      </c>
    </row>
    <row r="30" spans="2:24" x14ac:dyDescent="0.3">
      <c r="B30" s="2">
        <v>6.4</v>
      </c>
      <c r="C30" s="2">
        <v>2.9</v>
      </c>
      <c r="D30" s="2">
        <v>4.3</v>
      </c>
      <c r="E30" s="2">
        <v>1.3</v>
      </c>
      <c r="F30" s="2" t="s">
        <v>14</v>
      </c>
      <c r="V30" s="6">
        <v>25</v>
      </c>
      <c r="W30" s="6">
        <f t="shared" si="6"/>
        <v>4.3</v>
      </c>
      <c r="X30" s="6">
        <f t="shared" si="7"/>
        <v>4.2482198448218096</v>
      </c>
    </row>
    <row r="31" spans="2:24" x14ac:dyDescent="0.3">
      <c r="B31" s="2">
        <v>6.6</v>
      </c>
      <c r="C31" s="2">
        <v>3</v>
      </c>
      <c r="D31" s="2">
        <v>4.4000000000000004</v>
      </c>
      <c r="E31" s="2">
        <v>1.4</v>
      </c>
      <c r="F31" s="2" t="s">
        <v>14</v>
      </c>
      <c r="V31" s="6">
        <v>26</v>
      </c>
      <c r="W31" s="6">
        <f t="shared" si="6"/>
        <v>4.4000000000000004</v>
      </c>
      <c r="X31" s="6">
        <f t="shared" si="7"/>
        <v>4.27178015517819</v>
      </c>
    </row>
    <row r="32" spans="2:24" x14ac:dyDescent="0.3">
      <c r="B32" s="2">
        <v>6.8</v>
      </c>
      <c r="C32" s="2">
        <v>2.8</v>
      </c>
      <c r="D32" s="2">
        <v>4.8</v>
      </c>
      <c r="E32" s="2">
        <v>1.4</v>
      </c>
      <c r="F32" s="2" t="s">
        <v>14</v>
      </c>
      <c r="V32" s="6">
        <v>27</v>
      </c>
      <c r="W32" s="6">
        <f t="shared" si="6"/>
        <v>4.4000000000000004</v>
      </c>
      <c r="X32" s="6">
        <f t="shared" si="7"/>
        <v>4.2953701344560482</v>
      </c>
    </row>
    <row r="33" spans="2:24" x14ac:dyDescent="0.3">
      <c r="B33" s="2">
        <v>6.7</v>
      </c>
      <c r="C33" s="2">
        <v>3</v>
      </c>
      <c r="D33" s="2">
        <v>5</v>
      </c>
      <c r="E33" s="2">
        <v>1.7</v>
      </c>
      <c r="F33" s="2" t="s">
        <v>14</v>
      </c>
      <c r="V33" s="6">
        <v>28</v>
      </c>
      <c r="W33" s="6">
        <f t="shared" si="6"/>
        <v>4.4000000000000004</v>
      </c>
      <c r="X33" s="6">
        <f t="shared" si="7"/>
        <v>4.3190496463019583</v>
      </c>
    </row>
    <row r="34" spans="2:24" x14ac:dyDescent="0.3">
      <c r="B34" s="2">
        <v>6</v>
      </c>
      <c r="C34" s="2">
        <v>2.9</v>
      </c>
      <c r="D34" s="2">
        <v>4.5</v>
      </c>
      <c r="E34" s="2">
        <v>1.5</v>
      </c>
      <c r="F34" s="2" t="s">
        <v>14</v>
      </c>
      <c r="V34" s="6">
        <v>29</v>
      </c>
      <c r="W34" s="6">
        <f t="shared" si="6"/>
        <v>4.4000000000000004</v>
      </c>
      <c r="X34" s="6">
        <f t="shared" si="7"/>
        <v>4.3428801561320576</v>
      </c>
    </row>
    <row r="35" spans="2:24" x14ac:dyDescent="0.3">
      <c r="B35" s="2">
        <v>5.7</v>
      </c>
      <c r="C35" s="2">
        <v>2.6</v>
      </c>
      <c r="D35" s="2">
        <v>3.5</v>
      </c>
      <c r="E35" s="2">
        <v>1</v>
      </c>
      <c r="F35" s="2" t="s">
        <v>14</v>
      </c>
      <c r="V35" s="6">
        <v>30</v>
      </c>
      <c r="W35" s="6">
        <f t="shared" si="6"/>
        <v>4.5</v>
      </c>
      <c r="X35" s="6">
        <f t="shared" si="7"/>
        <v>4.3669258823394879</v>
      </c>
    </row>
    <row r="36" spans="2:24" x14ac:dyDescent="0.3">
      <c r="B36" s="2">
        <v>5.5</v>
      </c>
      <c r="C36" s="2">
        <v>2.4</v>
      </c>
      <c r="D36" s="2">
        <v>3.8</v>
      </c>
      <c r="E36" s="2">
        <v>1.1000000000000001</v>
      </c>
      <c r="F36" s="2" t="s">
        <v>14</v>
      </c>
      <c r="V36" s="6">
        <v>31</v>
      </c>
      <c r="W36" s="6">
        <f t="shared" si="6"/>
        <v>4.5</v>
      </c>
      <c r="X36" s="6">
        <f t="shared" si="7"/>
        <v>4.3912550804389268</v>
      </c>
    </row>
    <row r="37" spans="2:24" x14ac:dyDescent="0.3">
      <c r="B37" s="2">
        <v>5.5</v>
      </c>
      <c r="C37" s="2">
        <v>2.4</v>
      </c>
      <c r="D37" s="2">
        <v>3.7</v>
      </c>
      <c r="E37" s="2">
        <v>1</v>
      </c>
      <c r="F37" s="2" t="s">
        <v>14</v>
      </c>
      <c r="V37" s="6">
        <v>32</v>
      </c>
      <c r="W37" s="6">
        <f t="shared" si="6"/>
        <v>4.5</v>
      </c>
      <c r="X37" s="6">
        <f t="shared" si="7"/>
        <v>4.4159415303244778</v>
      </c>
    </row>
    <row r="38" spans="2:24" x14ac:dyDescent="0.3">
      <c r="B38" s="2">
        <v>5.8</v>
      </c>
      <c r="C38" s="2">
        <v>2.7</v>
      </c>
      <c r="D38" s="2">
        <v>3.9</v>
      </c>
      <c r="E38" s="2">
        <v>1.2</v>
      </c>
      <c r="F38" s="2" t="s">
        <v>14</v>
      </c>
      <c r="V38" s="6">
        <v>33</v>
      </c>
      <c r="W38" s="6">
        <f t="shared" si="6"/>
        <v>4.5</v>
      </c>
      <c r="X38" s="6">
        <f t="shared" si="7"/>
        <v>4.4410663169201392</v>
      </c>
    </row>
    <row r="39" spans="2:24" x14ac:dyDescent="0.3">
      <c r="B39" s="2">
        <v>6</v>
      </c>
      <c r="C39" s="2">
        <v>2.7</v>
      </c>
      <c r="D39" s="2">
        <v>5.0999999999999996</v>
      </c>
      <c r="E39" s="2">
        <v>1.6</v>
      </c>
      <c r="F39" s="2" t="s">
        <v>14</v>
      </c>
      <c r="V39" s="6">
        <v>34</v>
      </c>
      <c r="W39" s="6">
        <f t="shared" si="6"/>
        <v>4.5</v>
      </c>
      <c r="X39" s="6">
        <f t="shared" si="7"/>
        <v>4.4667200255822364</v>
      </c>
    </row>
    <row r="40" spans="2:24" x14ac:dyDescent="0.3">
      <c r="B40" s="2">
        <v>5.4</v>
      </c>
      <c r="C40" s="2">
        <v>3</v>
      </c>
      <c r="D40" s="2">
        <v>4.5</v>
      </c>
      <c r="E40" s="2">
        <v>1.5</v>
      </c>
      <c r="F40" s="2" t="s">
        <v>14</v>
      </c>
      <c r="V40" s="6">
        <v>35</v>
      </c>
      <c r="W40" s="6">
        <f t="shared" si="6"/>
        <v>4.5</v>
      </c>
      <c r="X40" s="6">
        <f t="shared" si="7"/>
        <v>4.4930055212868183</v>
      </c>
    </row>
    <row r="41" spans="2:24" x14ac:dyDescent="0.3">
      <c r="B41" s="2">
        <v>6</v>
      </c>
      <c r="C41" s="2">
        <v>3.4</v>
      </c>
      <c r="D41" s="2">
        <v>4.5</v>
      </c>
      <c r="E41" s="2">
        <v>1.6</v>
      </c>
      <c r="F41" s="2" t="s">
        <v>14</v>
      </c>
      <c r="V41" s="6">
        <v>36</v>
      </c>
      <c r="W41" s="6">
        <f t="shared" si="6"/>
        <v>4.5</v>
      </c>
      <c r="X41" s="6">
        <f t="shared" si="7"/>
        <v>4.5200415543560704</v>
      </c>
    </row>
    <row r="42" spans="2:24" x14ac:dyDescent="0.3">
      <c r="B42" s="2">
        <v>6.7</v>
      </c>
      <c r="C42" s="2">
        <v>3.1</v>
      </c>
      <c r="D42" s="2">
        <v>4.7</v>
      </c>
      <c r="E42" s="2">
        <v>1.5</v>
      </c>
      <c r="F42" s="2" t="s">
        <v>14</v>
      </c>
      <c r="V42" s="6">
        <v>37</v>
      </c>
      <c r="W42" s="6">
        <f t="shared" si="6"/>
        <v>4.5999999999999996</v>
      </c>
      <c r="X42" s="6">
        <f t="shared" si="7"/>
        <v>4.5479675514739695</v>
      </c>
    </row>
    <row r="43" spans="2:24" x14ac:dyDescent="0.3">
      <c r="B43" s="2">
        <v>6.3</v>
      </c>
      <c r="C43" s="2">
        <v>2.2999999999999998</v>
      </c>
      <c r="D43" s="2">
        <v>4.4000000000000004</v>
      </c>
      <c r="E43" s="2">
        <v>1.3</v>
      </c>
      <c r="F43" s="2" t="s">
        <v>14</v>
      </c>
      <c r="V43" s="6">
        <v>38</v>
      </c>
      <c r="W43" s="6">
        <f t="shared" si="6"/>
        <v>4.5999999999999996</v>
      </c>
      <c r="X43" s="6">
        <f t="shared" si="7"/>
        <v>4.5769501376529815</v>
      </c>
    </row>
    <row r="44" spans="2:24" x14ac:dyDescent="0.3">
      <c r="B44" s="2">
        <v>5.6</v>
      </c>
      <c r="C44" s="2">
        <v>3</v>
      </c>
      <c r="D44" s="2">
        <v>4.0999999999999996</v>
      </c>
      <c r="E44" s="2">
        <v>1.3</v>
      </c>
      <c r="F44" s="2" t="s">
        <v>14</v>
      </c>
      <c r="V44" s="6">
        <v>39</v>
      </c>
      <c r="W44" s="6">
        <f t="shared" si="6"/>
        <v>4.5999999999999996</v>
      </c>
      <c r="X44" s="6">
        <f t="shared" si="7"/>
        <v>4.6071922449312934</v>
      </c>
    </row>
    <row r="45" spans="2:24" x14ac:dyDescent="0.3">
      <c r="B45" s="2">
        <v>5.5</v>
      </c>
      <c r="C45" s="2">
        <v>2.5</v>
      </c>
      <c r="D45" s="2">
        <v>4</v>
      </c>
      <c r="E45" s="2">
        <v>1.3</v>
      </c>
      <c r="F45" s="2" t="s">
        <v>14</v>
      </c>
      <c r="V45" s="6">
        <v>40</v>
      </c>
      <c r="W45" s="6">
        <f t="shared" si="6"/>
        <v>4.7</v>
      </c>
      <c r="X45" s="6">
        <f t="shared" si="7"/>
        <v>4.6389461962534133</v>
      </c>
    </row>
    <row r="46" spans="2:24" x14ac:dyDescent="0.3">
      <c r="B46" s="2">
        <v>5.5</v>
      </c>
      <c r="C46" s="2">
        <v>2.6</v>
      </c>
      <c r="D46" s="2">
        <v>4.4000000000000004</v>
      </c>
      <c r="E46" s="2">
        <v>1.2</v>
      </c>
      <c r="F46" s="2" t="s">
        <v>14</v>
      </c>
      <c r="V46" s="6">
        <v>41</v>
      </c>
      <c r="W46" s="6">
        <f t="shared" si="6"/>
        <v>4.7</v>
      </c>
      <c r="X46" s="6">
        <f t="shared" si="7"/>
        <v>4.6725331059228683</v>
      </c>
    </row>
    <row r="47" spans="2:24" x14ac:dyDescent="0.3">
      <c r="B47" s="2">
        <v>6.1</v>
      </c>
      <c r="C47" s="2">
        <v>3</v>
      </c>
      <c r="D47" s="2">
        <v>4.5999999999999996</v>
      </c>
      <c r="E47" s="2">
        <v>1.4</v>
      </c>
      <c r="F47" s="2" t="s">
        <v>14</v>
      </c>
      <c r="V47" s="6">
        <v>42</v>
      </c>
      <c r="W47" s="6">
        <f t="shared" si="6"/>
        <v>4.7</v>
      </c>
      <c r="X47" s="6">
        <f t="shared" si="7"/>
        <v>4.708372726554348</v>
      </c>
    </row>
    <row r="48" spans="2:24" x14ac:dyDescent="0.3">
      <c r="B48" s="2">
        <v>5.8</v>
      </c>
      <c r="C48" s="2">
        <v>2.6</v>
      </c>
      <c r="D48" s="2">
        <v>4</v>
      </c>
      <c r="E48" s="2">
        <v>1.2</v>
      </c>
      <c r="F48" s="2" t="s">
        <v>14</v>
      </c>
      <c r="V48" s="6">
        <v>43</v>
      </c>
      <c r="W48" s="6">
        <f t="shared" si="6"/>
        <v>4.7</v>
      </c>
      <c r="X48" s="6">
        <f t="shared" si="7"/>
        <v>4.7470314269011569</v>
      </c>
    </row>
    <row r="49" spans="2:24" x14ac:dyDescent="0.3">
      <c r="B49" s="2">
        <v>5</v>
      </c>
      <c r="C49" s="2">
        <v>2.2999999999999998</v>
      </c>
      <c r="D49" s="2">
        <v>3.3</v>
      </c>
      <c r="E49" s="2">
        <v>1</v>
      </c>
      <c r="F49" s="2" t="s">
        <v>14</v>
      </c>
      <c r="V49" s="6">
        <v>44</v>
      </c>
      <c r="W49" s="6">
        <f t="shared" si="6"/>
        <v>4.7</v>
      </c>
      <c r="X49" s="6">
        <f t="shared" si="7"/>
        <v>4.7893035562010517</v>
      </c>
    </row>
    <row r="50" spans="2:24" x14ac:dyDescent="0.3">
      <c r="B50" s="2">
        <v>5.6</v>
      </c>
      <c r="C50" s="2">
        <v>2.7</v>
      </c>
      <c r="D50" s="2">
        <v>4.2</v>
      </c>
      <c r="E50" s="2">
        <v>1.3</v>
      </c>
      <c r="F50" s="2" t="s">
        <v>14</v>
      </c>
      <c r="V50" s="6">
        <v>45</v>
      </c>
      <c r="W50" s="6">
        <f t="shared" si="6"/>
        <v>4.8</v>
      </c>
      <c r="X50" s="6">
        <f t="shared" si="7"/>
        <v>4.8363590274987018</v>
      </c>
    </row>
    <row r="51" spans="2:24" x14ac:dyDescent="0.3">
      <c r="B51" s="2">
        <v>5.7</v>
      </c>
      <c r="C51" s="2">
        <v>3</v>
      </c>
      <c r="D51" s="2">
        <v>4.2</v>
      </c>
      <c r="E51" s="2">
        <v>1.2</v>
      </c>
      <c r="F51" s="2" t="s">
        <v>14</v>
      </c>
      <c r="V51" s="6">
        <v>46</v>
      </c>
      <c r="W51" s="6">
        <f t="shared" si="6"/>
        <v>4.8</v>
      </c>
      <c r="X51" s="6">
        <f t="shared" si="7"/>
        <v>4.8900355081207731</v>
      </c>
    </row>
    <row r="52" spans="2:24" x14ac:dyDescent="0.3">
      <c r="B52" s="2">
        <v>5.7</v>
      </c>
      <c r="C52" s="2">
        <v>2.9</v>
      </c>
      <c r="D52" s="2">
        <v>4.2</v>
      </c>
      <c r="E52" s="2">
        <v>1.3</v>
      </c>
      <c r="F52" s="2" t="s">
        <v>14</v>
      </c>
      <c r="V52" s="6">
        <v>47</v>
      </c>
      <c r="W52" s="6">
        <f t="shared" si="6"/>
        <v>4.9000000000000004</v>
      </c>
      <c r="X52" s="6">
        <f t="shared" si="7"/>
        <v>4.9534904042536487</v>
      </c>
    </row>
    <row r="53" spans="2:24" x14ac:dyDescent="0.3">
      <c r="B53" s="2">
        <v>6.2</v>
      </c>
      <c r="C53" s="2">
        <v>2.9</v>
      </c>
      <c r="D53" s="2">
        <v>4.3</v>
      </c>
      <c r="E53" s="2">
        <v>1.3</v>
      </c>
      <c r="F53" s="2" t="s">
        <v>14</v>
      </c>
      <c r="V53" s="6">
        <v>48</v>
      </c>
      <c r="W53" s="6">
        <f t="shared" si="6"/>
        <v>4.9000000000000004</v>
      </c>
      <c r="X53" s="6">
        <f t="shared" si="7"/>
        <v>5.0329347752574689</v>
      </c>
    </row>
    <row r="54" spans="2:24" x14ac:dyDescent="0.3">
      <c r="B54" s="2">
        <v>5.0999999999999996</v>
      </c>
      <c r="C54" s="2">
        <v>2.5</v>
      </c>
      <c r="D54" s="2">
        <v>3</v>
      </c>
      <c r="E54" s="2">
        <v>1.1000000000000001</v>
      </c>
      <c r="F54" s="2" t="s">
        <v>14</v>
      </c>
      <c r="V54" s="6">
        <v>49</v>
      </c>
      <c r="W54" s="6">
        <f t="shared" si="6"/>
        <v>5</v>
      </c>
      <c r="X54" s="6">
        <f t="shared" si="7"/>
        <v>5.1438055623930365</v>
      </c>
    </row>
    <row r="55" spans="2:24" x14ac:dyDescent="0.3">
      <c r="B55" s="2">
        <v>5.7</v>
      </c>
      <c r="C55" s="2">
        <v>2.8</v>
      </c>
      <c r="D55" s="2">
        <v>4.0999999999999996</v>
      </c>
      <c r="E55" s="2">
        <v>1.3</v>
      </c>
      <c r="F55" s="2" t="s">
        <v>14</v>
      </c>
      <c r="V55" s="6">
        <v>50</v>
      </c>
      <c r="W55" s="6">
        <f t="shared" si="6"/>
        <v>5.0999999999999996</v>
      </c>
      <c r="X55" s="6">
        <f t="shared" si="7"/>
        <v>5.3531764028906492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1F5D8-236D-4BB0-80C5-F0E64B50D3E7}">
  <sheetPr codeName="Arkusz6"/>
  <dimension ref="B2:AE305"/>
  <sheetViews>
    <sheetView tabSelected="1" workbookViewId="0">
      <selection activeCell="D3" sqref="D3"/>
    </sheetView>
  </sheetViews>
  <sheetFormatPr defaultColWidth="8.88671875" defaultRowHeight="13.8" x14ac:dyDescent="0.3"/>
  <cols>
    <col min="1" max="1" width="8.88671875" style="7"/>
    <col min="2" max="2" width="13.44140625" style="7" customWidth="1"/>
    <col min="3" max="3" width="8.88671875" style="7"/>
    <col min="4" max="4" width="13.44140625" style="7" customWidth="1"/>
    <col min="5" max="5" width="12.6640625" style="7" bestFit="1" customWidth="1"/>
    <col min="6" max="7" width="8.88671875" style="7"/>
    <col min="8" max="12" width="12.6640625" style="7" bestFit="1" customWidth="1"/>
    <col min="13" max="13" width="13.109375" style="7" customWidth="1"/>
    <col min="14" max="23" width="8.88671875" style="7"/>
    <col min="24" max="26" width="12.6640625" style="7" bestFit="1" customWidth="1"/>
    <col min="27" max="27" width="8.88671875" style="7"/>
    <col min="28" max="30" width="12.6640625" style="7" bestFit="1" customWidth="1"/>
    <col min="31" max="31" width="15.5546875" style="7" customWidth="1"/>
    <col min="32" max="16384" width="8.88671875" style="7"/>
  </cols>
  <sheetData>
    <row r="2" spans="2:31" ht="31.2" customHeight="1" x14ac:dyDescent="0.3">
      <c r="X2" s="35" t="s">
        <v>18</v>
      </c>
      <c r="Y2" s="35"/>
      <c r="Z2" s="35"/>
      <c r="AB2" s="35" t="s">
        <v>19</v>
      </c>
      <c r="AC2" s="35"/>
      <c r="AD2" s="35"/>
    </row>
    <row r="3" spans="2:31" x14ac:dyDescent="0.3">
      <c r="B3" s="10"/>
      <c r="J3" s="10"/>
      <c r="K3" s="10"/>
      <c r="L3" s="10"/>
      <c r="M3" s="10"/>
    </row>
    <row r="4" spans="2:31" ht="13.95" customHeight="1" x14ac:dyDescent="0.3">
      <c r="J4" s="33" t="s">
        <v>20</v>
      </c>
      <c r="K4" s="33"/>
      <c r="L4" s="33"/>
      <c r="M4" s="33"/>
      <c r="X4" s="34" t="s">
        <v>20</v>
      </c>
      <c r="Y4" s="34"/>
      <c r="Z4" s="34"/>
      <c r="AB4" s="34" t="s">
        <v>20</v>
      </c>
      <c r="AC4" s="34"/>
      <c r="AD4" s="34"/>
      <c r="AE4" s="12" t="s">
        <v>21</v>
      </c>
    </row>
    <row r="5" spans="2:31" ht="27.6" x14ac:dyDescent="0.3">
      <c r="B5" s="32" t="s">
        <v>2</v>
      </c>
      <c r="D5" s="31" t="s">
        <v>5</v>
      </c>
      <c r="E5" s="9">
        <f>AVERAGE(B5:B55)</f>
        <v>4.26</v>
      </c>
      <c r="G5" s="14" t="s">
        <v>24</v>
      </c>
      <c r="H5" s="12" t="s">
        <v>22</v>
      </c>
      <c r="I5" s="12" t="s">
        <v>23</v>
      </c>
      <c r="J5" s="12">
        <f>1.06*$E$6/$E$7^(1/5)</f>
        <v>0.22778622367882012</v>
      </c>
      <c r="K5" s="12">
        <v>0.05</v>
      </c>
      <c r="L5" s="12">
        <v>0.45</v>
      </c>
      <c r="M5" s="12">
        <v>5</v>
      </c>
      <c r="X5" s="5">
        <f>1.06*$E$6/$E$7^(1/5)</f>
        <v>0.22778622367882012</v>
      </c>
      <c r="Y5" s="5">
        <v>0.05</v>
      </c>
      <c r="Z5" s="5">
        <v>0.45</v>
      </c>
      <c r="AB5" s="5">
        <f>1.06*$E$6/$E$7^(1/5)</f>
        <v>0.22778622367882012</v>
      </c>
      <c r="AC5" s="5">
        <v>0.05</v>
      </c>
      <c r="AD5" s="5">
        <v>0.45</v>
      </c>
      <c r="AE5" s="5">
        <f>1.06*$E$6/$E$7^(1/5)</f>
        <v>0.22778622367882012</v>
      </c>
    </row>
    <row r="6" spans="2:31" ht="27.6" x14ac:dyDescent="0.3">
      <c r="B6" s="8">
        <v>4.7</v>
      </c>
      <c r="D6" s="31" t="s">
        <v>8</v>
      </c>
      <c r="E6" s="9">
        <f>_xlfn.STDEV.S(B6:B55)</f>
        <v>0.46991097723996639</v>
      </c>
      <c r="G6" s="9">
        <v>1</v>
      </c>
      <c r="H6" s="9">
        <f>$E$10</f>
        <v>3</v>
      </c>
      <c r="I6" s="9">
        <f>_xlfn.NORM.DIST($H6, $E$5, $E$6, FALSE)</f>
        <v>2.3317073828917807E-2</v>
      </c>
      <c r="J6" s="9">
        <f>EstymacjaGaussowska($H6, $B$6:$B$155)</f>
        <v>7.2286816673830967E-2</v>
      </c>
      <c r="K6" s="9">
        <f>EstymacjaGaussowska($H6, $B$6:$B$155, $K$5)</f>
        <v>0.15957691702127935</v>
      </c>
      <c r="L6" s="9">
        <f>EstymacjaGaussowska($H6, $B$6:$B$155, $L$5)</f>
        <v>0.10266543780633337</v>
      </c>
      <c r="M6" s="9">
        <f>EstymacjaGaussowska($H6, $B$6:$B$155, $M$5)</f>
        <v>7.6978915165678924E-2</v>
      </c>
      <c r="X6" s="9">
        <f>EstymacjaEpanecznikowa($H6, $B$6:$B$155, $X$5)</f>
        <v>7.0057484349638252E-2</v>
      </c>
      <c r="Y6" s="9">
        <f>EstymacjaEpanecznikowa($H6, $B$6:$B$155, $Y$5)</f>
        <v>0.13416407864998736</v>
      </c>
      <c r="Z6" s="9">
        <f>EstymacjaEpanecznikowa($H6, $B$6:$B$155, $Z$5)</f>
        <v>9.7172336799990849E-2</v>
      </c>
      <c r="AB6" s="9">
        <f>EstymacjaDystrybuanty($H6, $B$6:$B$155, $AB$5)</f>
        <v>1.4383575051291071E-2</v>
      </c>
      <c r="AC6" s="9">
        <f>EstymacjaDystrybuanty($H6, $B$6:$B$155, $AC$5)</f>
        <v>0.01</v>
      </c>
      <c r="AD6" s="9">
        <f>EstymacjaDystrybuanty($H6, $B$6:$B$155, $AD$5)</f>
        <v>3.2078507835345375E-2</v>
      </c>
      <c r="AE6" s="9">
        <f>EstymacjaGaussowskaDystrybuanta($H6, $B$6:$B$155, $AE$5)</f>
        <v>1.4432778232462102E-2</v>
      </c>
    </row>
    <row r="7" spans="2:31" ht="27.6" x14ac:dyDescent="0.3">
      <c r="B7" s="8">
        <v>4.5</v>
      </c>
      <c r="D7" s="31" t="s">
        <v>9</v>
      </c>
      <c r="E7" s="9">
        <f>COUNT(B:B)</f>
        <v>50</v>
      </c>
      <c r="G7" s="9">
        <v>2</v>
      </c>
      <c r="H7" s="9">
        <f>$H6 + $E$9</f>
        <v>3.0070234113712373</v>
      </c>
      <c r="I7" s="9">
        <f t="shared" ref="I7:I70" si="0">_xlfn.NORM.DIST($H7, $E$5, $E$6, FALSE)</f>
        <v>2.4267802349751656E-2</v>
      </c>
      <c r="J7" s="9">
        <f t="shared" ref="J7:J70" si="1">EstymacjaGaussowska($H7, $B$6:$B$155)</f>
        <v>7.4051345712255467E-2</v>
      </c>
      <c r="K7" s="9">
        <f t="shared" ref="K7:K70" si="2">EstymacjaGaussowska($H7, $B$6:$B$155, $K$5)</f>
        <v>0.15801033198519182</v>
      </c>
      <c r="L7" s="9">
        <f t="shared" ref="L7:L70" si="3">EstymacjaGaussowska($H7, $B$6:$B$155, $L$5)</f>
        <v>0.10444345226795215</v>
      </c>
      <c r="M7" s="9">
        <f t="shared" ref="M7:M70" si="4">EstymacjaGaussowska($H7, $B$6:$B$155, $M$5)</f>
        <v>7.7005883410513079E-2</v>
      </c>
      <c r="X7" s="9">
        <f t="shared" ref="X7:X70" si="5">EstymacjaEpanecznikowa($H7, $B$6:$B$155, $X$5)</f>
        <v>7.2580730657368558E-2</v>
      </c>
      <c r="Y7" s="9">
        <f t="shared" ref="Y7:Y70" si="6">EstymacjaEpanecznikowa($H7, $B$6:$B$155, $Y$5)</f>
        <v>0.13363463169807729</v>
      </c>
      <c r="Z7" s="9">
        <f t="shared" ref="Z7:Z70" si="7">EstymacjaEpanecznikowa($H7, $B$6:$B$155, $Z$5)</f>
        <v>9.9518379221427478E-2</v>
      </c>
      <c r="AB7" s="9">
        <f t="shared" ref="AB7:AB70" si="8">EstymacjaDystrybuanty($H7, $B$6:$B$155, $AB$5)</f>
        <v>1.4884511254975284E-2</v>
      </c>
      <c r="AC7" s="9">
        <f t="shared" ref="AC7:AC70" si="9">EstymacjaDystrybuanty($H7, $B$6:$B$155, $AC$5)</f>
        <v>1.0941050007687724E-2</v>
      </c>
      <c r="AD7" s="9">
        <f t="shared" ref="AD7:AD70" si="10">EstymacjaDystrybuanty($H7, $B$6:$B$155, $AD$5)</f>
        <v>3.2769241343387823E-2</v>
      </c>
      <c r="AE7" s="9">
        <f t="shared" ref="AE7:AE70" si="11">EstymacjaGaussowskaDystrybuanta($H7, $B$6:$B$155, $AE$5)</f>
        <v>1.4946662869610437E-2</v>
      </c>
    </row>
    <row r="8" spans="2:31" x14ac:dyDescent="0.3">
      <c r="B8" s="8">
        <v>4.9000000000000004</v>
      </c>
      <c r="D8" s="31" t="s">
        <v>10</v>
      </c>
      <c r="E8" s="9">
        <v>300</v>
      </c>
      <c r="G8" s="9">
        <v>3</v>
      </c>
      <c r="H8" s="9">
        <f t="shared" ref="H8:H71" si="12">$H7 + $E$9</f>
        <v>3.0140468227424746</v>
      </c>
      <c r="I8" s="9">
        <f t="shared" si="0"/>
        <v>2.5251654185881645E-2</v>
      </c>
      <c r="J8" s="9">
        <f t="shared" si="1"/>
        <v>7.5836224352428191E-2</v>
      </c>
      <c r="K8" s="9">
        <f t="shared" si="2"/>
        <v>0.1534022463284169</v>
      </c>
      <c r="L8" s="9">
        <f t="shared" si="3"/>
        <v>0.10624227302444557</v>
      </c>
      <c r="M8" s="9">
        <f t="shared" si="4"/>
        <v>7.7032710429897844E-2</v>
      </c>
      <c r="X8" s="9">
        <f t="shared" si="5"/>
        <v>7.5047981855236964E-2</v>
      </c>
      <c r="Y8" s="9">
        <f t="shared" si="6"/>
        <v>0.13204629084234704</v>
      </c>
      <c r="Z8" s="9">
        <f t="shared" si="7"/>
        <v>0.10184118117309576</v>
      </c>
      <c r="AB8" s="9">
        <f t="shared" si="8"/>
        <v>1.5402972617123971E-2</v>
      </c>
      <c r="AC8" s="9">
        <f t="shared" si="9"/>
        <v>1.1874662967890429E-2</v>
      </c>
      <c r="AD8" s="9">
        <f t="shared" si="10"/>
        <v>3.3476370458760583E-2</v>
      </c>
      <c r="AE8" s="9">
        <f t="shared" si="11"/>
        <v>1.547301200118993E-2</v>
      </c>
    </row>
    <row r="9" spans="2:31" x14ac:dyDescent="0.3">
      <c r="B9" s="8">
        <v>4</v>
      </c>
      <c r="D9" s="31" t="s">
        <v>11</v>
      </c>
      <c r="E9" s="9">
        <f>(E11 - E10)/(E8 - 1)</f>
        <v>7.0234113712374568E-3</v>
      </c>
      <c r="G9" s="9">
        <v>4</v>
      </c>
      <c r="H9" s="9">
        <f t="shared" si="12"/>
        <v>3.0210702341137119</v>
      </c>
      <c r="I9" s="9">
        <f t="shared" si="0"/>
        <v>2.6269523777569477E-2</v>
      </c>
      <c r="J9" s="9">
        <f t="shared" si="1"/>
        <v>7.7641416245647132E-2</v>
      </c>
      <c r="K9" s="9">
        <f t="shared" si="2"/>
        <v>0.14601880905590478</v>
      </c>
      <c r="L9" s="9">
        <f t="shared" si="3"/>
        <v>0.1080620027473327</v>
      </c>
      <c r="M9" s="9">
        <f t="shared" si="4"/>
        <v>7.7059396069570407E-2</v>
      </c>
      <c r="X9" s="9">
        <f t="shared" si="5"/>
        <v>7.7459237943243456E-2</v>
      </c>
      <c r="Y9" s="9">
        <f t="shared" si="6"/>
        <v>0.12939905608279662</v>
      </c>
      <c r="Z9" s="9">
        <f t="shared" si="7"/>
        <v>0.10414074265499569</v>
      </c>
      <c r="AB9" s="9">
        <f t="shared" si="8"/>
        <v>1.5938565861045802E-2</v>
      </c>
      <c r="AC9" s="9">
        <f t="shared" si="9"/>
        <v>1.2793401833123079E-2</v>
      </c>
      <c r="AD9" s="9">
        <f t="shared" si="10"/>
        <v>3.4199731954084003E-2</v>
      </c>
      <c r="AE9" s="9">
        <f t="shared" si="11"/>
        <v>1.6011968427299829E-2</v>
      </c>
    </row>
    <row r="10" spans="2:31" x14ac:dyDescent="0.3">
      <c r="B10" s="8">
        <v>4.5999999999999996</v>
      </c>
      <c r="D10" s="31" t="s">
        <v>12</v>
      </c>
      <c r="E10" s="9">
        <f>MIN(B5:B55)</f>
        <v>3</v>
      </c>
      <c r="G10" s="9">
        <v>5</v>
      </c>
      <c r="H10" s="9">
        <f t="shared" si="12"/>
        <v>3.0280936454849492</v>
      </c>
      <c r="I10" s="9">
        <f t="shared" si="0"/>
        <v>2.7322318468520672E-2</v>
      </c>
      <c r="J10" s="9">
        <f t="shared" si="1"/>
        <v>7.9466876818004781E-2</v>
      </c>
      <c r="K10" s="9">
        <f t="shared" si="2"/>
        <v>0.1362751927547543</v>
      </c>
      <c r="L10" s="9">
        <f t="shared" si="3"/>
        <v>0.10990274331647223</v>
      </c>
      <c r="M10" s="9">
        <f t="shared" si="4"/>
        <v>7.7085940176044337E-2</v>
      </c>
      <c r="X10" s="9">
        <f t="shared" si="5"/>
        <v>7.9814498921387991E-2</v>
      </c>
      <c r="Y10" s="9">
        <f t="shared" si="6"/>
        <v>0.12569292741942603</v>
      </c>
      <c r="Z10" s="9">
        <f t="shared" si="7"/>
        <v>0.1064170636671273</v>
      </c>
      <c r="AB10" s="9">
        <f t="shared" si="8"/>
        <v>1.6490897710049426E-2</v>
      </c>
      <c r="AC10" s="9">
        <f t="shared" si="9"/>
        <v>1.3689829555900659E-2</v>
      </c>
      <c r="AD10" s="9">
        <f t="shared" si="10"/>
        <v>3.4939162601978435E-2</v>
      </c>
      <c r="AE10" s="9">
        <f t="shared" si="11"/>
        <v>1.656367466525268E-2</v>
      </c>
    </row>
    <row r="11" spans="2:31" x14ac:dyDescent="0.3">
      <c r="B11" s="8">
        <v>4.5</v>
      </c>
      <c r="D11" s="31" t="s">
        <v>13</v>
      </c>
      <c r="E11" s="9">
        <f>MAX(B5:B55)</f>
        <v>5.0999999999999996</v>
      </c>
      <c r="G11" s="9">
        <v>6</v>
      </c>
      <c r="H11" s="9">
        <f t="shared" si="12"/>
        <v>3.0351170568561865</v>
      </c>
      <c r="I11" s="9">
        <f t="shared" si="0"/>
        <v>2.8410958199108598E-2</v>
      </c>
      <c r="J11" s="9">
        <f t="shared" si="1"/>
        <v>8.1312550880070431E-2</v>
      </c>
      <c r="K11" s="9">
        <f t="shared" si="2"/>
        <v>0.12469696792695137</v>
      </c>
      <c r="L11" s="9">
        <f t="shared" si="3"/>
        <v>0.11176459576568541</v>
      </c>
      <c r="M11" s="9">
        <f t="shared" si="4"/>
        <v>7.7112342596610511E-2</v>
      </c>
      <c r="X11" s="9">
        <f t="shared" si="5"/>
        <v>8.211376478967064E-2</v>
      </c>
      <c r="Y11" s="9">
        <f t="shared" si="6"/>
        <v>0.12092790485223527</v>
      </c>
      <c r="Z11" s="9">
        <f t="shared" si="7"/>
        <v>0.10867014420949055</v>
      </c>
      <c r="AB11" s="9">
        <f t="shared" si="8"/>
        <v>1.7059574887443519E-2</v>
      </c>
      <c r="AC11" s="9">
        <f t="shared" si="9"/>
        <v>1.4556509088738141E-2</v>
      </c>
      <c r="AD11" s="9">
        <f t="shared" si="10"/>
        <v>3.5694499175064218E-2</v>
      </c>
      <c r="AE11" s="9">
        <f t="shared" si="11"/>
        <v>1.7128272883427768E-2</v>
      </c>
    </row>
    <row r="12" spans="2:31" x14ac:dyDescent="0.3">
      <c r="B12" s="8">
        <v>4.7</v>
      </c>
      <c r="G12" s="9">
        <v>7</v>
      </c>
      <c r="H12" s="9">
        <f t="shared" si="12"/>
        <v>3.0421404682274238</v>
      </c>
      <c r="I12" s="9">
        <f t="shared" si="0"/>
        <v>2.9536375172921653E-2</v>
      </c>
      <c r="J12" s="9">
        <f t="shared" si="1"/>
        <v>8.317837022209966E-2</v>
      </c>
      <c r="K12" s="9">
        <f t="shared" si="2"/>
        <v>0.11187330062550886</v>
      </c>
      <c r="L12" s="9">
        <f t="shared" si="3"/>
        <v>0.11364766022390062</v>
      </c>
      <c r="M12" s="9">
        <f t="shared" si="4"/>
        <v>7.7138603179338905E-2</v>
      </c>
      <c r="X12" s="9">
        <f t="shared" si="5"/>
        <v>8.4357035548091347E-2</v>
      </c>
      <c r="Y12" s="9">
        <f t="shared" si="6"/>
        <v>0.11510398838122435</v>
      </c>
      <c r="Z12" s="9">
        <f t="shared" si="7"/>
        <v>0.11089998428208546</v>
      </c>
      <c r="AB12" s="9">
        <f t="shared" si="8"/>
        <v>1.7644204116536735E-2</v>
      </c>
      <c r="AC12" s="9">
        <f t="shared" si="9"/>
        <v>1.53860033841505E-2</v>
      </c>
      <c r="AD12" s="9">
        <f t="shared" si="10"/>
        <v>3.6465578445961745E-2</v>
      </c>
      <c r="AE12" s="9">
        <f t="shared" si="11"/>
        <v>1.7705904818269332E-2</v>
      </c>
    </row>
    <row r="13" spans="2:31" x14ac:dyDescent="0.3">
      <c r="B13" s="8">
        <v>3.3</v>
      </c>
      <c r="G13" s="9">
        <v>8</v>
      </c>
      <c r="H13" s="9">
        <f t="shared" si="12"/>
        <v>3.0491638795986611</v>
      </c>
      <c r="I13" s="9">
        <f t="shared" si="0"/>
        <v>3.0699513496020219E-2</v>
      </c>
      <c r="J13" s="9">
        <f t="shared" si="1"/>
        <v>8.506425122300483E-2</v>
      </c>
      <c r="K13" s="9">
        <f t="shared" si="2"/>
        <v>9.840776540988555E-2</v>
      </c>
      <c r="L13" s="9">
        <f t="shared" si="3"/>
        <v>0.11555203585171187</v>
      </c>
      <c r="M13" s="9">
        <f t="shared" si="4"/>
        <v>7.7164721773079842E-2</v>
      </c>
      <c r="X13" s="9">
        <f t="shared" si="5"/>
        <v>8.6544311196650139E-2</v>
      </c>
      <c r="Y13" s="9">
        <f t="shared" si="6"/>
        <v>0.10822117800639328</v>
      </c>
      <c r="Z13" s="9">
        <f t="shared" si="7"/>
        <v>0.11310658388491203</v>
      </c>
      <c r="AB13" s="9">
        <f t="shared" si="8"/>
        <v>1.8244392120637744E-2</v>
      </c>
      <c r="AC13" s="9">
        <f t="shared" si="9"/>
        <v>1.6170875394652715E-2</v>
      </c>
      <c r="AD13" s="9">
        <f t="shared" si="10"/>
        <v>3.7252237187291343E-2</v>
      </c>
      <c r="AE13" s="9">
        <f t="shared" si="11"/>
        <v>1.8296711674426477E-2</v>
      </c>
    </row>
    <row r="14" spans="2:31" x14ac:dyDescent="0.3">
      <c r="B14" s="8">
        <v>4.5999999999999996</v>
      </c>
      <c r="G14" s="9">
        <v>9</v>
      </c>
      <c r="H14" s="9">
        <f t="shared" si="12"/>
        <v>3.0561872909698984</v>
      </c>
      <c r="I14" s="9">
        <f t="shared" si="0"/>
        <v>3.1901328788309466E-2</v>
      </c>
      <c r="J14" s="9">
        <f t="shared" si="1"/>
        <v>8.6970092502134388E-2</v>
      </c>
      <c r="K14" s="9">
        <f t="shared" si="2"/>
        <v>8.4872446485084255E-2</v>
      </c>
      <c r="L14" s="9">
        <f t="shared" si="3"/>
        <v>0.1174778207732452</v>
      </c>
      <c r="M14" s="9">
        <f t="shared" si="4"/>
        <v>7.7190698227465604E-2</v>
      </c>
      <c r="X14" s="9">
        <f t="shared" si="5"/>
        <v>8.8675591735347017E-2</v>
      </c>
      <c r="Y14" s="9">
        <f t="shared" si="6"/>
        <v>0.10027947372774203</v>
      </c>
      <c r="Z14" s="9">
        <f t="shared" si="7"/>
        <v>0.11528994301797021</v>
      </c>
      <c r="AB14" s="9">
        <f t="shared" si="8"/>
        <v>1.8859745623055195E-2</v>
      </c>
      <c r="AC14" s="9">
        <f t="shared" si="9"/>
        <v>1.6903688072759757E-2</v>
      </c>
      <c r="AD14" s="9">
        <f t="shared" si="10"/>
        <v>3.8054312171673384E-2</v>
      </c>
      <c r="AE14" s="9">
        <f t="shared" si="11"/>
        <v>1.8900834008233031E-2</v>
      </c>
    </row>
    <row r="15" spans="2:31" x14ac:dyDescent="0.3">
      <c r="B15" s="8">
        <v>3.9</v>
      </c>
      <c r="G15" s="9">
        <v>10</v>
      </c>
      <c r="H15" s="9">
        <f t="shared" si="12"/>
        <v>3.0632107023411357</v>
      </c>
      <c r="I15" s="9">
        <f t="shared" si="0"/>
        <v>3.3142787766454171E-2</v>
      </c>
      <c r="J15" s="9">
        <f t="shared" si="1"/>
        <v>8.8895772643469748E-2</v>
      </c>
      <c r="K15" s="9">
        <f t="shared" si="2"/>
        <v>7.177006089135983E-2</v>
      </c>
      <c r="L15" s="9">
        <f t="shared" si="3"/>
        <v>0.1194251120032362</v>
      </c>
      <c r="M15" s="9">
        <f t="shared" si="4"/>
        <v>7.7216532392911777E-2</v>
      </c>
      <c r="X15" s="9">
        <f t="shared" si="5"/>
        <v>9.0750877164181981E-2</v>
      </c>
      <c r="Y15" s="9">
        <f t="shared" si="6"/>
        <v>9.1278875545270588E-2</v>
      </c>
      <c r="Z15" s="9">
        <f t="shared" si="7"/>
        <v>0.11745006168126008</v>
      </c>
      <c r="AB15" s="9">
        <f t="shared" si="8"/>
        <v>1.9489871347097763E-2</v>
      </c>
      <c r="AC15" s="9">
        <f t="shared" si="9"/>
        <v>1.7577004370986603E-2</v>
      </c>
      <c r="AD15" s="9">
        <f t="shared" si="10"/>
        <v>3.8871640171728214E-2</v>
      </c>
      <c r="AE15" s="9">
        <f t="shared" si="11"/>
        <v>1.9518411594931742E-2</v>
      </c>
    </row>
    <row r="16" spans="2:31" x14ac:dyDescent="0.3">
      <c r="B16" s="8">
        <v>3.5</v>
      </c>
      <c r="G16" s="9">
        <v>11</v>
      </c>
      <c r="H16" s="9">
        <f t="shared" si="12"/>
        <v>3.070234113712373</v>
      </c>
      <c r="I16" s="9">
        <f t="shared" si="0"/>
        <v>3.4424867797785086E-2</v>
      </c>
      <c r="J16" s="9">
        <f t="shared" si="1"/>
        <v>9.0841148022141688E-2</v>
      </c>
      <c r="K16" s="9">
        <f t="shared" si="2"/>
        <v>5.9507310784628113E-2</v>
      </c>
      <c r="L16" s="9">
        <f t="shared" si="3"/>
        <v>0.12139400536922895</v>
      </c>
      <c r="M16" s="9">
        <f t="shared" si="4"/>
        <v>7.7242224120618791E-2</v>
      </c>
      <c r="X16" s="9">
        <f t="shared" si="5"/>
        <v>9.2770167483155017E-2</v>
      </c>
      <c r="Y16" s="9">
        <f t="shared" si="6"/>
        <v>8.1219383458979E-2</v>
      </c>
      <c r="Z16" s="9">
        <f t="shared" si="7"/>
        <v>0.11958693987478161</v>
      </c>
      <c r="AB16" s="9">
        <f t="shared" si="8"/>
        <v>2.0134376016074099E-2</v>
      </c>
      <c r="AC16" s="9">
        <f t="shared" si="9"/>
        <v>1.8183387241848231E-2</v>
      </c>
      <c r="AD16" s="9">
        <f t="shared" si="10"/>
        <v>3.9704057960076214E-2</v>
      </c>
      <c r="AE16" s="9">
        <f t="shared" si="11"/>
        <v>2.0149583280256397E-2</v>
      </c>
    </row>
    <row r="17" spans="2:31" x14ac:dyDescent="0.3">
      <c r="B17" s="8">
        <v>4.2</v>
      </c>
      <c r="G17" s="9">
        <v>12</v>
      </c>
      <c r="H17" s="9">
        <f t="shared" si="12"/>
        <v>3.0772575250836103</v>
      </c>
      <c r="I17" s="9">
        <f t="shared" si="0"/>
        <v>3.5748556424670661E-2</v>
      </c>
      <c r="J17" s="9">
        <f t="shared" si="1"/>
        <v>9.280605076318979E-2</v>
      </c>
      <c r="K17" s="9">
        <f t="shared" si="2"/>
        <v>4.8380872636466829E-2</v>
      </c>
      <c r="L17" s="9">
        <f t="shared" si="3"/>
        <v>0.12338459542881074</v>
      </c>
      <c r="M17" s="9">
        <f t="shared" si="4"/>
        <v>7.7267773262573058E-2</v>
      </c>
      <c r="X17" s="9">
        <f t="shared" si="5"/>
        <v>9.473346269226611E-2</v>
      </c>
      <c r="Y17" s="9">
        <f t="shared" si="6"/>
        <v>7.0100997468867249E-2</v>
      </c>
      <c r="Z17" s="9">
        <f t="shared" si="7"/>
        <v>0.12170057759853481</v>
      </c>
      <c r="AB17" s="9">
        <f t="shared" si="8"/>
        <v>2.0792866353292874E-2</v>
      </c>
      <c r="AC17" s="9">
        <f t="shared" si="9"/>
        <v>1.8715399637859613E-2</v>
      </c>
      <c r="AD17" s="9">
        <f t="shared" si="10"/>
        <v>4.0551402309337709E-2</v>
      </c>
      <c r="AE17" s="9">
        <f t="shared" si="11"/>
        <v>2.0794486817195517E-2</v>
      </c>
    </row>
    <row r="18" spans="2:31" x14ac:dyDescent="0.3">
      <c r="B18" s="8">
        <v>4</v>
      </c>
      <c r="G18" s="9">
        <v>13</v>
      </c>
      <c r="H18" s="9">
        <f t="shared" si="12"/>
        <v>3.0842809364548476</v>
      </c>
      <c r="I18" s="9">
        <f t="shared" si="0"/>
        <v>3.7114850858854805E-2</v>
      </c>
      <c r="J18" s="9">
        <f t="shared" si="1"/>
        <v>9.479028686223652E-2</v>
      </c>
      <c r="K18" s="9">
        <f t="shared" si="2"/>
        <v>3.8575686948531612E-2</v>
      </c>
      <c r="L18" s="9">
        <f t="shared" si="3"/>
        <v>0.12539697538180714</v>
      </c>
      <c r="M18" s="9">
        <f t="shared" si="4"/>
        <v>7.7293179671548834E-2</v>
      </c>
      <c r="X18" s="9">
        <f t="shared" si="5"/>
        <v>9.6640762791515303E-2</v>
      </c>
      <c r="Y18" s="9">
        <f t="shared" si="6"/>
        <v>5.7923717574935328E-2</v>
      </c>
      <c r="Z18" s="9">
        <f t="shared" si="7"/>
        <v>0.12379097485251962</v>
      </c>
      <c r="AB18" s="9">
        <f t="shared" si="8"/>
        <v>2.1464949082062746E-2</v>
      </c>
      <c r="AC18" s="9">
        <f t="shared" si="9"/>
        <v>1.9165604511535726E-2</v>
      </c>
      <c r="AD18" s="9">
        <f t="shared" si="10"/>
        <v>4.1413509992133057E-2</v>
      </c>
      <c r="AE18" s="9">
        <f t="shared" si="11"/>
        <v>2.1453258688971032E-2</v>
      </c>
    </row>
    <row r="19" spans="2:31" x14ac:dyDescent="0.3">
      <c r="B19" s="8">
        <v>4.7</v>
      </c>
      <c r="G19" s="9">
        <v>14</v>
      </c>
      <c r="H19" s="9">
        <f t="shared" si="12"/>
        <v>3.0913043478260849</v>
      </c>
      <c r="I19" s="9">
        <f t="shared" si="0"/>
        <v>3.852475744528925E-2</v>
      </c>
      <c r="J19" s="9">
        <f t="shared" si="1"/>
        <v>9.6793634497213649E-2</v>
      </c>
      <c r="K19" s="9">
        <f t="shared" si="2"/>
        <v>3.0173796242726907E-2</v>
      </c>
      <c r="L19" s="9">
        <f t="shared" si="3"/>
        <v>0.127431236977368</v>
      </c>
      <c r="M19" s="9">
        <f t="shared" si="4"/>
        <v>7.7318443201109338E-2</v>
      </c>
      <c r="X19" s="9">
        <f t="shared" si="5"/>
        <v>9.8567163960112836E-2</v>
      </c>
      <c r="Y19" s="9">
        <f t="shared" si="6"/>
        <v>4.4687543777183238E-2</v>
      </c>
      <c r="Z19" s="9">
        <f t="shared" si="7"/>
        <v>0.12585813163673615</v>
      </c>
      <c r="AB19" s="9">
        <f t="shared" si="8"/>
        <v>2.2150255330695555E-2</v>
      </c>
      <c r="AC19" s="9">
        <f t="shared" si="9"/>
        <v>1.9526564815391546E-2</v>
      </c>
      <c r="AD19" s="9">
        <f t="shared" si="10"/>
        <v>4.2290217781082634E-2</v>
      </c>
      <c r="AE19" s="9">
        <f t="shared" si="11"/>
        <v>2.2126033919471676E-2</v>
      </c>
    </row>
    <row r="20" spans="2:31" x14ac:dyDescent="0.3">
      <c r="B20" s="8">
        <v>3.6</v>
      </c>
      <c r="G20" s="9">
        <v>15</v>
      </c>
      <c r="H20" s="9">
        <f t="shared" si="12"/>
        <v>3.0983277591973222</v>
      </c>
      <c r="I20" s="9">
        <f t="shared" si="0"/>
        <v>3.997929109501993E-2</v>
      </c>
      <c r="J20" s="9">
        <f t="shared" si="1"/>
        <v>9.8815842559474412E-2</v>
      </c>
      <c r="K20" s="9">
        <f t="shared" si="2"/>
        <v>2.3171065217519795E-2</v>
      </c>
      <c r="L20" s="9">
        <f t="shared" si="3"/>
        <v>0.12948747041588429</v>
      </c>
      <c r="M20" s="9">
        <f t="shared" si="4"/>
        <v>7.7343563705608159E-2</v>
      </c>
      <c r="X20" s="9">
        <f t="shared" si="5"/>
        <v>0.10116800349150898</v>
      </c>
      <c r="Y20" s="9">
        <f t="shared" si="6"/>
        <v>3.0392476075610974E-2</v>
      </c>
      <c r="Z20" s="9">
        <f t="shared" si="7"/>
        <v>0.12830631676270243</v>
      </c>
      <c r="AB20" s="9">
        <f t="shared" si="8"/>
        <v>2.2851705781522541E-2</v>
      </c>
      <c r="AC20" s="9">
        <f t="shared" si="9"/>
        <v>1.9790843501942053E-2</v>
      </c>
      <c r="AD20" s="9">
        <f t="shared" si="10"/>
        <v>4.3182284545242436E-2</v>
      </c>
      <c r="AE20" s="9">
        <f t="shared" si="11"/>
        <v>2.2812945872583125E-2</v>
      </c>
    </row>
    <row r="21" spans="2:31" x14ac:dyDescent="0.3">
      <c r="B21" s="8">
        <v>4.4000000000000004</v>
      </c>
      <c r="G21" s="9">
        <v>16</v>
      </c>
      <c r="H21" s="9">
        <f t="shared" si="12"/>
        <v>3.1053511705685595</v>
      </c>
      <c r="I21" s="9">
        <f t="shared" si="0"/>
        <v>4.1479474686719787E-2</v>
      </c>
      <c r="J21" s="9">
        <f t="shared" si="1"/>
        <v>0.10085662943154365</v>
      </c>
      <c r="K21" s="9">
        <f t="shared" si="2"/>
        <v>1.7498760224807411E-2</v>
      </c>
      <c r="L21" s="9">
        <f t="shared" si="3"/>
        <v>0.13156576424568162</v>
      </c>
      <c r="M21" s="9">
        <f t="shared" si="4"/>
        <v>7.7368541040190808E-2</v>
      </c>
      <c r="X21" s="9">
        <f t="shared" si="5"/>
        <v>0.10370164889107084</v>
      </c>
      <c r="Y21" s="9">
        <f t="shared" si="6"/>
        <v>1.5038514470218567E-2</v>
      </c>
      <c r="Z21" s="9">
        <f t="shared" si="7"/>
        <v>0.13094628887545029</v>
      </c>
      <c r="AB21" s="9">
        <f t="shared" si="8"/>
        <v>2.3571187032274298E-2</v>
      </c>
      <c r="AC21" s="9">
        <f t="shared" si="9"/>
        <v>1.9951003523702212E-2</v>
      </c>
      <c r="AD21" s="9">
        <f t="shared" si="10"/>
        <v>4.4092719547182836E-2</v>
      </c>
      <c r="AE21" s="9">
        <f t="shared" si="11"/>
        <v>2.3514126042051973E-2</v>
      </c>
    </row>
    <row r="22" spans="2:31" x14ac:dyDescent="0.3">
      <c r="B22" s="8">
        <v>4.5</v>
      </c>
      <c r="G22" s="9">
        <v>17</v>
      </c>
      <c r="H22" s="9">
        <f t="shared" si="12"/>
        <v>3.1123745819397968</v>
      </c>
      <c r="I22" s="9">
        <f t="shared" si="0"/>
        <v>4.3026338436493131E-2</v>
      </c>
      <c r="J22" s="9">
        <f t="shared" si="1"/>
        <v>0.10291568203741605</v>
      </c>
      <c r="K22" s="9">
        <f t="shared" si="2"/>
        <v>1.3047111002011324E-2</v>
      </c>
      <c r="L22" s="9">
        <f t="shared" si="3"/>
        <v>0.13366620525444914</v>
      </c>
      <c r="M22" s="9">
        <f t="shared" si="4"/>
        <v>7.7393375060795869E-2</v>
      </c>
      <c r="X22" s="9">
        <f t="shared" si="5"/>
        <v>0.10616810015879835</v>
      </c>
      <c r="Y22" s="9">
        <f t="shared" si="6"/>
        <v>0</v>
      </c>
      <c r="Z22" s="9">
        <f t="shared" si="7"/>
        <v>0.13355866293034827</v>
      </c>
      <c r="AB22" s="9">
        <f t="shared" si="8"/>
        <v>2.4308227150921215E-2</v>
      </c>
      <c r="AC22" s="9">
        <f t="shared" si="9"/>
        <v>0.02</v>
      </c>
      <c r="AD22" s="9">
        <f t="shared" si="10"/>
        <v>4.5021599243022986E-2</v>
      </c>
      <c r="AE22" s="9">
        <f t="shared" si="11"/>
        <v>2.4229703833707844E-2</v>
      </c>
    </row>
    <row r="23" spans="2:31" x14ac:dyDescent="0.3">
      <c r="B23" s="8">
        <v>4.0999999999999996</v>
      </c>
      <c r="G23" s="9">
        <v>18</v>
      </c>
      <c r="H23" s="9">
        <f t="shared" si="12"/>
        <v>3.1193979933110341</v>
      </c>
      <c r="I23" s="9">
        <f t="shared" si="0"/>
        <v>4.4620919235614787E-2</v>
      </c>
      <c r="J23" s="9">
        <f t="shared" si="1"/>
        <v>0.10499265518971168</v>
      </c>
      <c r="K23" s="9">
        <f t="shared" si="2"/>
        <v>9.6884905787394827E-3</v>
      </c>
      <c r="L23" s="9">
        <f t="shared" si="3"/>
        <v>0.13578887835536527</v>
      </c>
      <c r="M23" s="9">
        <f t="shared" si="4"/>
        <v>7.741806562415679E-2</v>
      </c>
      <c r="X23" s="9">
        <f t="shared" si="5"/>
        <v>0.10856735729469158</v>
      </c>
      <c r="Y23" s="9">
        <f t="shared" si="6"/>
        <v>0</v>
      </c>
      <c r="Z23" s="9">
        <f t="shared" si="7"/>
        <v>0.1361434389273963</v>
      </c>
      <c r="AB23" s="9">
        <f t="shared" si="8"/>
        <v>2.5062354205433693E-2</v>
      </c>
      <c r="AC23" s="9">
        <f t="shared" si="9"/>
        <v>0.02</v>
      </c>
      <c r="AD23" s="9">
        <f t="shared" si="10"/>
        <v>4.5968729800249575E-2</v>
      </c>
      <c r="AE23" s="9">
        <f t="shared" si="11"/>
        <v>2.495980634204404E-2</v>
      </c>
    </row>
    <row r="24" spans="2:31" x14ac:dyDescent="0.3">
      <c r="B24" s="8">
        <v>4.5</v>
      </c>
      <c r="G24" s="9">
        <v>19</v>
      </c>
      <c r="H24" s="9">
        <f t="shared" si="12"/>
        <v>3.1264214046822714</v>
      </c>
      <c r="I24" s="9">
        <f t="shared" si="0"/>
        <v>4.6264259955904857E-2</v>
      </c>
      <c r="J24" s="9">
        <f t="shared" si="1"/>
        <v>0.1070871712561523</v>
      </c>
      <c r="K24" s="9">
        <f t="shared" si="2"/>
        <v>7.2985529775337794E-3</v>
      </c>
      <c r="L24" s="9">
        <f t="shared" si="3"/>
        <v>0.13793386646789785</v>
      </c>
      <c r="M24" s="9">
        <f t="shared" si="4"/>
        <v>7.74426125878028E-2</v>
      </c>
      <c r="X24" s="9">
        <f t="shared" si="5"/>
        <v>0.1108994202987505</v>
      </c>
      <c r="Y24" s="9">
        <f t="shared" si="6"/>
        <v>0</v>
      </c>
      <c r="Z24" s="9">
        <f t="shared" si="7"/>
        <v>0.13870061686659452</v>
      </c>
      <c r="AB24" s="9">
        <f t="shared" si="8"/>
        <v>2.5833096263782121E-2</v>
      </c>
      <c r="AC24" s="9">
        <f t="shared" si="9"/>
        <v>0.02</v>
      </c>
      <c r="AD24" s="9">
        <f t="shared" si="10"/>
        <v>4.6933917386349264E-2</v>
      </c>
      <c r="AE24" s="9">
        <f t="shared" si="11"/>
        <v>2.5704558123321813E-2</v>
      </c>
    </row>
    <row r="25" spans="2:31" x14ac:dyDescent="0.3">
      <c r="B25" s="8">
        <v>3.9</v>
      </c>
      <c r="G25" s="9">
        <v>20</v>
      </c>
      <c r="H25" s="9">
        <f t="shared" si="12"/>
        <v>3.1334448160535087</v>
      </c>
      <c r="I25" s="9">
        <f t="shared" si="0"/>
        <v>4.795740872248011E-2</v>
      </c>
      <c r="J25" s="9">
        <f t="shared" si="1"/>
        <v>0.10919882016574757</v>
      </c>
      <c r="K25" s="9">
        <f t="shared" si="2"/>
        <v>5.7743847761633675E-3</v>
      </c>
      <c r="L25" s="9">
        <f t="shared" si="3"/>
        <v>0.14010125039325919</v>
      </c>
      <c r="M25" s="9">
        <f t="shared" si="4"/>
        <v>7.7467015810060588E-2</v>
      </c>
      <c r="X25" s="9">
        <f t="shared" si="5"/>
        <v>0.11316428917097511</v>
      </c>
      <c r="Y25" s="9">
        <f t="shared" si="6"/>
        <v>0</v>
      </c>
      <c r="Z25" s="9">
        <f t="shared" si="7"/>
        <v>0.14123019674794274</v>
      </c>
      <c r="AB25" s="9">
        <f t="shared" si="8"/>
        <v>2.6619981393936891E-2</v>
      </c>
      <c r="AC25" s="9">
        <f t="shared" si="9"/>
        <v>0.02</v>
      </c>
      <c r="AD25" s="9">
        <f t="shared" si="10"/>
        <v>4.7916968168808728E-2</v>
      </c>
      <c r="AE25" s="9">
        <f t="shared" si="11"/>
        <v>2.6464080967513889E-2</v>
      </c>
    </row>
    <row r="26" spans="2:31" x14ac:dyDescent="0.3">
      <c r="B26" s="8">
        <v>4.8</v>
      </c>
      <c r="G26" s="9">
        <v>21</v>
      </c>
      <c r="H26" s="9">
        <f t="shared" si="12"/>
        <v>3.140468227424746</v>
      </c>
      <c r="I26" s="9">
        <f t="shared" si="0"/>
        <v>4.9701418153665904E-2</v>
      </c>
      <c r="J26" s="9">
        <f t="shared" si="1"/>
        <v>0.11132715977278683</v>
      </c>
      <c r="K26" s="9">
        <f t="shared" si="2"/>
        <v>5.0493084791159533E-3</v>
      </c>
      <c r="L26" s="9">
        <f t="shared" si="3"/>
        <v>0.14229110868451181</v>
      </c>
      <c r="M26" s="9">
        <f t="shared" si="4"/>
        <v>7.7491275150055522E-2</v>
      </c>
      <c r="X26" s="9">
        <f t="shared" si="5"/>
        <v>0.11536196391136543</v>
      </c>
      <c r="Y26" s="9">
        <f t="shared" si="6"/>
        <v>0</v>
      </c>
      <c r="Z26" s="9">
        <f t="shared" si="7"/>
        <v>0.14373217857144102</v>
      </c>
      <c r="AB26" s="9">
        <f t="shared" si="8"/>
        <v>2.7422537663868408E-2</v>
      </c>
      <c r="AC26" s="9">
        <f t="shared" si="9"/>
        <v>0.02</v>
      </c>
      <c r="AD26" s="9">
        <f t="shared" si="10"/>
        <v>4.891768831511465E-2</v>
      </c>
      <c r="AE26" s="9">
        <f t="shared" si="11"/>
        <v>2.7238493671537925E-2</v>
      </c>
    </row>
    <row r="27" spans="2:31" x14ac:dyDescent="0.3">
      <c r="B27" s="8">
        <v>4</v>
      </c>
      <c r="G27" s="9">
        <v>22</v>
      </c>
      <c r="H27" s="9">
        <f t="shared" si="12"/>
        <v>3.1474916387959833</v>
      </c>
      <c r="I27" s="9">
        <f t="shared" si="0"/>
        <v>5.1497344567895863E-2</v>
      </c>
      <c r="J27" s="9">
        <f t="shared" si="1"/>
        <v>0.113471716594243</v>
      </c>
      <c r="K27" s="9">
        <f t="shared" si="2"/>
        <v>5.1043269120000382E-3</v>
      </c>
      <c r="L27" s="9">
        <f t="shared" si="3"/>
        <v>0.14450351751132529</v>
      </c>
      <c r="M27" s="9">
        <f t="shared" si="4"/>
        <v>7.7515390467713052E-2</v>
      </c>
      <c r="X27" s="9">
        <f t="shared" si="5"/>
        <v>0.11749244451992145</v>
      </c>
      <c r="Y27" s="9">
        <f t="shared" si="6"/>
        <v>0</v>
      </c>
      <c r="Z27" s="9">
        <f t="shared" si="7"/>
        <v>0.14620656233708951</v>
      </c>
      <c r="AB27" s="9">
        <f t="shared" si="8"/>
        <v>2.8240293141547062E-2</v>
      </c>
      <c r="AC27" s="9">
        <f t="shared" si="9"/>
        <v>0.02</v>
      </c>
      <c r="AD27" s="9">
        <f t="shared" si="10"/>
        <v>4.9935883992753699E-2</v>
      </c>
      <c r="AE27" s="9">
        <f t="shared" si="11"/>
        <v>2.8027911816349577E-2</v>
      </c>
    </row>
    <row r="28" spans="2:31" x14ac:dyDescent="0.3">
      <c r="B28" s="8">
        <v>4.9000000000000004</v>
      </c>
      <c r="G28" s="9">
        <v>23</v>
      </c>
      <c r="H28" s="9">
        <f t="shared" si="12"/>
        <v>3.1545150501672206</v>
      </c>
      <c r="I28" s="9">
        <f t="shared" si="0"/>
        <v>5.3346247157474609E-2</v>
      </c>
      <c r="J28" s="9">
        <f t="shared" si="1"/>
        <v>0.1156319869335255</v>
      </c>
      <c r="K28" s="9">
        <f t="shared" si="2"/>
        <v>5.976282548970948E-3</v>
      </c>
      <c r="L28" s="9">
        <f t="shared" si="3"/>
        <v>0.14673855051940002</v>
      </c>
      <c r="M28" s="9">
        <f t="shared" si="4"/>
        <v>7.7539361623760003E-2</v>
      </c>
      <c r="X28" s="9">
        <f t="shared" si="5"/>
        <v>0.11955573099664317</v>
      </c>
      <c r="Y28" s="9">
        <f t="shared" si="6"/>
        <v>0</v>
      </c>
      <c r="Z28" s="9">
        <f t="shared" si="7"/>
        <v>0.148653348044888</v>
      </c>
      <c r="AB28" s="9">
        <f t="shared" si="8"/>
        <v>2.907277589494324E-2</v>
      </c>
      <c r="AC28" s="9">
        <f t="shared" si="9"/>
        <v>0.02</v>
      </c>
      <c r="AD28" s="9">
        <f t="shared" si="10"/>
        <v>5.0971361369212535E-2</v>
      </c>
      <c r="AE28" s="9">
        <f t="shared" si="11"/>
        <v>2.8832447550564425E-2</v>
      </c>
    </row>
    <row r="29" spans="2:31" x14ac:dyDescent="0.3">
      <c r="B29" s="8">
        <v>4.7</v>
      </c>
      <c r="G29" s="9">
        <v>24</v>
      </c>
      <c r="H29" s="9">
        <f t="shared" si="12"/>
        <v>3.1615384615384579</v>
      </c>
      <c r="I29" s="9">
        <f t="shared" si="0"/>
        <v>5.5249187129124376E-2</v>
      </c>
      <c r="J29" s="9">
        <f t="shared" si="1"/>
        <v>0.11780743840069047</v>
      </c>
      <c r="K29" s="9">
        <f t="shared" si="2"/>
        <v>7.7626471244984499E-3</v>
      </c>
      <c r="L29" s="9">
        <f t="shared" si="3"/>
        <v>0.14899627868457882</v>
      </c>
      <c r="M29" s="9">
        <f t="shared" si="4"/>
        <v>7.7563188479726097E-2</v>
      </c>
      <c r="X29" s="9">
        <f t="shared" si="5"/>
        <v>0.12155182334153056</v>
      </c>
      <c r="Y29" s="9">
        <f t="shared" si="6"/>
        <v>0</v>
      </c>
      <c r="Z29" s="9">
        <f t="shared" si="7"/>
        <v>0.15107253569483661</v>
      </c>
      <c r="AB29" s="9">
        <f t="shared" si="8"/>
        <v>2.9919513992027347E-2</v>
      </c>
      <c r="AC29" s="9">
        <f t="shared" si="9"/>
        <v>0.02</v>
      </c>
      <c r="AD29" s="9">
        <f t="shared" si="10"/>
        <v>5.2023926611977848E-2</v>
      </c>
      <c r="AE29" s="9">
        <f t="shared" si="11"/>
        <v>2.965220938335985E-2</v>
      </c>
    </row>
    <row r="30" spans="2:31" x14ac:dyDescent="0.3">
      <c r="B30" s="8">
        <v>4.3</v>
      </c>
      <c r="G30" s="9">
        <v>25</v>
      </c>
      <c r="H30" s="9">
        <f t="shared" si="12"/>
        <v>3.1685618729096952</v>
      </c>
      <c r="I30" s="9">
        <f t="shared" si="0"/>
        <v>5.7207226811288661E-2</v>
      </c>
      <c r="J30" s="9">
        <f t="shared" si="1"/>
        <v>0.11999751183625273</v>
      </c>
      <c r="K30" s="9">
        <f t="shared" si="2"/>
        <v>1.0622530088629433E-2</v>
      </c>
      <c r="L30" s="9">
        <f t="shared" si="3"/>
        <v>0.15127677016168189</v>
      </c>
      <c r="M30" s="9">
        <f t="shared" si="4"/>
        <v>7.7586870897945054E-2</v>
      </c>
      <c r="X30" s="9">
        <f t="shared" si="5"/>
        <v>0.12348072155458367</v>
      </c>
      <c r="Y30" s="9">
        <f t="shared" si="6"/>
        <v>0</v>
      </c>
      <c r="Z30" s="9">
        <f t="shared" si="7"/>
        <v>0.15346412528693532</v>
      </c>
      <c r="AB30" s="9">
        <f t="shared" si="8"/>
        <v>3.078003550076977E-2</v>
      </c>
      <c r="AC30" s="9">
        <f t="shared" si="9"/>
        <v>0.02</v>
      </c>
      <c r="AD30" s="9">
        <f t="shared" si="10"/>
        <v>5.3093385888536286E-2</v>
      </c>
      <c r="AE30" s="9">
        <f t="shared" si="11"/>
        <v>3.0487301989467849E-2</v>
      </c>
    </row>
    <row r="31" spans="2:31" x14ac:dyDescent="0.3">
      <c r="B31" s="8">
        <v>4.4000000000000004</v>
      </c>
      <c r="G31" s="9">
        <v>26</v>
      </c>
      <c r="H31" s="9">
        <f t="shared" si="12"/>
        <v>3.1755852842809325</v>
      </c>
      <c r="I31" s="9">
        <f t="shared" si="0"/>
        <v>5.922142872821691E-2</v>
      </c>
      <c r="J31" s="9">
        <f t="shared" si="1"/>
        <v>0.12220162364265998</v>
      </c>
      <c r="K31" s="9">
        <f t="shared" si="2"/>
        <v>1.4773114062957886E-2</v>
      </c>
      <c r="L31" s="9">
        <f t="shared" si="3"/>
        <v>0.15358009012810939</v>
      </c>
      <c r="M31" s="9">
        <f t="shared" si="4"/>
        <v>7.7610408741556031E-2</v>
      </c>
      <c r="X31" s="9">
        <f t="shared" si="5"/>
        <v>0.12534242563580245</v>
      </c>
      <c r="Y31" s="9">
        <f t="shared" si="6"/>
        <v>0</v>
      </c>
      <c r="Z31" s="9">
        <f t="shared" si="7"/>
        <v>0.15582811682118414</v>
      </c>
      <c r="AB31" s="9">
        <f t="shared" si="8"/>
        <v>3.165386848914091E-2</v>
      </c>
      <c r="AC31" s="9">
        <f t="shared" si="9"/>
        <v>0.02</v>
      </c>
      <c r="AD31" s="9">
        <f t="shared" si="10"/>
        <v>5.4179545366374572E-2</v>
      </c>
      <c r="AE31" s="9">
        <f t="shared" si="11"/>
        <v>3.1337826029109873E-2</v>
      </c>
    </row>
    <row r="32" spans="2:31" x14ac:dyDescent="0.3">
      <c r="B32" s="8">
        <v>4.8</v>
      </c>
      <c r="G32" s="9">
        <v>27</v>
      </c>
      <c r="H32" s="9">
        <f t="shared" si="12"/>
        <v>3.1826086956521698</v>
      </c>
      <c r="I32" s="9">
        <f t="shared" si="0"/>
        <v>6.1292854640908306E-2</v>
      </c>
      <c r="J32" s="9">
        <f t="shared" si="1"/>
        <v>0.12441916852432057</v>
      </c>
      <c r="K32" s="9">
        <f t="shared" si="2"/>
        <v>2.0480429817770207E-2</v>
      </c>
      <c r="L32" s="9">
        <f t="shared" si="3"/>
        <v>0.15590630062226549</v>
      </c>
      <c r="M32" s="9">
        <f t="shared" si="4"/>
        <v>7.7633801874504915E-2</v>
      </c>
      <c r="X32" s="9">
        <f t="shared" si="5"/>
        <v>0.12713693558518693</v>
      </c>
      <c r="Y32" s="9">
        <f t="shared" si="6"/>
        <v>0</v>
      </c>
      <c r="Z32" s="9">
        <f t="shared" si="7"/>
        <v>0.15816451029758297</v>
      </c>
      <c r="AB32" s="9">
        <f t="shared" si="8"/>
        <v>3.2540541025111155E-2</v>
      </c>
      <c r="AC32" s="9">
        <f t="shared" si="9"/>
        <v>0.02</v>
      </c>
      <c r="AD32" s="9">
        <f t="shared" si="10"/>
        <v>5.5282211212979326E-2</v>
      </c>
      <c r="AE32" s="9">
        <f t="shared" si="11"/>
        <v>3.2203877985741515E-2</v>
      </c>
    </row>
    <row r="33" spans="2:31" x14ac:dyDescent="0.3">
      <c r="B33" s="8">
        <v>5</v>
      </c>
      <c r="G33" s="9">
        <v>28</v>
      </c>
      <c r="H33" s="9">
        <f t="shared" si="12"/>
        <v>3.189632107023407</v>
      </c>
      <c r="I33" s="9">
        <f t="shared" si="0"/>
        <v>6.3422564555047425E-2</v>
      </c>
      <c r="J33" s="9">
        <f t="shared" si="1"/>
        <v>0.1266495226338335</v>
      </c>
      <c r="K33" s="9">
        <f t="shared" si="2"/>
        <v>2.8043314609295798E-2</v>
      </c>
      <c r="L33" s="9">
        <f t="shared" si="3"/>
        <v>0.1582554603768723</v>
      </c>
      <c r="M33" s="9">
        <f t="shared" si="4"/>
        <v>7.7657050161545768E-2</v>
      </c>
      <c r="X33" s="9">
        <f t="shared" si="5"/>
        <v>0.12886425140273713</v>
      </c>
      <c r="Y33" s="9">
        <f t="shared" si="6"/>
        <v>6.84619329537124E-3</v>
      </c>
      <c r="Z33" s="9">
        <f t="shared" si="7"/>
        <v>0.16047330571613203</v>
      </c>
      <c r="AB33" s="9">
        <f t="shared" si="8"/>
        <v>3.3439581176650905E-2</v>
      </c>
      <c r="AC33" s="9">
        <f t="shared" si="9"/>
        <v>2.0004924458699821E-2</v>
      </c>
      <c r="AD33" s="9">
        <f t="shared" si="10"/>
        <v>5.6401189595837231E-2</v>
      </c>
      <c r="AE33" s="9">
        <f t="shared" si="11"/>
        <v>3.3085550024470528E-2</v>
      </c>
    </row>
    <row r="34" spans="2:31" x14ac:dyDescent="0.3">
      <c r="B34" s="8">
        <v>4.5</v>
      </c>
      <c r="G34" s="9">
        <v>29</v>
      </c>
      <c r="H34" s="9">
        <f t="shared" si="12"/>
        <v>3.1966555183946443</v>
      </c>
      <c r="I34" s="9">
        <f t="shared" si="0"/>
        <v>6.5611615696123268E-2</v>
      </c>
      <c r="J34" s="9">
        <f t="shared" si="1"/>
        <v>0.12889204711878399</v>
      </c>
      <c r="K34" s="9">
        <f t="shared" si="2"/>
        <v>3.7769677570228276E-2</v>
      </c>
      <c r="L34" s="9">
        <f t="shared" si="3"/>
        <v>0.16062762464724795</v>
      </c>
      <c r="M34" s="9">
        <f t="shared" si="4"/>
        <v>7.768015346824178E-2</v>
      </c>
      <c r="X34" s="9">
        <f t="shared" si="5"/>
        <v>0.13121422192958471</v>
      </c>
      <c r="Y34" s="9">
        <f t="shared" si="6"/>
        <v>3.9066822083044066E-2</v>
      </c>
      <c r="Z34" s="9">
        <f t="shared" si="7"/>
        <v>0.16309606980247557</v>
      </c>
      <c r="AB34" s="9">
        <f t="shared" si="8"/>
        <v>3.4352590991378815E-2</v>
      </c>
      <c r="AC34" s="9">
        <f t="shared" si="9"/>
        <v>2.0167396963762272E-2</v>
      </c>
      <c r="AD34" s="9">
        <f t="shared" si="10"/>
        <v>5.7536779817674501E-2</v>
      </c>
      <c r="AE34" s="9">
        <f t="shared" si="11"/>
        <v>3.3982929873982888E-2</v>
      </c>
    </row>
    <row r="35" spans="2:31" x14ac:dyDescent="0.3">
      <c r="B35" s="8">
        <v>3.5</v>
      </c>
      <c r="G35" s="9">
        <v>30</v>
      </c>
      <c r="H35" s="9">
        <f t="shared" si="12"/>
        <v>3.2036789297658816</v>
      </c>
      <c r="I35" s="9">
        <f t="shared" si="0"/>
        <v>6.7861061451980453E-2</v>
      </c>
      <c r="J35" s="9">
        <f t="shared" si="1"/>
        <v>0.13114609206016184</v>
      </c>
      <c r="K35" s="9">
        <f t="shared" si="2"/>
        <v>4.9944897279533364E-2</v>
      </c>
      <c r="L35" s="9">
        <f t="shared" si="3"/>
        <v>0.16302284503463887</v>
      </c>
      <c r="M35" s="9">
        <f t="shared" si="4"/>
        <v>7.7703111660966981E-2</v>
      </c>
      <c r="X35" s="9">
        <f t="shared" si="5"/>
        <v>0.13360414654716765</v>
      </c>
      <c r="Y35" s="9">
        <f t="shared" si="6"/>
        <v>6.9169663063076536E-2</v>
      </c>
      <c r="Z35" s="9">
        <f t="shared" si="7"/>
        <v>0.16617678082404466</v>
      </c>
      <c r="AB35" s="9">
        <f t="shared" si="8"/>
        <v>3.5282601043895537E-2</v>
      </c>
      <c r="AC35" s="9">
        <f t="shared" si="9"/>
        <v>2.0548731151955452E-2</v>
      </c>
      <c r="AD35" s="9">
        <f t="shared" si="10"/>
        <v>5.8693108712619339E-2</v>
      </c>
      <c r="AE35" s="9">
        <f t="shared" si="11"/>
        <v>3.4896100734761043E-2</v>
      </c>
    </row>
    <row r="36" spans="2:31" x14ac:dyDescent="0.3">
      <c r="B36" s="8">
        <v>3.8</v>
      </c>
      <c r="G36" s="9">
        <v>31</v>
      </c>
      <c r="H36" s="9">
        <f t="shared" si="12"/>
        <v>3.2107023411371189</v>
      </c>
      <c r="I36" s="9">
        <f t="shared" si="0"/>
        <v>7.0171950283113196E-2</v>
      </c>
      <c r="J36" s="9">
        <f t="shared" si="1"/>
        <v>0.13341100079015594</v>
      </c>
      <c r="K36" s="9">
        <f t="shared" si="2"/>
        <v>6.4793296279096177E-2</v>
      </c>
      <c r="L36" s="9">
        <f t="shared" si="3"/>
        <v>0.16544116930470468</v>
      </c>
      <c r="M36" s="9">
        <f t="shared" si="4"/>
        <v>7.7725924606907221E-2</v>
      </c>
      <c r="X36" s="9">
        <f t="shared" si="5"/>
        <v>0.13591567801094392</v>
      </c>
      <c r="Y36" s="9">
        <f t="shared" si="6"/>
        <v>9.7154716235468702E-2</v>
      </c>
      <c r="Z36" s="9">
        <f t="shared" si="7"/>
        <v>0.16922408367032166</v>
      </c>
      <c r="AB36" s="9">
        <f t="shared" si="8"/>
        <v>3.6229121226463858E-2</v>
      </c>
      <c r="AC36" s="9">
        <f t="shared" si="9"/>
        <v>2.1134052928309319E-2</v>
      </c>
      <c r="AD36" s="9">
        <f t="shared" si="10"/>
        <v>5.9870957388705494E-2</v>
      </c>
      <c r="AE36" s="9">
        <f t="shared" si="11"/>
        <v>3.5825141216303605E-2</v>
      </c>
    </row>
    <row r="37" spans="2:31" x14ac:dyDescent="0.3">
      <c r="B37" s="8">
        <v>3.7</v>
      </c>
      <c r="G37" s="9">
        <v>32</v>
      </c>
      <c r="H37" s="9">
        <f t="shared" si="12"/>
        <v>3.2177257525083562</v>
      </c>
      <c r="I37" s="9">
        <f t="shared" si="0"/>
        <v>7.2545324601073283E-2</v>
      </c>
      <c r="J37" s="9">
        <f t="shared" si="1"/>
        <v>0.13568611457379989</v>
      </c>
      <c r="K37" s="9">
        <f t="shared" si="2"/>
        <v>8.243507397359251E-2</v>
      </c>
      <c r="L37" s="9">
        <f t="shared" si="3"/>
        <v>0.167882641201265</v>
      </c>
      <c r="M37" s="9">
        <f t="shared" si="4"/>
        <v>7.7748592174061701E-2</v>
      </c>
      <c r="X37" s="9">
        <f t="shared" si="5"/>
        <v>0.13814881632091347</v>
      </c>
      <c r="Y37" s="9">
        <f t="shared" si="6"/>
        <v>0.12302198160022051</v>
      </c>
      <c r="Z37" s="9">
        <f t="shared" si="7"/>
        <v>0.17223797834130661</v>
      </c>
      <c r="AB37" s="9">
        <f t="shared" si="8"/>
        <v>3.7191600951715899E-2</v>
      </c>
      <c r="AC37" s="9">
        <f t="shared" si="9"/>
        <v>2.1908488197853817E-2</v>
      </c>
      <c r="AD37" s="9">
        <f t="shared" si="10"/>
        <v>6.1070091206574639E-2</v>
      </c>
      <c r="AE37" s="9">
        <f t="shared" si="11"/>
        <v>3.6770125305958509E-2</v>
      </c>
    </row>
    <row r="38" spans="2:31" x14ac:dyDescent="0.3">
      <c r="B38" s="8">
        <v>3.9</v>
      </c>
      <c r="G38" s="9">
        <v>33</v>
      </c>
      <c r="H38" s="9">
        <f t="shared" si="12"/>
        <v>3.2247491638795935</v>
      </c>
      <c r="I38" s="9">
        <f t="shared" si="0"/>
        <v>7.4982219615428447E-2</v>
      </c>
      <c r="J38" s="9">
        <f t="shared" si="1"/>
        <v>0.13797077763571486</v>
      </c>
      <c r="K38" s="9">
        <f t="shared" si="2"/>
        <v>0.10284262740154324</v>
      </c>
      <c r="L38" s="9">
        <f t="shared" si="3"/>
        <v>0.17034730025543043</v>
      </c>
      <c r="M38" s="9">
        <f t="shared" si="4"/>
        <v>7.7771114231243957E-2</v>
      </c>
      <c r="X38" s="9">
        <f t="shared" si="5"/>
        <v>0.14030356147707632</v>
      </c>
      <c r="Y38" s="9">
        <f t="shared" si="6"/>
        <v>0.14677145915733197</v>
      </c>
      <c r="Z38" s="9">
        <f t="shared" si="7"/>
        <v>0.1752184648369996</v>
      </c>
      <c r="AB38" s="9">
        <f t="shared" si="8"/>
        <v>3.8169489632283782E-2</v>
      </c>
      <c r="AC38" s="9">
        <f t="shared" si="9"/>
        <v>2.2857162865618907E-2</v>
      </c>
      <c r="AD38" s="9">
        <f t="shared" si="10"/>
        <v>6.2290275526868576E-2</v>
      </c>
      <c r="AE38" s="9">
        <f t="shared" si="11"/>
        <v>3.7731122371861041E-2</v>
      </c>
    </row>
    <row r="39" spans="2:31" x14ac:dyDescent="0.3">
      <c r="B39" s="8">
        <v>5.0999999999999996</v>
      </c>
      <c r="G39" s="9">
        <v>34</v>
      </c>
      <c r="H39" s="9">
        <f t="shared" si="12"/>
        <v>3.2317725752508308</v>
      </c>
      <c r="I39" s="9">
        <f t="shared" si="0"/>
        <v>7.748366214977094E-2</v>
      </c>
      <c r="J39" s="9">
        <f t="shared" si="1"/>
        <v>0.14026434251003514</v>
      </c>
      <c r="K39" s="9">
        <f t="shared" si="2"/>
        <v>0.12580155456463474</v>
      </c>
      <c r="L39" s="9">
        <f t="shared" si="3"/>
        <v>0.17283518159024955</v>
      </c>
      <c r="M39" s="9">
        <f t="shared" si="4"/>
        <v>7.7793490648083399E-2</v>
      </c>
      <c r="X39" s="9">
        <f t="shared" si="5"/>
        <v>0.14237991347943249</v>
      </c>
      <c r="Y39" s="9">
        <f t="shared" si="6"/>
        <v>0.16840314890680311</v>
      </c>
      <c r="Z39" s="9">
        <f t="shared" si="7"/>
        <v>0.17816554315740066</v>
      </c>
      <c r="AB39" s="9">
        <f t="shared" si="8"/>
        <v>3.9162236680799649E-2</v>
      </c>
      <c r="AC39" s="9">
        <f t="shared" si="9"/>
        <v>2.3965202836634523E-2</v>
      </c>
      <c r="AD39" s="9">
        <f t="shared" si="10"/>
        <v>6.3531275710229082E-2</v>
      </c>
      <c r="AE39" s="9">
        <f t="shared" si="11"/>
        <v>3.8708197202325559E-2</v>
      </c>
    </row>
    <row r="40" spans="2:31" x14ac:dyDescent="0.3">
      <c r="B40" s="8">
        <v>4.5</v>
      </c>
      <c r="G40" s="9">
        <v>35</v>
      </c>
      <c r="H40" s="9">
        <f t="shared" si="12"/>
        <v>3.2387959866220681</v>
      </c>
      <c r="I40" s="9">
        <f t="shared" si="0"/>
        <v>8.0050669427343193E-2</v>
      </c>
      <c r="J40" s="9">
        <f t="shared" si="1"/>
        <v>0.14256617568853439</v>
      </c>
      <c r="K40" s="9">
        <f t="shared" si="2"/>
        <v>0.15088247705210017</v>
      </c>
      <c r="L40" s="9">
        <f t="shared" si="3"/>
        <v>0.1753463157210142</v>
      </c>
      <c r="M40" s="9">
        <f t="shared" si="4"/>
        <v>7.7815721295026355E-2</v>
      </c>
      <c r="X40" s="9">
        <f t="shared" si="5"/>
        <v>0.14437787232798199</v>
      </c>
      <c r="Y40" s="9">
        <f t="shared" si="6"/>
        <v>0.18791705084863392</v>
      </c>
      <c r="Z40" s="9">
        <f t="shared" si="7"/>
        <v>0.18107921330250967</v>
      </c>
      <c r="AB40" s="9">
        <f t="shared" si="8"/>
        <v>4.0169291509895615E-2</v>
      </c>
      <c r="AC40" s="9">
        <f t="shared" si="9"/>
        <v>2.5217734015930637E-2</v>
      </c>
      <c r="AD40" s="9">
        <f t="shared" si="10"/>
        <v>6.4792857117297875E-2</v>
      </c>
      <c r="AE40" s="9">
        <f t="shared" si="11"/>
        <v>3.9701410083874268E-2</v>
      </c>
    </row>
    <row r="41" spans="2:31" x14ac:dyDescent="0.3">
      <c r="B41" s="8">
        <v>4.5</v>
      </c>
      <c r="G41" s="9">
        <v>36</v>
      </c>
      <c r="H41" s="9">
        <f t="shared" si="12"/>
        <v>3.2458193979933054</v>
      </c>
      <c r="I41" s="9">
        <f t="shared" si="0"/>
        <v>8.2684247826914276E-2</v>
      </c>
      <c r="J41" s="9">
        <f t="shared" si="1"/>
        <v>0.14487566353901171</v>
      </c>
      <c r="K41" s="9">
        <f t="shared" si="2"/>
        <v>0.17742981793417756</v>
      </c>
      <c r="L41" s="9">
        <f t="shared" si="3"/>
        <v>0.17788072835137883</v>
      </c>
      <c r="M41" s="9">
        <f t="shared" si="4"/>
        <v>7.7837806043337565E-2</v>
      </c>
      <c r="X41" s="9">
        <f t="shared" si="5"/>
        <v>0.14629743802272474</v>
      </c>
      <c r="Y41" s="9">
        <f t="shared" si="6"/>
        <v>0.2053131649828244</v>
      </c>
      <c r="Z41" s="9">
        <f t="shared" si="7"/>
        <v>0.18395947527232667</v>
      </c>
      <c r="AB41" s="9">
        <f t="shared" si="8"/>
        <v>4.1190103532203814E-2</v>
      </c>
      <c r="AC41" s="9">
        <f t="shared" si="9"/>
        <v>2.6599882308537191E-2</v>
      </c>
      <c r="AD41" s="9">
        <f t="shared" si="10"/>
        <v>6.6074785108716755E-2</v>
      </c>
      <c r="AE41" s="9">
        <f t="shared" si="11"/>
        <v>4.0710816919901902E-2</v>
      </c>
    </row>
    <row r="42" spans="2:31" x14ac:dyDescent="0.3">
      <c r="B42" s="8">
        <v>4.7</v>
      </c>
      <c r="G42" s="9">
        <v>37</v>
      </c>
      <c r="H42" s="9">
        <f t="shared" si="12"/>
        <v>3.2528428093645427</v>
      </c>
      <c r="I42" s="9">
        <f t="shared" si="0"/>
        <v>8.5385391609610006E-2</v>
      </c>
      <c r="J42" s="9">
        <f t="shared" si="1"/>
        <v>0.14719221846317146</v>
      </c>
      <c r="K42" s="9">
        <f t="shared" si="2"/>
        <v>0.20457260846415018</v>
      </c>
      <c r="L42" s="9">
        <f t="shared" si="3"/>
        <v>0.18043844016545704</v>
      </c>
      <c r="M42" s="9">
        <f t="shared" si="4"/>
        <v>7.7859744765101116E-2</v>
      </c>
      <c r="X42" s="9">
        <f t="shared" si="5"/>
        <v>0.1481386105636609</v>
      </c>
      <c r="Y42" s="9">
        <f t="shared" si="6"/>
        <v>0.22059149130937455</v>
      </c>
      <c r="Z42" s="9">
        <f t="shared" si="7"/>
        <v>0.18680632906685177</v>
      </c>
      <c r="AB42" s="9">
        <f t="shared" si="8"/>
        <v>4.222412216035637E-2</v>
      </c>
      <c r="AC42" s="9">
        <f t="shared" si="9"/>
        <v>2.8096773619484133E-2</v>
      </c>
      <c r="AD42" s="9">
        <f t="shared" si="10"/>
        <v>6.7376825045127473E-2</v>
      </c>
      <c r="AE42" s="9">
        <f t="shared" si="11"/>
        <v>4.1736469391767041E-2</v>
      </c>
    </row>
    <row r="43" spans="2:31" x14ac:dyDescent="0.3">
      <c r="B43" s="8">
        <v>4.4000000000000004</v>
      </c>
      <c r="G43" s="9">
        <v>38</v>
      </c>
      <c r="H43" s="9">
        <f t="shared" si="12"/>
        <v>3.25986622073578</v>
      </c>
      <c r="I43" s="9">
        <f t="shared" si="0"/>
        <v>8.815508161746842E-2</v>
      </c>
      <c r="J43" s="9">
        <f t="shared" si="1"/>
        <v>0.14951528526054958</v>
      </c>
      <c r="K43" s="9">
        <f t="shared" si="2"/>
        <v>0.23126023057070524</v>
      </c>
      <c r="L43" s="9">
        <f t="shared" si="3"/>
        <v>0.18301946661607263</v>
      </c>
      <c r="M43" s="9">
        <f t="shared" si="4"/>
        <v>7.7881537333221937E-2</v>
      </c>
      <c r="X43" s="9">
        <f t="shared" si="5"/>
        <v>0.14990138995079033</v>
      </c>
      <c r="Y43" s="9">
        <f t="shared" si="6"/>
        <v>0.23375202982828433</v>
      </c>
      <c r="Z43" s="9">
        <f t="shared" si="7"/>
        <v>0.18961977468608471</v>
      </c>
      <c r="AB43" s="9">
        <f t="shared" si="8"/>
        <v>4.3270796806985416E-2</v>
      </c>
      <c r="AC43" s="9">
        <f t="shared" si="9"/>
        <v>2.9693533853801416E-2</v>
      </c>
      <c r="AD43" s="9">
        <f t="shared" si="10"/>
        <v>6.8698742287171793E-2</v>
      </c>
      <c r="AE43" s="9">
        <f t="shared" si="11"/>
        <v>4.2778415163876898E-2</v>
      </c>
    </row>
    <row r="44" spans="2:31" x14ac:dyDescent="0.3">
      <c r="B44" s="8">
        <v>4.0999999999999996</v>
      </c>
      <c r="G44" s="9">
        <v>39</v>
      </c>
      <c r="H44" s="9">
        <f t="shared" si="12"/>
        <v>3.2668896321070173</v>
      </c>
      <c r="I44" s="9">
        <f t="shared" si="0"/>
        <v>9.0994283944562937E-2</v>
      </c>
      <c r="J44" s="9">
        <f t="shared" si="1"/>
        <v>0.15184434766252472</v>
      </c>
      <c r="K44" s="9">
        <f t="shared" si="2"/>
        <v>0.25632291473961527</v>
      </c>
      <c r="L44" s="9">
        <f t="shared" si="3"/>
        <v>0.18562381770934983</v>
      </c>
      <c r="M44" s="9">
        <f t="shared" si="4"/>
        <v>7.7903183621426855E-2</v>
      </c>
      <c r="X44" s="9">
        <f t="shared" si="5"/>
        <v>0.15158577618411306</v>
      </c>
      <c r="Y44" s="9">
        <f t="shared" si="6"/>
        <v>0.24479478053955381</v>
      </c>
      <c r="Z44" s="9">
        <f t="shared" si="7"/>
        <v>0.19239981213002585</v>
      </c>
      <c r="AB44" s="9">
        <f t="shared" si="8"/>
        <v>4.4329576884723068E-2</v>
      </c>
      <c r="AC44" s="9">
        <f t="shared" si="9"/>
        <v>3.1375288916518994E-2</v>
      </c>
      <c r="AD44" s="9">
        <f t="shared" si="10"/>
        <v>7.0040302195491483E-2</v>
      </c>
      <c r="AE44" s="9">
        <f t="shared" si="11"/>
        <v>4.3836698134087519E-2</v>
      </c>
    </row>
    <row r="45" spans="2:31" x14ac:dyDescent="0.3">
      <c r="B45" s="8">
        <v>4</v>
      </c>
      <c r="G45" s="9">
        <v>40</v>
      </c>
      <c r="H45" s="9">
        <f t="shared" si="12"/>
        <v>3.2739130434782546</v>
      </c>
      <c r="I45" s="9">
        <f t="shared" si="0"/>
        <v>9.3903948581606916E-2</v>
      </c>
      <c r="J45" s="9">
        <f t="shared" si="1"/>
        <v>0.15417893499811836</v>
      </c>
      <c r="K45" s="9">
        <f t="shared" si="2"/>
        <v>0.27855321740715122</v>
      </c>
      <c r="L45" s="9">
        <f t="shared" si="3"/>
        <v>0.18825149778583947</v>
      </c>
      <c r="M45" s="9">
        <f t="shared" si="4"/>
        <v>7.7924683504265971E-2</v>
      </c>
      <c r="X45" s="9">
        <f t="shared" si="5"/>
        <v>0.1531917692636291</v>
      </c>
      <c r="Y45" s="9">
        <f t="shared" si="6"/>
        <v>0.25371974344318293</v>
      </c>
      <c r="Z45" s="9">
        <f t="shared" si="7"/>
        <v>0.19514644139867487</v>
      </c>
      <c r="AB45" s="9">
        <f t="shared" si="8"/>
        <v>4.5399911806201454E-2</v>
      </c>
      <c r="AC45" s="9">
        <f t="shared" si="9"/>
        <v>3.3127164712666815E-2</v>
      </c>
      <c r="AD45" s="9">
        <f t="shared" si="10"/>
        <v>7.1401270130728264E-2</v>
      </c>
      <c r="AE45" s="9">
        <f t="shared" si="11"/>
        <v>4.4911358730481042E-2</v>
      </c>
    </row>
    <row r="46" spans="2:31" x14ac:dyDescent="0.3">
      <c r="B46" s="8">
        <v>4.4000000000000004</v>
      </c>
      <c r="G46" s="9">
        <v>41</v>
      </c>
      <c r="H46" s="9">
        <f t="shared" si="12"/>
        <v>3.2809364548494919</v>
      </c>
      <c r="I46" s="9">
        <f t="shared" si="0"/>
        <v>9.6885008035025172E-2</v>
      </c>
      <c r="J46" s="9">
        <f t="shared" si="1"/>
        <v>0.1565186289511469</v>
      </c>
      <c r="K46" s="9">
        <f t="shared" si="2"/>
        <v>0.29680118814598544</v>
      </c>
      <c r="L46" s="9">
        <f t="shared" si="3"/>
        <v>0.19090250529838934</v>
      </c>
      <c r="M46" s="9">
        <f t="shared" si="4"/>
        <v>7.7946036857113668E-2</v>
      </c>
      <c r="X46" s="9">
        <f t="shared" si="5"/>
        <v>0.15471936918933848</v>
      </c>
      <c r="Y46" s="9">
        <f t="shared" si="6"/>
        <v>0.2605269185391717</v>
      </c>
      <c r="Z46" s="9">
        <f t="shared" si="7"/>
        <v>0.19785966249203191</v>
      </c>
      <c r="AB46" s="9">
        <f t="shared" si="8"/>
        <v>4.6481250984052702E-2</v>
      </c>
      <c r="AC46" s="9">
        <f t="shared" si="9"/>
        <v>3.4934287147274833E-2</v>
      </c>
      <c r="AD46" s="9">
        <f t="shared" si="10"/>
        <v>7.2781411453523959E-2</v>
      </c>
      <c r="AE46" s="9">
        <f t="shared" si="11"/>
        <v>4.6002434255304488E-2</v>
      </c>
    </row>
    <row r="47" spans="2:31" x14ac:dyDescent="0.3">
      <c r="B47" s="8">
        <v>4.5999999999999996</v>
      </c>
      <c r="G47" s="9">
        <v>42</v>
      </c>
      <c r="H47" s="9">
        <f t="shared" si="12"/>
        <v>3.2879598662207292</v>
      </c>
      <c r="I47" s="9">
        <f t="shared" si="0"/>
        <v>9.9938375921550471E-2</v>
      </c>
      <c r="J47" s="9">
        <f t="shared" si="1"/>
        <v>0.15886307036635577</v>
      </c>
      <c r="K47" s="9">
        <f t="shared" si="2"/>
        <v>0.3100731664950086</v>
      </c>
      <c r="L47" s="9">
        <f t="shared" si="3"/>
        <v>0.19357683258697278</v>
      </c>
      <c r="M47" s="9">
        <f t="shared" si="4"/>
        <v>7.796724355617006E-2</v>
      </c>
      <c r="X47" s="9">
        <f t="shared" si="5"/>
        <v>0.15616857596124112</v>
      </c>
      <c r="Y47" s="9">
        <f t="shared" si="6"/>
        <v>0.26521630582752015</v>
      </c>
      <c r="Z47" s="9">
        <f t="shared" si="7"/>
        <v>0.20053947541009695</v>
      </c>
      <c r="AB47" s="9">
        <f t="shared" si="8"/>
        <v>4.7573043830908948E-2</v>
      </c>
      <c r="AC47" s="9">
        <f t="shared" si="9"/>
        <v>3.6781782125372996E-2</v>
      </c>
      <c r="AD47" s="9">
        <f t="shared" si="10"/>
        <v>7.4180491524520303E-2</v>
      </c>
      <c r="AE47" s="9">
        <f t="shared" si="11"/>
        <v>4.7109959276564223E-2</v>
      </c>
    </row>
    <row r="48" spans="2:31" x14ac:dyDescent="0.3">
      <c r="B48" s="8">
        <v>4</v>
      </c>
      <c r="G48" s="9">
        <v>43</v>
      </c>
      <c r="H48" s="9">
        <f t="shared" si="12"/>
        <v>3.2949832775919665</v>
      </c>
      <c r="I48" s="9">
        <f t="shared" si="0"/>
        <v>0.10306494553947443</v>
      </c>
      <c r="J48" s="9">
        <f t="shared" si="1"/>
        <v>0.16121196606045396</v>
      </c>
      <c r="K48" s="9">
        <f t="shared" si="2"/>
        <v>0.31762271680448939</v>
      </c>
      <c r="L48" s="9">
        <f t="shared" si="3"/>
        <v>0.19627446565070508</v>
      </c>
      <c r="M48" s="9">
        <f t="shared" si="4"/>
        <v>7.7988303478461946E-2</v>
      </c>
      <c r="X48" s="9">
        <f t="shared" si="5"/>
        <v>0.15803782656532836</v>
      </c>
      <c r="Y48" s="9">
        <f t="shared" si="6"/>
        <v>0.26778790530822832</v>
      </c>
      <c r="Z48" s="9">
        <f t="shared" si="7"/>
        <v>0.203257769651634</v>
      </c>
      <c r="AB48" s="9">
        <f t="shared" si="8"/>
        <v>4.8675820100557272E-2</v>
      </c>
      <c r="AC48" s="9">
        <f t="shared" si="9"/>
        <v>3.8654775551991261E-2</v>
      </c>
      <c r="AD48" s="9">
        <f t="shared" si="10"/>
        <v>7.5598319345298814E-2</v>
      </c>
      <c r="AE48" s="9">
        <f t="shared" si="11"/>
        <v>4.8233966067466161E-2</v>
      </c>
    </row>
    <row r="49" spans="2:31" x14ac:dyDescent="0.3">
      <c r="B49" s="8">
        <v>3.3</v>
      </c>
      <c r="G49" s="9">
        <v>44</v>
      </c>
      <c r="H49" s="9">
        <f t="shared" si="12"/>
        <v>3.3020066889632038</v>
      </c>
      <c r="I49" s="9">
        <f t="shared" si="0"/>
        <v>0.106265588417759</v>
      </c>
      <c r="J49" s="9">
        <f t="shared" si="1"/>
        <v>0.16356509559248034</v>
      </c>
      <c r="K49" s="9">
        <f t="shared" si="2"/>
        <v>0.3190225060629161</v>
      </c>
      <c r="L49" s="9">
        <f t="shared" si="3"/>
        <v>0.19899538391727933</v>
      </c>
      <c r="M49" s="9">
        <f t="shared" si="4"/>
        <v>7.8009216501844197E-2</v>
      </c>
      <c r="X49" s="9">
        <f t="shared" si="5"/>
        <v>0.16012991052712194</v>
      </c>
      <c r="Y49" s="9">
        <f t="shared" si="6"/>
        <v>0.26824171698129606</v>
      </c>
      <c r="Z49" s="9">
        <f t="shared" si="7"/>
        <v>0.20628501375912292</v>
      </c>
      <c r="AB49" s="9">
        <f t="shared" si="8"/>
        <v>4.9793183988777426E-2</v>
      </c>
      <c r="AC49" s="9">
        <f t="shared" si="9"/>
        <v>4.053839333215957E-2</v>
      </c>
      <c r="AD49" s="9">
        <f t="shared" si="10"/>
        <v>7.7036534319871508E-2</v>
      </c>
      <c r="AE49" s="9">
        <f t="shared" si="11"/>
        <v>4.9374485093576961E-2</v>
      </c>
    </row>
    <row r="50" spans="2:31" x14ac:dyDescent="0.3">
      <c r="B50" s="8">
        <v>4.2</v>
      </c>
      <c r="G50" s="9">
        <v>45</v>
      </c>
      <c r="H50" s="9">
        <f t="shared" si="12"/>
        <v>3.3090301003344411</v>
      </c>
      <c r="I50" s="9">
        <f t="shared" si="0"/>
        <v>0.10954115284428302</v>
      </c>
      <c r="J50" s="9">
        <f t="shared" si="1"/>
        <v>0.16592231794669635</v>
      </c>
      <c r="K50" s="9">
        <f t="shared" si="2"/>
        <v>0.31420803102687939</v>
      </c>
      <c r="L50" s="9">
        <f t="shared" si="3"/>
        <v>0.2017395600100719</v>
      </c>
      <c r="M50" s="9">
        <f t="shared" si="4"/>
        <v>7.8029982505000858E-2</v>
      </c>
      <c r="X50" s="9">
        <f t="shared" si="5"/>
        <v>0.1621324023131365</v>
      </c>
      <c r="Y50" s="9">
        <f t="shared" si="6"/>
        <v>0.26657774084672359</v>
      </c>
      <c r="Z50" s="9">
        <f t="shared" si="7"/>
        <v>0.20927594463259871</v>
      </c>
      <c r="AB50" s="9">
        <f t="shared" si="8"/>
        <v>5.0924926821931359E-2</v>
      </c>
      <c r="AC50" s="9">
        <f t="shared" si="9"/>
        <v>4.2417761370907886E-2</v>
      </c>
      <c r="AD50" s="9">
        <f t="shared" si="10"/>
        <v>7.8495883353741927E-2</v>
      </c>
      <c r="AE50" s="9">
        <f t="shared" si="11"/>
        <v>5.0531545547256772E-2</v>
      </c>
    </row>
    <row r="51" spans="2:31" x14ac:dyDescent="0.3">
      <c r="B51" s="8">
        <v>4.2</v>
      </c>
      <c r="G51" s="9">
        <v>46</v>
      </c>
      <c r="H51" s="9">
        <f t="shared" si="12"/>
        <v>3.3160535117056784</v>
      </c>
      <c r="I51" s="9">
        <f t="shared" si="0"/>
        <v>0.11289246237457541</v>
      </c>
      <c r="J51" s="9">
        <f t="shared" si="1"/>
        <v>0.1682835780801992</v>
      </c>
      <c r="K51" s="9">
        <f t="shared" si="2"/>
        <v>0.30348772990487838</v>
      </c>
      <c r="L51" s="9">
        <f t="shared" si="3"/>
        <v>0.20450695951316616</v>
      </c>
      <c r="M51" s="9">
        <f t="shared" si="4"/>
        <v>7.805060136744621E-2</v>
      </c>
      <c r="X51" s="9">
        <f t="shared" si="5"/>
        <v>0.16404530192337197</v>
      </c>
      <c r="Y51" s="9">
        <f t="shared" si="6"/>
        <v>0.26279597690451073</v>
      </c>
      <c r="Z51" s="9">
        <f t="shared" si="7"/>
        <v>0.2122305622720615</v>
      </c>
      <c r="AB51" s="9">
        <f t="shared" si="8"/>
        <v>5.2070419357312915E-2</v>
      </c>
      <c r="AC51" s="9">
        <f t="shared" si="9"/>
        <v>4.4278005573266145E-2</v>
      </c>
      <c r="AD51" s="9">
        <f t="shared" si="10"/>
        <v>7.9976111404129316E-2</v>
      </c>
      <c r="AE51" s="9">
        <f t="shared" si="11"/>
        <v>5.1705175928581787E-2</v>
      </c>
    </row>
    <row r="52" spans="2:31" x14ac:dyDescent="0.3">
      <c r="B52" s="8">
        <v>4.2</v>
      </c>
      <c r="G52" s="9">
        <v>47</v>
      </c>
      <c r="H52" s="9">
        <f t="shared" si="12"/>
        <v>3.3230769230769157</v>
      </c>
      <c r="I52" s="9">
        <f t="shared" si="0"/>
        <v>0.11632031432245835</v>
      </c>
      <c r="J52" s="9">
        <f t="shared" si="1"/>
        <v>0.170648913286718</v>
      </c>
      <c r="K52" s="9">
        <f t="shared" si="2"/>
        <v>0.28751857791006585</v>
      </c>
      <c r="L52" s="9">
        <f t="shared" si="3"/>
        <v>0.2072975407345618</v>
      </c>
      <c r="M52" s="9">
        <f t="shared" si="4"/>
        <v>7.8071072969526104E-2</v>
      </c>
      <c r="X52" s="9">
        <f t="shared" si="5"/>
        <v>0.16586860935782838</v>
      </c>
      <c r="Y52" s="9">
        <f t="shared" si="6"/>
        <v>0.25689642515465749</v>
      </c>
      <c r="Z52" s="9">
        <f t="shared" si="7"/>
        <v>0.21514886667751126</v>
      </c>
      <c r="AB52" s="9">
        <f t="shared" si="8"/>
        <v>5.3229032352215981E-2</v>
      </c>
      <c r="AC52" s="9">
        <f t="shared" si="9"/>
        <v>4.610425184426431E-2</v>
      </c>
      <c r="AD52" s="9">
        <f t="shared" si="10"/>
        <v>8.1476963428253057E-2</v>
      </c>
      <c r="AE52" s="9">
        <f t="shared" si="11"/>
        <v>5.2895404671636601E-2</v>
      </c>
    </row>
    <row r="53" spans="2:31" x14ac:dyDescent="0.3">
      <c r="B53" s="8">
        <v>4.3</v>
      </c>
      <c r="G53" s="9">
        <v>48</v>
      </c>
      <c r="H53" s="9">
        <f t="shared" si="12"/>
        <v>3.330100334448153</v>
      </c>
      <c r="I53" s="9">
        <f t="shared" si="0"/>
        <v>0.11982547823409562</v>
      </c>
      <c r="J53" s="9">
        <f t="shared" si="1"/>
        <v>0.17301845932757881</v>
      </c>
      <c r="K53" s="9">
        <f t="shared" si="2"/>
        <v>0.26725097105278883</v>
      </c>
      <c r="L53" s="9">
        <f t="shared" si="3"/>
        <v>0.21011125446783505</v>
      </c>
      <c r="M53" s="9">
        <f t="shared" si="4"/>
        <v>7.8091397192419157E-2</v>
      </c>
      <c r="X53" s="9">
        <f t="shared" si="5"/>
        <v>0.16760232461650568</v>
      </c>
      <c r="Y53" s="9">
        <f t="shared" si="6"/>
        <v>0.24887908559716393</v>
      </c>
      <c r="Z53" s="9">
        <f t="shared" si="7"/>
        <v>0.21803085784894796</v>
      </c>
      <c r="AB53" s="9">
        <f t="shared" si="8"/>
        <v>5.4400136563934387E-2</v>
      </c>
      <c r="AC53" s="9">
        <f t="shared" si="9"/>
        <v>4.7881626088932323E-2</v>
      </c>
      <c r="AD53" s="9">
        <f t="shared" si="10"/>
        <v>8.2998184383332396E-2</v>
      </c>
      <c r="AE53" s="9">
        <f t="shared" si="11"/>
        <v>5.4102260814713123E-2</v>
      </c>
    </row>
    <row r="54" spans="2:31" x14ac:dyDescent="0.3">
      <c r="B54" s="8">
        <v>3</v>
      </c>
      <c r="G54" s="9">
        <v>49</v>
      </c>
      <c r="H54" s="9">
        <f t="shared" si="12"/>
        <v>3.3371237458193903</v>
      </c>
      <c r="I54" s="9">
        <f t="shared" si="0"/>
        <v>0.1234086943470151</v>
      </c>
      <c r="J54" s="9">
        <f t="shared" si="1"/>
        <v>0.17539245628062383</v>
      </c>
      <c r="K54" s="9">
        <f t="shared" si="2"/>
        <v>0.24385071597845415</v>
      </c>
      <c r="L54" s="9">
        <f t="shared" si="3"/>
        <v>0.21294804375253409</v>
      </c>
      <c r="M54" s="9">
        <f t="shared" si="4"/>
        <v>7.811157391813757E-2</v>
      </c>
      <c r="X54" s="9">
        <f t="shared" si="5"/>
        <v>0.16924644769940392</v>
      </c>
      <c r="Y54" s="9">
        <f t="shared" si="6"/>
        <v>0.23874395823203007</v>
      </c>
      <c r="Z54" s="9">
        <f t="shared" si="7"/>
        <v>0.22087653578637159</v>
      </c>
      <c r="AB54" s="9">
        <f t="shared" si="8"/>
        <v>5.5583102749762005E-2</v>
      </c>
      <c r="AC54" s="9">
        <f t="shared" si="9"/>
        <v>4.9595254212300148E-2</v>
      </c>
      <c r="AD54" s="9">
        <f t="shared" si="10"/>
        <v>8.4539519226586674E-2</v>
      </c>
      <c r="AE54" s="9">
        <f t="shared" si="11"/>
        <v>5.5325774712608161E-2</v>
      </c>
    </row>
    <row r="55" spans="2:31" x14ac:dyDescent="0.3">
      <c r="B55" s="8">
        <v>4.0999999999999996</v>
      </c>
      <c r="G55" s="9">
        <v>50</v>
      </c>
      <c r="H55" s="9">
        <f t="shared" si="12"/>
        <v>3.3441471571906276</v>
      </c>
      <c r="I55" s="9">
        <f t="shared" si="0"/>
        <v>0.12707067203574549</v>
      </c>
      <c r="J55" s="9">
        <f t="shared" si="1"/>
        <v>0.17777125405793845</v>
      </c>
      <c r="K55" s="9">
        <f t="shared" si="2"/>
        <v>0.21860856845012253</v>
      </c>
      <c r="L55" s="9">
        <f t="shared" si="3"/>
        <v>0.21580784363358901</v>
      </c>
      <c r="M55" s="9">
        <f t="shared" si="4"/>
        <v>7.8131603029528721E-2</v>
      </c>
      <c r="X55" s="9">
        <f t="shared" si="5"/>
        <v>0.17080097860652305</v>
      </c>
      <c r="Y55" s="9">
        <f t="shared" si="6"/>
        <v>0.22649104305925583</v>
      </c>
      <c r="Z55" s="9">
        <f t="shared" si="7"/>
        <v>0.22368590048978226</v>
      </c>
      <c r="AB55" s="9">
        <f t="shared" si="8"/>
        <v>5.6777301666992699E-2</v>
      </c>
      <c r="AC55" s="9">
        <f t="shared" si="9"/>
        <v>5.1230262119397726E-2</v>
      </c>
      <c r="AD55" s="9">
        <f t="shared" si="10"/>
        <v>8.6100712915235175E-2</v>
      </c>
      <c r="AE55" s="9">
        <f t="shared" si="11"/>
        <v>5.6565978788866031E-2</v>
      </c>
    </row>
    <row r="56" spans="2:31" x14ac:dyDescent="0.3">
      <c r="G56" s="9">
        <v>51</v>
      </c>
      <c r="H56" s="9">
        <f t="shared" si="12"/>
        <v>3.3511705685618649</v>
      </c>
      <c r="I56" s="9">
        <f t="shared" si="0"/>
        <v>0.13081208824577728</v>
      </c>
      <c r="J56" s="9">
        <f t="shared" si="1"/>
        <v>0.18015531754359729</v>
      </c>
      <c r="K56" s="9">
        <f t="shared" si="2"/>
        <v>0.19284858096302565</v>
      </c>
      <c r="L56" s="9">
        <f t="shared" si="3"/>
        <v>0.21869058092003441</v>
      </c>
      <c r="M56" s="9">
        <f t="shared" si="4"/>
        <v>7.815148441027589E-2</v>
      </c>
      <c r="X56" s="9">
        <f t="shared" si="5"/>
        <v>0.17226591733786317</v>
      </c>
      <c r="Y56" s="9">
        <f t="shared" si="6"/>
        <v>0.21212034007884131</v>
      </c>
      <c r="Z56" s="9">
        <f t="shared" si="7"/>
        <v>0.22645895195917998</v>
      </c>
      <c r="AB56" s="9">
        <f t="shared" si="8"/>
        <v>5.7982104072920322E-2</v>
      </c>
      <c r="AC56" s="9">
        <f t="shared" si="9"/>
        <v>5.2771775715255008E-2</v>
      </c>
      <c r="AD56" s="9">
        <f t="shared" si="10"/>
        <v>8.7681510406497201E-2</v>
      </c>
      <c r="AE56" s="9">
        <f t="shared" si="11"/>
        <v>5.7822908325468603E-2</v>
      </c>
    </row>
    <row r="57" spans="2:31" x14ac:dyDescent="0.3">
      <c r="G57" s="9">
        <v>52</v>
      </c>
      <c r="H57" s="9">
        <f t="shared" si="12"/>
        <v>3.3581939799331022</v>
      </c>
      <c r="I57" s="9">
        <f t="shared" si="0"/>
        <v>0.13463358591762881</v>
      </c>
      <c r="J57" s="9">
        <f t="shared" si="1"/>
        <v>0.18254523130326936</v>
      </c>
      <c r="K57" s="9">
        <f t="shared" si="2"/>
        <v>0.16784547059608532</v>
      </c>
      <c r="L57" s="9">
        <f t="shared" si="3"/>
        <v>0.22159617394334152</v>
      </c>
      <c r="M57" s="9">
        <f t="shared" si="4"/>
        <v>7.8171217944899785E-2</v>
      </c>
      <c r="X57" s="9">
        <f t="shared" si="5"/>
        <v>0.17364126389342419</v>
      </c>
      <c r="Y57" s="9">
        <f t="shared" si="6"/>
        <v>0.19563184929078645</v>
      </c>
      <c r="Z57" s="9">
        <f t="shared" si="7"/>
        <v>0.22919569019456443</v>
      </c>
      <c r="AB57" s="9">
        <f t="shared" si="8"/>
        <v>5.9196880724838738E-2</v>
      </c>
      <c r="AC57" s="9">
        <f t="shared" si="9"/>
        <v>5.4204920904901963E-2</v>
      </c>
      <c r="AD57" s="9">
        <f t="shared" si="10"/>
        <v>8.9281656657592107E-2</v>
      </c>
      <c r="AE57" s="9">
        <f t="shared" si="11"/>
        <v>5.9096602287133884E-2</v>
      </c>
    </row>
    <row r="58" spans="2:31" x14ac:dyDescent="0.3">
      <c r="G58" s="9">
        <v>53</v>
      </c>
      <c r="H58" s="9">
        <f t="shared" si="12"/>
        <v>3.3652173913043395</v>
      </c>
      <c r="I58" s="9">
        <f t="shared" si="0"/>
        <v>0.1385357724028678</v>
      </c>
      <c r="J58" s="9">
        <f t="shared" si="1"/>
        <v>0.18494170381845007</v>
      </c>
      <c r="K58" s="9">
        <f t="shared" si="2"/>
        <v>0.14475859837450422</v>
      </c>
      <c r="L58" s="9">
        <f t="shared" si="3"/>
        <v>0.22452453231566452</v>
      </c>
      <c r="M58" s="9">
        <f t="shared" si="4"/>
        <v>7.8190803518759261E-2</v>
      </c>
      <c r="X58" s="9">
        <f t="shared" si="5"/>
        <v>0.17492701827320617</v>
      </c>
      <c r="Y58" s="9">
        <f t="shared" si="6"/>
        <v>0.1770255706950912</v>
      </c>
      <c r="Z58" s="9">
        <f t="shared" si="7"/>
        <v>0.23189611519593595</v>
      </c>
      <c r="AB58" s="9">
        <f t="shared" si="8"/>
        <v>6.0421002380041784E-2</v>
      </c>
      <c r="AC58" s="9">
        <f t="shared" si="9"/>
        <v>5.5514823593368519E-2</v>
      </c>
      <c r="AD58" s="9">
        <f t="shared" si="10"/>
        <v>9.0900896625739136E-2</v>
      </c>
      <c r="AE58" s="9">
        <f t="shared" si="11"/>
        <v>6.0387104177050531E-2</v>
      </c>
    </row>
    <row r="59" spans="2:31" x14ac:dyDescent="0.3">
      <c r="G59" s="9">
        <v>54</v>
      </c>
      <c r="H59" s="9">
        <f t="shared" si="12"/>
        <v>3.3722408026755768</v>
      </c>
      <c r="I59" s="9">
        <f t="shared" si="0"/>
        <v>0.14251921787400385</v>
      </c>
      <c r="J59" s="9">
        <f t="shared" si="1"/>
        <v>0.18734557119929551</v>
      </c>
      <c r="K59" s="9">
        <f t="shared" si="2"/>
        <v>0.12458653917358166</v>
      </c>
      <c r="L59" s="9">
        <f t="shared" si="3"/>
        <v>0.22747555668831404</v>
      </c>
      <c r="M59" s="9">
        <f t="shared" si="4"/>
        <v>7.8210241018052587E-2</v>
      </c>
      <c r="X59" s="9">
        <f t="shared" si="5"/>
        <v>0.17612318047720901</v>
      </c>
      <c r="Y59" s="9">
        <f t="shared" si="6"/>
        <v>0.15630150429175566</v>
      </c>
      <c r="Z59" s="9">
        <f t="shared" si="7"/>
        <v>0.23456022696329443</v>
      </c>
      <c r="AB59" s="9">
        <f t="shared" si="8"/>
        <v>6.1653839795823367E-2</v>
      </c>
      <c r="AC59" s="9">
        <f t="shared" si="9"/>
        <v>5.6686609685684626E-2</v>
      </c>
      <c r="AD59" s="9">
        <f t="shared" si="10"/>
        <v>9.2538975268157644E-2</v>
      </c>
      <c r="AE59" s="9">
        <f t="shared" si="11"/>
        <v>6.1694462920546297E-2</v>
      </c>
    </row>
    <row r="60" spans="2:31" x14ac:dyDescent="0.3">
      <c r="G60" s="9">
        <v>55</v>
      </c>
      <c r="H60" s="9">
        <f t="shared" si="12"/>
        <v>3.3792642140468141</v>
      </c>
      <c r="I60" s="9">
        <f t="shared" si="0"/>
        <v>0.1465844537302351</v>
      </c>
      <c r="J60" s="9">
        <f t="shared" si="1"/>
        <v>0.18975780033154058</v>
      </c>
      <c r="K60" s="9">
        <f t="shared" si="2"/>
        <v>0.10814234674679638</v>
      </c>
      <c r="L60" s="9">
        <f t="shared" si="3"/>
        <v>0.23044913851077192</v>
      </c>
      <c r="M60" s="9">
        <f t="shared" si="4"/>
        <v>7.8229530329818747E-2</v>
      </c>
      <c r="X60" s="9">
        <f t="shared" si="5"/>
        <v>0.17722975050543285</v>
      </c>
      <c r="Y60" s="9">
        <f t="shared" si="6"/>
        <v>0.13345965008077976</v>
      </c>
      <c r="Z60" s="9">
        <f t="shared" si="7"/>
        <v>0.23718802549663981</v>
      </c>
      <c r="AB60" s="9">
        <f t="shared" si="8"/>
        <v>6.289476372947729E-2</v>
      </c>
      <c r="AC60" s="9">
        <f t="shared" si="9"/>
        <v>5.7705405086880254E-2</v>
      </c>
      <c r="AD60" s="9">
        <f t="shared" si="10"/>
        <v>9.4195637542066918E-2</v>
      </c>
      <c r="AE60" s="9">
        <f t="shared" si="11"/>
        <v>6.3018733772871746E-2</v>
      </c>
    </row>
    <row r="61" spans="2:31" x14ac:dyDescent="0.3">
      <c r="G61" s="9">
        <v>56</v>
      </c>
      <c r="H61" s="9">
        <f t="shared" si="12"/>
        <v>3.3862876254180514</v>
      </c>
      <c r="I61" s="9">
        <f t="shared" si="0"/>
        <v>0.15073197100109625</v>
      </c>
      <c r="J61" s="9">
        <f t="shared" si="1"/>
        <v>0.19217949141477139</v>
      </c>
      <c r="K61" s="9">
        <f t="shared" si="2"/>
        <v>9.6046214287032611E-2</v>
      </c>
      <c r="L61" s="9">
        <f t="shared" si="3"/>
        <v>0.23344515979057043</v>
      </c>
      <c r="M61" s="9">
        <f t="shared" si="4"/>
        <v>7.8248671341938317E-2</v>
      </c>
      <c r="X61" s="9">
        <f t="shared" si="5"/>
        <v>0.17824672835787758</v>
      </c>
      <c r="Y61" s="9">
        <f t="shared" si="6"/>
        <v>0.10850000806216356</v>
      </c>
      <c r="Z61" s="9">
        <f t="shared" si="7"/>
        <v>0.23977951079597223</v>
      </c>
      <c r="AB61" s="9">
        <f t="shared" si="8"/>
        <v>6.4143144938297453E-2</v>
      </c>
      <c r="AC61" s="9">
        <f t="shared" si="9"/>
        <v>5.8556335701985346E-2</v>
      </c>
      <c r="AD61" s="9">
        <f t="shared" si="10"/>
        <v>9.5870628404686256E-2</v>
      </c>
      <c r="AE61" s="9">
        <f t="shared" si="11"/>
        <v>6.4359979246972704E-2</v>
      </c>
    </row>
    <row r="62" spans="2:31" x14ac:dyDescent="0.3">
      <c r="G62" s="9">
        <v>57</v>
      </c>
      <c r="H62" s="9">
        <f t="shared" si="12"/>
        <v>3.3933110367892887</v>
      </c>
      <c r="I62" s="9">
        <f t="shared" si="0"/>
        <v>0.15496221875011731</v>
      </c>
      <c r="J62" s="9">
        <f t="shared" si="1"/>
        <v>0.1946118798514121</v>
      </c>
      <c r="K62" s="9">
        <f t="shared" si="2"/>
        <v>8.8729893871851193E-2</v>
      </c>
      <c r="L62" s="9">
        <f t="shared" si="3"/>
        <v>0.23646349285435911</v>
      </c>
      <c r="M62" s="9">
        <f t="shared" si="4"/>
        <v>7.8267663943134488E-2</v>
      </c>
      <c r="X62" s="9">
        <f t="shared" si="5"/>
        <v>0.18009328483152182</v>
      </c>
      <c r="Y62" s="9">
        <f t="shared" si="6"/>
        <v>0.10541036694933512</v>
      </c>
      <c r="Z62" s="9">
        <f t="shared" si="7"/>
        <v>0.24233468286129164</v>
      </c>
      <c r="AB62" s="9">
        <f t="shared" si="8"/>
        <v>6.5399576140176746E-2</v>
      </c>
      <c r="AC62" s="9">
        <f t="shared" si="9"/>
        <v>5.9286348065128787E-2</v>
      </c>
      <c r="AD62" s="9">
        <f t="shared" si="10"/>
        <v>9.7563692813235015E-2</v>
      </c>
      <c r="AE62" s="9">
        <f t="shared" si="11"/>
        <v>6.57182700568337E-2</v>
      </c>
    </row>
    <row r="63" spans="2:31" x14ac:dyDescent="0.3">
      <c r="G63" s="9">
        <v>58</v>
      </c>
      <c r="H63" s="9">
        <f t="shared" si="12"/>
        <v>3.400334448160526</v>
      </c>
      <c r="I63" s="9">
        <f t="shared" si="0"/>
        <v>0.15927560248066278</v>
      </c>
      <c r="J63" s="9">
        <f t="shared" si="1"/>
        <v>0.19705633744816367</v>
      </c>
      <c r="K63" s="9">
        <f t="shared" si="2"/>
        <v>8.6446329027928814E-2</v>
      </c>
      <c r="L63" s="9">
        <f t="shared" si="3"/>
        <v>0.23950400011048764</v>
      </c>
      <c r="M63" s="9">
        <f t="shared" si="4"/>
        <v>7.8286508022974349E-2</v>
      </c>
      <c r="X63" s="9">
        <f t="shared" si="5"/>
        <v>0.18333806812633022</v>
      </c>
      <c r="Y63" s="9">
        <f t="shared" si="6"/>
        <v>0.10732646068006274</v>
      </c>
      <c r="Z63" s="9">
        <f t="shared" si="7"/>
        <v>0.24562908203158348</v>
      </c>
      <c r="AB63" s="9">
        <f t="shared" si="8"/>
        <v>6.6675912189417652E-2</v>
      </c>
      <c r="AC63" s="9">
        <f t="shared" si="9"/>
        <v>6.0035896208083764E-2</v>
      </c>
      <c r="AD63" s="9">
        <f t="shared" si="10"/>
        <v>9.9277124228121086E-2</v>
      </c>
      <c r="AE63" s="9">
        <f t="shared" si="11"/>
        <v>6.7093686071695011E-2</v>
      </c>
    </row>
    <row r="64" spans="2:31" x14ac:dyDescent="0.3">
      <c r="G64" s="9">
        <v>59</v>
      </c>
      <c r="H64" s="9">
        <f t="shared" si="12"/>
        <v>3.4073578595317633</v>
      </c>
      <c r="I64" s="9">
        <f t="shared" si="0"/>
        <v>0.1636724825461785</v>
      </c>
      <c r="J64" s="9">
        <f t="shared" si="1"/>
        <v>0.19951437289428892</v>
      </c>
      <c r="K64" s="9">
        <f t="shared" si="2"/>
        <v>8.9278549089515935E-2</v>
      </c>
      <c r="L64" s="9">
        <f t="shared" si="3"/>
        <v>0.24256653381343901</v>
      </c>
      <c r="M64" s="9">
        <f t="shared" si="4"/>
        <v>7.8305203471869783E-2</v>
      </c>
      <c r="X64" s="9">
        <f t="shared" si="5"/>
        <v>0.18645966217944238</v>
      </c>
      <c r="Y64" s="9">
        <f t="shared" si="6"/>
        <v>0.10500697879550974</v>
      </c>
      <c r="Z64" s="9">
        <f t="shared" si="7"/>
        <v>0.24893569595274598</v>
      </c>
      <c r="AB64" s="9">
        <f t="shared" si="8"/>
        <v>6.7974605082188055E-2</v>
      </c>
      <c r="AC64" s="9">
        <f t="shared" si="9"/>
        <v>6.0784027770565442E-2</v>
      </c>
      <c r="AD64" s="9">
        <f t="shared" si="10"/>
        <v>0.10101391482501086</v>
      </c>
      <c r="AE64" s="9">
        <f t="shared" si="11"/>
        <v>6.8486317276188882E-2</v>
      </c>
    </row>
    <row r="65" spans="7:31" x14ac:dyDescent="0.3">
      <c r="G65" s="9">
        <v>60</v>
      </c>
      <c r="H65" s="9">
        <f t="shared" si="12"/>
        <v>3.4143812709030006</v>
      </c>
      <c r="I65" s="9">
        <f t="shared" si="0"/>
        <v>0.16815317256713197</v>
      </c>
      <c r="J65" s="9">
        <f t="shared" si="1"/>
        <v>0.2019876314841044</v>
      </c>
      <c r="K65" s="9">
        <f t="shared" si="2"/>
        <v>9.7143766010967775E-2</v>
      </c>
      <c r="L65" s="9">
        <f t="shared" si="3"/>
        <v>0.24565093583044487</v>
      </c>
      <c r="M65" s="9">
        <f t="shared" si="4"/>
        <v>7.8323750181078733E-2</v>
      </c>
      <c r="X65" s="9">
        <f t="shared" si="5"/>
        <v>0.18945806699085832</v>
      </c>
      <c r="Y65" s="9">
        <f t="shared" si="6"/>
        <v>0.11096835938438074</v>
      </c>
      <c r="Z65" s="9">
        <f t="shared" si="7"/>
        <v>0.25220018652245346</v>
      </c>
      <c r="AB65" s="9">
        <f t="shared" si="8"/>
        <v>6.9294789609766996E-2</v>
      </c>
      <c r="AC65" s="9">
        <f t="shared" si="9"/>
        <v>6.1517066160534359E-2</v>
      </c>
      <c r="AD65" s="9">
        <f t="shared" si="10"/>
        <v>0.10277378120690203</v>
      </c>
      <c r="AE65" s="9">
        <f t="shared" si="11"/>
        <v>6.9896264731198907E-2</v>
      </c>
    </row>
    <row r="66" spans="7:31" x14ac:dyDescent="0.3">
      <c r="G66" s="9">
        <v>61</v>
      </c>
      <c r="H66" s="9">
        <f t="shared" si="12"/>
        <v>3.4214046822742379</v>
      </c>
      <c r="I66" s="9">
        <f t="shared" si="0"/>
        <v>0.17271793785698081</v>
      </c>
      <c r="J66" s="9">
        <f t="shared" si="1"/>
        <v>0.20447789405425876</v>
      </c>
      <c r="K66" s="9">
        <f t="shared" si="2"/>
        <v>0.10979136509276519</v>
      </c>
      <c r="L66" s="9">
        <f t="shared" si="3"/>
        <v>0.24875703741061964</v>
      </c>
      <c r="M66" s="9">
        <f t="shared" si="4"/>
        <v>7.834214804270602E-2</v>
      </c>
      <c r="X66" s="9">
        <f t="shared" si="5"/>
        <v>0.19233328256057805</v>
      </c>
      <c r="Y66" s="9">
        <f t="shared" si="6"/>
        <v>0.13572630732608426</v>
      </c>
      <c r="Z66" s="9">
        <f t="shared" si="7"/>
        <v>0.25542255374070577</v>
      </c>
      <c r="AB66" s="9">
        <f t="shared" si="8"/>
        <v>7.0635600563433529E-2</v>
      </c>
      <c r="AC66" s="9">
        <f t="shared" si="9"/>
        <v>6.2384624732147467E-2</v>
      </c>
      <c r="AD66" s="9">
        <f t="shared" si="10"/>
        <v>0.10455642752416888</v>
      </c>
      <c r="AE66" s="9">
        <f t="shared" si="11"/>
        <v>7.1323641530029042E-2</v>
      </c>
    </row>
    <row r="67" spans="7:31" x14ac:dyDescent="0.3">
      <c r="G67" s="9">
        <v>62</v>
      </c>
      <c r="H67" s="9">
        <f t="shared" si="12"/>
        <v>3.4284280936454752</v>
      </c>
      <c r="I67" s="9">
        <f t="shared" si="0"/>
        <v>0.17736699385955779</v>
      </c>
      <c r="J67" s="9">
        <f t="shared" si="1"/>
        <v>0.20698707510989381</v>
      </c>
      <c r="K67" s="9">
        <f t="shared" si="2"/>
        <v>0.12679650121141889</v>
      </c>
      <c r="L67" s="9">
        <f t="shared" si="3"/>
        <v>0.25188465895695328</v>
      </c>
      <c r="M67" s="9">
        <f t="shared" si="4"/>
        <v>7.8360396949704481E-2</v>
      </c>
      <c r="X67" s="9">
        <f t="shared" si="5"/>
        <v>0.19508530888860151</v>
      </c>
      <c r="Y67" s="9">
        <f t="shared" si="6"/>
        <v>0.15836646746014746</v>
      </c>
      <c r="Z67" s="9">
        <f t="shared" si="7"/>
        <v>0.25860279760750293</v>
      </c>
      <c r="AB67" s="9">
        <f t="shared" si="8"/>
        <v>7.1996172734466735E-2</v>
      </c>
      <c r="AC67" s="9">
        <f t="shared" si="9"/>
        <v>6.3418631509377807E-2</v>
      </c>
      <c r="AD67" s="9">
        <f t="shared" si="10"/>
        <v>0.10636155792718605</v>
      </c>
      <c r="AE67" s="9">
        <f t="shared" si="11"/>
        <v>7.2768573744274409E-2</v>
      </c>
    </row>
    <row r="68" spans="7:31" x14ac:dyDescent="0.3">
      <c r="G68" s="9">
        <v>63</v>
      </c>
      <c r="H68" s="9">
        <f t="shared" si="12"/>
        <v>3.4354515050167125</v>
      </c>
      <c r="I68" s="9">
        <f t="shared" si="0"/>
        <v>0.18210050460030772</v>
      </c>
      <c r="J68" s="9">
        <f t="shared" si="1"/>
        <v>0.20951722011756599</v>
      </c>
      <c r="K68" s="9">
        <f t="shared" si="2"/>
        <v>0.14755366296036124</v>
      </c>
      <c r="L68" s="9">
        <f t="shared" si="3"/>
        <v>0.25503360980149875</v>
      </c>
      <c r="M68" s="9">
        <f t="shared" si="4"/>
        <v>7.8378496795876079E-2</v>
      </c>
      <c r="X68" s="9">
        <f t="shared" si="5"/>
        <v>0.19771414597492878</v>
      </c>
      <c r="Y68" s="9">
        <f t="shared" si="6"/>
        <v>0.17888883978657033</v>
      </c>
      <c r="Z68" s="9">
        <f t="shared" si="7"/>
        <v>0.26174091812284489</v>
      </c>
      <c r="AB68" s="9">
        <f t="shared" si="8"/>
        <v>7.3375640914145654E-2</v>
      </c>
      <c r="AC68" s="9">
        <f t="shared" si="9"/>
        <v>6.4604212397255348E-2</v>
      </c>
      <c r="AD68" s="9">
        <f t="shared" si="10"/>
        <v>0.10818887656632768</v>
      </c>
      <c r="AE68" s="9">
        <f t="shared" si="11"/>
        <v>7.4231201353617035E-2</v>
      </c>
    </row>
    <row r="69" spans="7:31" x14ac:dyDescent="0.3">
      <c r="G69" s="9">
        <v>64</v>
      </c>
      <c r="H69" s="9">
        <f t="shared" si="12"/>
        <v>3.4424749163879498</v>
      </c>
      <c r="I69" s="9">
        <f t="shared" si="0"/>
        <v>0.18691858115385529</v>
      </c>
      <c r="J69" s="9">
        <f t="shared" si="1"/>
        <v>0.21207050194683824</v>
      </c>
      <c r="K69" s="9">
        <f t="shared" si="2"/>
        <v>0.17127626900253853</v>
      </c>
      <c r="L69" s="9">
        <f t="shared" si="3"/>
        <v>0.25820368798409621</v>
      </c>
      <c r="M69" s="9">
        <f t="shared" si="4"/>
        <v>7.8396447475872988E-2</v>
      </c>
      <c r="X69" s="9">
        <f t="shared" si="5"/>
        <v>0.20021979381955979</v>
      </c>
      <c r="Y69" s="9">
        <f t="shared" si="6"/>
        <v>0.19729342430535288</v>
      </c>
      <c r="Z69" s="9">
        <f t="shared" si="7"/>
        <v>0.26483691528673176</v>
      </c>
      <c r="AB69" s="9">
        <f t="shared" si="8"/>
        <v>7.4773139893749327E-2</v>
      </c>
      <c r="AC69" s="9">
        <f t="shared" si="9"/>
        <v>6.5926493300810018E-2</v>
      </c>
      <c r="AD69" s="9">
        <f t="shared" si="10"/>
        <v>0.11003808759196834</v>
      </c>
      <c r="AE69" s="9">
        <f t="shared" si="11"/>
        <v>7.5711679153628642E-2</v>
      </c>
    </row>
    <row r="70" spans="7:31" x14ac:dyDescent="0.3">
      <c r="G70" s="9">
        <v>65</v>
      </c>
      <c r="H70" s="9">
        <f t="shared" si="12"/>
        <v>3.4494983277591871</v>
      </c>
      <c r="I70" s="9">
        <f t="shared" si="0"/>
        <v>0.19182128013042413</v>
      </c>
      <c r="J70" s="9">
        <f t="shared" si="1"/>
        <v>0.21464921644675131</v>
      </c>
      <c r="K70" s="9">
        <f t="shared" si="2"/>
        <v>0.19700869538318747</v>
      </c>
      <c r="L70" s="9">
        <f t="shared" si="3"/>
        <v>0.26139468003497018</v>
      </c>
      <c r="M70" s="9">
        <f t="shared" si="4"/>
        <v>7.8414248885198296E-2</v>
      </c>
      <c r="X70" s="9">
        <f t="shared" si="5"/>
        <v>0.20260225242249458</v>
      </c>
      <c r="Y70" s="9">
        <f t="shared" si="6"/>
        <v>0.21358022101649507</v>
      </c>
      <c r="Z70" s="9">
        <f t="shared" si="7"/>
        <v>0.26789078909916353</v>
      </c>
      <c r="AB70" s="9">
        <f t="shared" si="8"/>
        <v>7.6187804464556821E-2</v>
      </c>
      <c r="AC70" s="9">
        <f t="shared" si="9"/>
        <v>6.7370600125071775E-2</v>
      </c>
      <c r="AD70" s="9">
        <f t="shared" si="10"/>
        <v>0.11190889515448232</v>
      </c>
      <c r="AE70" s="9">
        <f t="shared" si="11"/>
        <v>7.7210177635549548E-2</v>
      </c>
    </row>
    <row r="71" spans="7:31" x14ac:dyDescent="0.3">
      <c r="G71" s="9">
        <v>66</v>
      </c>
      <c r="H71" s="9">
        <f t="shared" si="12"/>
        <v>3.4565217391304244</v>
      </c>
      <c r="I71" s="9">
        <f t="shared" ref="I71:I134" si="13">_xlfn.NORM.DIST($H71, $E$5, $E$6, FALSE)</f>
        <v>0.19680860218366539</v>
      </c>
      <c r="J71" s="9">
        <f t="shared" ref="J71:J134" si="14">EstymacjaGaussowska($H71, $B$6:$B$155)</f>
        <v>0.2172557771479042</v>
      </c>
      <c r="K71" s="9">
        <f t="shared" ref="K71:K134" si="15">EstymacjaGaussowska($H71, $B$6:$B$155, $K$5)</f>
        <v>0.22365592457509842</v>
      </c>
      <c r="L71" s="9">
        <f t="shared" ref="L71:L134" si="16">EstymacjaGaussowska($H71, $B$6:$B$155, $L$5)</f>
        <v>0.26460636076154009</v>
      </c>
      <c r="M71" s="9">
        <f t="shared" ref="M71:M134" si="17">EstymacjaGaussowska($H71, $B$6:$B$155, $M$5)</f>
        <v>7.8431900920207326E-2</v>
      </c>
      <c r="X71" s="9">
        <f t="shared" ref="X71:X134" si="18">EstymacjaEpanecznikowa($H71, $B$6:$B$155, $X$5)</f>
        <v>0.20486152178373315</v>
      </c>
      <c r="Y71" s="9">
        <f t="shared" ref="Y71:Y134" si="19">EstymacjaEpanecznikowa($H71, $B$6:$B$155, $Y$5)</f>
        <v>0.22774922991999694</v>
      </c>
      <c r="Z71" s="9">
        <f t="shared" ref="Z71:Z134" si="20">EstymacjaEpanecznikowa($H71, $B$6:$B$155, $Z$5)</f>
        <v>0.27090253956014015</v>
      </c>
      <c r="AB71" s="9">
        <f t="shared" ref="AB71:AB134" si="21">EstymacjaDystrybuanty($H71, $B$6:$B$155, $AB$5)</f>
        <v>7.7618769417847219E-2</v>
      </c>
      <c r="AC71" s="9">
        <f t="shared" ref="AC71:AC134" si="22">EstymacjaDystrybuanty($H71, $B$6:$B$155, $AC$5)</f>
        <v>6.8921658775070588E-2</v>
      </c>
      <c r="AD71" s="9">
        <f t="shared" ref="AD71:AD134" si="23">EstymacjaDystrybuanty($H71, $B$6:$B$155, $AD$5)</f>
        <v>0.11380100340424405</v>
      </c>
      <c r="AE71" s="9">
        <f t="shared" ref="AE71:AE134" si="24">EstymacjaGaussowskaDystrybuanta($H71, $B$6:$B$155, $AE$5)</f>
        <v>7.8726883831932923E-2</v>
      </c>
    </row>
    <row r="72" spans="7:31" x14ac:dyDescent="0.3">
      <c r="G72" s="9">
        <v>67</v>
      </c>
      <c r="H72" s="9">
        <f t="shared" ref="H72:H135" si="25">$H71 + $E$9</f>
        <v>3.4635451505016617</v>
      </c>
      <c r="I72" s="9">
        <f t="shared" si="13"/>
        <v>0.20188049054248883</v>
      </c>
      <c r="J72" s="9">
        <f t="shared" si="14"/>
        <v>0.21989270908563138</v>
      </c>
      <c r="K72" s="9">
        <f t="shared" si="15"/>
        <v>0.25003337386701491</v>
      </c>
      <c r="L72" s="9">
        <f t="shared" si="16"/>
        <v>0.26783849303978036</v>
      </c>
      <c r="M72" s="9">
        <f t="shared" si="17"/>
        <v>7.8449403478108443E-2</v>
      </c>
      <c r="X72" s="9">
        <f t="shared" si="18"/>
        <v>0.20699760190327551</v>
      </c>
      <c r="Y72" s="9">
        <f t="shared" si="19"/>
        <v>0.23980045101585848</v>
      </c>
      <c r="Z72" s="9">
        <f t="shared" si="20"/>
        <v>0.27387216666966169</v>
      </c>
      <c r="AB72" s="9">
        <f t="shared" si="21"/>
        <v>7.9065169544899547E-2</v>
      </c>
      <c r="AC72" s="9">
        <f t="shared" si="22"/>
        <v>7.0564795155836399E-2</v>
      </c>
      <c r="AD72" s="9">
        <f t="shared" si="23"/>
        <v>0.11571411649162795</v>
      </c>
      <c r="AE72" s="9">
        <f t="shared" si="24"/>
        <v>8.0262002121994969E-2</v>
      </c>
    </row>
    <row r="73" spans="7:31" x14ac:dyDescent="0.3">
      <c r="G73" s="9">
        <v>68</v>
      </c>
      <c r="H73" s="9">
        <f t="shared" si="25"/>
        <v>3.470568561872899</v>
      </c>
      <c r="I73" s="9">
        <f t="shared" si="13"/>
        <v>0.20703682956951772</v>
      </c>
      <c r="J73" s="9">
        <f t="shared" si="14"/>
        <v>0.22256264174472348</v>
      </c>
      <c r="K73" s="9">
        <f t="shared" si="15"/>
        <v>0.27493581360223363</v>
      </c>
      <c r="L73" s="9">
        <f t="shared" si="16"/>
        <v>0.27109082761046377</v>
      </c>
      <c r="M73" s="9">
        <f t="shared" si="17"/>
        <v>7.8466756456964437E-2</v>
      </c>
      <c r="X73" s="9">
        <f t="shared" si="18"/>
        <v>0.20901049278112166</v>
      </c>
      <c r="Y73" s="9">
        <f t="shared" si="19"/>
        <v>0.24973388430407967</v>
      </c>
      <c r="Z73" s="9">
        <f t="shared" si="20"/>
        <v>0.27679967042772824</v>
      </c>
      <c r="AB73" s="9">
        <f t="shared" si="21"/>
        <v>8.0526139636992872E-2</v>
      </c>
      <c r="AC73" s="9">
        <f t="shared" si="22"/>
        <v>7.2285135172399123E-2</v>
      </c>
      <c r="AD73" s="9">
        <f t="shared" si="23"/>
        <v>0.11764793856700838</v>
      </c>
      <c r="AE73" s="9">
        <f t="shared" si="24"/>
        <v>8.1815754990494927E-2</v>
      </c>
    </row>
    <row r="74" spans="7:31" x14ac:dyDescent="0.3">
      <c r="G74" s="9">
        <v>69</v>
      </c>
      <c r="H74" s="9">
        <f t="shared" si="25"/>
        <v>3.4775919732441363</v>
      </c>
      <c r="I74" s="9">
        <f t="shared" si="13"/>
        <v>0.21227744334881746</v>
      </c>
      <c r="J74" s="9">
        <f t="shared" si="14"/>
        <v>0.2252683011312836</v>
      </c>
      <c r="K74" s="9">
        <f t="shared" si="15"/>
        <v>0.29722027668921602</v>
      </c>
      <c r="L74" s="9">
        <f t="shared" si="16"/>
        <v>0.27436310288062438</v>
      </c>
      <c r="M74" s="9">
        <f t="shared" si="17"/>
        <v>7.8483959755692917E-2</v>
      </c>
      <c r="X74" s="9">
        <f t="shared" si="18"/>
        <v>0.21090019441727156</v>
      </c>
      <c r="Y74" s="9">
        <f t="shared" si="19"/>
        <v>0.2575495297846605</v>
      </c>
      <c r="Z74" s="9">
        <f t="shared" si="20"/>
        <v>0.27968505083433925</v>
      </c>
      <c r="AB74" s="9">
        <f t="shared" si="21"/>
        <v>8.2000814485406262E-2</v>
      </c>
      <c r="AC74" s="9">
        <f t="shared" si="22"/>
        <v>7.4067804729788772E-2</v>
      </c>
      <c r="AD74" s="9">
        <f t="shared" si="23"/>
        <v>0.11960217378075969</v>
      </c>
      <c r="AE74" s="9">
        <f t="shared" si="24"/>
        <v>8.3388383733993765E-2</v>
      </c>
    </row>
    <row r="75" spans="7:31" x14ac:dyDescent="0.3">
      <c r="G75" s="9">
        <v>70</v>
      </c>
      <c r="H75" s="9">
        <f t="shared" si="25"/>
        <v>3.4846153846153736</v>
      </c>
      <c r="I75" s="9">
        <f t="shared" si="13"/>
        <v>0.21760209430556834</v>
      </c>
      <c r="J75" s="9">
        <f t="shared" si="14"/>
        <v>0.22801250098263165</v>
      </c>
      <c r="K75" s="9">
        <f t="shared" si="15"/>
        <v>0.31589427527754194</v>
      </c>
      <c r="L75" s="9">
        <f t="shared" si="16"/>
        <v>0.27765504473056535</v>
      </c>
      <c r="M75" s="9">
        <f t="shared" si="17"/>
        <v>7.8501013274067791E-2</v>
      </c>
      <c r="X75" s="9">
        <f t="shared" si="18"/>
        <v>0.21266670681172525</v>
      </c>
      <c r="Y75" s="9">
        <f t="shared" si="19"/>
        <v>0.26324738745760107</v>
      </c>
      <c r="Z75" s="9">
        <f t="shared" si="20"/>
        <v>0.28252830788949568</v>
      </c>
      <c r="AB75" s="9">
        <f t="shared" si="21"/>
        <v>8.3488328881418744E-2</v>
      </c>
      <c r="AC75" s="9">
        <f t="shared" si="22"/>
        <v>7.589792973303526E-2</v>
      </c>
      <c r="AD75" s="9">
        <f t="shared" si="23"/>
        <v>0.12157652628325642</v>
      </c>
      <c r="AE75" s="9">
        <f t="shared" si="24"/>
        <v>8.4980149108395242E-2</v>
      </c>
    </row>
    <row r="76" spans="7:31" x14ac:dyDescent="0.3">
      <c r="G76" s="9">
        <v>71</v>
      </c>
      <c r="H76" s="9">
        <f t="shared" si="25"/>
        <v>3.4916387959866109</v>
      </c>
      <c r="I76" s="9">
        <f t="shared" si="13"/>
        <v>0.2230104818603722</v>
      </c>
      <c r="J76" s="9">
        <f t="shared" si="14"/>
        <v>0.23079813313162886</v>
      </c>
      <c r="K76" s="9">
        <f t="shared" si="15"/>
        <v>0.3301982504903424</v>
      </c>
      <c r="L76" s="9">
        <f t="shared" si="16"/>
        <v>0.28096636632674049</v>
      </c>
      <c r="M76" s="9">
        <f t="shared" si="17"/>
        <v>7.8517916912719948E-2</v>
      </c>
      <c r="X76" s="9">
        <f t="shared" si="18"/>
        <v>0.21487857336516603</v>
      </c>
      <c r="Y76" s="9">
        <f t="shared" si="19"/>
        <v>0.27496155133858685</v>
      </c>
      <c r="Z76" s="9">
        <f t="shared" si="20"/>
        <v>0.28532944159319668</v>
      </c>
      <c r="AB76" s="9">
        <f t="shared" si="21"/>
        <v>8.4988097508458871E-2</v>
      </c>
      <c r="AC76" s="9">
        <f t="shared" si="22"/>
        <v>7.7774708614896146E-2</v>
      </c>
      <c r="AD76" s="9">
        <f t="shared" si="23"/>
        <v>0.12357070022487289</v>
      </c>
      <c r="AE76" s="9">
        <f t="shared" si="24"/>
        <v>8.6591331911769653E-2</v>
      </c>
    </row>
    <row r="77" spans="7:31" x14ac:dyDescent="0.3">
      <c r="G77" s="9">
        <v>72</v>
      </c>
      <c r="H77" s="9">
        <f t="shared" si="25"/>
        <v>3.4986622073578482</v>
      </c>
      <c r="I77" s="9">
        <f t="shared" si="13"/>
        <v>0.22850224112089423</v>
      </c>
      <c r="J77" s="9">
        <f t="shared" si="14"/>
        <v>0.23362815704737086</v>
      </c>
      <c r="K77" s="9">
        <f t="shared" si="15"/>
        <v>0.33967058422987295</v>
      </c>
      <c r="L77" s="9">
        <f t="shared" si="16"/>
        <v>0.28429676794083103</v>
      </c>
      <c r="M77" s="9">
        <f t="shared" si="17"/>
        <v>7.8534670573138315E-2</v>
      </c>
      <c r="X77" s="9">
        <f t="shared" si="18"/>
        <v>0.2204236891017784</v>
      </c>
      <c r="Y77" s="9">
        <f t="shared" si="19"/>
        <v>0.29223160667470705</v>
      </c>
      <c r="Z77" s="9">
        <f t="shared" si="20"/>
        <v>0.28910078709565085</v>
      </c>
      <c r="AB77" s="9">
        <f t="shared" si="21"/>
        <v>8.6516855812311041E-2</v>
      </c>
      <c r="AC77" s="9">
        <f t="shared" si="22"/>
        <v>7.97683833146067E-2</v>
      </c>
      <c r="AD77" s="9">
        <f t="shared" si="23"/>
        <v>0.12558687834324411</v>
      </c>
      <c r="AE77" s="9">
        <f t="shared" si="24"/>
        <v>8.8222233496595456E-2</v>
      </c>
    </row>
    <row r="78" spans="7:31" x14ac:dyDescent="0.3">
      <c r="G78" s="9">
        <v>73</v>
      </c>
      <c r="H78" s="9">
        <f t="shared" si="25"/>
        <v>3.5056856187290855</v>
      </c>
      <c r="I78" s="9">
        <f t="shared" si="13"/>
        <v>0.23407694161355264</v>
      </c>
      <c r="J78" s="9">
        <f t="shared" si="14"/>
        <v>0.23650558857987103</v>
      </c>
      <c r="K78" s="9">
        <f t="shared" si="15"/>
        <v>0.34418498160506306</v>
      </c>
      <c r="L78" s="9">
        <f t="shared" si="16"/>
        <v>0.28764593677533634</v>
      </c>
      <c r="M78" s="9">
        <f t="shared" si="17"/>
        <v>7.8551274157671019E-2</v>
      </c>
      <c r="X78" s="9">
        <f t="shared" si="18"/>
        <v>0.22578962048683257</v>
      </c>
      <c r="Y78" s="9">
        <f t="shared" si="19"/>
        <v>0.30632498029936667</v>
      </c>
      <c r="Z78" s="9">
        <f t="shared" si="20"/>
        <v>0.29326221454548024</v>
      </c>
      <c r="AB78" s="9">
        <f t="shared" si="21"/>
        <v>8.8083930502376437E-2</v>
      </c>
      <c r="AC78" s="9">
        <f t="shared" si="22"/>
        <v>8.1872197146119319E-2</v>
      </c>
      <c r="AD78" s="9">
        <f t="shared" si="23"/>
        <v>0.12763199641233491</v>
      </c>
      <c r="AE78" s="9">
        <f t="shared" si="24"/>
        <v>8.9873176205727906E-2</v>
      </c>
    </row>
    <row r="79" spans="7:31" x14ac:dyDescent="0.3">
      <c r="G79" s="9">
        <v>74</v>
      </c>
      <c r="H79" s="9">
        <f t="shared" si="25"/>
        <v>3.5127090301003228</v>
      </c>
      <c r="I79" s="9">
        <f t="shared" si="13"/>
        <v>0.23973408605797186</v>
      </c>
      <c r="J79" s="9">
        <f t="shared" si="14"/>
        <v>0.23943348794208041</v>
      </c>
      <c r="K79" s="9">
        <f t="shared" si="15"/>
        <v>0.34395347290606559</v>
      </c>
      <c r="L79" s="9">
        <f t="shared" si="16"/>
        <v>0.2910135467959874</v>
      </c>
      <c r="M79" s="9">
        <f t="shared" si="17"/>
        <v>7.8567727569525764E-2</v>
      </c>
      <c r="X79" s="9">
        <f t="shared" si="18"/>
        <v>0.23136660213164284</v>
      </c>
      <c r="Y79" s="9">
        <f t="shared" si="19"/>
        <v>0.31724167221256583</v>
      </c>
      <c r="Z79" s="9">
        <f t="shared" si="20"/>
        <v>0.29737135093833117</v>
      </c>
      <c r="AB79" s="9">
        <f t="shared" si="21"/>
        <v>8.9688718660041647E-2</v>
      </c>
      <c r="AC79" s="9">
        <f t="shared" si="22"/>
        <v>8.4063838966978888E-2</v>
      </c>
      <c r="AD79" s="9">
        <f t="shared" si="23"/>
        <v>0.12970615826749529</v>
      </c>
      <c r="AE79" s="9">
        <f t="shared" si="24"/>
        <v>9.154450372661721E-2</v>
      </c>
    </row>
    <row r="80" spans="7:31" x14ac:dyDescent="0.3">
      <c r="G80" s="9">
        <v>75</v>
      </c>
      <c r="H80" s="9">
        <f t="shared" si="25"/>
        <v>3.5197324414715601</v>
      </c>
      <c r="I80" s="9">
        <f t="shared" si="13"/>
        <v>0.24547310918691403</v>
      </c>
      <c r="J80" s="9">
        <f t="shared" si="14"/>
        <v>0.24241494696834431</v>
      </c>
      <c r="K80" s="9">
        <f t="shared" si="15"/>
        <v>0.33949316690246101</v>
      </c>
      <c r="L80" s="9">
        <f t="shared" si="16"/>
        <v>0.29439925857129551</v>
      </c>
      <c r="M80" s="9">
        <f t="shared" si="17"/>
        <v>7.8584030712771633E-2</v>
      </c>
      <c r="X80" s="9">
        <f t="shared" si="18"/>
        <v>0.23719729292855093</v>
      </c>
      <c r="Y80" s="9">
        <f t="shared" si="19"/>
        <v>0.32498168241430453</v>
      </c>
      <c r="Z80" s="9">
        <f t="shared" si="20"/>
        <v>0.30142819627420292</v>
      </c>
      <c r="AB80" s="9">
        <f t="shared" si="21"/>
        <v>9.1334275473572965E-2</v>
      </c>
      <c r="AC80" s="9">
        <f t="shared" si="22"/>
        <v>8.6320997634730418E-2</v>
      </c>
      <c r="AD80" s="9">
        <f t="shared" si="23"/>
        <v>0.13180899664712112</v>
      </c>
      <c r="AE80" s="9">
        <f t="shared" si="24"/>
        <v>9.3236581358554366E-2</v>
      </c>
    </row>
    <row r="81" spans="7:31" x14ac:dyDescent="0.3">
      <c r="G81" s="9">
        <v>76</v>
      </c>
      <c r="H81" s="9">
        <f t="shared" si="25"/>
        <v>3.5267558528427974</v>
      </c>
      <c r="I81" s="9">
        <f t="shared" si="13"/>
        <v>0.25129337661439899</v>
      </c>
      <c r="J81" s="9">
        <f t="shared" si="14"/>
        <v>0.24545307569414204</v>
      </c>
      <c r="K81" s="9">
        <f t="shared" si="15"/>
        <v>0.33156037557634832</v>
      </c>
      <c r="L81" s="9">
        <f t="shared" si="16"/>
        <v>0.29780271911953138</v>
      </c>
      <c r="M81" s="9">
        <f t="shared" si="17"/>
        <v>7.8600183492339187E-2</v>
      </c>
      <c r="X81" s="9">
        <f t="shared" si="18"/>
        <v>0.24285999839587316</v>
      </c>
      <c r="Y81" s="9">
        <f t="shared" si="19"/>
        <v>0.3295450109045826</v>
      </c>
      <c r="Z81" s="9">
        <f t="shared" si="20"/>
        <v>0.3054327505530961</v>
      </c>
      <c r="AB81" s="9">
        <f t="shared" si="21"/>
        <v>9.3020193712112481E-2</v>
      </c>
      <c r="AC81" s="9">
        <f t="shared" si="22"/>
        <v>8.862136200691878E-2</v>
      </c>
      <c r="AD81" s="9">
        <f t="shared" si="23"/>
        <v>0.13394014428960818</v>
      </c>
      <c r="AE81" s="9">
        <f t="shared" si="24"/>
        <v>9.4949796188015897E-2</v>
      </c>
    </row>
    <row r="82" spans="7:31" x14ac:dyDescent="0.3">
      <c r="G82" s="9">
        <v>77</v>
      </c>
      <c r="H82" s="9">
        <f t="shared" si="25"/>
        <v>3.5337792642140347</v>
      </c>
      <c r="I82" s="9">
        <f t="shared" si="13"/>
        <v>0.25719418375471254</v>
      </c>
      <c r="J82" s="9">
        <f t="shared" si="14"/>
        <v>0.24855098830764843</v>
      </c>
      <c r="K82" s="9">
        <f t="shared" si="15"/>
        <v>0.32106082726312368</v>
      </c>
      <c r="L82" s="9">
        <f t="shared" si="16"/>
        <v>0.30122356176343301</v>
      </c>
      <c r="M82" s="9">
        <f t="shared" si="17"/>
        <v>7.8616185814021716E-2</v>
      </c>
      <c r="X82" s="9">
        <f t="shared" si="18"/>
        <v>0.24835471853360985</v>
      </c>
      <c r="Y82" s="9">
        <f t="shared" si="19"/>
        <v>0.33093165768340022</v>
      </c>
      <c r="Z82" s="9">
        <f t="shared" si="20"/>
        <v>0.30938501377501049</v>
      </c>
      <c r="AB82" s="9">
        <f t="shared" si="21"/>
        <v>9.4745293545586126E-2</v>
      </c>
      <c r="AC82" s="9">
        <f t="shared" si="22"/>
        <v>9.0942620941088917E-2</v>
      </c>
      <c r="AD82" s="9">
        <f t="shared" si="23"/>
        <v>0.13609923393335221</v>
      </c>
      <c r="AE82" s="9">
        <f t="shared" si="24"/>
        <v>9.6684557167516255E-2</v>
      </c>
    </row>
    <row r="83" spans="7:31" x14ac:dyDescent="0.3">
      <c r="G83" s="9">
        <v>78</v>
      </c>
      <c r="H83" s="9">
        <f t="shared" si="25"/>
        <v>3.540802675585272</v>
      </c>
      <c r="I83" s="9">
        <f t="shared" si="13"/>
        <v>0.26317475479498653</v>
      </c>
      <c r="J83" s="9">
        <f t="shared" si="14"/>
        <v>0.25171178852927067</v>
      </c>
      <c r="K83" s="9">
        <f t="shared" si="15"/>
        <v>0.30894843398965149</v>
      </c>
      <c r="L83" s="9">
        <f t="shared" si="16"/>
        <v>0.30466140599292768</v>
      </c>
      <c r="M83" s="9">
        <f t="shared" si="17"/>
        <v>7.8632037584476469E-2</v>
      </c>
      <c r="X83" s="9">
        <f t="shared" si="18"/>
        <v>0.25368145334176068</v>
      </c>
      <c r="Y83" s="9">
        <f t="shared" si="19"/>
        <v>0.32914162275075737</v>
      </c>
      <c r="Z83" s="9">
        <f t="shared" si="20"/>
        <v>0.31328498593994608</v>
      </c>
      <c r="AB83" s="9">
        <f t="shared" si="21"/>
        <v>9.6508395143919928E-2</v>
      </c>
      <c r="AC83" s="9">
        <f t="shared" si="22"/>
        <v>9.3262463294785755E-2</v>
      </c>
      <c r="AD83" s="9">
        <f t="shared" si="23"/>
        <v>0.13828589831674903</v>
      </c>
      <c r="AE83" s="9">
        <f t="shared" si="24"/>
        <v>9.8441295093747869E-2</v>
      </c>
    </row>
    <row r="84" spans="7:31" x14ac:dyDescent="0.3">
      <c r="G84" s="9">
        <v>79</v>
      </c>
      <c r="H84" s="9">
        <f t="shared" si="25"/>
        <v>3.5478260869565093</v>
      </c>
      <c r="I84" s="9">
        <f t="shared" si="13"/>
        <v>0.26923424172401422</v>
      </c>
      <c r="J84" s="9">
        <f t="shared" si="14"/>
        <v>0.25493855448078739</v>
      </c>
      <c r="K84" s="9">
        <f t="shared" si="15"/>
        <v>0.29612676117092218</v>
      </c>
      <c r="L84" s="9">
        <f t="shared" si="16"/>
        <v>0.3081158573361491</v>
      </c>
      <c r="M84" s="9">
        <f t="shared" si="17"/>
        <v>7.8647738711224977E-2</v>
      </c>
      <c r="X84" s="9">
        <f t="shared" si="18"/>
        <v>0.25884020282032577</v>
      </c>
      <c r="Y84" s="9">
        <f t="shared" si="19"/>
        <v>0.32417490610665406</v>
      </c>
      <c r="Z84" s="9">
        <f t="shared" si="20"/>
        <v>0.31713266704790283</v>
      </c>
      <c r="AB84" s="9">
        <f t="shared" si="21"/>
        <v>9.8308318677039847E-2</v>
      </c>
      <c r="AC84" s="9">
        <f t="shared" si="22"/>
        <v>9.5558577925554222E-2</v>
      </c>
      <c r="AD84" s="9">
        <f t="shared" si="23"/>
        <v>0.14049977017819448</v>
      </c>
      <c r="AE84" s="9">
        <f t="shared" si="24"/>
        <v>0.1002204624812069</v>
      </c>
    </row>
    <row r="85" spans="7:31" x14ac:dyDescent="0.3">
      <c r="G85" s="9">
        <v>80</v>
      </c>
      <c r="H85" s="9">
        <f t="shared" si="25"/>
        <v>3.5548494983277465</v>
      </c>
      <c r="I85" s="9">
        <f t="shared" si="13"/>
        <v>0.27537172341993704</v>
      </c>
      <c r="J85" s="9">
        <f t="shared" si="14"/>
        <v>0.25823432311103206</v>
      </c>
      <c r="K85" s="9">
        <f t="shared" si="15"/>
        <v>0.28336663408932494</v>
      </c>
      <c r="L85" s="9">
        <f t="shared" si="16"/>
        <v>0.31158650723901932</v>
      </c>
      <c r="M85" s="9">
        <f t="shared" si="17"/>
        <v>7.8663289102654382E-2</v>
      </c>
      <c r="X85" s="9">
        <f t="shared" si="18"/>
        <v>0.26383096696930503</v>
      </c>
      <c r="Y85" s="9">
        <f t="shared" si="19"/>
        <v>0.31603150775109012</v>
      </c>
      <c r="Z85" s="9">
        <f t="shared" si="20"/>
        <v>0.320928057098881</v>
      </c>
      <c r="AB85" s="9">
        <f t="shared" si="21"/>
        <v>0.10014388431487188</v>
      </c>
      <c r="AC85" s="9">
        <f t="shared" si="22"/>
        <v>9.780865369093926E-2</v>
      </c>
      <c r="AD85" s="9">
        <f t="shared" si="23"/>
        <v>0.14274048225608438</v>
      </c>
      <c r="AE85" s="9">
        <f t="shared" si="24"/>
        <v>0.10202253332794964</v>
      </c>
    </row>
    <row r="86" spans="7:31" x14ac:dyDescent="0.3">
      <c r="G86" s="9">
        <v>81</v>
      </c>
      <c r="H86" s="9">
        <f t="shared" si="25"/>
        <v>3.5618729096989838</v>
      </c>
      <c r="I86" s="9">
        <f t="shared" si="13"/>
        <v>0.28158620479940949</v>
      </c>
      <c r="J86" s="9">
        <f t="shared" si="14"/>
        <v>0.26160207425015453</v>
      </c>
      <c r="K86" s="9">
        <f t="shared" si="15"/>
        <v>0.27125033430779877</v>
      </c>
      <c r="L86" s="9">
        <f t="shared" si="16"/>
        <v>0.31507293295366173</v>
      </c>
      <c r="M86" s="9">
        <f t="shared" si="17"/>
        <v>7.8678688668018248E-2</v>
      </c>
      <c r="X86" s="9">
        <f t="shared" si="18"/>
        <v>0.26865374578869855</v>
      </c>
      <c r="Y86" s="9">
        <f t="shared" si="19"/>
        <v>0.30471142768406578</v>
      </c>
      <c r="Z86" s="9">
        <f t="shared" si="20"/>
        <v>0.32467115609288016</v>
      </c>
      <c r="AB86" s="9">
        <f t="shared" si="21"/>
        <v>0.102013912227342</v>
      </c>
      <c r="AC86" s="9">
        <f t="shared" si="22"/>
        <v>9.9990379448485739E-2</v>
      </c>
      <c r="AD86" s="9">
        <f t="shared" si="23"/>
        <v>0.14500766728881459</v>
      </c>
      <c r="AE86" s="9">
        <f t="shared" si="24"/>
        <v>0.10384800277061705</v>
      </c>
    </row>
    <row r="87" spans="7:31" x14ac:dyDescent="0.3">
      <c r="G87" s="9">
        <v>82</v>
      </c>
      <c r="H87" s="9">
        <f t="shared" si="25"/>
        <v>3.5688963210702211</v>
      </c>
      <c r="I87" s="9">
        <f t="shared" si="13"/>
        <v>0.28787661603080955</v>
      </c>
      <c r="J87" s="9">
        <f t="shared" si="14"/>
        <v>0.2650447143693212</v>
      </c>
      <c r="K87" s="9">
        <f t="shared" si="15"/>
        <v>0.26014815074979503</v>
      </c>
      <c r="L87" s="9">
        <f t="shared" si="16"/>
        <v>0.31857469743589995</v>
      </c>
      <c r="M87" s="9">
        <f t="shared" si="17"/>
        <v>7.8693937317437249E-2</v>
      </c>
      <c r="X87" s="9">
        <f t="shared" si="18"/>
        <v>0.27330853927850635</v>
      </c>
      <c r="Y87" s="9">
        <f t="shared" si="19"/>
        <v>0.29021466590558087</v>
      </c>
      <c r="Z87" s="9">
        <f t="shared" si="20"/>
        <v>0.32836196402990059</v>
      </c>
      <c r="AB87" s="9">
        <f t="shared" si="21"/>
        <v>0.10391722258437622</v>
      </c>
      <c r="AC87" s="9">
        <f t="shared" si="22"/>
        <v>0.10208144405573866</v>
      </c>
      <c r="AD87" s="9">
        <f t="shared" si="23"/>
        <v>0.14730095801478066</v>
      </c>
      <c r="AE87" s="9">
        <f t="shared" si="24"/>
        <v>0.10569738662638416</v>
      </c>
    </row>
    <row r="88" spans="7:31" x14ac:dyDescent="0.3">
      <c r="G88" s="9">
        <v>83</v>
      </c>
      <c r="H88" s="9">
        <f t="shared" si="25"/>
        <v>3.5759197324414584</v>
      </c>
      <c r="I88" s="9">
        <f t="shared" si="13"/>
        <v>0.29424181181402181</v>
      </c>
      <c r="J88" s="9">
        <f t="shared" si="14"/>
        <v>0.2685650601272514</v>
      </c>
      <c r="K88" s="9">
        <f t="shared" si="15"/>
        <v>0.25022753169370476</v>
      </c>
      <c r="L88" s="9">
        <f t="shared" si="16"/>
        <v>0.32209134925208538</v>
      </c>
      <c r="M88" s="9">
        <f t="shared" si="17"/>
        <v>7.8709034961900209E-2</v>
      </c>
      <c r="X88" s="9">
        <f t="shared" si="18"/>
        <v>0.27779534743872836</v>
      </c>
      <c r="Y88" s="9">
        <f t="shared" si="19"/>
        <v>0.2725412224156355</v>
      </c>
      <c r="Z88" s="9">
        <f t="shared" si="20"/>
        <v>0.33200048090994233</v>
      </c>
      <c r="AB88" s="9">
        <f t="shared" si="21"/>
        <v>0.10585263555590052</v>
      </c>
      <c r="AC88" s="9">
        <f t="shared" si="22"/>
        <v>0.10405953637024291</v>
      </c>
      <c r="AD88" s="9">
        <f t="shared" si="23"/>
        <v>0.14961998717237865</v>
      </c>
      <c r="AE88" s="9">
        <f t="shared" si="24"/>
        <v>0.10757122082005069</v>
      </c>
    </row>
    <row r="89" spans="7:31" x14ac:dyDescent="0.3">
      <c r="G89" s="9">
        <v>84</v>
      </c>
      <c r="H89" s="9">
        <f t="shared" si="25"/>
        <v>3.5829431438126957</v>
      </c>
      <c r="I89" s="9">
        <f t="shared" si="13"/>
        <v>0.30068057072926996</v>
      </c>
      <c r="J89" s="9">
        <f t="shared" si="14"/>
        <v>0.27216582178914933</v>
      </c>
      <c r="K89" s="9">
        <f t="shared" si="15"/>
        <v>0.24148975194017783</v>
      </c>
      <c r="L89" s="9">
        <f t="shared" si="16"/>
        <v>0.32562242249549556</v>
      </c>
      <c r="M89" s="9">
        <f t="shared" si="17"/>
        <v>7.872398151326504E-2</v>
      </c>
      <c r="X89" s="9">
        <f t="shared" si="18"/>
        <v>0.28211417026936458</v>
      </c>
      <c r="Y89" s="9">
        <f t="shared" si="19"/>
        <v>0.25169109721422961</v>
      </c>
      <c r="Z89" s="9">
        <f t="shared" si="20"/>
        <v>0.33558670673300534</v>
      </c>
      <c r="AB89" s="9">
        <f t="shared" si="21"/>
        <v>0.10781897131184083</v>
      </c>
      <c r="AC89" s="9">
        <f t="shared" si="22"/>
        <v>0.10590234524954339</v>
      </c>
      <c r="AD89" s="9">
        <f t="shared" si="23"/>
        <v>0.15196438750000421</v>
      </c>
      <c r="AE89" s="9">
        <f t="shared" si="24"/>
        <v>0.10947006069507199</v>
      </c>
    </row>
    <row r="90" spans="7:31" x14ac:dyDescent="0.3">
      <c r="G90" s="9">
        <v>85</v>
      </c>
      <c r="H90" s="9">
        <f t="shared" si="25"/>
        <v>3.589966555183933</v>
      </c>
      <c r="I90" s="9">
        <f t="shared" si="13"/>
        <v>0.30719159465742552</v>
      </c>
      <c r="J90" s="9">
        <f t="shared" si="14"/>
        <v>0.27584958660738035</v>
      </c>
      <c r="K90" s="9">
        <f t="shared" si="15"/>
        <v>0.23382481963174984</v>
      </c>
      <c r="L90" s="9">
        <f t="shared" si="16"/>
        <v>0.32916743671252452</v>
      </c>
      <c r="M90" s="9">
        <f t="shared" si="17"/>
        <v>7.8738776884259398E-2</v>
      </c>
      <c r="X90" s="9">
        <f t="shared" si="18"/>
        <v>0.28626500777041519</v>
      </c>
      <c r="Y90" s="9">
        <f t="shared" si="19"/>
        <v>0.23187855597693752</v>
      </c>
      <c r="Z90" s="9">
        <f t="shared" si="20"/>
        <v>0.33912064149908955</v>
      </c>
      <c r="AB90" s="9">
        <f t="shared" si="21"/>
        <v>0.10981505002212323</v>
      </c>
      <c r="AC90" s="9">
        <f t="shared" si="22"/>
        <v>0.10759129899834602</v>
      </c>
      <c r="AD90" s="9">
        <f t="shared" si="23"/>
        <v>0.15433379173605327</v>
      </c>
      <c r="AE90" s="9">
        <f t="shared" si="24"/>
        <v>0.11139448020794723</v>
      </c>
    </row>
    <row r="91" spans="7:31" x14ac:dyDescent="0.3">
      <c r="G91" s="9">
        <v>86</v>
      </c>
      <c r="H91" s="9">
        <f t="shared" si="25"/>
        <v>3.5969899665551703</v>
      </c>
      <c r="I91" s="9">
        <f t="shared" si="13"/>
        <v>0.31377350827415562</v>
      </c>
      <c r="J91" s="9">
        <f t="shared" si="14"/>
        <v>0.27961880225656138</v>
      </c>
      <c r="K91" s="9">
        <f t="shared" si="15"/>
        <v>0.22707301286108628</v>
      </c>
      <c r="L91" s="9">
        <f t="shared" si="16"/>
        <v>0.33272589683888565</v>
      </c>
      <c r="M91" s="9">
        <f t="shared" si="17"/>
        <v>7.8753420988481607E-2</v>
      </c>
      <c r="X91" s="9">
        <f t="shared" si="18"/>
        <v>0.29243202502688748</v>
      </c>
      <c r="Y91" s="9">
        <f t="shared" si="19"/>
        <v>0.22073495822721897</v>
      </c>
      <c r="Z91" s="9">
        <f t="shared" si="20"/>
        <v>0.34288809876818882</v>
      </c>
      <c r="AB91" s="9">
        <f t="shared" si="21"/>
        <v>0.11184662512075313</v>
      </c>
      <c r="AC91" s="9">
        <f t="shared" si="22"/>
        <v>0.10918322346539291</v>
      </c>
      <c r="AD91" s="9">
        <f t="shared" si="23"/>
        <v>0.15672829310417236</v>
      </c>
      <c r="AE91" s="9">
        <f t="shared" si="24"/>
        <v>0.11334507100601902</v>
      </c>
    </row>
    <row r="92" spans="7:31" x14ac:dyDescent="0.3">
      <c r="G92" s="9">
        <v>87</v>
      </c>
      <c r="H92" s="9">
        <f t="shared" si="25"/>
        <v>3.6040133779264076</v>
      </c>
      <c r="I92" s="9">
        <f t="shared" si="13"/>
        <v>0.32042485862021314</v>
      </c>
      <c r="J92" s="9">
        <f t="shared" si="14"/>
        <v>0.28347576041860062</v>
      </c>
      <c r="K92" s="9">
        <f t="shared" si="15"/>
        <v>0.22108130059693351</v>
      </c>
      <c r="L92" s="9">
        <f t="shared" si="16"/>
        <v>0.33629729314603413</v>
      </c>
      <c r="M92" s="9">
        <f t="shared" si="17"/>
        <v>7.8767913740401638E-2</v>
      </c>
      <c r="X92" s="9">
        <f t="shared" si="18"/>
        <v>0.29863628319958874</v>
      </c>
      <c r="Y92" s="9">
        <f t="shared" si="19"/>
        <v>0.20535578486221973</v>
      </c>
      <c r="Z92" s="9">
        <f t="shared" si="20"/>
        <v>0.34693757770516098</v>
      </c>
      <c r="AB92" s="9">
        <f t="shared" si="21"/>
        <v>0.11392240104234844</v>
      </c>
      <c r="AC92" s="9">
        <f t="shared" si="22"/>
        <v>0.11068200776631791</v>
      </c>
      <c r="AD92" s="9">
        <f t="shared" si="23"/>
        <v>0.15915079100989105</v>
      </c>
      <c r="AE92" s="9">
        <f t="shared" si="24"/>
        <v>0.11532244138940063</v>
      </c>
    </row>
    <row r="93" spans="7:31" x14ac:dyDescent="0.3">
      <c r="G93" s="9">
        <v>88</v>
      </c>
      <c r="H93" s="9">
        <f t="shared" si="25"/>
        <v>3.6110367892976449</v>
      </c>
      <c r="I93" s="9">
        <f t="shared" si="13"/>
        <v>0.32714411475009858</v>
      </c>
      <c r="J93" s="9">
        <f t="shared" si="14"/>
        <v>0.28742258061553533</v>
      </c>
      <c r="K93" s="9">
        <f t="shared" si="15"/>
        <v>0.21574488804747718</v>
      </c>
      <c r="L93" s="9">
        <f t="shared" si="16"/>
        <v>0.3398811011980028</v>
      </c>
      <c r="M93" s="9">
        <f t="shared" si="17"/>
        <v>7.8782255055361808E-2</v>
      </c>
      <c r="X93" s="9">
        <f t="shared" si="18"/>
        <v>0.30463895897678717</v>
      </c>
      <c r="Y93" s="9">
        <f t="shared" si="19"/>
        <v>0.1857410358819398</v>
      </c>
      <c r="Z93" s="9">
        <f t="shared" si="20"/>
        <v>0.3509304079970727</v>
      </c>
      <c r="AB93" s="9">
        <f t="shared" si="21"/>
        <v>0.11604104412329963</v>
      </c>
      <c r="AC93" s="9">
        <f t="shared" si="22"/>
        <v>0.11205790371118091</v>
      </c>
      <c r="AD93" s="9">
        <f t="shared" si="23"/>
        <v>0.16160153113865428</v>
      </c>
      <c r="AE93" s="9">
        <f t="shared" si="24"/>
        <v>0.11732721515842691</v>
      </c>
    </row>
    <row r="94" spans="7:31" x14ac:dyDescent="0.3">
      <c r="G94" s="9">
        <v>89</v>
      </c>
      <c r="H94" s="9">
        <f t="shared" si="25"/>
        <v>3.6180602006688822</v>
      </c>
      <c r="I94" s="9">
        <f t="shared" si="13"/>
        <v>0.33392966746124869</v>
      </c>
      <c r="J94" s="9">
        <f t="shared" si="14"/>
        <v>0.29146119438977552</v>
      </c>
      <c r="K94" s="9">
        <f t="shared" si="15"/>
        <v>0.21102776638157883</v>
      </c>
      <c r="L94" s="9">
        <f t="shared" si="16"/>
        <v>0.34347678181883717</v>
      </c>
      <c r="M94" s="9">
        <f t="shared" si="17"/>
        <v>7.8796444849577485E-2</v>
      </c>
      <c r="X94" s="9">
        <f t="shared" si="18"/>
        <v>0.31044005235848265</v>
      </c>
      <c r="Y94" s="9">
        <f t="shared" si="19"/>
        <v>0.19276371149457172</v>
      </c>
      <c r="Z94" s="9">
        <f t="shared" si="20"/>
        <v>0.35486658964392415</v>
      </c>
      <c r="AB94" s="9">
        <f t="shared" si="21"/>
        <v>0.11820113856751777</v>
      </c>
      <c r="AC94" s="9">
        <f t="shared" si="22"/>
        <v>0.11337686991268738</v>
      </c>
      <c r="AD94" s="9">
        <f t="shared" si="23"/>
        <v>0.16408011562372424</v>
      </c>
      <c r="AE94" s="9">
        <f t="shared" si="24"/>
        <v>0.11936003034871741</v>
      </c>
    </row>
    <row r="95" spans="7:31" x14ac:dyDescent="0.3">
      <c r="G95" s="9">
        <v>90</v>
      </c>
      <c r="H95" s="9">
        <f t="shared" si="25"/>
        <v>3.6250836120401195</v>
      </c>
      <c r="I95" s="9">
        <f t="shared" si="13"/>
        <v>0.3407798291058256</v>
      </c>
      <c r="J95" s="9">
        <f t="shared" si="14"/>
        <v>0.29559332993252618</v>
      </c>
      <c r="K95" s="9">
        <f t="shared" si="15"/>
        <v>0.20696068756146993</v>
      </c>
      <c r="L95" s="9">
        <f t="shared" si="16"/>
        <v>0.34708378107080801</v>
      </c>
      <c r="M95" s="9">
        <f t="shared" si="17"/>
        <v>7.8810483040138268E-2</v>
      </c>
      <c r="X95" s="9">
        <f t="shared" si="18"/>
        <v>0.31603956334467531</v>
      </c>
      <c r="Y95" s="9">
        <f t="shared" si="19"/>
        <v>0.20133570976359658</v>
      </c>
      <c r="Z95" s="9">
        <f t="shared" si="20"/>
        <v>0.35874612264571532</v>
      </c>
      <c r="AB95" s="9">
        <f t="shared" si="21"/>
        <v>0.12040126857891414</v>
      </c>
      <c r="AC95" s="9">
        <f t="shared" si="22"/>
        <v>0.11476207059893287</v>
      </c>
      <c r="AD95" s="9">
        <f t="shared" si="23"/>
        <v>0.16658614659836299</v>
      </c>
      <c r="AE95" s="9">
        <f t="shared" si="24"/>
        <v>0.121421537856646</v>
      </c>
    </row>
    <row r="96" spans="7:31" x14ac:dyDescent="0.3">
      <c r="G96" s="9">
        <v>91</v>
      </c>
      <c r="H96" s="9">
        <f t="shared" si="25"/>
        <v>3.6321070234113568</v>
      </c>
      <c r="I96" s="9">
        <f t="shared" si="13"/>
        <v>0.34769283348709235</v>
      </c>
      <c r="J96" s="9">
        <f t="shared" si="14"/>
        <v>0.29982049726166948</v>
      </c>
      <c r="K96" s="9">
        <f t="shared" si="15"/>
        <v>0.20361953944858943</v>
      </c>
      <c r="L96" s="9">
        <f t="shared" si="16"/>
        <v>0.35070153024355949</v>
      </c>
      <c r="M96" s="9">
        <f t="shared" si="17"/>
        <v>7.8824369545008308E-2</v>
      </c>
      <c r="X96" s="9">
        <f t="shared" si="18"/>
        <v>0.32143749193536492</v>
      </c>
      <c r="Y96" s="9">
        <f t="shared" si="19"/>
        <v>0.20778992022498119</v>
      </c>
      <c r="Z96" s="9">
        <f t="shared" si="20"/>
        <v>0.3625690070024461</v>
      </c>
      <c r="AB96" s="9">
        <f t="shared" si="21"/>
        <v>0.1226400183613999</v>
      </c>
      <c r="AC96" s="9">
        <f t="shared" si="22"/>
        <v>0.11620003890781025</v>
      </c>
      <c r="AD96" s="9">
        <f t="shared" si="23"/>
        <v>0.16911922619583272</v>
      </c>
      <c r="AE96" s="9">
        <f t="shared" si="24"/>
        <v>0.12351239995871915</v>
      </c>
    </row>
    <row r="97" spans="7:31" x14ac:dyDescent="0.3">
      <c r="G97" s="9">
        <v>92</v>
      </c>
      <c r="H97" s="9">
        <f t="shared" si="25"/>
        <v>3.6391304347825941</v>
      </c>
      <c r="I97" s="9">
        <f t="shared" si="13"/>
        <v>0.3546668358422716</v>
      </c>
      <c r="J97" s="9">
        <f t="shared" si="14"/>
        <v>0.30414397405025773</v>
      </c>
      <c r="K97" s="9">
        <f t="shared" si="15"/>
        <v>0.20109081252148178</v>
      </c>
      <c r="L97" s="9">
        <f t="shared" si="16"/>
        <v>0.35432944585434833</v>
      </c>
      <c r="M97" s="9">
        <f t="shared" si="17"/>
        <v>7.8838104283027649E-2</v>
      </c>
      <c r="X97" s="9">
        <f t="shared" si="18"/>
        <v>0.32663383813055175</v>
      </c>
      <c r="Y97" s="9">
        <f t="shared" si="19"/>
        <v>0.21212634287872545</v>
      </c>
      <c r="Z97" s="9">
        <f t="shared" si="20"/>
        <v>0.36633524271411655</v>
      </c>
      <c r="AB97" s="9">
        <f t="shared" si="21"/>
        <v>0.12491597211888621</v>
      </c>
      <c r="AC97" s="9">
        <f t="shared" si="22"/>
        <v>0.11767590074434944</v>
      </c>
      <c r="AD97" s="9">
        <f t="shared" si="23"/>
        <v>0.17167895654939547</v>
      </c>
      <c r="AE97" s="9">
        <f t="shared" si="24"/>
        <v>0.125633288729079</v>
      </c>
    </row>
    <row r="98" spans="7:31" x14ac:dyDescent="0.3">
      <c r="G98" s="9">
        <v>93</v>
      </c>
      <c r="H98" s="9">
        <f t="shared" si="25"/>
        <v>3.6461538461538314</v>
      </c>
      <c r="I98" s="9">
        <f t="shared" si="13"/>
        <v>0.36169991291368181</v>
      </c>
      <c r="J98" s="9">
        <f t="shared" si="14"/>
        <v>0.30856479220592342</v>
      </c>
      <c r="K98" s="9">
        <f t="shared" si="15"/>
        <v>0.19943306734586469</v>
      </c>
      <c r="L98" s="9">
        <f t="shared" si="16"/>
        <v>0.35796692965951588</v>
      </c>
      <c r="M98" s="9">
        <f t="shared" si="17"/>
        <v>7.8851687173912527E-2</v>
      </c>
      <c r="X98" s="9">
        <f t="shared" si="18"/>
        <v>0.33162860193023552</v>
      </c>
      <c r="Y98" s="9">
        <f t="shared" si="19"/>
        <v>0.21434497772482936</v>
      </c>
      <c r="Z98" s="9">
        <f t="shared" si="20"/>
        <v>0.37004482978072656</v>
      </c>
      <c r="AB98" s="9">
        <f t="shared" si="21"/>
        <v>0.12722771405528432</v>
      </c>
      <c r="AC98" s="9">
        <f t="shared" si="22"/>
        <v>0.11917478201358041</v>
      </c>
      <c r="AD98" s="9">
        <f t="shared" si="23"/>
        <v>0.17426493979231331</v>
      </c>
      <c r="AE98" s="9">
        <f t="shared" si="24"/>
        <v>0.12778488436005189</v>
      </c>
    </row>
    <row r="99" spans="7:31" x14ac:dyDescent="0.3">
      <c r="G99" s="9">
        <v>94</v>
      </c>
      <c r="H99" s="9">
        <f t="shared" si="25"/>
        <v>3.6531772575250687</v>
      </c>
      <c r="I99" s="9">
        <f t="shared" si="13"/>
        <v>0.36879006310984674</v>
      </c>
      <c r="J99" s="9">
        <f t="shared" si="14"/>
        <v>0.31308372529997802</v>
      </c>
      <c r="K99" s="9">
        <f t="shared" si="15"/>
        <v>0.19864367739836306</v>
      </c>
      <c r="L99" s="9">
        <f t="shared" si="16"/>
        <v>0.36161336867731803</v>
      </c>
      <c r="M99" s="9">
        <f t="shared" si="17"/>
        <v>7.8865118138256474E-2</v>
      </c>
      <c r="X99" s="9">
        <f t="shared" si="18"/>
        <v>0.33642178333441641</v>
      </c>
      <c r="Y99" s="9">
        <f t="shared" si="19"/>
        <v>0.21444582476329294</v>
      </c>
      <c r="Z99" s="9">
        <f t="shared" si="20"/>
        <v>0.37369776820227651</v>
      </c>
      <c r="AB99" s="9">
        <f t="shared" si="21"/>
        <v>0.12957382837450529</v>
      </c>
      <c r="AC99" s="9">
        <f t="shared" si="22"/>
        <v>0.1206818086205331</v>
      </c>
      <c r="AD99" s="9">
        <f t="shared" si="23"/>
        <v>0.17687677805784852</v>
      </c>
      <c r="AE99" s="9">
        <f t="shared" si="24"/>
        <v>0.12996787339136565</v>
      </c>
    </row>
    <row r="100" spans="7:31" x14ac:dyDescent="0.3">
      <c r="G100" s="9">
        <v>95</v>
      </c>
      <c r="H100" s="9">
        <f t="shared" si="25"/>
        <v>3.660200668896306</v>
      </c>
      <c r="I100" s="9">
        <f t="shared" si="13"/>
        <v>0.37593520675816533</v>
      </c>
      <c r="J100" s="9">
        <f t="shared" si="14"/>
        <v>0.31770127694269462</v>
      </c>
      <c r="K100" s="9">
        <f t="shared" si="15"/>
        <v>0.19863864144916871</v>
      </c>
      <c r="L100" s="9">
        <f t="shared" si="16"/>
        <v>0.36526813522223617</v>
      </c>
      <c r="M100" s="9">
        <f t="shared" si="17"/>
        <v>7.8878397097530903E-2</v>
      </c>
      <c r="X100" s="9">
        <f t="shared" si="18"/>
        <v>0.34101338234309453</v>
      </c>
      <c r="Y100" s="9">
        <f t="shared" si="19"/>
        <v>0.21242888399411616</v>
      </c>
      <c r="Z100" s="9">
        <f t="shared" si="20"/>
        <v>0.37729405797876597</v>
      </c>
      <c r="AB100" s="9">
        <f t="shared" si="21"/>
        <v>0.13195289928046045</v>
      </c>
      <c r="AC100" s="9">
        <f t="shared" si="22"/>
        <v>0.12218210647023747</v>
      </c>
      <c r="AD100" s="9">
        <f t="shared" si="23"/>
        <v>0.17951407347926313</v>
      </c>
      <c r="AE100" s="9">
        <f t="shared" si="24"/>
        <v>0.13218294685434342</v>
      </c>
    </row>
    <row r="101" spans="7:31" x14ac:dyDescent="0.3">
      <c r="G101" s="9">
        <v>96</v>
      </c>
      <c r="H101" s="9">
        <f t="shared" si="25"/>
        <v>3.6672240802675433</v>
      </c>
      <c r="I101" s="9">
        <f t="shared" si="13"/>
        <v>0.38313318645061351</v>
      </c>
      <c r="J101" s="9">
        <f t="shared" si="14"/>
        <v>0.32241767019826895</v>
      </c>
      <c r="K101" s="9">
        <f t="shared" si="15"/>
        <v>0.19925028705073713</v>
      </c>
      <c r="L101" s="9">
        <f t="shared" si="16"/>
        <v>0.3689305869508715</v>
      </c>
      <c r="M101" s="9">
        <f t="shared" si="17"/>
        <v>7.8891523974085984E-2</v>
      </c>
      <c r="X101" s="9">
        <f t="shared" si="18"/>
        <v>0.34540339895626959</v>
      </c>
      <c r="Y101" s="9">
        <f t="shared" si="19"/>
        <v>0.20829415541729904</v>
      </c>
      <c r="Z101" s="9">
        <f t="shared" si="20"/>
        <v>0.3808336991101951</v>
      </c>
      <c r="AB101" s="9">
        <f t="shared" si="21"/>
        <v>0.13436351097706084</v>
      </c>
      <c r="AC101" s="9">
        <f t="shared" si="22"/>
        <v>0.12366080146772347</v>
      </c>
      <c r="AD101" s="9">
        <f t="shared" si="23"/>
        <v>0.18217642818981925</v>
      </c>
      <c r="AE101" s="9">
        <f t="shared" si="24"/>
        <v>0.13443079833804913</v>
      </c>
    </row>
    <row r="102" spans="7:31" x14ac:dyDescent="0.3">
      <c r="G102" s="9">
        <v>97</v>
      </c>
      <c r="H102" s="9">
        <f t="shared" si="25"/>
        <v>3.6742474916387806</v>
      </c>
      <c r="I102" s="9">
        <f t="shared" si="13"/>
        <v>0.39038176748383524</v>
      </c>
      <c r="J102" s="9">
        <f t="shared" si="14"/>
        <v>0.32723283812920362</v>
      </c>
      <c r="K102" s="9">
        <f t="shared" si="15"/>
        <v>0.20024384625402855</v>
      </c>
      <c r="L102" s="9">
        <f t="shared" si="16"/>
        <v>0.37260006691951919</v>
      </c>
      <c r="M102" s="9">
        <f t="shared" si="17"/>
        <v>7.8904498691151445E-2</v>
      </c>
      <c r="X102" s="9">
        <f t="shared" si="18"/>
        <v>0.34959183317394177</v>
      </c>
      <c r="Y102" s="9">
        <f t="shared" si="19"/>
        <v>0.20204163903284167</v>
      </c>
      <c r="Z102" s="9">
        <f t="shared" si="20"/>
        <v>0.38431669159656401</v>
      </c>
      <c r="AB102" s="9">
        <f t="shared" si="21"/>
        <v>0.1368042476682178</v>
      </c>
      <c r="AC102" s="9">
        <f t="shared" si="22"/>
        <v>0.12510301951802105</v>
      </c>
      <c r="AD102" s="9">
        <f t="shared" si="23"/>
        <v>0.18486344432277896</v>
      </c>
      <c r="AE102" s="9">
        <f t="shared" si="24"/>
        <v>0.13671212198500574</v>
      </c>
    </row>
    <row r="103" spans="7:31" x14ac:dyDescent="0.3">
      <c r="G103" s="9">
        <v>98</v>
      </c>
      <c r="H103" s="9">
        <f t="shared" si="25"/>
        <v>3.6812709030100179</v>
      </c>
      <c r="I103" s="9">
        <f t="shared" si="13"/>
        <v>0.39767863839485545</v>
      </c>
      <c r="J103" s="9">
        <f t="shared" si="14"/>
        <v>0.33214641555537422</v>
      </c>
      <c r="K103" s="9">
        <f t="shared" si="15"/>
        <v>0.20134994824586355</v>
      </c>
      <c r="L103" s="9">
        <f t="shared" si="16"/>
        <v>0.37627590365350416</v>
      </c>
      <c r="M103" s="9">
        <f t="shared" si="17"/>
        <v>7.8917321172837174E-2</v>
      </c>
      <c r="X103" s="9">
        <f t="shared" si="18"/>
        <v>0.35357868499611117</v>
      </c>
      <c r="Y103" s="9">
        <f t="shared" si="19"/>
        <v>0.19367133484074386</v>
      </c>
      <c r="Z103" s="9">
        <f t="shared" si="20"/>
        <v>0.38774303543787236</v>
      </c>
      <c r="AB103" s="9">
        <f t="shared" si="21"/>
        <v>0.13927369355784239</v>
      </c>
      <c r="AC103" s="9">
        <f t="shared" si="22"/>
        <v>0.12649388652616014</v>
      </c>
      <c r="AD103" s="9">
        <f t="shared" si="23"/>
        <v>0.18757472401140451</v>
      </c>
      <c r="AE103" s="9">
        <f t="shared" si="24"/>
        <v>0.13902761042471862</v>
      </c>
    </row>
    <row r="104" spans="7:31" x14ac:dyDescent="0.3">
      <c r="G104" s="9">
        <v>99</v>
      </c>
      <c r="H104" s="9">
        <f t="shared" si="25"/>
        <v>3.6882943143812552</v>
      </c>
      <c r="I104" s="9">
        <f t="shared" si="13"/>
        <v>0.40502141159352056</v>
      </c>
      <c r="J104" s="9">
        <f t="shared" si="14"/>
        <v>0.33715773210782285</v>
      </c>
      <c r="K104" s="9">
        <f t="shared" si="15"/>
        <v>0.20230681245855303</v>
      </c>
      <c r="L104" s="9">
        <f t="shared" si="16"/>
        <v>0.37995741122835242</v>
      </c>
      <c r="M104" s="9">
        <f t="shared" si="17"/>
        <v>7.8929991344134004E-2</v>
      </c>
      <c r="X104" s="9">
        <f t="shared" si="18"/>
        <v>0.35736395442277746</v>
      </c>
      <c r="Y104" s="9">
        <f t="shared" si="19"/>
        <v>0.18341765217738679</v>
      </c>
      <c r="Z104" s="9">
        <f t="shared" si="20"/>
        <v>0.39111273063412028</v>
      </c>
      <c r="AB104" s="9">
        <f t="shared" si="21"/>
        <v>0.14177043284984581</v>
      </c>
      <c r="AC104" s="9">
        <f t="shared" si="22"/>
        <v>0.12781853985128944</v>
      </c>
      <c r="AD104" s="9">
        <f t="shared" si="23"/>
        <v>0.19030986938895783</v>
      </c>
      <c r="AE104" s="9">
        <f t="shared" si="24"/>
        <v>0.14137795265382228</v>
      </c>
    </row>
    <row r="105" spans="7:31" x14ac:dyDescent="0.3">
      <c r="G105" s="9">
        <v>100</v>
      </c>
      <c r="H105" s="9">
        <f t="shared" si="25"/>
        <v>3.6953177257524925</v>
      </c>
      <c r="I105" s="9">
        <f t="shared" si="13"/>
        <v>0.41240762409264131</v>
      </c>
      <c r="J105" s="9">
        <f t="shared" si="14"/>
        <v>0.34226580665138928</v>
      </c>
      <c r="K105" s="9">
        <f t="shared" si="15"/>
        <v>0.202903965819766</v>
      </c>
      <c r="L105" s="9">
        <f t="shared" si="16"/>
        <v>0.38364388936285321</v>
      </c>
      <c r="M105" s="9">
        <f t="shared" si="17"/>
        <v>7.8942509130914482E-2</v>
      </c>
      <c r="X105" s="9">
        <f t="shared" si="18"/>
        <v>0.36309472203887483</v>
      </c>
      <c r="Y105" s="9">
        <f t="shared" si="19"/>
        <v>0.18712378084076461</v>
      </c>
      <c r="Z105" s="9">
        <f t="shared" si="20"/>
        <v>0.39465498080141953</v>
      </c>
      <c r="AB105" s="9">
        <f t="shared" si="21"/>
        <v>0.14429806356183245</v>
      </c>
      <c r="AC105" s="9">
        <f t="shared" si="22"/>
        <v>0.12912163157024781</v>
      </c>
      <c r="AD105" s="9">
        <f t="shared" si="23"/>
        <v>0.19306866007401191</v>
      </c>
      <c r="AE105" s="9">
        <f t="shared" si="24"/>
        <v>0.14376383187220557</v>
      </c>
    </row>
    <row r="106" spans="7:31" x14ac:dyDescent="0.3">
      <c r="G106" s="9">
        <v>101</v>
      </c>
      <c r="H106" s="9">
        <f t="shared" si="25"/>
        <v>3.7023411371237298</v>
      </c>
      <c r="I106" s="9">
        <f t="shared" si="13"/>
        <v>0.41983473833667539</v>
      </c>
      <c r="J106" s="9">
        <f t="shared" si="14"/>
        <v>0.34746934314365591</v>
      </c>
      <c r="K106" s="9">
        <f t="shared" si="15"/>
        <v>0.20301901405267664</v>
      </c>
      <c r="L106" s="9">
        <f t="shared" si="16"/>
        <v>0.3873346235240655</v>
      </c>
      <c r="M106" s="9">
        <f t="shared" si="17"/>
        <v>7.8954874459933669E-2</v>
      </c>
      <c r="X106" s="9">
        <f t="shared" si="18"/>
        <v>0.36967334751751035</v>
      </c>
      <c r="Y106" s="9">
        <f t="shared" si="19"/>
        <v>0.18765322779268193</v>
      </c>
      <c r="Z106" s="9">
        <f t="shared" si="20"/>
        <v>0.39894665171724242</v>
      </c>
      <c r="AB106" s="9">
        <f t="shared" si="21"/>
        <v>0.14687147355938693</v>
      </c>
      <c r="AC106" s="9">
        <f t="shared" si="22"/>
        <v>0.13043959738417629</v>
      </c>
      <c r="AD106" s="9">
        <f t="shared" si="23"/>
        <v>0.19585559284531839</v>
      </c>
      <c r="AE106" s="9">
        <f t="shared" si="24"/>
        <v>0.14618592328497187</v>
      </c>
    </row>
    <row r="107" spans="7:31" x14ac:dyDescent="0.3">
      <c r="G107" s="9">
        <v>102</v>
      </c>
      <c r="H107" s="9">
        <f t="shared" si="25"/>
        <v>3.7093645484949671</v>
      </c>
      <c r="I107" s="9">
        <f t="shared" si="13"/>
        <v>0.42730014312965031</v>
      </c>
      <c r="J107" s="9">
        <f t="shared" si="14"/>
        <v>0.35276672799039427</v>
      </c>
      <c r="K107" s="9">
        <f t="shared" si="15"/>
        <v>0.20264040705373618</v>
      </c>
      <c r="L107" s="9">
        <f t="shared" si="16"/>
        <v>0.39102888504430289</v>
      </c>
      <c r="M107" s="9">
        <f t="shared" si="17"/>
        <v>7.8967087258829546E-2</v>
      </c>
      <c r="X107" s="9">
        <f t="shared" si="18"/>
        <v>0.37600559451275345</v>
      </c>
      <c r="Y107" s="9">
        <f t="shared" si="19"/>
        <v>0.18500599303313872</v>
      </c>
      <c r="Z107" s="9">
        <f t="shared" si="20"/>
        <v>0.40317441134120235</v>
      </c>
      <c r="AB107" s="9">
        <f t="shared" si="21"/>
        <v>0.14949022274121418</v>
      </c>
      <c r="AC107" s="9">
        <f t="shared" si="22"/>
        <v>0.13175012615061979</v>
      </c>
      <c r="AD107" s="9">
        <f t="shared" si="23"/>
        <v>0.19867244334928963</v>
      </c>
      <c r="AE107" s="9">
        <f t="shared" si="24"/>
        <v>0.14864489188053664</v>
      </c>
    </row>
    <row r="108" spans="7:31" x14ac:dyDescent="0.3">
      <c r="G108" s="9">
        <v>103</v>
      </c>
      <c r="H108" s="9">
        <f t="shared" si="25"/>
        <v>3.7163879598662044</v>
      </c>
      <c r="I108" s="9">
        <f t="shared" si="13"/>
        <v>0.43480115466288016</v>
      </c>
      <c r="J108" s="9">
        <f t="shared" si="14"/>
        <v>0.35815602894975962</v>
      </c>
      <c r="K108" s="9">
        <f t="shared" si="15"/>
        <v>0.20187195850238485</v>
      </c>
      <c r="L108" s="9">
        <f t="shared" si="16"/>
        <v>0.39472593125012057</v>
      </c>
      <c r="M108" s="9">
        <f t="shared" si="17"/>
        <v>7.8979147456124249E-2</v>
      </c>
      <c r="X108" s="9">
        <f t="shared" si="18"/>
        <v>0.38209146302460412</v>
      </c>
      <c r="Y108" s="9">
        <f t="shared" si="19"/>
        <v>0.19041061393052325</v>
      </c>
      <c r="Z108" s="9">
        <f t="shared" si="20"/>
        <v>0.4073382596732994</v>
      </c>
      <c r="AB108" s="9">
        <f t="shared" si="21"/>
        <v>0.15215258068987234</v>
      </c>
      <c r="AC108" s="9">
        <f t="shared" si="22"/>
        <v>0.13305647331171863</v>
      </c>
      <c r="AD108" s="9">
        <f t="shared" si="23"/>
        <v>0.20151876271063185</v>
      </c>
      <c r="AE108" s="9">
        <f t="shared" si="24"/>
        <v>0.15114139019556228</v>
      </c>
    </row>
    <row r="109" spans="7:31" x14ac:dyDescent="0.3">
      <c r="G109" s="9">
        <v>104</v>
      </c>
      <c r="H109" s="9">
        <f t="shared" si="25"/>
        <v>3.7234113712374417</v>
      </c>
      <c r="I109" s="9">
        <f t="shared" si="13"/>
        <v>0.44233501764288241</v>
      </c>
      <c r="J109" s="9">
        <f t="shared" si="14"/>
        <v>0.36363499562895046</v>
      </c>
      <c r="K109" s="9">
        <f t="shared" si="15"/>
        <v>0.20091854211099763</v>
      </c>
      <c r="L109" s="9">
        <f t="shared" si="16"/>
        <v>0.39842500560332578</v>
      </c>
      <c r="M109" s="9">
        <f t="shared" si="17"/>
        <v>7.899105498122419E-2</v>
      </c>
      <c r="X109" s="9">
        <f t="shared" si="18"/>
        <v>0.38793095305306236</v>
      </c>
      <c r="Y109" s="9">
        <f t="shared" si="19"/>
        <v>0.19948684739184408</v>
      </c>
      <c r="Z109" s="9">
        <f t="shared" si="20"/>
        <v>0.4114381967135336</v>
      </c>
      <c r="AB109" s="9">
        <f t="shared" si="21"/>
        <v>0.15485681698791962</v>
      </c>
      <c r="AC109" s="9">
        <f t="shared" si="22"/>
        <v>0.13442691795136683</v>
      </c>
      <c r="AD109" s="9">
        <f t="shared" si="23"/>
        <v>0.20439410205405065</v>
      </c>
      <c r="AE109" s="9">
        <f t="shared" si="24"/>
        <v>0.15367605607776541</v>
      </c>
    </row>
    <row r="110" spans="7:31" x14ac:dyDescent="0.3">
      <c r="G110" s="9">
        <v>105</v>
      </c>
      <c r="H110" s="9">
        <f t="shared" si="25"/>
        <v>3.730434782608679</v>
      </c>
      <c r="I110" s="9">
        <f t="shared" si="13"/>
        <v>0.44989890651975484</v>
      </c>
      <c r="J110" s="9">
        <f t="shared" si="14"/>
        <v>0.36920106160798644</v>
      </c>
      <c r="K110" s="9">
        <f t="shared" si="15"/>
        <v>0.20005615839130092</v>
      </c>
      <c r="L110" s="9">
        <f t="shared" si="16"/>
        <v>0.40212533785400484</v>
      </c>
      <c r="M110" s="9">
        <f t="shared" si="17"/>
        <v>7.9002809764421159E-2</v>
      </c>
      <c r="X110" s="9">
        <f t="shared" si="18"/>
        <v>0.39352406459812789</v>
      </c>
      <c r="Y110" s="9">
        <f t="shared" si="19"/>
        <v>0.20644529304552464</v>
      </c>
      <c r="Z110" s="9">
        <f t="shared" si="20"/>
        <v>0.41547422246190463</v>
      </c>
      <c r="AB110" s="9">
        <f t="shared" si="21"/>
        <v>0.15760120121791404</v>
      </c>
      <c r="AC110" s="9">
        <f t="shared" si="22"/>
        <v>0.13585367166483026</v>
      </c>
      <c r="AD110" s="9">
        <f t="shared" si="23"/>
        <v>0.20729801250425223</v>
      </c>
      <c r="AE110" s="9">
        <f t="shared" si="24"/>
        <v>0.15624951045790988</v>
      </c>
    </row>
    <row r="111" spans="7:31" x14ac:dyDescent="0.3">
      <c r="G111" s="9">
        <v>106</v>
      </c>
      <c r="H111" s="9">
        <f t="shared" si="25"/>
        <v>3.7374581939799163</v>
      </c>
      <c r="I111" s="9">
        <f t="shared" si="13"/>
        <v>0.457489926816112</v>
      </c>
      <c r="J111" s="9">
        <f t="shared" si="14"/>
        <v>0.37485134821567373</v>
      </c>
      <c r="K111" s="9">
        <f t="shared" si="15"/>
        <v>0.19959268881436834</v>
      </c>
      <c r="L111" s="9">
        <f t="shared" si="16"/>
        <v>0.40582614420557123</v>
      </c>
      <c r="M111" s="9">
        <f t="shared" si="17"/>
        <v>7.9014411736892748E-2</v>
      </c>
      <c r="X111" s="9">
        <f t="shared" si="18"/>
        <v>0.3988707976598011</v>
      </c>
      <c r="Y111" s="9">
        <f t="shared" si="19"/>
        <v>0.21128595089156482</v>
      </c>
      <c r="Z111" s="9">
        <f t="shared" si="20"/>
        <v>0.41944633691841327</v>
      </c>
      <c r="AB111" s="9">
        <f t="shared" si="21"/>
        <v>0.16038400296241367</v>
      </c>
      <c r="AC111" s="9">
        <f t="shared" si="22"/>
        <v>0.13732186035713886</v>
      </c>
      <c r="AD111" s="9">
        <f t="shared" si="23"/>
        <v>0.2102300451859424</v>
      </c>
      <c r="AE111" s="9">
        <f t="shared" si="24"/>
        <v>0.15886235514250477</v>
      </c>
    </row>
    <row r="112" spans="7:31" x14ac:dyDescent="0.3">
      <c r="G112" s="9">
        <v>107</v>
      </c>
      <c r="H112" s="9">
        <f t="shared" si="25"/>
        <v>3.7444816053511536</v>
      </c>
      <c r="I112" s="9">
        <f t="shared" si="13"/>
        <v>0.46510511655653053</v>
      </c>
      <c r="J112" s="9">
        <f t="shared" si="14"/>
        <v>0.38058266997282364</v>
      </c>
      <c r="K112" s="9">
        <f t="shared" si="15"/>
        <v>0.19982749200660593</v>
      </c>
      <c r="L112" s="9">
        <f t="shared" si="16"/>
        <v>0.40952662749180513</v>
      </c>
      <c r="M112" s="9">
        <f t="shared" si="17"/>
        <v>7.902586083070326E-2</v>
      </c>
      <c r="X112" s="9">
        <f t="shared" si="18"/>
        <v>0.40397115223808194</v>
      </c>
      <c r="Y112" s="9">
        <f t="shared" si="19"/>
        <v>0.21400882092996473</v>
      </c>
      <c r="Z112" s="9">
        <f t="shared" si="20"/>
        <v>0.42335454008305823</v>
      </c>
      <c r="AB112" s="9">
        <f t="shared" si="21"/>
        <v>0.1632034918039767</v>
      </c>
      <c r="AC112" s="9">
        <f t="shared" si="22"/>
        <v>0.13881660993332257</v>
      </c>
      <c r="AD112" s="9">
        <f t="shared" si="23"/>
        <v>0.21318975122382738</v>
      </c>
      <c r="AE112" s="9">
        <f t="shared" si="24"/>
        <v>0.16151517063887261</v>
      </c>
    </row>
    <row r="113" spans="7:31" x14ac:dyDescent="0.3">
      <c r="G113" s="9">
        <v>108</v>
      </c>
      <c r="H113" s="9">
        <f t="shared" si="25"/>
        <v>3.7515050167223909</v>
      </c>
      <c r="I113" s="9">
        <f t="shared" si="13"/>
        <v>0.47274144779728566</v>
      </c>
      <c r="J113" s="9">
        <f t="shared" si="14"/>
        <v>0.38639154170741402</v>
      </c>
      <c r="K113" s="9">
        <f t="shared" si="15"/>
        <v>0.20101815752322574</v>
      </c>
      <c r="L113" s="9">
        <f t="shared" si="16"/>
        <v>0.41322597736586469</v>
      </c>
      <c r="M113" s="9">
        <f t="shared" si="17"/>
        <v>7.9037156978804118E-2</v>
      </c>
      <c r="X113" s="9">
        <f t="shared" si="18"/>
        <v>0.40882512833297013</v>
      </c>
      <c r="Y113" s="9">
        <f t="shared" si="19"/>
        <v>0.21461390316072423</v>
      </c>
      <c r="Z113" s="9">
        <f t="shared" si="20"/>
        <v>0.42719883195584057</v>
      </c>
      <c r="AB113" s="9">
        <f t="shared" si="21"/>
        <v>0.16605793732516128</v>
      </c>
      <c r="AC113" s="9">
        <f t="shared" si="22"/>
        <v>0.14032304629841139</v>
      </c>
      <c r="AD113" s="9">
        <f t="shared" si="23"/>
        <v>0.21617668174261312</v>
      </c>
      <c r="AE113" s="9">
        <f t="shared" si="24"/>
        <v>0.1642085140243193</v>
      </c>
    </row>
    <row r="114" spans="7:31" x14ac:dyDescent="0.3">
      <c r="G114" s="9">
        <v>109</v>
      </c>
      <c r="H114" s="9">
        <f t="shared" si="25"/>
        <v>3.7585284280936282</v>
      </c>
      <c r="I114" s="9">
        <f t="shared" si="13"/>
        <v>0.48039582825600896</v>
      </c>
      <c r="J114" s="9">
        <f t="shared" si="14"/>
        <v>0.39227418733568692</v>
      </c>
      <c r="K114" s="9">
        <f t="shared" si="15"/>
        <v>0.20336115004347927</v>
      </c>
      <c r="L114" s="9">
        <f t="shared" si="16"/>
        <v>0.41692337050122508</v>
      </c>
      <c r="M114" s="9">
        <f t="shared" si="17"/>
        <v>7.904830011503472E-2</v>
      </c>
      <c r="X114" s="9">
        <f t="shared" si="18"/>
        <v>0.41343272594446601</v>
      </c>
      <c r="Y114" s="9">
        <f t="shared" si="19"/>
        <v>0.21310119758384344</v>
      </c>
      <c r="Z114" s="9">
        <f t="shared" si="20"/>
        <v>0.43097921253676008</v>
      </c>
      <c r="AB114" s="9">
        <f t="shared" si="21"/>
        <v>0.16894560910852541</v>
      </c>
      <c r="AC114" s="9">
        <f t="shared" si="22"/>
        <v>0.14182629535743521</v>
      </c>
      <c r="AD114" s="9">
        <f t="shared" si="23"/>
        <v>0.21919038786700529</v>
      </c>
      <c r="AE114" s="9">
        <f t="shared" si="24"/>
        <v>0.16694291687113275</v>
      </c>
    </row>
    <row r="115" spans="7:31" x14ac:dyDescent="0.3">
      <c r="G115" s="9">
        <v>110</v>
      </c>
      <c r="H115" s="9">
        <f t="shared" si="25"/>
        <v>3.7655518394648655</v>
      </c>
      <c r="I115" s="9">
        <f t="shared" si="13"/>
        <v>0.48806510304072437</v>
      </c>
      <c r="J115" s="9">
        <f t="shared" si="14"/>
        <v>0.39822655029226761</v>
      </c>
      <c r="K115" s="9">
        <f t="shared" si="15"/>
        <v>0.20699002895207305</v>
      </c>
      <c r="L115" s="9">
        <f t="shared" si="16"/>
        <v>0.42061797080449792</v>
      </c>
      <c r="M115" s="9">
        <f t="shared" si="17"/>
        <v>7.9059290174123012E-2</v>
      </c>
      <c r="X115" s="9">
        <f t="shared" si="18"/>
        <v>0.41779394507256962</v>
      </c>
      <c r="Y115" s="9">
        <f t="shared" si="19"/>
        <v>0.20947070419932232</v>
      </c>
      <c r="Z115" s="9">
        <f t="shared" si="20"/>
        <v>0.43469568182581658</v>
      </c>
      <c r="AB115" s="9">
        <f t="shared" si="21"/>
        <v>0.17186477673662726</v>
      </c>
      <c r="AC115" s="9">
        <f t="shared" si="22"/>
        <v>0.14331148301542398</v>
      </c>
      <c r="AD115" s="9">
        <f t="shared" si="23"/>
        <v>0.22223042072171018</v>
      </c>
      <c r="AE115" s="9">
        <f t="shared" si="24"/>
        <v>0.16971888323905993</v>
      </c>
    </row>
    <row r="116" spans="7:31" x14ac:dyDescent="0.3">
      <c r="G116" s="9">
        <v>111</v>
      </c>
      <c r="H116" s="9">
        <f t="shared" si="25"/>
        <v>3.7725752508361028</v>
      </c>
      <c r="I116" s="9">
        <f t="shared" si="13"/>
        <v>0.49574605647756043</v>
      </c>
      <c r="J116" s="9">
        <f t="shared" si="14"/>
        <v>0.40424430558131208</v>
      </c>
      <c r="K116" s="9">
        <f t="shared" si="15"/>
        <v>0.21199099494477708</v>
      </c>
      <c r="L116" s="9">
        <f t="shared" si="16"/>
        <v>0.42430892964007366</v>
      </c>
      <c r="M116" s="9">
        <f t="shared" si="17"/>
        <v>7.9070127091686038E-2</v>
      </c>
      <c r="X116" s="9">
        <f t="shared" si="18"/>
        <v>0.42190878571728063</v>
      </c>
      <c r="Y116" s="9">
        <f t="shared" si="19"/>
        <v>0.20372242300716084</v>
      </c>
      <c r="Z116" s="9">
        <f t="shared" si="20"/>
        <v>0.43834823982301002</v>
      </c>
      <c r="AB116" s="9">
        <f t="shared" si="21"/>
        <v>0.17481370979202501</v>
      </c>
      <c r="AC116" s="9">
        <f t="shared" si="22"/>
        <v>0.14476373517740773</v>
      </c>
      <c r="AD116" s="9">
        <f t="shared" si="23"/>
        <v>0.22529633143143371</v>
      </c>
      <c r="AE116" s="9">
        <f t="shared" si="24"/>
        <v>0.17253688774675063</v>
      </c>
    </row>
    <row r="117" spans="7:31" x14ac:dyDescent="0.3">
      <c r="G117" s="9">
        <v>112</v>
      </c>
      <c r="H117" s="9">
        <f t="shared" si="25"/>
        <v>3.7795986622073401</v>
      </c>
      <c r="I117" s="9">
        <f t="shared" si="13"/>
        <v>0.50343541403626491</v>
      </c>
      <c r="J117" s="9">
        <f t="shared" si="14"/>
        <v>0.41032287340954254</v>
      </c>
      <c r="K117" s="9">
        <f t="shared" si="15"/>
        <v>0.21843147632943588</v>
      </c>
      <c r="L117" s="9">
        <f t="shared" si="16"/>
        <v>0.4279953860665151</v>
      </c>
      <c r="M117" s="9">
        <f t="shared" si="17"/>
        <v>7.9080810804230739E-2</v>
      </c>
      <c r="X117" s="9">
        <f t="shared" si="18"/>
        <v>0.42577724787859905</v>
      </c>
      <c r="Y117" s="9">
        <f t="shared" si="19"/>
        <v>0.19585635400735907</v>
      </c>
      <c r="Z117" s="9">
        <f t="shared" si="20"/>
        <v>0.44193688652834068</v>
      </c>
      <c r="AB117" s="9">
        <f t="shared" si="21"/>
        <v>0.1777906778572767</v>
      </c>
      <c r="AC117" s="9">
        <f t="shared" si="22"/>
        <v>0.14616817774841634</v>
      </c>
      <c r="AD117" s="9">
        <f t="shared" si="23"/>
        <v>0.22838767112088168</v>
      </c>
      <c r="AE117" s="9">
        <f t="shared" si="24"/>
        <v>0.17539737373342251</v>
      </c>
    </row>
    <row r="118" spans="7:31" x14ac:dyDescent="0.3">
      <c r="G118" s="9">
        <v>113</v>
      </c>
      <c r="H118" s="9">
        <f t="shared" si="25"/>
        <v>3.7866220735785774</v>
      </c>
      <c r="I118" s="9">
        <f t="shared" si="13"/>
        <v>0.51112984435248643</v>
      </c>
      <c r="J118" s="9">
        <f t="shared" si="14"/>
        <v>0.41645743435089666</v>
      </c>
      <c r="K118" s="9">
        <f t="shared" si="15"/>
        <v>0.22639416090213721</v>
      </c>
      <c r="L118" s="9">
        <f t="shared" si="16"/>
        <v>0.43167646708462842</v>
      </c>
      <c r="M118" s="9">
        <f t="shared" si="17"/>
        <v>7.9091341249154401E-2</v>
      </c>
      <c r="X118" s="9">
        <f t="shared" si="18"/>
        <v>0.42939933155652532</v>
      </c>
      <c r="Y118" s="9">
        <f t="shared" si="19"/>
        <v>0.18587249719991686</v>
      </c>
      <c r="Z118" s="9">
        <f t="shared" si="20"/>
        <v>0.44546162194180827</v>
      </c>
      <c r="AB118" s="9">
        <f t="shared" si="21"/>
        <v>0.1807939505149404</v>
      </c>
      <c r="AC118" s="9">
        <f t="shared" si="22"/>
        <v>0.14750993663347978</v>
      </c>
      <c r="AD118" s="9">
        <f t="shared" si="23"/>
        <v>0.23150399091476029</v>
      </c>
      <c r="AE118" s="9">
        <f t="shared" si="24"/>
        <v>0.17830075152168839</v>
      </c>
    </row>
    <row r="119" spans="7:31" x14ac:dyDescent="0.3">
      <c r="G119" s="9">
        <v>114</v>
      </c>
      <c r="H119" s="9">
        <f t="shared" si="25"/>
        <v>3.7936454849498147</v>
      </c>
      <c r="I119" s="9">
        <f t="shared" si="13"/>
        <v>0.51882596134560999</v>
      </c>
      <c r="J119" s="9">
        <f t="shared" si="14"/>
        <v>0.42264294598146623</v>
      </c>
      <c r="K119" s="9">
        <f t="shared" si="15"/>
        <v>0.23600704152649243</v>
      </c>
      <c r="L119" s="9">
        <f t="shared" si="16"/>
        <v>0.4353512878971228</v>
      </c>
      <c r="M119" s="9">
        <f t="shared" si="17"/>
        <v>7.9101718364745527E-2</v>
      </c>
      <c r="X119" s="9">
        <f t="shared" si="18"/>
        <v>0.43346473754893899</v>
      </c>
      <c r="Y119" s="9">
        <f t="shared" si="19"/>
        <v>0.21204680577985871</v>
      </c>
      <c r="Z119" s="9">
        <f t="shared" si="20"/>
        <v>0.44892244606341275</v>
      </c>
      <c r="AB119" s="9">
        <f t="shared" si="21"/>
        <v>0.18382282979563147</v>
      </c>
      <c r="AC119" s="9">
        <f t="shared" si="22"/>
        <v>0.14887928654696589</v>
      </c>
      <c r="AD119" s="9">
        <f t="shared" si="23"/>
        <v>0.23464484193777552</v>
      </c>
      <c r="AE119" s="9">
        <f t="shared" si="24"/>
        <v>0.18124739679209262</v>
      </c>
    </row>
    <row r="120" spans="7:31" x14ac:dyDescent="0.3">
      <c r="G120" s="9">
        <v>115</v>
      </c>
      <c r="H120" s="9">
        <f t="shared" si="25"/>
        <v>3.800668896321052</v>
      </c>
      <c r="I120" s="9">
        <f t="shared" si="13"/>
        <v>0.52652032643076996</v>
      </c>
      <c r="J120" s="9">
        <f t="shared" si="14"/>
        <v>0.42887416091253372</v>
      </c>
      <c r="K120" s="9">
        <f t="shared" si="15"/>
        <v>0.24746016237454668</v>
      </c>
      <c r="L120" s="9">
        <f t="shared" si="16"/>
        <v>0.43901895217976178</v>
      </c>
      <c r="M120" s="9">
        <f t="shared" si="17"/>
        <v>7.9111942090184087E-2</v>
      </c>
      <c r="X120" s="9">
        <f t="shared" si="18"/>
        <v>0.43819765754917345</v>
      </c>
      <c r="Y120" s="9">
        <f t="shared" si="19"/>
        <v>0.24434306984638821</v>
      </c>
      <c r="Z120" s="9">
        <f t="shared" si="20"/>
        <v>0.45272681561137201</v>
      </c>
      <c r="AB120" s="9">
        <f t="shared" si="21"/>
        <v>0.18688400889511411</v>
      </c>
      <c r="AC120" s="9">
        <f t="shared" si="22"/>
        <v>0.15048509223784678</v>
      </c>
      <c r="AD120" s="9">
        <f t="shared" si="23"/>
        <v>0.23781118254749611</v>
      </c>
      <c r="AE120" s="9">
        <f t="shared" si="24"/>
        <v>0.18423764907943727</v>
      </c>
    </row>
    <row r="121" spans="7:31" x14ac:dyDescent="0.3">
      <c r="G121" s="9">
        <v>116</v>
      </c>
      <c r="H121" s="9">
        <f t="shared" si="25"/>
        <v>3.8076923076922893</v>
      </c>
      <c r="I121" s="9">
        <f t="shared" si="13"/>
        <v>0.53420945082349669</v>
      </c>
      <c r="J121" s="9">
        <f t="shared" si="14"/>
        <v>0.43514564613892154</v>
      </c>
      <c r="K121" s="9">
        <f t="shared" si="15"/>
        <v>0.26100195555056671</v>
      </c>
      <c r="L121" s="9">
        <f t="shared" si="16"/>
        <v>0.4426785523639053</v>
      </c>
      <c r="M121" s="9">
        <f t="shared" si="17"/>
        <v>7.912201236554231E-2</v>
      </c>
      <c r="X121" s="9">
        <f t="shared" si="18"/>
        <v>0.44266180102207092</v>
      </c>
      <c r="Y121" s="9">
        <f t="shared" si="19"/>
        <v>0.27134486439381683</v>
      </c>
      <c r="Z121" s="9">
        <f t="shared" si="20"/>
        <v>0.45647171297505568</v>
      </c>
      <c r="AB121" s="9">
        <f t="shared" si="21"/>
        <v>0.18997748537468617</v>
      </c>
      <c r="AC121" s="9">
        <f t="shared" si="22"/>
        <v>0.15229913525830852</v>
      </c>
      <c r="AD121" s="9">
        <f t="shared" si="23"/>
        <v>0.2410040592962488</v>
      </c>
      <c r="AE121" s="9">
        <f t="shared" si="24"/>
        <v>0.18727181040043209</v>
      </c>
    </row>
    <row r="122" spans="7:31" x14ac:dyDescent="0.3">
      <c r="G122" s="9">
        <v>117</v>
      </c>
      <c r="H122" s="9">
        <f t="shared" si="25"/>
        <v>3.8147157190635266</v>
      </c>
      <c r="I122" s="9">
        <f t="shared" si="13"/>
        <v>0.54188979793527281</v>
      </c>
      <c r="J122" s="9">
        <f t="shared" si="14"/>
        <v>0.44145180360960851</v>
      </c>
      <c r="K122" s="9">
        <f t="shared" si="15"/>
        <v>0.27691206046929429</v>
      </c>
      <c r="L122" s="9">
        <f t="shared" si="16"/>
        <v>0.44632916993032928</v>
      </c>
      <c r="M122" s="9">
        <f t="shared" si="17"/>
        <v>7.9131929131785281E-2</v>
      </c>
      <c r="X122" s="9">
        <f t="shared" si="18"/>
        <v>0.44810571059840976</v>
      </c>
      <c r="Y122" s="9">
        <f t="shared" si="19"/>
        <v>0.30013279205390764</v>
      </c>
      <c r="Z122" s="9">
        <f t="shared" si="20"/>
        <v>0.4601497939881557</v>
      </c>
      <c r="AB122" s="9">
        <f t="shared" si="21"/>
        <v>0.19310471813191907</v>
      </c>
      <c r="AC122" s="9">
        <f t="shared" si="22"/>
        <v>0.15429449667514189</v>
      </c>
      <c r="AD122" s="9">
        <f t="shared" si="23"/>
        <v>0.24422300336037162</v>
      </c>
      <c r="AE122" s="9">
        <f t="shared" si="24"/>
        <v>0.19035014402158523</v>
      </c>
    </row>
    <row r="123" spans="7:31" x14ac:dyDescent="0.3">
      <c r="G123" s="9">
        <v>118</v>
      </c>
      <c r="H123" s="9">
        <f t="shared" si="25"/>
        <v>3.8217391304347639</v>
      </c>
      <c r="I123" s="9">
        <f t="shared" si="13"/>
        <v>0.54955778585811987</v>
      </c>
      <c r="J123" s="9">
        <f t="shared" si="14"/>
        <v>0.44778689191776944</v>
      </c>
      <c r="K123" s="9">
        <f t="shared" si="15"/>
        <v>0.29545264763305001</v>
      </c>
      <c r="L123" s="9">
        <f t="shared" si="16"/>
        <v>0.44996987571419989</v>
      </c>
      <c r="M123" s="9">
        <f t="shared" si="17"/>
        <v>7.9141692330771563E-2</v>
      </c>
      <c r="X123" s="9">
        <f t="shared" si="18"/>
        <v>0.45368495668770009</v>
      </c>
      <c r="Y123" s="9">
        <f t="shared" si="19"/>
        <v>0.33437036161077166</v>
      </c>
      <c r="Z123" s="9">
        <f t="shared" si="20"/>
        <v>0.46376105865067146</v>
      </c>
      <c r="AB123" s="9">
        <f t="shared" si="21"/>
        <v>0.19627168574691889</v>
      </c>
      <c r="AC123" s="9">
        <f t="shared" si="22"/>
        <v>0.15652516402323743</v>
      </c>
      <c r="AD123" s="9">
        <f t="shared" si="23"/>
        <v>0.24746754546114791</v>
      </c>
      <c r="AE123" s="9">
        <f t="shared" si="24"/>
        <v>0.19347287337556371</v>
      </c>
    </row>
    <row r="124" spans="7:31" x14ac:dyDescent="0.3">
      <c r="G124" s="9">
        <v>119</v>
      </c>
      <c r="H124" s="9">
        <f t="shared" si="25"/>
        <v>3.8287625418060012</v>
      </c>
      <c r="I124" s="9">
        <f t="shared" si="13"/>
        <v>0.55720978993615922</v>
      </c>
      <c r="J124" s="9">
        <f t="shared" si="14"/>
        <v>0.4541450489980916</v>
      </c>
      <c r="K124" s="9">
        <f t="shared" si="15"/>
        <v>0.31680555974488878</v>
      </c>
      <c r="L124" s="9">
        <f t="shared" si="16"/>
        <v>0.45359973022107747</v>
      </c>
      <c r="M124" s="9">
        <f t="shared" si="17"/>
        <v>7.9151301905253629E-2</v>
      </c>
      <c r="X124" s="9">
        <f t="shared" si="18"/>
        <v>0.459017824293598</v>
      </c>
      <c r="Y124" s="9">
        <f t="shared" si="19"/>
        <v>0.36437235555235509</v>
      </c>
      <c r="Z124" s="9">
        <f t="shared" si="20"/>
        <v>0.46730550696260326</v>
      </c>
      <c r="AB124" s="9">
        <f t="shared" si="21"/>
        <v>0.19947697349362442</v>
      </c>
      <c r="AC124" s="9">
        <f t="shared" si="22"/>
        <v>0.15898142181171215</v>
      </c>
      <c r="AD124" s="9">
        <f t="shared" si="23"/>
        <v>0.25073721631986112</v>
      </c>
      <c r="AE124" s="9">
        <f t="shared" si="24"/>
        <v>0.19664018113349918</v>
      </c>
    </row>
    <row r="125" spans="7:31" x14ac:dyDescent="0.3">
      <c r="G125" s="9">
        <v>120</v>
      </c>
      <c r="H125" s="9">
        <f t="shared" si="25"/>
        <v>3.8357859531772385</v>
      </c>
      <c r="I125" s="9">
        <f t="shared" si="13"/>
        <v>0.5648421454219249</v>
      </c>
      <c r="J125" s="9">
        <f t="shared" si="14"/>
        <v>0.46052031571054197</v>
      </c>
      <c r="K125" s="9">
        <f t="shared" si="15"/>
        <v>0.34100694337923165</v>
      </c>
      <c r="L125" s="9">
        <f t="shared" si="16"/>
        <v>0.45721778395381041</v>
      </c>
      <c r="M125" s="9">
        <f t="shared" si="17"/>
        <v>7.9160757798878392E-2</v>
      </c>
      <c r="X125" s="9">
        <f t="shared" si="18"/>
        <v>0.46410431341610375</v>
      </c>
      <c r="Y125" s="9">
        <f t="shared" si="19"/>
        <v>0.39013877387865775</v>
      </c>
      <c r="Z125" s="9">
        <f t="shared" si="20"/>
        <v>0.47078313892395113</v>
      </c>
      <c r="AB125" s="9">
        <f t="shared" si="21"/>
        <v>0.20271885095459349</v>
      </c>
      <c r="AC125" s="9">
        <f t="shared" si="22"/>
        <v>0.16163352185062596</v>
      </c>
      <c r="AD125" s="9">
        <f t="shared" si="23"/>
        <v>0.25403154665779493</v>
      </c>
      <c r="AE125" s="9">
        <f t="shared" si="24"/>
        <v>0.19985220843988916</v>
      </c>
    </row>
    <row r="126" spans="7:31" x14ac:dyDescent="0.3">
      <c r="G126" s="9">
        <v>121</v>
      </c>
      <c r="H126" s="9">
        <f t="shared" si="25"/>
        <v>3.8428093645484758</v>
      </c>
      <c r="I126" s="9">
        <f t="shared" si="13"/>
        <v>0.57245115021504778</v>
      </c>
      <c r="J126" s="9">
        <f t="shared" si="14"/>
        <v>0.46690666018174415</v>
      </c>
      <c r="K126" s="9">
        <f t="shared" si="15"/>
        <v>0.3678934565853984</v>
      </c>
      <c r="L126" s="9">
        <f t="shared" si="16"/>
        <v>0.4608230777501871</v>
      </c>
      <c r="M126" s="9">
        <f t="shared" si="17"/>
        <v>7.9170059956187991E-2</v>
      </c>
      <c r="X126" s="9">
        <f t="shared" si="18"/>
        <v>0.46894442405521664</v>
      </c>
      <c r="Y126" s="9">
        <f t="shared" si="19"/>
        <v>0.41166961658967977</v>
      </c>
      <c r="Z126" s="9">
        <f t="shared" si="20"/>
        <v>0.47419395453471508</v>
      </c>
      <c r="AB126" s="9">
        <f t="shared" si="21"/>
        <v>0.20599558771238435</v>
      </c>
      <c r="AC126" s="9">
        <f t="shared" si="22"/>
        <v>0.16445171595003871</v>
      </c>
      <c r="AD126" s="9">
        <f t="shared" si="23"/>
        <v>0.25735006719623277</v>
      </c>
      <c r="AE126" s="9">
        <f t="shared" si="24"/>
        <v>0.2031090543158782</v>
      </c>
    </row>
    <row r="127" spans="7:31" x14ac:dyDescent="0.3">
      <c r="G127" s="9">
        <v>122</v>
      </c>
      <c r="H127" s="9">
        <f t="shared" si="25"/>
        <v>3.8498327759197131</v>
      </c>
      <c r="I127" s="9">
        <f t="shared" si="13"/>
        <v>0.58003306768075624</v>
      </c>
      <c r="J127" s="9">
        <f t="shared" si="14"/>
        <v>0.47329800276786499</v>
      </c>
      <c r="K127" s="9">
        <f t="shared" si="15"/>
        <v>0.39707387209488942</v>
      </c>
      <c r="L127" s="9">
        <f t="shared" si="16"/>
        <v>0.46441464313117697</v>
      </c>
      <c r="M127" s="9">
        <f t="shared" si="17"/>
        <v>7.9179208322620015E-2</v>
      </c>
      <c r="X127" s="9">
        <f t="shared" si="18"/>
        <v>0.47353815621093731</v>
      </c>
      <c r="Y127" s="9">
        <f t="shared" si="19"/>
        <v>0.42896488368542113</v>
      </c>
      <c r="Z127" s="9">
        <f t="shared" si="20"/>
        <v>0.47753795379489494</v>
      </c>
      <c r="AB127" s="9">
        <f t="shared" si="21"/>
        <v>0.20930545334955503</v>
      </c>
      <c r="AC127" s="9">
        <f t="shared" si="22"/>
        <v>0.16740625592001032</v>
      </c>
      <c r="AD127" s="9">
        <f t="shared" si="23"/>
        <v>0.26069230865645832</v>
      </c>
      <c r="AE127" s="9">
        <f t="shared" si="24"/>
        <v>0.20641077523576076</v>
      </c>
    </row>
    <row r="128" spans="7:31" x14ac:dyDescent="0.3">
      <c r="G128" s="9">
        <v>123</v>
      </c>
      <c r="H128" s="9">
        <f t="shared" si="25"/>
        <v>3.8568561872909504</v>
      </c>
      <c r="I128" s="9">
        <f t="shared" si="13"/>
        <v>0.58758412954549033</v>
      </c>
      <c r="J128" s="9">
        <f t="shared" si="14"/>
        <v>0.47968824149648609</v>
      </c>
      <c r="K128" s="9">
        <f t="shared" si="15"/>
        <v>0.42793668825848702</v>
      </c>
      <c r="L128" s="9">
        <f t="shared" si="16"/>
        <v>0.46799150265962591</v>
      </c>
      <c r="M128" s="9">
        <f t="shared" si="17"/>
        <v>7.9188202844508421E-2</v>
      </c>
      <c r="X128" s="9">
        <f t="shared" si="18"/>
        <v>0.47788550988326567</v>
      </c>
      <c r="Y128" s="9">
        <f t="shared" si="19"/>
        <v>0.44202457516588189</v>
      </c>
      <c r="Z128" s="9">
        <f t="shared" si="20"/>
        <v>0.48081513670449078</v>
      </c>
      <c r="AB128" s="9">
        <f t="shared" si="21"/>
        <v>0.21264671744866365</v>
      </c>
      <c r="AC128" s="9">
        <f t="shared" si="22"/>
        <v>0.1704673935706007</v>
      </c>
      <c r="AD128" s="9">
        <f t="shared" si="23"/>
        <v>0.26405780175975496</v>
      </c>
      <c r="AE128" s="9">
        <f t="shared" si="24"/>
        <v>0.20975738488057671</v>
      </c>
    </row>
    <row r="129" spans="7:31" x14ac:dyDescent="0.3">
      <c r="G129" s="9">
        <v>124</v>
      </c>
      <c r="H129" s="9">
        <f t="shared" si="25"/>
        <v>3.8638795986621877</v>
      </c>
      <c r="I129" s="9">
        <f t="shared" si="13"/>
        <v>0.59510053886675673</v>
      </c>
      <c r="J129" s="9">
        <f t="shared" si="14"/>
        <v>0.48607127783937082</v>
      </c>
      <c r="K129" s="9">
        <f t="shared" si="15"/>
        <v>0.45969851794126054</v>
      </c>
      <c r="L129" s="9">
        <f t="shared" si="16"/>
        <v>0.47155267030922726</v>
      </c>
      <c r="M129" s="9">
        <f t="shared" si="17"/>
        <v>7.9197043469083669E-2</v>
      </c>
      <c r="X129" s="9">
        <f t="shared" si="18"/>
        <v>0.48198648507220115</v>
      </c>
      <c r="Y129" s="9">
        <f t="shared" si="19"/>
        <v>0.45084869103106179</v>
      </c>
      <c r="Z129" s="9">
        <f t="shared" si="20"/>
        <v>0.48402550326350285</v>
      </c>
      <c r="AB129" s="9">
        <f t="shared" si="21"/>
        <v>0.21601764959226838</v>
      </c>
      <c r="AC129" s="9">
        <f t="shared" si="22"/>
        <v>0.17360538071186973</v>
      </c>
      <c r="AD129" s="9">
        <f t="shared" si="23"/>
        <v>0.26744607722740604</v>
      </c>
      <c r="AE129" s="9">
        <f t="shared" si="24"/>
        <v>0.21314885407164494</v>
      </c>
    </row>
    <row r="130" spans="7:31" x14ac:dyDescent="0.3">
      <c r="G130" s="9">
        <v>125</v>
      </c>
      <c r="H130" s="9">
        <f t="shared" si="25"/>
        <v>3.870903010033425</v>
      </c>
      <c r="I130" s="9">
        <f t="shared" si="13"/>
        <v>0.60257847307420376</v>
      </c>
      <c r="J130" s="9">
        <f t="shared" si="14"/>
        <v>0.4924410426634423</v>
      </c>
      <c r="K130" s="9">
        <f t="shared" si="15"/>
        <v>0.4914904308051839</v>
      </c>
      <c r="L130" s="9">
        <f t="shared" si="16"/>
        <v>0.47509715184360751</v>
      </c>
      <c r="M130" s="9">
        <f t="shared" si="17"/>
        <v>7.9205730144473477E-2</v>
      </c>
      <c r="X130" s="9">
        <f t="shared" si="18"/>
        <v>0.48584108177774454</v>
      </c>
      <c r="Y130" s="9">
        <f t="shared" si="19"/>
        <v>0.45543723128096114</v>
      </c>
      <c r="Z130" s="9">
        <f t="shared" si="20"/>
        <v>0.48716905347193074</v>
      </c>
      <c r="AB130" s="9">
        <f t="shared" si="21"/>
        <v>0.21941651936292722</v>
      </c>
      <c r="AC130" s="9">
        <f t="shared" si="22"/>
        <v>0.17679046915387733</v>
      </c>
      <c r="AD130" s="9">
        <f t="shared" si="23"/>
        <v>0.2708566657806955</v>
      </c>
      <c r="AE130" s="9">
        <f t="shared" si="24"/>
        <v>0.21658511088582708</v>
      </c>
    </row>
    <row r="131" spans="7:31" x14ac:dyDescent="0.3">
      <c r="G131" s="9">
        <v>126</v>
      </c>
      <c r="H131" s="9">
        <f t="shared" si="25"/>
        <v>3.8779264214046623</v>
      </c>
      <c r="I131" s="9">
        <f t="shared" si="13"/>
        <v>0.61001408707874327</v>
      </c>
      <c r="J131" s="9">
        <f t="shared" si="14"/>
        <v>0.49879152220366629</v>
      </c>
      <c r="K131" s="9">
        <f t="shared" si="15"/>
        <v>0.52247141764565042</v>
      </c>
      <c r="L131" s="9">
        <f t="shared" si="16"/>
        <v>0.47862394520535045</v>
      </c>
      <c r="M131" s="9">
        <f t="shared" si="17"/>
        <v>7.9214262819703299E-2</v>
      </c>
      <c r="X131" s="9">
        <f t="shared" si="18"/>
        <v>0.48944929999989523</v>
      </c>
      <c r="Y131" s="9">
        <f t="shared" si="19"/>
        <v>0.45579019591557995</v>
      </c>
      <c r="Z131" s="9">
        <f t="shared" si="20"/>
        <v>0.49024578732977442</v>
      </c>
      <c r="AB131" s="9">
        <f t="shared" si="21"/>
        <v>0.22284159634319853</v>
      </c>
      <c r="AC131" s="9">
        <f t="shared" si="22"/>
        <v>0.17999291070668341</v>
      </c>
      <c r="AD131" s="9">
        <f t="shared" si="23"/>
        <v>0.27428909814090668</v>
      </c>
      <c r="AE131" s="9">
        <f t="shared" si="24"/>
        <v>0.22006604095322399</v>
      </c>
    </row>
    <row r="132" spans="7:31" x14ac:dyDescent="0.3">
      <c r="G132" s="9">
        <v>127</v>
      </c>
      <c r="H132" s="9">
        <f t="shared" si="25"/>
        <v>3.8849498327758996</v>
      </c>
      <c r="I132" s="9">
        <f t="shared" si="13"/>
        <v>0.61740351644639369</v>
      </c>
      <c r="J132" s="9">
        <f t="shared" si="14"/>
        <v>0.50511678389895498</v>
      </c>
      <c r="K132" s="9">
        <f t="shared" si="15"/>
        <v>0.55195130454619046</v>
      </c>
      <c r="L132" s="9">
        <f t="shared" si="16"/>
        <v>0.48213204091477735</v>
      </c>
      <c r="M132" s="9">
        <f t="shared" si="17"/>
        <v>7.9222641444696762E-2</v>
      </c>
      <c r="X132" s="9">
        <f t="shared" si="18"/>
        <v>0.4928111397386537</v>
      </c>
      <c r="Y132" s="9">
        <f t="shared" si="19"/>
        <v>0.45190758493491789</v>
      </c>
      <c r="Z132" s="9">
        <f t="shared" si="20"/>
        <v>0.49325570483703468</v>
      </c>
      <c r="AB132" s="9">
        <f t="shared" si="21"/>
        <v>0.22629115011564011</v>
      </c>
      <c r="AC132" s="9">
        <f t="shared" si="22"/>
        <v>0.18318295718034791</v>
      </c>
      <c r="AD132" s="9">
        <f t="shared" si="23"/>
        <v>0.27774290502932292</v>
      </c>
      <c r="AE132" s="9">
        <f t="shared" si="24"/>
        <v>0.22359148793690387</v>
      </c>
    </row>
    <row r="133" spans="7:31" x14ac:dyDescent="0.3">
      <c r="G133" s="9">
        <v>128</v>
      </c>
      <c r="H133" s="9">
        <f t="shared" si="25"/>
        <v>3.8919732441471369</v>
      </c>
      <c r="I133" s="9">
        <f t="shared" si="13"/>
        <v>0.62474288063338124</v>
      </c>
      <c r="J133" s="9">
        <f t="shared" si="14"/>
        <v>0.51141100193071132</v>
      </c>
      <c r="K133" s="9">
        <f t="shared" si="15"/>
        <v>0.57950128680428259</v>
      </c>
      <c r="L133" s="9">
        <f t="shared" si="16"/>
        <v>0.4856204224782994</v>
      </c>
      <c r="M133" s="9">
        <f t="shared" si="17"/>
        <v>7.9230865970276107E-2</v>
      </c>
      <c r="X133" s="9">
        <f t="shared" si="18"/>
        <v>0.49653578413984112</v>
      </c>
      <c r="Y133" s="9">
        <f t="shared" si="19"/>
        <v>0.48834367995795491</v>
      </c>
      <c r="Z133" s="9">
        <f t="shared" si="20"/>
        <v>0.49619880599371058</v>
      </c>
      <c r="AB133" s="9">
        <f t="shared" si="21"/>
        <v>0.22976385210876998</v>
      </c>
      <c r="AC133" s="9">
        <f t="shared" si="22"/>
        <v>0.18641547498889119</v>
      </c>
      <c r="AD133" s="9">
        <f t="shared" si="23"/>
        <v>0.28121761716722804</v>
      </c>
      <c r="AE133" s="9">
        <f t="shared" si="24"/>
        <v>0.22716125419313535</v>
      </c>
    </row>
    <row r="134" spans="7:31" x14ac:dyDescent="0.3">
      <c r="G134" s="9">
        <v>129</v>
      </c>
      <c r="H134" s="9">
        <f t="shared" si="25"/>
        <v>3.8989966555183742</v>
      </c>
      <c r="I134" s="9">
        <f t="shared" si="13"/>
        <v>0.63202828627888996</v>
      </c>
      <c r="J134" s="9">
        <f t="shared" si="14"/>
        <v>0.5176684823032196</v>
      </c>
      <c r="K134" s="9">
        <f t="shared" si="15"/>
        <v>0.60502991596033584</v>
      </c>
      <c r="L134" s="9">
        <f t="shared" si="16"/>
        <v>0.4890880668061498</v>
      </c>
      <c r="M134" s="9">
        <f t="shared" si="17"/>
        <v>7.9238936348162994E-2</v>
      </c>
      <c r="X134" s="9">
        <f t="shared" si="18"/>
        <v>0.50262271922521329</v>
      </c>
      <c r="Y134" s="9">
        <f t="shared" si="19"/>
        <v>0.55477666654289204</v>
      </c>
      <c r="Z134" s="9">
        <f t="shared" si="20"/>
        <v>0.49938404890004606</v>
      </c>
      <c r="AB134" s="9">
        <f t="shared" si="21"/>
        <v>0.23327277312577085</v>
      </c>
      <c r="AC134" s="9">
        <f t="shared" si="22"/>
        <v>0.19008418442609645</v>
      </c>
      <c r="AD134" s="9">
        <f t="shared" si="23"/>
        <v>0.28471357347677312</v>
      </c>
      <c r="AE134" s="9">
        <f t="shared" si="24"/>
        <v>0.23077510160947451</v>
      </c>
    </row>
    <row r="135" spans="7:31" x14ac:dyDescent="0.3">
      <c r="G135" s="9">
        <v>130</v>
      </c>
      <c r="H135" s="9">
        <f t="shared" si="25"/>
        <v>3.9060200668896115</v>
      </c>
      <c r="I135" s="9">
        <f t="shared" ref="I135:I198" si="26">_xlfn.NORM.DIST($H135, $E$5, $E$6, FALSE)</f>
        <v>0.6392558305517233</v>
      </c>
      <c r="J135" s="9">
        <f t="shared" ref="J135:J198" si="27">EstymacjaGaussowska($H135, $B$6:$B$155)</f>
        <v>0.5238836873058117</v>
      </c>
      <c r="K135" s="9">
        <f t="shared" ref="K135:K198" si="28">EstymacjaGaussowska($H135, $B$6:$B$155, $K$5)</f>
        <v>0.62880634252387968</v>
      </c>
      <c r="L135" s="9">
        <f t="shared" ref="L135:L198" si="29">EstymacjaGaussowska($H135, $B$6:$B$155, $L$5)</f>
        <v>0.49253394463930178</v>
      </c>
      <c r="M135" s="9">
        <f t="shared" ref="M135:M198" si="30">EstymacjaGaussowska($H135, $B$6:$B$155, $M$5)</f>
        <v>7.9246852530978337E-2</v>
      </c>
      <c r="X135" s="9">
        <f t="shared" ref="X135:X198" si="31">EstymacjaEpanecznikowa($H135, $B$6:$B$155, $X$5)</f>
        <v>0.50841847973930332</v>
      </c>
      <c r="Y135" s="9">
        <f t="shared" ref="Y135:Y198" si="32">EstymacjaEpanecznikowa($H135, $B$6:$B$155, $Y$5)</f>
        <v>0.61167960799344789</v>
      </c>
      <c r="Z135" s="9">
        <f t="shared" ref="Z135:Z198" si="33">EstymacjaEpanecznikowa($H135, $B$6:$B$155, $Z$5)</f>
        <v>0.50260610486200674</v>
      </c>
      <c r="AB135" s="9">
        <f t="shared" ref="AB135:AB198" si="34">EstymacjaDystrybuanty($H135, $B$6:$B$155, $AB$5)</f>
        <v>0.23682342267246884</v>
      </c>
      <c r="AC135" s="9">
        <f t="shared" ref="AC135:AC198" si="35">EstymacjaDystrybuanty($H135, $B$6:$B$155, $AC$5)</f>
        <v>0.19418601334302504</v>
      </c>
      <c r="AD135" s="9">
        <f t="shared" ref="AD135:AD198" si="36">EstymacjaDystrybuanty($H135, $B$6:$B$155, $AD$5)</f>
        <v>0.28823230880351824</v>
      </c>
      <c r="AE135" s="9">
        <f t="shared" ref="AE135:AE198" si="37">EstymacjaGaussowskaDystrybuanta($H135, $B$6:$B$155, $AE$5)</f>
        <v>0.23443275261692345</v>
      </c>
    </row>
    <row r="136" spans="7:31" x14ac:dyDescent="0.3">
      <c r="G136" s="9">
        <v>131</v>
      </c>
      <c r="H136" s="9">
        <f t="shared" ref="H136:H199" si="38">$H135 + $E$9</f>
        <v>3.9130434782608488</v>
      </c>
      <c r="I136" s="9">
        <f t="shared" si="26"/>
        <v>0.64642160454700337</v>
      </c>
      <c r="J136" s="9">
        <f t="shared" si="27"/>
        <v>0.53005125919858598</v>
      </c>
      <c r="K136" s="9">
        <f t="shared" si="28"/>
        <v>0.65142055682044953</v>
      </c>
      <c r="L136" s="9">
        <f t="shared" si="29"/>
        <v>0.49595702098536465</v>
      </c>
      <c r="M136" s="9">
        <f t="shared" si="30"/>
        <v>7.9254614472243481E-2</v>
      </c>
      <c r="X136" s="9">
        <f t="shared" si="31"/>
        <v>0.51392306568211132</v>
      </c>
      <c r="Y136" s="9">
        <f t="shared" si="32"/>
        <v>0.66204520020384405</v>
      </c>
      <c r="Z136" s="9">
        <f t="shared" si="33"/>
        <v>0.5057584394146627</v>
      </c>
      <c r="AB136" s="9">
        <f t="shared" si="34"/>
        <v>0.24041375571006895</v>
      </c>
      <c r="AC136" s="9">
        <f t="shared" si="35"/>
        <v>0.1986558804912272</v>
      </c>
      <c r="AD136" s="9">
        <f t="shared" si="36"/>
        <v>0.29177342911367571</v>
      </c>
      <c r="AE136" s="9">
        <f t="shared" si="37"/>
        <v>0.23813389137126137</v>
      </c>
    </row>
    <row r="137" spans="7:31" x14ac:dyDescent="0.3">
      <c r="G137" s="9">
        <v>132</v>
      </c>
      <c r="H137" s="9">
        <f t="shared" si="38"/>
        <v>3.920066889632086</v>
      </c>
      <c r="I137" s="9">
        <f t="shared" si="26"/>
        <v>0.65352169672891625</v>
      </c>
      <c r="J137" s="9">
        <f t="shared" si="27"/>
        <v>0.53616604296644177</v>
      </c>
      <c r="K137" s="9">
        <f t="shared" si="28"/>
        <v>0.67368111344769799</v>
      </c>
      <c r="L137" s="9">
        <f t="shared" si="29"/>
        <v>0.4993562555632643</v>
      </c>
      <c r="M137" s="9">
        <f t="shared" si="30"/>
        <v>7.9262222126380302E-2</v>
      </c>
      <c r="X137" s="9">
        <f t="shared" si="31"/>
        <v>0.51913647705363752</v>
      </c>
      <c r="Y137" s="9">
        <f t="shared" si="32"/>
        <v>0.71746064783712593</v>
      </c>
      <c r="Z137" s="9">
        <f t="shared" si="33"/>
        <v>0.5088410525580136</v>
      </c>
      <c r="AB137" s="9">
        <f t="shared" si="34"/>
        <v>0.24404172719977621</v>
      </c>
      <c r="AC137" s="9">
        <f t="shared" si="35"/>
        <v>0.20350525705279349</v>
      </c>
      <c r="AD137" s="9">
        <f t="shared" si="36"/>
        <v>0.29533644472510695</v>
      </c>
      <c r="AE137" s="9">
        <f t="shared" si="37"/>
        <v>0.24187816509754964</v>
      </c>
    </row>
    <row r="138" spans="7:31" x14ac:dyDescent="0.3">
      <c r="G138" s="9">
        <v>133</v>
      </c>
      <c r="H138" s="9">
        <f t="shared" si="38"/>
        <v>3.9270903010033233</v>
      </c>
      <c r="I138" s="9">
        <f t="shared" si="26"/>
        <v>0.66055219641538809</v>
      </c>
      <c r="J138" s="9">
        <f t="shared" si="27"/>
        <v>0.5422231079903016</v>
      </c>
      <c r="K138" s="9">
        <f t="shared" si="28"/>
        <v>0.69646253228399513</v>
      </c>
      <c r="L138" s="9">
        <f t="shared" si="29"/>
        <v>0.50273060325647845</v>
      </c>
      <c r="M138" s="9">
        <f t="shared" si="30"/>
        <v>7.9269675448711482E-2</v>
      </c>
      <c r="X138" s="9">
        <f t="shared" si="31"/>
        <v>0.5240587138538817</v>
      </c>
      <c r="Y138" s="9">
        <f t="shared" si="32"/>
        <v>0.76440494423984651</v>
      </c>
      <c r="Z138" s="9">
        <f t="shared" si="33"/>
        <v>0.51185394429205933</v>
      </c>
      <c r="AB138" s="9">
        <f t="shared" si="34"/>
        <v>0.2477052921027959</v>
      </c>
      <c r="AC138" s="9">
        <f t="shared" si="35"/>
        <v>0.20871409090946955</v>
      </c>
      <c r="AD138" s="9">
        <f t="shared" si="36"/>
        <v>0.29892086595567258</v>
      </c>
      <c r="AE138" s="9">
        <f t="shared" si="37"/>
        <v>0.24566518559073119</v>
      </c>
    </row>
    <row r="139" spans="7:31" x14ac:dyDescent="0.3">
      <c r="G139" s="9">
        <v>134</v>
      </c>
      <c r="H139" s="9">
        <f t="shared" si="38"/>
        <v>3.9341137123745606</v>
      </c>
      <c r="I139" s="9">
        <f t="shared" si="26"/>
        <v>0.66750919730046632</v>
      </c>
      <c r="J139" s="9">
        <f t="shared" si="27"/>
        <v>0.54821776848962256</v>
      </c>
      <c r="K139" s="9">
        <f t="shared" si="28"/>
        <v>0.72052504544565188</v>
      </c>
      <c r="L139" s="9">
        <f t="shared" si="29"/>
        <v>0.50607901457463511</v>
      </c>
      <c r="M139" s="9">
        <f t="shared" si="30"/>
        <v>7.9276974395461261E-2</v>
      </c>
      <c r="X139" s="9">
        <f t="shared" si="31"/>
        <v>0.52868977608284362</v>
      </c>
      <c r="Y139" s="9">
        <f t="shared" si="32"/>
        <v>0.80287808941200545</v>
      </c>
      <c r="Z139" s="9">
        <f t="shared" si="33"/>
        <v>0.5147971146168</v>
      </c>
      <c r="AB139" s="9">
        <f t="shared" si="34"/>
        <v>0.25140240538033259</v>
      </c>
      <c r="AC139" s="9">
        <f t="shared" si="35"/>
        <v>0.2142228856813751</v>
      </c>
      <c r="AD139" s="9">
        <f t="shared" si="36"/>
        <v>0.30252620312323414</v>
      </c>
      <c r="AE139" s="9">
        <f t="shared" si="37"/>
        <v>0.24949453086420487</v>
      </c>
    </row>
    <row r="140" spans="7:31" x14ac:dyDescent="0.3">
      <c r="G140" s="9">
        <v>135</v>
      </c>
      <c r="H140" s="9">
        <f t="shared" si="38"/>
        <v>3.9411371237457979</v>
      </c>
      <c r="I140" s="9">
        <f t="shared" si="26"/>
        <v>0.67438880101007703</v>
      </c>
      <c r="J140" s="9">
        <f t="shared" si="27"/>
        <v>0.55414560259660595</v>
      </c>
      <c r="K140" s="9">
        <f t="shared" si="28"/>
        <v>0.74633646923435848</v>
      </c>
      <c r="L140" s="9">
        <f t="shared" si="29"/>
        <v>0.50940043612323271</v>
      </c>
      <c r="M140" s="9">
        <f t="shared" si="30"/>
        <v>7.9284118923755934E-2</v>
      </c>
      <c r="X140" s="9">
        <f t="shared" si="31"/>
        <v>0.53302966374052374</v>
      </c>
      <c r="Y140" s="9">
        <f t="shared" si="32"/>
        <v>0.83288008335360342</v>
      </c>
      <c r="Z140" s="9">
        <f t="shared" si="33"/>
        <v>0.51767056353223584</v>
      </c>
      <c r="AB140" s="9">
        <f t="shared" si="34"/>
        <v>0.25513102199359178</v>
      </c>
      <c r="AC140" s="9">
        <f t="shared" si="35"/>
        <v>0.21997214498862994</v>
      </c>
      <c r="AD140" s="9">
        <f t="shared" si="36"/>
        <v>0.30615196654565258</v>
      </c>
      <c r="AE140" s="9">
        <f t="shared" si="37"/>
        <v>0.25336574693725034</v>
      </c>
    </row>
    <row r="141" spans="7:31" x14ac:dyDescent="0.3">
      <c r="G141" s="9">
        <v>136</v>
      </c>
      <c r="H141" s="9">
        <f t="shared" si="38"/>
        <v>3.9481605351170352</v>
      </c>
      <c r="I141" s="9">
        <f t="shared" si="26"/>
        <v>0.68118712068672227</v>
      </c>
      <c r="J141" s="9">
        <f t="shared" si="27"/>
        <v>0.56000246992989</v>
      </c>
      <c r="K141" s="9">
        <f t="shared" si="28"/>
        <v>0.77392808430340354</v>
      </c>
      <c r="L141" s="9">
        <f t="shared" si="29"/>
        <v>0.51269381108127365</v>
      </c>
      <c r="M141" s="9">
        <f t="shared" si="30"/>
        <v>7.929110899162381E-2</v>
      </c>
      <c r="X141" s="9">
        <f t="shared" si="31"/>
        <v>0.53707837682692194</v>
      </c>
      <c r="Y141" s="9">
        <f t="shared" si="32"/>
        <v>0.85441092606463986</v>
      </c>
      <c r="Z141" s="9">
        <f t="shared" si="33"/>
        <v>0.5204742910383664</v>
      </c>
      <c r="AB141" s="9">
        <f t="shared" si="34"/>
        <v>0.25888909690377832</v>
      </c>
      <c r="AC141" s="9">
        <f t="shared" si="35"/>
        <v>0.22590237245135389</v>
      </c>
      <c r="AD141" s="9">
        <f t="shared" si="36"/>
        <v>0.30979766654078883</v>
      </c>
      <c r="AE141" s="9">
        <f t="shared" si="37"/>
        <v>0.25727834975122527</v>
      </c>
    </row>
    <row r="142" spans="7:31" x14ac:dyDescent="0.3">
      <c r="G142" s="9">
        <v>137</v>
      </c>
      <c r="H142" s="9">
        <f t="shared" si="38"/>
        <v>3.9551839464882725</v>
      </c>
      <c r="I142" s="9">
        <f t="shared" si="26"/>
        <v>0.68790028459859842</v>
      </c>
      <c r="J142" s="9">
        <f t="shared" si="27"/>
        <v>0.5657845275438933</v>
      </c>
      <c r="K142" s="9">
        <f t="shared" si="28"/>
        <v>0.80281273281063947</v>
      </c>
      <c r="L142" s="9">
        <f t="shared" si="29"/>
        <v>0.51595807968657392</v>
      </c>
      <c r="M142" s="9">
        <f t="shared" si="30"/>
        <v>7.9297944557996047E-2</v>
      </c>
      <c r="X142" s="9">
        <f t="shared" si="31"/>
        <v>0.54083591534203801</v>
      </c>
      <c r="Y142" s="9">
        <f t="shared" si="32"/>
        <v>0.8674706175451149</v>
      </c>
      <c r="Z142" s="9">
        <f t="shared" si="33"/>
        <v>0.52320829713519235</v>
      </c>
      <c r="AB142" s="9">
        <f t="shared" si="34"/>
        <v>0.26267458507209723</v>
      </c>
      <c r="AC142" s="9">
        <f t="shared" si="35"/>
        <v>0.23195407168966675</v>
      </c>
      <c r="AD142" s="9">
        <f t="shared" si="36"/>
        <v>0.31346281342650406</v>
      </c>
      <c r="AE142" s="9">
        <f t="shared" si="37"/>
        <v>0.26123182720355492</v>
      </c>
    </row>
    <row r="143" spans="7:31" x14ac:dyDescent="0.3">
      <c r="G143" s="9">
        <v>138</v>
      </c>
      <c r="H143" s="9">
        <f t="shared" si="38"/>
        <v>3.9622073578595098</v>
      </c>
      <c r="I143" s="9">
        <f t="shared" si="26"/>
        <v>0.69452443976852141</v>
      </c>
      <c r="J143" s="9">
        <f t="shared" si="27"/>
        <v>0.57148824413932042</v>
      </c>
      <c r="K143" s="9">
        <f t="shared" si="28"/>
        <v>0.83198419686901748</v>
      </c>
      <c r="L143" s="9">
        <f t="shared" si="29"/>
        <v>0.51919217972852316</v>
      </c>
      <c r="M143" s="9">
        <f t="shared" si="30"/>
        <v>7.9304625582706789E-2</v>
      </c>
      <c r="X143" s="9">
        <f t="shared" si="31"/>
        <v>0.54430227928587227</v>
      </c>
      <c r="Y143" s="9">
        <f t="shared" si="32"/>
        <v>0.87205915779502885</v>
      </c>
      <c r="Z143" s="9">
        <f t="shared" si="33"/>
        <v>0.52587258182271257</v>
      </c>
      <c r="AB143" s="9">
        <f t="shared" si="34"/>
        <v>0.26648544145975361</v>
      </c>
      <c r="AC143" s="9">
        <f t="shared" si="35"/>
        <v>0.23806774632368832</v>
      </c>
      <c r="AD143" s="9">
        <f t="shared" si="36"/>
        <v>0.31714691752065916</v>
      </c>
      <c r="AE143" s="9">
        <f t="shared" si="37"/>
        <v>0.26522564128769882</v>
      </c>
    </row>
    <row r="144" spans="7:31" x14ac:dyDescent="0.3">
      <c r="G144" s="9">
        <v>139</v>
      </c>
      <c r="H144" s="9">
        <f t="shared" si="38"/>
        <v>3.9692307692307471</v>
      </c>
      <c r="I144" s="9">
        <f t="shared" si="26"/>
        <v>0.70105575561797506</v>
      </c>
      <c r="J144" s="9">
        <f t="shared" si="27"/>
        <v>0.57711041243060379</v>
      </c>
      <c r="K144" s="9">
        <f t="shared" si="28"/>
        <v>0.86000370700216189</v>
      </c>
      <c r="L144" s="9">
        <f t="shared" si="29"/>
        <v>0.52239504704805617</v>
      </c>
      <c r="M144" s="9">
        <f t="shared" si="30"/>
        <v>7.9311152026493942E-2</v>
      </c>
      <c r="X144" s="9">
        <f t="shared" si="31"/>
        <v>0.5474774686584245</v>
      </c>
      <c r="Y144" s="9">
        <f t="shared" si="32"/>
        <v>0.86817654681438128</v>
      </c>
      <c r="Z144" s="9">
        <f t="shared" si="33"/>
        <v>0.5284671451009284</v>
      </c>
      <c r="AB144" s="9">
        <f t="shared" si="34"/>
        <v>0.27031962102795248</v>
      </c>
      <c r="AC144" s="9">
        <f t="shared" si="35"/>
        <v>0.24418389997353851</v>
      </c>
      <c r="AD144" s="9">
        <f t="shared" si="36"/>
        <v>0.32084948914111544</v>
      </c>
      <c r="AE144" s="9">
        <f t="shared" si="37"/>
        <v>0.26925923032650773</v>
      </c>
    </row>
    <row r="145" spans="7:31" x14ac:dyDescent="0.3">
      <c r="G145" s="9">
        <v>140</v>
      </c>
      <c r="H145" s="9">
        <f t="shared" si="38"/>
        <v>3.9762541806019844</v>
      </c>
      <c r="I145" s="9">
        <f t="shared" si="26"/>
        <v>0.70749042762152226</v>
      </c>
      <c r="J145" s="9">
        <f t="shared" si="27"/>
        <v>0.58264815957714866</v>
      </c>
      <c r="K145" s="9">
        <f t="shared" si="28"/>
        <v>0.88516441648723354</v>
      </c>
      <c r="L145" s="9">
        <f t="shared" si="29"/>
        <v>0.52556561604459107</v>
      </c>
      <c r="M145" s="9">
        <f t="shared" si="30"/>
        <v>7.9317523850998981E-2</v>
      </c>
      <c r="X145" s="9">
        <f t="shared" si="31"/>
        <v>0.5503614834596946</v>
      </c>
      <c r="Y145" s="9">
        <f t="shared" si="32"/>
        <v>0.85582278460317252</v>
      </c>
      <c r="Z145" s="9">
        <f t="shared" si="33"/>
        <v>0.53099198696983863</v>
      </c>
      <c r="AB145" s="9">
        <f t="shared" si="34"/>
        <v>0.27417507873789893</v>
      </c>
      <c r="AC145" s="9">
        <f t="shared" si="35"/>
        <v>0.25024303625933692</v>
      </c>
      <c r="AD145" s="9">
        <f t="shared" si="36"/>
        <v>0.32457003860573402</v>
      </c>
      <c r="AE145" s="9">
        <f t="shared" si="37"/>
        <v>0.27333201128569651</v>
      </c>
    </row>
    <row r="146" spans="7:31" x14ac:dyDescent="0.3">
      <c r="G146" s="9">
        <v>141</v>
      </c>
      <c r="H146" s="9">
        <f t="shared" si="38"/>
        <v>3.9832775919732217</v>
      </c>
      <c r="I146" s="9">
        <f t="shared" si="26"/>
        <v>0.71382468096675777</v>
      </c>
      <c r="J146" s="9">
        <f t="shared" si="27"/>
        <v>0.58809895559711722</v>
      </c>
      <c r="K146" s="9">
        <f t="shared" si="28"/>
        <v>0.90571060913838952</v>
      </c>
      <c r="L146" s="9">
        <f t="shared" si="29"/>
        <v>0.52870282018970116</v>
      </c>
      <c r="M146" s="9">
        <f t="shared" si="30"/>
        <v>7.9323741018767935E-2</v>
      </c>
      <c r="X146" s="9">
        <f t="shared" si="31"/>
        <v>0.552954323689683</v>
      </c>
      <c r="Y146" s="9">
        <f t="shared" si="32"/>
        <v>0.83499787116140223</v>
      </c>
      <c r="Z146" s="9">
        <f t="shared" si="33"/>
        <v>0.53344710742944479</v>
      </c>
      <c r="AB146" s="9">
        <f t="shared" si="34"/>
        <v>0.2780497695507978</v>
      </c>
      <c r="AC146" s="9">
        <f t="shared" si="35"/>
        <v>0.25618565880120353</v>
      </c>
      <c r="AD146" s="9">
        <f t="shared" si="36"/>
        <v>0.32830807623237562</v>
      </c>
      <c r="AE146" s="9">
        <f t="shared" si="37"/>
        <v>0.27744338215353698</v>
      </c>
    </row>
    <row r="147" spans="7:31" x14ac:dyDescent="0.3">
      <c r="G147" s="9">
        <v>142</v>
      </c>
      <c r="H147" s="9">
        <f t="shared" si="38"/>
        <v>3.990301003344459</v>
      </c>
      <c r="I147" s="9">
        <f t="shared" si="26"/>
        <v>0.72005477421493036</v>
      </c>
      <c r="J147" s="9">
        <f t="shared" si="27"/>
        <v>0.59346061969504527</v>
      </c>
      <c r="K147" s="9">
        <f t="shared" si="28"/>
        <v>0.92007796882602155</v>
      </c>
      <c r="L147" s="9">
        <f t="shared" si="29"/>
        <v>0.53180559254726112</v>
      </c>
      <c r="M147" s="9">
        <f t="shared" si="30"/>
        <v>7.9329803493251194E-2</v>
      </c>
      <c r="X147" s="9">
        <f t="shared" si="31"/>
        <v>0.55525598934838905</v>
      </c>
      <c r="Y147" s="9">
        <f t="shared" si="32"/>
        <v>0.82071090723957629</v>
      </c>
      <c r="Z147" s="9">
        <f t="shared" si="33"/>
        <v>0.53583250647974512</v>
      </c>
      <c r="AB147" s="9">
        <f t="shared" si="34"/>
        <v>0.28194164842785446</v>
      </c>
      <c r="AC147" s="9">
        <f t="shared" si="35"/>
        <v>0.26196811382467661</v>
      </c>
      <c r="AD147" s="9">
        <f t="shared" si="36"/>
        <v>0.3320631123389014</v>
      </c>
      <c r="AE147" s="9">
        <f t="shared" si="37"/>
        <v>0.28159272437235539</v>
      </c>
    </row>
    <row r="148" spans="7:31" x14ac:dyDescent="0.3">
      <c r="G148" s="9">
        <v>143</v>
      </c>
      <c r="H148" s="9">
        <f t="shared" si="38"/>
        <v>3.9973244147156963</v>
      </c>
      <c r="I148" s="9">
        <f t="shared" si="26"/>
        <v>0.72617700295730825</v>
      </c>
      <c r="J148" s="9">
        <f t="shared" si="27"/>
        <v>0.59873132444774868</v>
      </c>
      <c r="K148" s="9">
        <f t="shared" si="28"/>
        <v>0.92711651788322602</v>
      </c>
      <c r="L148" s="9">
        <f t="shared" si="29"/>
        <v>0.53487286629982012</v>
      </c>
      <c r="M148" s="9">
        <f t="shared" si="30"/>
        <v>7.9335711238804313E-2</v>
      </c>
      <c r="X148" s="9">
        <f t="shared" si="31"/>
        <v>0.56263013118233896</v>
      </c>
      <c r="Y148" s="9">
        <f t="shared" si="32"/>
        <v>0.83097209340282363</v>
      </c>
      <c r="Z148" s="9">
        <f t="shared" si="33"/>
        <v>0.53825333151894106</v>
      </c>
      <c r="AB148" s="9">
        <f t="shared" si="34"/>
        <v>0.28586659712130397</v>
      </c>
      <c r="AC148" s="9">
        <f t="shared" si="35"/>
        <v>0.26777515570240018</v>
      </c>
      <c r="AD148" s="9">
        <f t="shared" si="36"/>
        <v>0.33583484425316174</v>
      </c>
      <c r="AE148" s="9">
        <f t="shared" si="37"/>
        <v>0.28577940530697932</v>
      </c>
    </row>
    <row r="149" spans="7:31" x14ac:dyDescent="0.3">
      <c r="G149" s="9">
        <v>144</v>
      </c>
      <c r="H149" s="9">
        <f t="shared" si="38"/>
        <v>4.0043478260869341</v>
      </c>
      <c r="I149" s="9">
        <f t="shared" si="26"/>
        <v>0.7321877034623322</v>
      </c>
      <c r="J149" s="9">
        <f t="shared" si="27"/>
        <v>0.60390959780665809</v>
      </c>
      <c r="K149" s="9">
        <f t="shared" si="28"/>
        <v>0.92625988298975948</v>
      </c>
      <c r="L149" s="9">
        <f t="shared" si="29"/>
        <v>0.53790357528094568</v>
      </c>
      <c r="M149" s="9">
        <f t="shared" si="30"/>
        <v>7.9341464220688135E-2</v>
      </c>
      <c r="X149" s="9">
        <f t="shared" si="31"/>
        <v>0.569920961129743</v>
      </c>
      <c r="Y149" s="9">
        <f t="shared" si="32"/>
        <v>0.82958544662404854</v>
      </c>
      <c r="Z149" s="9">
        <f t="shared" si="33"/>
        <v>0.54070592734418221</v>
      </c>
      <c r="AB149" s="9">
        <f t="shared" si="34"/>
        <v>0.28984399953361034</v>
      </c>
      <c r="AC149" s="9">
        <f t="shared" si="35"/>
        <v>0.27361336235053774</v>
      </c>
      <c r="AD149" s="9">
        <f t="shared" si="36"/>
        <v>0.33962387327404997</v>
      </c>
      <c r="AE149" s="9">
        <f t="shared" si="37"/>
        <v>0.29000278073493568</v>
      </c>
    </row>
    <row r="150" spans="7:31" x14ac:dyDescent="0.3">
      <c r="G150" s="9">
        <v>145</v>
      </c>
      <c r="H150" s="9">
        <f t="shared" si="38"/>
        <v>4.0113712374581718</v>
      </c>
      <c r="I150" s="9">
        <f t="shared" si="26"/>
        <v>0.73808325630856486</v>
      </c>
      <c r="J150" s="9">
        <f t="shared" si="27"/>
        <v>0.60899432288881605</v>
      </c>
      <c r="K150" s="9">
        <f t="shared" si="28"/>
        <v>0.91761314812125605</v>
      </c>
      <c r="L150" s="9">
        <f t="shared" si="29"/>
        <v>0.54089665451327673</v>
      </c>
      <c r="M150" s="9">
        <f t="shared" si="30"/>
        <v>7.9347062405069127E-2</v>
      </c>
      <c r="X150" s="9">
        <f t="shared" si="31"/>
        <v>0.57731165942022233</v>
      </c>
      <c r="Y150" s="9">
        <f t="shared" si="32"/>
        <v>0.81655096690325035</v>
      </c>
      <c r="Z150" s="9">
        <f t="shared" si="33"/>
        <v>0.54324005379064588</v>
      </c>
      <c r="AB150" s="9">
        <f t="shared" si="34"/>
        <v>0.29387178579793477</v>
      </c>
      <c r="AC150" s="9">
        <f t="shared" si="35"/>
        <v>0.27940092624675378</v>
      </c>
      <c r="AD150" s="9">
        <f t="shared" si="36"/>
        <v>0.34343027010923421</v>
      </c>
      <c r="AE150" s="9">
        <f t="shared" si="37"/>
        <v>0.29426219734295833</v>
      </c>
    </row>
    <row r="151" spans="7:31" x14ac:dyDescent="0.3">
      <c r="G151" s="9">
        <v>146</v>
      </c>
      <c r="H151" s="9">
        <f t="shared" si="38"/>
        <v>4.0183946488294096</v>
      </c>
      <c r="I151" s="9">
        <f t="shared" si="26"/>
        <v>0.74386008999842801</v>
      </c>
      <c r="J151" s="9">
        <f t="shared" si="27"/>
        <v>0.61398473554320521</v>
      </c>
      <c r="K151" s="9">
        <f t="shared" si="28"/>
        <v>0.9019452156345622</v>
      </c>
      <c r="L151" s="9">
        <f t="shared" si="29"/>
        <v>0.54385104075201895</v>
      </c>
      <c r="M151" s="9">
        <f t="shared" si="30"/>
        <v>7.9352505759019851E-2</v>
      </c>
      <c r="X151" s="9">
        <f t="shared" si="31"/>
        <v>0.58550534385330477</v>
      </c>
      <c r="Y151" s="9">
        <f t="shared" si="32"/>
        <v>0.84072454227374993</v>
      </c>
      <c r="Z151" s="9">
        <f t="shared" si="33"/>
        <v>0.5457601922311508</v>
      </c>
      <c r="AB151" s="9">
        <f t="shared" si="34"/>
        <v>0.29795546007262186</v>
      </c>
      <c r="AC151" s="9">
        <f t="shared" si="35"/>
        <v>0.28521551381645782</v>
      </c>
      <c r="AD151" s="9">
        <f t="shared" si="36"/>
        <v>0.34725455927167403</v>
      </c>
      <c r="AE151" s="9">
        <f t="shared" si="37"/>
        <v>0.2985569952142193</v>
      </c>
    </row>
    <row r="152" spans="7:31" x14ac:dyDescent="0.3">
      <c r="G152" s="9">
        <v>147</v>
      </c>
      <c r="H152" s="9">
        <f t="shared" si="38"/>
        <v>4.0254180602006473</v>
      </c>
      <c r="I152" s="9">
        <f t="shared" si="26"/>
        <v>0.74951468454770542</v>
      </c>
      <c r="J152" s="9">
        <f t="shared" si="27"/>
        <v>0.61888041969370411</v>
      </c>
      <c r="K152" s="9">
        <f t="shared" si="28"/>
        <v>0.88058783402643503</v>
      </c>
      <c r="L152" s="9">
        <f t="shared" si="29"/>
        <v>0.54676567303361834</v>
      </c>
      <c r="M152" s="9">
        <f t="shared" si="30"/>
        <v>7.9357794250519115E-2</v>
      </c>
      <c r="X152" s="9">
        <f t="shared" si="31"/>
        <v>0.59335185860524353</v>
      </c>
      <c r="Y152" s="9">
        <f t="shared" si="32"/>
        <v>0.85953251494639293</v>
      </c>
      <c r="Z152" s="9">
        <f t="shared" si="33"/>
        <v>0.54821060926235099</v>
      </c>
      <c r="AB152" s="9">
        <f t="shared" si="34"/>
        <v>0.30209546280598554</v>
      </c>
      <c r="AC152" s="9">
        <f t="shared" si="35"/>
        <v>0.29119127422296809</v>
      </c>
      <c r="AD152" s="9">
        <f t="shared" si="36"/>
        <v>0.35109630356202487</v>
      </c>
      <c r="AE152" s="9">
        <f t="shared" si="37"/>
        <v>0.30288651029065483</v>
      </c>
    </row>
    <row r="153" spans="7:31" x14ac:dyDescent="0.3">
      <c r="G153" s="9">
        <v>148</v>
      </c>
      <c r="H153" s="9">
        <f t="shared" si="38"/>
        <v>4.032441471571885</v>
      </c>
      <c r="I153" s="9">
        <f t="shared" si="26"/>
        <v>0.75504357504578756</v>
      </c>
      <c r="J153" s="9">
        <f t="shared" si="27"/>
        <v>0.62368130047474091</v>
      </c>
      <c r="K153" s="9">
        <f t="shared" si="28"/>
        <v>0.85525926264623364</v>
      </c>
      <c r="L153" s="9">
        <f t="shared" si="29"/>
        <v>0.54963949322933259</v>
      </c>
      <c r="M153" s="9">
        <f t="shared" si="30"/>
        <v>7.9362927848452405E-2</v>
      </c>
      <c r="X153" s="9">
        <f t="shared" si="31"/>
        <v>0.60085120367603817</v>
      </c>
      <c r="Y153" s="9">
        <f t="shared" si="32"/>
        <v>0.8698693363884733</v>
      </c>
      <c r="Z153" s="9">
        <f t="shared" si="33"/>
        <v>0.55059130488424635</v>
      </c>
      <c r="AB153" s="9">
        <f t="shared" si="34"/>
        <v>0.3062893556825394</v>
      </c>
      <c r="AC153" s="9">
        <f t="shared" si="35"/>
        <v>0.29726938256867724</v>
      </c>
      <c r="AD153" s="9">
        <f t="shared" si="36"/>
        <v>0.35495501329814722</v>
      </c>
      <c r="AE153" s="9">
        <f t="shared" si="37"/>
        <v>0.30725007679481636</v>
      </c>
    </row>
    <row r="154" spans="7:31" x14ac:dyDescent="0.3">
      <c r="G154" s="9">
        <v>149</v>
      </c>
      <c r="H154" s="9">
        <f t="shared" si="38"/>
        <v>4.0394648829431228</v>
      </c>
      <c r="I154" s="9">
        <f t="shared" si="26"/>
        <v>0.76044335518163897</v>
      </c>
      <c r="J154" s="9">
        <f t="shared" si="27"/>
        <v>0.62838763519048157</v>
      </c>
      <c r="K154" s="9">
        <f t="shared" si="28"/>
        <v>0.82784299890598656</v>
      </c>
      <c r="L154" s="9">
        <f t="shared" si="29"/>
        <v>0.55247144660343028</v>
      </c>
      <c r="M154" s="9">
        <f t="shared" si="30"/>
        <v>7.9367906522612233E-2</v>
      </c>
      <c r="X154" s="9">
        <f t="shared" si="31"/>
        <v>0.60800337906568891</v>
      </c>
      <c r="Y154" s="9">
        <f t="shared" si="32"/>
        <v>0.87173500659999181</v>
      </c>
      <c r="Z154" s="9">
        <f t="shared" si="33"/>
        <v>0.55290227909683631</v>
      </c>
      <c r="AB154" s="9">
        <f t="shared" si="34"/>
        <v>0.31053470038679704</v>
      </c>
      <c r="AC154" s="9">
        <f t="shared" si="35"/>
        <v>0.303390342473705</v>
      </c>
      <c r="AD154" s="9">
        <f t="shared" si="36"/>
        <v>0.35883019879790257</v>
      </c>
      <c r="AE154" s="9">
        <f t="shared" si="37"/>
        <v>0.31164702959584734</v>
      </c>
    </row>
    <row r="155" spans="7:31" x14ac:dyDescent="0.3">
      <c r="G155" s="9">
        <v>150</v>
      </c>
      <c r="H155" s="9">
        <f t="shared" si="38"/>
        <v>4.0464882943143605</v>
      </c>
      <c r="I155" s="9">
        <f t="shared" si="26"/>
        <v>0.76571068073048576</v>
      </c>
      <c r="J155" s="9">
        <f t="shared" si="27"/>
        <v>0.63300000214305352</v>
      </c>
      <c r="K155" s="9">
        <f t="shared" si="28"/>
        <v>0.80015880827716568</v>
      </c>
      <c r="L155" s="9">
        <f t="shared" si="29"/>
        <v>0.55526048237572656</v>
      </c>
      <c r="M155" s="9">
        <f t="shared" si="30"/>
        <v>7.9372730243698245E-2</v>
      </c>
      <c r="X155" s="9">
        <f t="shared" si="31"/>
        <v>0.61480838477419542</v>
      </c>
      <c r="Y155" s="9">
        <f t="shared" si="32"/>
        <v>0.86512952558094747</v>
      </c>
      <c r="Z155" s="9">
        <f t="shared" si="33"/>
        <v>0.55514353190012145</v>
      </c>
      <c r="AB155" s="9">
        <f t="shared" si="34"/>
        <v>0.31482905860327237</v>
      </c>
      <c r="AC155" s="9">
        <f t="shared" si="35"/>
        <v>0.30949465755817124</v>
      </c>
      <c r="AD155" s="9">
        <f t="shared" si="36"/>
        <v>0.36272137037915164</v>
      </c>
      <c r="AE155" s="9">
        <f t="shared" si="37"/>
        <v>0.31607670650444641</v>
      </c>
    </row>
    <row r="156" spans="7:31" x14ac:dyDescent="0.3">
      <c r="G156" s="9">
        <v>151</v>
      </c>
      <c r="H156" s="9">
        <f t="shared" si="38"/>
        <v>4.0535117056855983</v>
      </c>
      <c r="I156" s="9">
        <f t="shared" si="26"/>
        <v>0.77084227299624297</v>
      </c>
      <c r="J156" s="9">
        <f t="shared" si="27"/>
        <v>0.63751928738978991</v>
      </c>
      <c r="K156" s="9">
        <f t="shared" si="28"/>
        <v>0.7737632781951721</v>
      </c>
      <c r="L156" s="9">
        <f t="shared" si="29"/>
        <v>0.55800555428817589</v>
      </c>
      <c r="M156" s="9">
        <f t="shared" si="30"/>
        <v>7.9377398983317637E-2</v>
      </c>
      <c r="X156" s="9">
        <f t="shared" si="31"/>
        <v>0.62126622080155824</v>
      </c>
      <c r="Y156" s="9">
        <f t="shared" si="32"/>
        <v>0.85005289333134093</v>
      </c>
      <c r="Z156" s="9">
        <f t="shared" si="33"/>
        <v>0.55731506329410141</v>
      </c>
      <c r="AB156" s="9">
        <f t="shared" si="34"/>
        <v>0.31916999201647894</v>
      </c>
      <c r="AC156" s="9">
        <f t="shared" si="35"/>
        <v>0.31552283144219573</v>
      </c>
      <c r="AD156" s="9">
        <f t="shared" si="36"/>
        <v>0.36662803835975571</v>
      </c>
      <c r="AE156" s="9">
        <f t="shared" si="37"/>
        <v>0.32053845048205531</v>
      </c>
    </row>
    <row r="157" spans="7:31" x14ac:dyDescent="0.3">
      <c r="G157" s="9">
        <v>152</v>
      </c>
      <c r="H157" s="9">
        <f t="shared" si="38"/>
        <v>4.060535117056836</v>
      </c>
      <c r="I157" s="9">
        <f t="shared" si="26"/>
        <v>0.77583492220473815</v>
      </c>
      <c r="J157" s="9">
        <f t="shared" si="27"/>
        <v>0.64194666950363521</v>
      </c>
      <c r="K157" s="9">
        <f t="shared" si="28"/>
        <v>0.74981038315703963</v>
      </c>
      <c r="L157" s="9">
        <f t="shared" si="29"/>
        <v>0.56070562117522116</v>
      </c>
      <c r="M157" s="9">
        <f t="shared" si="30"/>
        <v>7.9381912713985467E-2</v>
      </c>
      <c r="X157" s="9">
        <f t="shared" si="31"/>
        <v>0.62737688714777717</v>
      </c>
      <c r="Y157" s="9">
        <f t="shared" si="32"/>
        <v>0.82650510985117176</v>
      </c>
      <c r="Z157" s="9">
        <f t="shared" si="33"/>
        <v>0.55941687327877643</v>
      </c>
      <c r="AB157" s="9">
        <f t="shared" si="34"/>
        <v>0.32355506231093079</v>
      </c>
      <c r="AC157" s="9">
        <f t="shared" si="35"/>
        <v>0.32141536774589829</v>
      </c>
      <c r="AD157" s="9">
        <f t="shared" si="36"/>
        <v>0.37054971305757578</v>
      </c>
      <c r="AE157" s="9">
        <f t="shared" si="37"/>
        <v>0.32503161174997802</v>
      </c>
    </row>
    <row r="158" spans="7:31" x14ac:dyDescent="0.3">
      <c r="G158" s="9">
        <v>153</v>
      </c>
      <c r="H158" s="9">
        <f t="shared" si="38"/>
        <v>4.0675585284280737</v>
      </c>
      <c r="I158" s="9">
        <f t="shared" si="26"/>
        <v>0.78068549084282368</v>
      </c>
      <c r="J158" s="9">
        <f t="shared" si="27"/>
        <v>0.64628360242458915</v>
      </c>
      <c r="K158" s="9">
        <f t="shared" si="28"/>
        <v>0.72899049028968099</v>
      </c>
      <c r="L158" s="9">
        <f t="shared" si="29"/>
        <v>0.56335964753761014</v>
      </c>
      <c r="M158" s="9">
        <f t="shared" si="30"/>
        <v>7.9386271409124881E-2</v>
      </c>
      <c r="X158" s="9">
        <f t="shared" si="31"/>
        <v>0.6331403838128522</v>
      </c>
      <c r="Y158" s="9">
        <f t="shared" si="32"/>
        <v>0.79448617514044051</v>
      </c>
      <c r="Z158" s="9">
        <f t="shared" si="33"/>
        <v>0.56144896185414639</v>
      </c>
      <c r="AB158" s="9">
        <f t="shared" si="34"/>
        <v>0.32798183117114121</v>
      </c>
      <c r="AC158" s="9">
        <f t="shared" si="35"/>
        <v>0.32711277008939865</v>
      </c>
      <c r="AD158" s="9">
        <f t="shared" si="36"/>
        <v>0.37448590479047267</v>
      </c>
      <c r="AE158" s="9">
        <f t="shared" si="37"/>
        <v>0.32955554978470658</v>
      </c>
    </row>
    <row r="159" spans="7:31" x14ac:dyDescent="0.3">
      <c r="G159" s="9">
        <v>154</v>
      </c>
      <c r="H159" s="9">
        <f t="shared" si="38"/>
        <v>4.0745819397993115</v>
      </c>
      <c r="I159" s="9">
        <f t="shared" si="26"/>
        <v>0.7853909169385308</v>
      </c>
      <c r="J159" s="9">
        <f t="shared" si="27"/>
        <v>0.65053179650331805</v>
      </c>
      <c r="K159" s="9">
        <f t="shared" si="28"/>
        <v>0.71155122383839975</v>
      </c>
      <c r="L159" s="9">
        <f t="shared" si="29"/>
        <v>0.56596660411937483</v>
      </c>
      <c r="M159" s="9">
        <f t="shared" si="30"/>
        <v>7.9390475043067288E-2</v>
      </c>
      <c r="X159" s="9">
        <f t="shared" si="31"/>
        <v>0.638556710796783</v>
      </c>
      <c r="Y159" s="9">
        <f t="shared" si="32"/>
        <v>0.75399608919914674</v>
      </c>
      <c r="Z159" s="9">
        <f t="shared" si="33"/>
        <v>0.5634113290202114</v>
      </c>
      <c r="AB159" s="9">
        <f t="shared" si="34"/>
        <v>0.33244786028162404</v>
      </c>
      <c r="AC159" s="9">
        <f t="shared" si="35"/>
        <v>0.33255554209281668</v>
      </c>
      <c r="AD159" s="9">
        <f t="shared" si="36"/>
        <v>0.37843612387630815</v>
      </c>
      <c r="AE159" s="9">
        <f t="shared" si="37"/>
        <v>0.33410963518639392</v>
      </c>
    </row>
    <row r="160" spans="7:31" x14ac:dyDescent="0.3">
      <c r="G160" s="9">
        <v>155</v>
      </c>
      <c r="H160" s="9">
        <f t="shared" si="38"/>
        <v>4.0816053511705492</v>
      </c>
      <c r="I160" s="9">
        <f t="shared" si="26"/>
        <v>0.78994821727746967</v>
      </c>
      <c r="J160" s="9">
        <f t="shared" si="27"/>
        <v>0.65469319785066171</v>
      </c>
      <c r="K160" s="9">
        <f t="shared" si="28"/>
        <v>0.69738852100532878</v>
      </c>
      <c r="L160" s="9">
        <f t="shared" si="29"/>
        <v>0.56852546848765606</v>
      </c>
      <c r="M160" s="9">
        <f t="shared" si="30"/>
        <v>7.9394523591052701E-2</v>
      </c>
      <c r="X160" s="9">
        <f t="shared" si="31"/>
        <v>0.64362586809957012</v>
      </c>
      <c r="Y160" s="9">
        <f t="shared" si="32"/>
        <v>0.70503485202729044</v>
      </c>
      <c r="Z160" s="9">
        <f t="shared" si="33"/>
        <v>0.56530397477697114</v>
      </c>
      <c r="AB160" s="9">
        <f t="shared" si="34"/>
        <v>0.33695071132689308</v>
      </c>
      <c r="AC160" s="9">
        <f t="shared" si="35"/>
        <v>0.33768418737627198</v>
      </c>
      <c r="AD160" s="9">
        <f t="shared" si="36"/>
        <v>0.38239988063294272</v>
      </c>
      <c r="AE160" s="9">
        <f t="shared" si="37"/>
        <v>0.33869325140816953</v>
      </c>
    </row>
    <row r="161" spans="7:31" x14ac:dyDescent="0.3">
      <c r="G161" s="9">
        <v>156</v>
      </c>
      <c r="H161" s="9">
        <f t="shared" si="38"/>
        <v>4.088628762541787</v>
      </c>
      <c r="I161" s="9">
        <f t="shared" si="26"/>
        <v>0.79435449055075569</v>
      </c>
      <c r="J161" s="9">
        <f t="shared" si="27"/>
        <v>0.65876996611868599</v>
      </c>
      <c r="K161" s="9">
        <f t="shared" si="28"/>
        <v>0.68618387454287511</v>
      </c>
      <c r="L161" s="9">
        <f t="shared" si="29"/>
        <v>0.57103522561507825</v>
      </c>
      <c r="M161" s="9">
        <f t="shared" si="30"/>
        <v>7.9398417029230103E-2</v>
      </c>
      <c r="X161" s="9">
        <f t="shared" si="31"/>
        <v>0.64834785572121301</v>
      </c>
      <c r="Y161" s="9">
        <f t="shared" si="32"/>
        <v>0.65174319500141797</v>
      </c>
      <c r="Z161" s="9">
        <f t="shared" si="33"/>
        <v>0.56712689912442593</v>
      </c>
      <c r="AB161" s="9">
        <f t="shared" si="34"/>
        <v>0.34148794599146187</v>
      </c>
      <c r="AC161" s="9">
        <f t="shared" si="35"/>
        <v>0.34244010486958176</v>
      </c>
      <c r="AD161" s="9">
        <f t="shared" si="36"/>
        <v>0.38637668537823733</v>
      </c>
      <c r="AE161" s="9">
        <f t="shared" si="37"/>
        <v>0.34330579633483227</v>
      </c>
    </row>
    <row r="162" spans="7:31" x14ac:dyDescent="0.3">
      <c r="G162" s="9">
        <v>157</v>
      </c>
      <c r="H162" s="9">
        <f t="shared" si="38"/>
        <v>4.0956521739130247</v>
      </c>
      <c r="I162" s="9">
        <f t="shared" si="26"/>
        <v>0.79860692042981718</v>
      </c>
      <c r="J162" s="9">
        <f t="shared" si="27"/>
        <v>0.66276445085003166</v>
      </c>
      <c r="K162" s="9">
        <f t="shared" si="28"/>
        <v>0.67755640663473948</v>
      </c>
      <c r="L162" s="9">
        <f t="shared" si="29"/>
        <v>0.57349486846433895</v>
      </c>
      <c r="M162" s="9">
        <f t="shared" si="30"/>
        <v>7.9402155334657373E-2</v>
      </c>
      <c r="X162" s="9">
        <f t="shared" si="31"/>
        <v>0.65444790739731884</v>
      </c>
      <c r="Y162" s="9">
        <f t="shared" si="32"/>
        <v>0.65088599517455004</v>
      </c>
      <c r="Z162" s="9">
        <f t="shared" si="33"/>
        <v>0.56893583546592108</v>
      </c>
      <c r="AB162" s="9">
        <f t="shared" si="34"/>
        <v>0.34606144410554412</v>
      </c>
      <c r="AC162" s="9">
        <f t="shared" si="35"/>
        <v>0.34702199225046082</v>
      </c>
      <c r="AD162" s="9">
        <f t="shared" si="36"/>
        <v>0.39036610091284729</v>
      </c>
      <c r="AE162" s="9">
        <f t="shared" si="37"/>
        <v>0.34794668370037973</v>
      </c>
    </row>
    <row r="163" spans="7:31" x14ac:dyDescent="0.3">
      <c r="G163" s="9">
        <v>158</v>
      </c>
      <c r="H163" s="9">
        <f t="shared" si="38"/>
        <v>4.1026755852842625</v>
      </c>
      <c r="I163" s="9">
        <f t="shared" si="26"/>
        <v>0.80270277856352945</v>
      </c>
      <c r="J163" s="9">
        <f t="shared" si="27"/>
        <v>0.66667916654254866</v>
      </c>
      <c r="K163" s="9">
        <f t="shared" si="28"/>
        <v>0.67119729727612099</v>
      </c>
      <c r="L163" s="9">
        <f t="shared" si="29"/>
        <v>0.57590339857469575</v>
      </c>
      <c r="M163" s="9">
        <f t="shared" si="30"/>
        <v>7.9405738485301774E-2</v>
      </c>
      <c r="X163" s="9">
        <f t="shared" si="31"/>
        <v>0.66087134642862355</v>
      </c>
      <c r="Y163" s="9">
        <f t="shared" si="32"/>
        <v>0.63732206850183837</v>
      </c>
      <c r="Z163" s="9">
        <f t="shared" si="33"/>
        <v>0.57082630242864008</v>
      </c>
      <c r="AB163" s="9">
        <f t="shared" si="34"/>
        <v>0.35068068106440042</v>
      </c>
      <c r="AC163" s="9">
        <f t="shared" si="35"/>
        <v>0.35155323687941809</v>
      </c>
      <c r="AD163" s="9">
        <f t="shared" si="36"/>
        <v>0.39436865174973251</v>
      </c>
      <c r="AE163" s="9">
        <f t="shared" si="37"/>
        <v>0.35261534433483077</v>
      </c>
    </row>
    <row r="164" spans="7:31" x14ac:dyDescent="0.3">
      <c r="G164" s="9">
        <v>159</v>
      </c>
      <c r="H164" s="9">
        <f t="shared" si="38"/>
        <v>4.1096989966555002</v>
      </c>
      <c r="I164" s="9">
        <f t="shared" si="26"/>
        <v>0.80663942749321238</v>
      </c>
      <c r="J164" s="9">
        <f t="shared" si="27"/>
        <v>0.67051676658546522</v>
      </c>
      <c r="K164" s="9">
        <f t="shared" si="28"/>
        <v>0.66695924009434748</v>
      </c>
      <c r="L164" s="9">
        <f t="shared" si="29"/>
        <v>0.57825982665002307</v>
      </c>
      <c r="M164" s="9">
        <f t="shared" si="30"/>
        <v>7.940916646004012E-2</v>
      </c>
      <c r="X164" s="9">
        <f t="shared" si="31"/>
        <v>0.66695491240408311</v>
      </c>
      <c r="Y164" s="9">
        <f t="shared" si="32"/>
        <v>0.61105141498328319</v>
      </c>
      <c r="Z164" s="9">
        <f t="shared" si="33"/>
        <v>0.57264559545269367</v>
      </c>
      <c r="AB164" s="9">
        <f t="shared" si="34"/>
        <v>0.35534370256469572</v>
      </c>
      <c r="AC164" s="9">
        <f t="shared" si="35"/>
        <v>0.35594459418663382</v>
      </c>
      <c r="AD164" s="9">
        <f t="shared" si="36"/>
        <v>0.39838423017185531</v>
      </c>
      <c r="AE164" s="9">
        <f t="shared" si="37"/>
        <v>0.35731122723185721</v>
      </c>
    </row>
    <row r="165" spans="7:31" x14ac:dyDescent="0.3">
      <c r="G165" s="9">
        <v>160</v>
      </c>
      <c r="H165" s="9">
        <f t="shared" si="38"/>
        <v>4.1167224080267379</v>
      </c>
      <c r="I165" s="9">
        <f t="shared" si="26"/>
        <v>0.81041432348113807</v>
      </c>
      <c r="J165" s="9">
        <f t="shared" si="27"/>
        <v>0.67428001623157363</v>
      </c>
      <c r="K165" s="9">
        <f t="shared" si="28"/>
        <v>0.66488388074021443</v>
      </c>
      <c r="L165" s="9">
        <f t="shared" si="29"/>
        <v>0.58056317314809303</v>
      </c>
      <c r="M165" s="9">
        <f t="shared" si="30"/>
        <v>7.9412439238658844E-2</v>
      </c>
      <c r="X165" s="9">
        <f t="shared" si="31"/>
        <v>0.67343514647539027</v>
      </c>
      <c r="Y165" s="9">
        <f t="shared" si="32"/>
        <v>0.63240067299687563</v>
      </c>
      <c r="Z165" s="9">
        <f t="shared" si="33"/>
        <v>0.57439371453808152</v>
      </c>
      <c r="AB165" s="9">
        <f t="shared" si="34"/>
        <v>0.36005097425759003</v>
      </c>
      <c r="AC165" s="9">
        <f t="shared" si="35"/>
        <v>0.3602541286664489</v>
      </c>
      <c r="AD165" s="9">
        <f t="shared" si="36"/>
        <v>0.40241233629536566</v>
      </c>
      <c r="AE165" s="9">
        <f t="shared" si="37"/>
        <v>0.3620338004298761</v>
      </c>
    </row>
    <row r="166" spans="7:31" x14ac:dyDescent="0.3">
      <c r="G166" s="9">
        <v>161</v>
      </c>
      <c r="H166" s="9">
        <f t="shared" si="38"/>
        <v>4.1237458193979757</v>
      </c>
      <c r="I166" s="9">
        <f t="shared" si="26"/>
        <v>0.81402501924830251</v>
      </c>
      <c r="J166" s="9">
        <f t="shared" si="27"/>
        <v>0.67797176477706733</v>
      </c>
      <c r="K166" s="9">
        <f t="shared" si="28"/>
        <v>0.66516352875974927</v>
      </c>
      <c r="L166" s="9">
        <f t="shared" si="29"/>
        <v>0.58281246887074756</v>
      </c>
      <c r="M166" s="9">
        <f t="shared" si="30"/>
        <v>7.9415556801854387E-2</v>
      </c>
      <c r="X166" s="9">
        <f t="shared" si="31"/>
        <v>0.6795458128216092</v>
      </c>
      <c r="Y166" s="9">
        <f t="shared" si="32"/>
        <v>0.67135284160171083</v>
      </c>
      <c r="Z166" s="9">
        <f t="shared" si="33"/>
        <v>0.57607065968480409</v>
      </c>
      <c r="AB166" s="9">
        <f t="shared" si="34"/>
        <v>0.36480246148706763</v>
      </c>
      <c r="AC166" s="9">
        <f t="shared" si="35"/>
        <v>0.36483686557401002</v>
      </c>
      <c r="AD166" s="9">
        <f t="shared" si="36"/>
        <v>0.40645247023641345</v>
      </c>
      <c r="AE166" s="9">
        <f t="shared" si="37"/>
        <v>0.36678255170043089</v>
      </c>
    </row>
    <row r="167" spans="7:31" x14ac:dyDescent="0.3">
      <c r="G167" s="9">
        <v>162</v>
      </c>
      <c r="H167" s="9">
        <f t="shared" si="38"/>
        <v>4.1307692307692134</v>
      </c>
      <c r="I167" s="9">
        <f t="shared" si="26"/>
        <v>0.81746916661734037</v>
      </c>
      <c r="J167" s="9">
        <f t="shared" si="27"/>
        <v>0.68159491712663511</v>
      </c>
      <c r="K167" s="9">
        <f t="shared" si="28"/>
        <v>0.66804721138550138</v>
      </c>
      <c r="L167" s="9">
        <f t="shared" si="29"/>
        <v>0.58500675555460713</v>
      </c>
      <c r="M167" s="9">
        <f t="shared" si="30"/>
        <v>7.9418519131233212E-2</v>
      </c>
      <c r="X167" s="9">
        <f t="shared" si="31"/>
        <v>0.68528691144273923</v>
      </c>
      <c r="Y167" s="9">
        <f t="shared" si="32"/>
        <v>0.70289275287980413</v>
      </c>
      <c r="Z167" s="9">
        <f t="shared" si="33"/>
        <v>0.57767643089286091</v>
      </c>
      <c r="AB167" s="9">
        <f t="shared" si="34"/>
        <v>0.36959556862696563</v>
      </c>
      <c r="AC167" s="9">
        <f t="shared" si="35"/>
        <v>0.3696671499192869</v>
      </c>
      <c r="AD167" s="9">
        <f t="shared" si="36"/>
        <v>0.41050413211114878</v>
      </c>
      <c r="AE167" s="9">
        <f t="shared" si="37"/>
        <v>0.37155698903891299</v>
      </c>
    </row>
    <row r="168" spans="7:31" x14ac:dyDescent="0.3">
      <c r="G168" s="9">
        <v>163</v>
      </c>
      <c r="H168" s="9">
        <f t="shared" si="38"/>
        <v>4.1377926421404512</v>
      </c>
      <c r="I168" s="9">
        <f t="shared" si="26"/>
        <v>0.82074451905658785</v>
      </c>
      <c r="J168" s="9">
        <f t="shared" si="27"/>
        <v>0.68515240492620966</v>
      </c>
      <c r="K168" s="9">
        <f t="shared" si="28"/>
        <v>0.67371270865841748</v>
      </c>
      <c r="L168" s="9">
        <f t="shared" si="29"/>
        <v>0.58714508646195951</v>
      </c>
      <c r="M168" s="9">
        <f t="shared" si="30"/>
        <v>7.9421326209312179E-2</v>
      </c>
      <c r="X168" s="9">
        <f t="shared" si="31"/>
        <v>0.69065844233878038</v>
      </c>
      <c r="Y168" s="9">
        <f t="shared" si="32"/>
        <v>0.72702040683115532</v>
      </c>
      <c r="Z168" s="9">
        <f t="shared" si="33"/>
        <v>0.57921102816225212</v>
      </c>
      <c r="AB168" s="9">
        <f t="shared" si="34"/>
        <v>0.37442770005112136</v>
      </c>
      <c r="AC168" s="9">
        <f t="shared" si="35"/>
        <v>0.37469292236988488</v>
      </c>
      <c r="AD168" s="9">
        <f t="shared" si="36"/>
        <v>0.41456682203572148</v>
      </c>
      <c r="AE168" s="9">
        <f t="shared" si="37"/>
        <v>0.37635664095394994</v>
      </c>
    </row>
    <row r="169" spans="7:31" x14ac:dyDescent="0.3">
      <c r="G169" s="9">
        <v>164</v>
      </c>
      <c r="H169" s="9">
        <f t="shared" si="38"/>
        <v>4.1448160535116889</v>
      </c>
      <c r="I169" s="9">
        <f t="shared" si="26"/>
        <v>0.82384893412143823</v>
      </c>
      <c r="J169" s="9">
        <f t="shared" si="27"/>
        <v>0.68864715744932314</v>
      </c>
      <c r="K169" s="9">
        <f t="shared" si="28"/>
        <v>0.68213338303922988</v>
      </c>
      <c r="L169" s="9">
        <f t="shared" si="29"/>
        <v>0.58922652697147326</v>
      </c>
      <c r="M169" s="9">
        <f t="shared" si="30"/>
        <v>7.9423978019518532E-2</v>
      </c>
      <c r="X169" s="9">
        <f t="shared" si="31"/>
        <v>0.69566040550973318</v>
      </c>
      <c r="Y169" s="9">
        <f t="shared" si="32"/>
        <v>0.74373580345576429</v>
      </c>
      <c r="Z169" s="9">
        <f t="shared" si="33"/>
        <v>0.58067445149297769</v>
      </c>
      <c r="AB169" s="9">
        <f t="shared" si="34"/>
        <v>0.37929626013337175</v>
      </c>
      <c r="AC169" s="9">
        <f t="shared" si="35"/>
        <v>0.37986212359340832</v>
      </c>
      <c r="AD169" s="9">
        <f t="shared" si="36"/>
        <v>0.41864004012628109</v>
      </c>
      <c r="AE169" s="9">
        <f t="shared" si="37"/>
        <v>0.3811810565530705</v>
      </c>
    </row>
    <row r="170" spans="7:31" x14ac:dyDescent="0.3">
      <c r="G170" s="9">
        <v>165</v>
      </c>
      <c r="H170" s="9">
        <f t="shared" si="38"/>
        <v>4.1518394648829267</v>
      </c>
      <c r="I170" s="9">
        <f t="shared" si="26"/>
        <v>0.82678037578927566</v>
      </c>
      <c r="J170" s="9">
        <f t="shared" si="27"/>
        <v>0.69208207242528808</v>
      </c>
      <c r="K170" s="9">
        <f t="shared" si="28"/>
        <v>0.69297006277298989</v>
      </c>
      <c r="L170" s="9">
        <f t="shared" si="29"/>
        <v>0.591250155168356</v>
      </c>
      <c r="M170" s="9">
        <f t="shared" si="30"/>
        <v>7.9426474546190201E-2</v>
      </c>
      <c r="X170" s="9">
        <f t="shared" si="31"/>
        <v>0.70029280095559698</v>
      </c>
      <c r="Y170" s="9">
        <f t="shared" si="32"/>
        <v>0.75303894275363126</v>
      </c>
      <c r="Z170" s="9">
        <f t="shared" si="33"/>
        <v>0.58206670088503809</v>
      </c>
      <c r="AB170" s="9">
        <f t="shared" si="34"/>
        <v>0.38419865324755442</v>
      </c>
      <c r="AC170" s="9">
        <f t="shared" si="35"/>
        <v>0.38512269425746221</v>
      </c>
      <c r="AD170" s="9">
        <f t="shared" si="36"/>
        <v>0.42272328649897745</v>
      </c>
      <c r="AE170" s="9">
        <f t="shared" si="37"/>
        <v>0.38602980542357801</v>
      </c>
    </row>
    <row r="171" spans="7:31" x14ac:dyDescent="0.3">
      <c r="G171" s="9">
        <v>166</v>
      </c>
      <c r="H171" s="9">
        <f t="shared" si="38"/>
        <v>4.1588628762541644</v>
      </c>
      <c r="I171" s="9">
        <f t="shared" si="26"/>
        <v>0.82953691668442664</v>
      </c>
      <c r="J171" s="9">
        <f t="shared" si="27"/>
        <v>0.69545998699842126</v>
      </c>
      <c r="K171" s="9">
        <f t="shared" si="28"/>
        <v>0.7055137259104175</v>
      </c>
      <c r="L171" s="9">
        <f t="shared" si="29"/>
        <v>0.59321506243359645</v>
      </c>
      <c r="M171" s="9">
        <f t="shared" si="30"/>
        <v>7.9428815774575751E-2</v>
      </c>
      <c r="X171" s="9">
        <f t="shared" si="31"/>
        <v>0.70455562867637189</v>
      </c>
      <c r="Y171" s="9">
        <f t="shared" si="32"/>
        <v>0.75492982472475612</v>
      </c>
      <c r="Z171" s="9">
        <f t="shared" si="33"/>
        <v>0.58338777633843253</v>
      </c>
      <c r="AB171" s="9">
        <f t="shared" si="34"/>
        <v>0.38913228376750586</v>
      </c>
      <c r="AC171" s="9">
        <f t="shared" si="35"/>
        <v>0.39042257502965133</v>
      </c>
      <c r="AD171" s="9">
        <f t="shared" si="36"/>
        <v>0.42681606126996058</v>
      </c>
      <c r="AE171" s="9">
        <f t="shared" si="37"/>
        <v>0.39090247730888833</v>
      </c>
    </row>
    <row r="172" spans="7:31" x14ac:dyDescent="0.3">
      <c r="G172" s="9">
        <v>167</v>
      </c>
      <c r="H172" s="9">
        <f t="shared" si="38"/>
        <v>4.1658862876254021</v>
      </c>
      <c r="I172" s="9">
        <f t="shared" si="26"/>
        <v>0.83211674018972481</v>
      </c>
      <c r="J172" s="9">
        <f t="shared" si="27"/>
        <v>0.69878364900721013</v>
      </c>
      <c r="K172" s="9">
        <f t="shared" si="28"/>
        <v>0.71869516345994977</v>
      </c>
      <c r="L172" s="9">
        <f t="shared" si="29"/>
        <v>0.59512035403189278</v>
      </c>
      <c r="M172" s="9">
        <f t="shared" si="30"/>
        <v>7.9431001690834849E-2</v>
      </c>
      <c r="X172" s="9">
        <f t="shared" si="31"/>
        <v>0.70844888867205857</v>
      </c>
      <c r="Y172" s="9">
        <f t="shared" si="32"/>
        <v>0.74940844936913864</v>
      </c>
      <c r="Z172" s="9">
        <f t="shared" si="33"/>
        <v>0.58463767785316156</v>
      </c>
      <c r="AB172" s="9">
        <f t="shared" si="34"/>
        <v>0.39409455606706378</v>
      </c>
      <c r="AC172" s="9">
        <f t="shared" si="35"/>
        <v>0.39570970657758048</v>
      </c>
      <c r="AD172" s="9">
        <f t="shared" si="36"/>
        <v>0.43091786455538011</v>
      </c>
      <c r="AE172" s="9">
        <f t="shared" si="37"/>
        <v>0.39579868158191422</v>
      </c>
    </row>
    <row r="173" spans="7:31" x14ac:dyDescent="0.3">
      <c r="G173" s="9">
        <v>168</v>
      </c>
      <c r="H173" s="9">
        <f t="shared" si="38"/>
        <v>4.1729096989966399</v>
      </c>
      <c r="I173" s="9">
        <f t="shared" si="26"/>
        <v>0.83451814244145406</v>
      </c>
      <c r="J173" s="9">
        <f t="shared" si="27"/>
        <v>0.70205568877071156</v>
      </c>
      <c r="K173" s="9">
        <f t="shared" si="28"/>
        <v>0.73116503333386018</v>
      </c>
      <c r="L173" s="9">
        <f t="shared" si="29"/>
        <v>0.59696514969789138</v>
      </c>
      <c r="M173" s="9">
        <f t="shared" si="30"/>
        <v>7.9433032282038185E-2</v>
      </c>
      <c r="X173" s="9">
        <f t="shared" si="31"/>
        <v>0.71197258094265636</v>
      </c>
      <c r="Y173" s="9">
        <f t="shared" si="32"/>
        <v>0.73647481668677917</v>
      </c>
      <c r="Z173" s="9">
        <f t="shared" si="33"/>
        <v>0.58581640542922497</v>
      </c>
      <c r="AB173" s="9">
        <f t="shared" si="34"/>
        <v>0.39908287452006497</v>
      </c>
      <c r="AC173" s="9">
        <f t="shared" si="35"/>
        <v>0.40093202956885471</v>
      </c>
      <c r="AD173" s="9">
        <f t="shared" si="36"/>
        <v>0.43502819647138646</v>
      </c>
      <c r="AE173" s="9">
        <f t="shared" si="37"/>
        <v>0.40071804651840476</v>
      </c>
    </row>
    <row r="174" spans="7:31" x14ac:dyDescent="0.3">
      <c r="G174" s="9">
        <v>169</v>
      </c>
      <c r="H174" s="9">
        <f t="shared" si="38"/>
        <v>4.1799331103678776</v>
      </c>
      <c r="I174" s="9">
        <f t="shared" si="26"/>
        <v>0.83673953420459946</v>
      </c>
      <c r="J174" s="9">
        <f t="shared" si="27"/>
        <v>0.70527859156656381</v>
      </c>
      <c r="K174" s="9">
        <f t="shared" si="28"/>
        <v>0.74143420754825973</v>
      </c>
      <c r="L174" s="9">
        <f t="shared" si="29"/>
        <v>0.59874858422033084</v>
      </c>
      <c r="M174" s="9">
        <f t="shared" si="30"/>
        <v>7.943490753616754E-2</v>
      </c>
      <c r="X174" s="9">
        <f t="shared" si="31"/>
        <v>0.71512670548816526</v>
      </c>
      <c r="Y174" s="9">
        <f t="shared" si="32"/>
        <v>0.7161289266776778</v>
      </c>
      <c r="Z174" s="9">
        <f t="shared" si="33"/>
        <v>0.58692395906662298</v>
      </c>
      <c r="AB174" s="9">
        <f t="shared" si="34"/>
        <v>0.40409464350034718</v>
      </c>
      <c r="AC174" s="9">
        <f t="shared" si="35"/>
        <v>0.40603748467107847</v>
      </c>
      <c r="AD174" s="9">
        <f t="shared" si="36"/>
        <v>0.43914655713412865</v>
      </c>
      <c r="AE174" s="9">
        <f t="shared" si="37"/>
        <v>0.40566021837445171</v>
      </c>
    </row>
    <row r="175" spans="7:31" x14ac:dyDescent="0.3">
      <c r="G175" s="9">
        <v>170</v>
      </c>
      <c r="H175" s="9">
        <f t="shared" si="38"/>
        <v>4.1869565217391154</v>
      </c>
      <c r="I175" s="9">
        <f t="shared" si="26"/>
        <v>0.83877944262552073</v>
      </c>
      <c r="J175" s="9">
        <f t="shared" si="27"/>
        <v>0.70845467098081416</v>
      </c>
      <c r="K175" s="9">
        <f t="shared" si="28"/>
        <v>0.74805264770542512</v>
      </c>
      <c r="L175" s="9">
        <f t="shared" si="29"/>
        <v>0.60046980802369265</v>
      </c>
      <c r="M175" s="9">
        <f t="shared" si="30"/>
        <v>7.9436627442116048E-2</v>
      </c>
      <c r="X175" s="9">
        <f t="shared" si="31"/>
        <v>0.71791126230858548</v>
      </c>
      <c r="Y175" s="9">
        <f t="shared" si="32"/>
        <v>0.68837077934183422</v>
      </c>
      <c r="Z175" s="9">
        <f t="shared" si="33"/>
        <v>0.58796033876535536</v>
      </c>
      <c r="AB175" s="9">
        <f t="shared" si="34"/>
        <v>0.40912726738174676</v>
      </c>
      <c r="AC175" s="9">
        <f t="shared" si="35"/>
        <v>0.41097401255185673</v>
      </c>
      <c r="AD175" s="9">
        <f t="shared" si="36"/>
        <v>0.44327244665975718</v>
      </c>
      <c r="AE175" s="9">
        <f t="shared" si="37"/>
        <v>0.41062486027365408</v>
      </c>
    </row>
    <row r="176" spans="7:31" x14ac:dyDescent="0.3">
      <c r="G176" s="9">
        <v>171</v>
      </c>
      <c r="H176" s="9">
        <f t="shared" si="38"/>
        <v>4.1939799331103531</v>
      </c>
      <c r="I176" s="9">
        <f t="shared" si="26"/>
        <v>0.84063651285933882</v>
      </c>
      <c r="J176" s="9">
        <f t="shared" si="27"/>
        <v>0.71158604330433217</v>
      </c>
      <c r="K176" s="9">
        <f t="shared" si="28"/>
        <v>0.74979743566627366</v>
      </c>
      <c r="L176" s="9">
        <f t="shared" si="29"/>
        <v>0.60212798774694809</v>
      </c>
      <c r="M176" s="9">
        <f t="shared" si="30"/>
        <v>7.943819198968835E-2</v>
      </c>
      <c r="X176" s="9">
        <f t="shared" si="31"/>
        <v>0.72224267709198897</v>
      </c>
      <c r="Y176" s="9">
        <f t="shared" si="32"/>
        <v>0.68024238798598291</v>
      </c>
      <c r="Z176" s="9">
        <f t="shared" si="33"/>
        <v>0.5889255445254219</v>
      </c>
      <c r="AB176" s="9">
        <f t="shared" si="34"/>
        <v>0.4141813404707605</v>
      </c>
      <c r="AC176" s="9">
        <f t="shared" si="35"/>
        <v>0.41576844240204491</v>
      </c>
      <c r="AD176" s="9">
        <f t="shared" si="36"/>
        <v>0.44740536516442148</v>
      </c>
      <c r="AE176" s="9">
        <f t="shared" si="37"/>
        <v>0.41561165091068086</v>
      </c>
    </row>
    <row r="177" spans="7:31" x14ac:dyDescent="0.3">
      <c r="G177" s="9">
        <v>172</v>
      </c>
      <c r="H177" s="9">
        <f t="shared" si="38"/>
        <v>4.2010033444815909</v>
      </c>
      <c r="I177" s="9">
        <f t="shared" si="26"/>
        <v>0.84230950956952344</v>
      </c>
      <c r="J177" s="9">
        <f t="shared" si="27"/>
        <v>0.71467460314394471</v>
      </c>
      <c r="K177" s="9">
        <f t="shared" si="28"/>
        <v>0.74583846396333231</v>
      </c>
      <c r="L177" s="9">
        <f t="shared" si="29"/>
        <v>0.60372230681898431</v>
      </c>
      <c r="M177" s="9">
        <f t="shared" si="30"/>
        <v>7.9439601169600443E-2</v>
      </c>
      <c r="X177" s="9">
        <f t="shared" si="31"/>
        <v>0.72829441525116256</v>
      </c>
      <c r="Y177" s="9">
        <f t="shared" si="32"/>
        <v>0.66856934328436501</v>
      </c>
      <c r="Z177" s="9">
        <f t="shared" si="33"/>
        <v>0.58981957634682303</v>
      </c>
      <c r="AB177" s="9">
        <f t="shared" si="34"/>
        <v>0.41927544890038093</v>
      </c>
      <c r="AC177" s="9">
        <f t="shared" si="35"/>
        <v>0.42051065001319032</v>
      </c>
      <c r="AD177" s="9">
        <f t="shared" si="36"/>
        <v>0.4515448127642715</v>
      </c>
      <c r="AE177" s="9">
        <f t="shared" si="37"/>
        <v>0.42062028307918381</v>
      </c>
    </row>
    <row r="178" spans="7:31" x14ac:dyDescent="0.3">
      <c r="G178" s="9">
        <v>173</v>
      </c>
      <c r="H178" s="9">
        <f t="shared" si="38"/>
        <v>4.2080267558528286</v>
      </c>
      <c r="I178" s="9">
        <f t="shared" si="26"/>
        <v>0.84379731829735183</v>
      </c>
      <c r="J178" s="9">
        <f t="shared" si="27"/>
        <v>0.71772200040862588</v>
      </c>
      <c r="K178" s="9">
        <f t="shared" si="28"/>
        <v>0.73585401847017295</v>
      </c>
      <c r="L178" s="9">
        <f t="shared" si="29"/>
        <v>0.60525196603028553</v>
      </c>
      <c r="M178" s="9">
        <f t="shared" si="30"/>
        <v>7.9440854973480093E-2</v>
      </c>
      <c r="X178" s="9">
        <f t="shared" si="31"/>
        <v>0.7339205905753855</v>
      </c>
      <c r="Y178" s="9">
        <f t="shared" si="32"/>
        <v>0.6473662534483644</v>
      </c>
      <c r="Z178" s="9">
        <f t="shared" si="33"/>
        <v>0.59064243422955898</v>
      </c>
      <c r="AB178" s="9">
        <f t="shared" si="34"/>
        <v>0.42441056672517696</v>
      </c>
      <c r="AC178" s="9">
        <f t="shared" si="35"/>
        <v>0.42513740631575864</v>
      </c>
      <c r="AD178" s="9">
        <f t="shared" si="36"/>
        <v>0.4556902895754571</v>
      </c>
      <c r="AE178" s="9">
        <f t="shared" si="37"/>
        <v>0.42565046203314866</v>
      </c>
    </row>
    <row r="179" spans="7:31" x14ac:dyDescent="0.3">
      <c r="G179" s="9">
        <v>174</v>
      </c>
      <c r="H179" s="9">
        <f t="shared" si="38"/>
        <v>4.2150501672240663</v>
      </c>
      <c r="I179" s="9">
        <f t="shared" si="26"/>
        <v>0.84509894669911978</v>
      </c>
      <c r="J179" s="9">
        <f t="shared" si="27"/>
        <v>0.72072961882216435</v>
      </c>
      <c r="K179" s="9">
        <f t="shared" si="28"/>
        <v>0.72007730401266856</v>
      </c>
      <c r="L179" s="9">
        <f t="shared" si="29"/>
        <v>0.60671618410044192</v>
      </c>
      <c r="M179" s="9">
        <f t="shared" si="30"/>
        <v>7.9441953393866657E-2</v>
      </c>
      <c r="X179" s="9">
        <f t="shared" si="31"/>
        <v>0.73978456937852011</v>
      </c>
      <c r="Y179" s="9">
        <f t="shared" si="32"/>
        <v>0.64034928049550033</v>
      </c>
      <c r="Z179" s="9">
        <f t="shared" si="33"/>
        <v>0.59139411817362864</v>
      </c>
      <c r="AB179" s="9">
        <f t="shared" si="34"/>
        <v>0.42958559367845017</v>
      </c>
      <c r="AC179" s="9">
        <f t="shared" si="35"/>
        <v>0.42962009464943973</v>
      </c>
      <c r="AD179" s="9">
        <f t="shared" si="36"/>
        <v>0.45984129571412824</v>
      </c>
      <c r="AE179" s="9">
        <f t="shared" si="37"/>
        <v>0.43070190369188954</v>
      </c>
    </row>
    <row r="180" spans="7:31" x14ac:dyDescent="0.3">
      <c r="G180" s="9">
        <v>175</v>
      </c>
      <c r="H180" s="9">
        <f t="shared" si="38"/>
        <v>4.2220735785953041</v>
      </c>
      <c r="I180" s="9">
        <f t="shared" si="26"/>
        <v>0.84621352564917796</v>
      </c>
      <c r="J180" s="9">
        <f t="shared" si="27"/>
        <v>0.72369855610378853</v>
      </c>
      <c r="K180" s="9">
        <f t="shared" si="28"/>
        <v>0.69926714560840963</v>
      </c>
      <c r="L180" s="9">
        <f t="shared" si="29"/>
        <v>0.60811419824104629</v>
      </c>
      <c r="M180" s="9">
        <f t="shared" si="30"/>
        <v>7.9442896424211179E-2</v>
      </c>
      <c r="X180" s="9">
        <f t="shared" si="31"/>
        <v>0.74538648015513631</v>
      </c>
      <c r="Y180" s="9">
        <f t="shared" si="32"/>
        <v>0.6537115130913399</v>
      </c>
      <c r="Z180" s="9">
        <f t="shared" si="33"/>
        <v>0.59207462817903367</v>
      </c>
      <c r="AB180" s="9">
        <f t="shared" si="34"/>
        <v>0.43480131981784026</v>
      </c>
      <c r="AC180" s="9">
        <f t="shared" si="35"/>
        <v>0.43416817381955769</v>
      </c>
      <c r="AD180" s="9">
        <f t="shared" si="36"/>
        <v>0.46399733129643472</v>
      </c>
      <c r="AE180" s="9">
        <f t="shared" si="37"/>
        <v>0.43577433269990523</v>
      </c>
    </row>
    <row r="181" spans="7:31" x14ac:dyDescent="0.3">
      <c r="G181" s="9">
        <v>176</v>
      </c>
      <c r="H181" s="9">
        <f t="shared" si="38"/>
        <v>4.2290969899665418</v>
      </c>
      <c r="I181" s="9">
        <f t="shared" si="26"/>
        <v>0.8471403102070787</v>
      </c>
      <c r="J181" s="9">
        <f t="shared" si="27"/>
        <v>0.72662960594728709</v>
      </c>
      <c r="K181" s="9">
        <f t="shared" si="28"/>
        <v>0.67460929892021104</v>
      </c>
      <c r="L181" s="9">
        <f t="shared" si="29"/>
        <v>0.60944526471353866</v>
      </c>
      <c r="M181" s="9">
        <f t="shared" si="30"/>
        <v>7.9443684058876834E-2</v>
      </c>
      <c r="X181" s="9">
        <f t="shared" si="31"/>
        <v>0.75057402711877419</v>
      </c>
      <c r="Y181" s="9">
        <f t="shared" si="32"/>
        <v>0.66072038226425767</v>
      </c>
      <c r="Z181" s="9">
        <f t="shared" si="33"/>
        <v>0.59268396424577208</v>
      </c>
      <c r="AB181" s="9">
        <f t="shared" si="34"/>
        <v>0.44005493535732176</v>
      </c>
      <c r="AC181" s="9">
        <f t="shared" si="35"/>
        <v>0.43878779030357939</v>
      </c>
      <c r="AD181" s="9">
        <f t="shared" si="36"/>
        <v>0.46815789643852623</v>
      </c>
      <c r="AE181" s="9">
        <f t="shared" si="37"/>
        <v>0.44086748035377804</v>
      </c>
    </row>
    <row r="182" spans="7:31" x14ac:dyDescent="0.3">
      <c r="G182" s="9">
        <v>177</v>
      </c>
      <c r="H182" s="9">
        <f t="shared" si="38"/>
        <v>4.2361204013377796</v>
      </c>
      <c r="I182" s="9">
        <f t="shared" si="26"/>
        <v>0.84787868044732628</v>
      </c>
      <c r="J182" s="9">
        <f t="shared" si="27"/>
        <v>0.72952324191737905</v>
      </c>
      <c r="K182" s="9">
        <f t="shared" si="28"/>
        <v>0.6475665255929921</v>
      </c>
      <c r="L182" s="9">
        <f t="shared" si="29"/>
        <v>0.61070865938154473</v>
      </c>
      <c r="M182" s="9">
        <f t="shared" si="30"/>
        <v>7.9444316293138292E-2</v>
      </c>
      <c r="X182" s="9">
        <f t="shared" si="31"/>
        <v>0.75534721026943352</v>
      </c>
      <c r="Y182" s="9">
        <f t="shared" si="32"/>
        <v>0.66137588801425351</v>
      </c>
      <c r="Z182" s="9">
        <f t="shared" si="33"/>
        <v>0.59322212637384586</v>
      </c>
      <c r="AB182" s="9">
        <f t="shared" si="34"/>
        <v>0.44534353004937843</v>
      </c>
      <c r="AC182" s="9">
        <f t="shared" si="35"/>
        <v>0.44343432181659431</v>
      </c>
      <c r="AD182" s="9">
        <f t="shared" si="36"/>
        <v>0.47232249125655257</v>
      </c>
      <c r="AE182" s="9">
        <f t="shared" si="37"/>
        <v>0.44598108240917411</v>
      </c>
    </row>
    <row r="183" spans="7:31" x14ac:dyDescent="0.3">
      <c r="G183" s="9">
        <v>178</v>
      </c>
      <c r="H183" s="9">
        <f t="shared" si="38"/>
        <v>4.2431438127090173</v>
      </c>
      <c r="I183" s="9">
        <f t="shared" si="26"/>
        <v>0.84842814215043816</v>
      </c>
      <c r="J183" s="9">
        <f t="shared" si="27"/>
        <v>0.73237960336943031</v>
      </c>
      <c r="K183" s="9">
        <f t="shared" si="28"/>
        <v>0.61970367034537788</v>
      </c>
      <c r="L183" s="9">
        <f t="shared" si="29"/>
        <v>0.61190367825725955</v>
      </c>
      <c r="M183" s="9">
        <f t="shared" si="30"/>
        <v>7.9444793123182506E-2</v>
      </c>
      <c r="X183" s="9">
        <f t="shared" si="31"/>
        <v>0.75970602960711475</v>
      </c>
      <c r="Y183" s="9">
        <f t="shared" si="32"/>
        <v>0.65567803034132788</v>
      </c>
      <c r="Z183" s="9">
        <f t="shared" si="33"/>
        <v>0.59368911456325379</v>
      </c>
      <c r="AB183" s="9">
        <f t="shared" si="34"/>
        <v>0.4506641936464944</v>
      </c>
      <c r="AC183" s="9">
        <f t="shared" si="35"/>
        <v>0.44806314607369285</v>
      </c>
      <c r="AD183" s="9">
        <f t="shared" si="36"/>
        <v>0.47649061586666408</v>
      </c>
      <c r="AE183" s="9">
        <f t="shared" si="37"/>
        <v>0.45111487678178441</v>
      </c>
    </row>
    <row r="184" spans="7:31" x14ac:dyDescent="0.3">
      <c r="G184" s="9">
        <v>179</v>
      </c>
      <c r="H184" s="9">
        <f t="shared" si="38"/>
        <v>4.250167224080255</v>
      </c>
      <c r="I184" s="9">
        <f t="shared" si="26"/>
        <v>0.84878832735423726</v>
      </c>
      <c r="J184" s="9">
        <f t="shared" si="27"/>
        <v>0.73519848348531536</v>
      </c>
      <c r="K184" s="9">
        <f t="shared" si="28"/>
        <v>0.59251700271869312</v>
      </c>
      <c r="L184" s="9">
        <f t="shared" si="29"/>
        <v>0.61302963804140997</v>
      </c>
      <c r="M184" s="9">
        <f t="shared" si="30"/>
        <v>7.9445114546108156E-2</v>
      </c>
      <c r="X184" s="9">
        <f t="shared" si="31"/>
        <v>0.76365048513181766</v>
      </c>
      <c r="Y184" s="9">
        <f t="shared" si="32"/>
        <v>0.6436268092454801</v>
      </c>
      <c r="Z184" s="9">
        <f t="shared" si="33"/>
        <v>0.59408492881399599</v>
      </c>
      <c r="AB184" s="9">
        <f t="shared" si="34"/>
        <v>0.45601401590115404</v>
      </c>
      <c r="AC184" s="9">
        <f t="shared" si="35"/>
        <v>0.45262964078996437</v>
      </c>
      <c r="AD184" s="9">
        <f t="shared" si="36"/>
        <v>0.48066177038500996</v>
      </c>
      <c r="AE184" s="9">
        <f t="shared" si="37"/>
        <v>0.45626860115675943</v>
      </c>
    </row>
    <row r="185" spans="7:31" x14ac:dyDescent="0.3">
      <c r="G185" s="9">
        <v>180</v>
      </c>
      <c r="H185" s="9">
        <f t="shared" si="38"/>
        <v>4.2571906354514928</v>
      </c>
      <c r="I185" s="9">
        <f t="shared" si="26"/>
        <v>0.8489589947645132</v>
      </c>
      <c r="J185" s="9">
        <f t="shared" si="27"/>
        <v>0.73797931950424744</v>
      </c>
      <c r="K185" s="9">
        <f t="shared" si="28"/>
        <v>0.56729464555967024</v>
      </c>
      <c r="L185" s="9">
        <f t="shared" si="29"/>
        <v>0.61408587665633085</v>
      </c>
      <c r="M185" s="9">
        <f t="shared" si="30"/>
        <v>7.9445280559926001E-2</v>
      </c>
      <c r="X185" s="9">
        <f t="shared" si="31"/>
        <v>0.76718057684354224</v>
      </c>
      <c r="Y185" s="9">
        <f t="shared" si="32"/>
        <v>0.62522222472671063</v>
      </c>
      <c r="Z185" s="9">
        <f t="shared" si="33"/>
        <v>0.59440956912607257</v>
      </c>
      <c r="AB185" s="9">
        <f t="shared" si="34"/>
        <v>0.4613900865658413</v>
      </c>
      <c r="AC185" s="9">
        <f t="shared" si="35"/>
        <v>0.45708918368049906</v>
      </c>
      <c r="AD185" s="9">
        <f t="shared" si="36"/>
        <v>0.48483545492774044</v>
      </c>
      <c r="AE185" s="9">
        <f t="shared" si="37"/>
        <v>0.46144199052177631</v>
      </c>
    </row>
    <row r="186" spans="7:31" x14ac:dyDescent="0.3">
      <c r="G186" s="9">
        <v>181</v>
      </c>
      <c r="H186" s="9">
        <f t="shared" si="38"/>
        <v>4.2642140468227305</v>
      </c>
      <c r="I186" s="9">
        <f t="shared" si="26"/>
        <v>0.8489400300244162</v>
      </c>
      <c r="J186" s="9">
        <f t="shared" si="27"/>
        <v>0.74072118521296437</v>
      </c>
      <c r="K186" s="9">
        <f t="shared" si="28"/>
        <v>0.54502764697820949</v>
      </c>
      <c r="L186" s="9">
        <f t="shared" si="29"/>
        <v>0.61507175377168344</v>
      </c>
      <c r="M186" s="9">
        <f t="shared" si="30"/>
        <v>7.9445291163558959E-2</v>
      </c>
      <c r="X186" s="9">
        <f t="shared" si="31"/>
        <v>0.77029630474228861</v>
      </c>
      <c r="Y186" s="9">
        <f t="shared" si="32"/>
        <v>0.60046427678501946</v>
      </c>
      <c r="Z186" s="9">
        <f t="shared" si="33"/>
        <v>0.59466303549948352</v>
      </c>
      <c r="AB186" s="9">
        <f t="shared" si="34"/>
        <v>0.46678949539304015</v>
      </c>
      <c r="AC186" s="9">
        <f t="shared" si="35"/>
        <v>0.46139715246038654</v>
      </c>
      <c r="AD186" s="9">
        <f t="shared" si="36"/>
        <v>0.48901116961100494</v>
      </c>
      <c r="AE186" s="9">
        <f t="shared" si="37"/>
        <v>0.4666347746393989</v>
      </c>
    </row>
    <row r="187" spans="7:31" x14ac:dyDescent="0.3">
      <c r="G187" s="9">
        <v>182</v>
      </c>
      <c r="H187" s="9">
        <f t="shared" si="38"/>
        <v>4.2712374581939683</v>
      </c>
      <c r="I187" s="9">
        <f t="shared" si="26"/>
        <v>0.84873144584215499</v>
      </c>
      <c r="J187" s="9">
        <f t="shared" si="27"/>
        <v>0.74342278574477205</v>
      </c>
      <c r="K187" s="9">
        <f t="shared" si="28"/>
        <v>0.52638070428384287</v>
      </c>
      <c r="L187" s="9">
        <f t="shared" si="29"/>
        <v>0.61598665132233976</v>
      </c>
      <c r="M187" s="9">
        <f t="shared" si="30"/>
        <v>7.9445146356841745E-2</v>
      </c>
      <c r="X187" s="9">
        <f t="shared" si="31"/>
        <v>0.77299766882805676</v>
      </c>
      <c r="Y187" s="9">
        <f t="shared" si="32"/>
        <v>0.56935296542040648</v>
      </c>
      <c r="Z187" s="9">
        <f t="shared" si="33"/>
        <v>0.59484532793422928</v>
      </c>
      <c r="AB187" s="9">
        <f t="shared" si="34"/>
        <v>0.4722093321352348</v>
      </c>
      <c r="AC187" s="9">
        <f t="shared" si="35"/>
        <v>0.4655089248447169</v>
      </c>
      <c r="AD187" s="9">
        <f t="shared" si="36"/>
        <v>0.49318841455095402</v>
      </c>
      <c r="AE187" s="9">
        <f t="shared" si="37"/>
        <v>0.47184667547477266</v>
      </c>
    </row>
    <row r="188" spans="7:31" x14ac:dyDescent="0.3">
      <c r="G188" s="9">
        <v>183</v>
      </c>
      <c r="H188" s="9">
        <f t="shared" si="38"/>
        <v>4.278260869565206</v>
      </c>
      <c r="I188" s="9">
        <f t="shared" si="26"/>
        <v>0.84833338197680652</v>
      </c>
      <c r="J188" s="9">
        <f t="shared" si="27"/>
        <v>0.74608245472180268</v>
      </c>
      <c r="K188" s="9">
        <f t="shared" si="28"/>
        <v>0.51171983582315617</v>
      </c>
      <c r="L188" s="9">
        <f t="shared" si="29"/>
        <v>0.61682997401794937</v>
      </c>
      <c r="M188" s="9">
        <f t="shared" si="30"/>
        <v>7.9444846140521275E-2</v>
      </c>
      <c r="X188" s="9">
        <f t="shared" si="31"/>
        <v>0.77528466910084681</v>
      </c>
      <c r="Y188" s="9">
        <f t="shared" si="32"/>
        <v>0.53188829063287169</v>
      </c>
      <c r="Z188" s="9">
        <f t="shared" si="33"/>
        <v>0.59495644643030954</v>
      </c>
      <c r="AB188" s="9">
        <f t="shared" si="34"/>
        <v>0.4776466865449091</v>
      </c>
      <c r="AC188" s="9">
        <f t="shared" si="35"/>
        <v>0.46937987854857988</v>
      </c>
      <c r="AD188" s="9">
        <f t="shared" si="36"/>
        <v>0.49736668986373678</v>
      </c>
      <c r="AE188" s="9">
        <f t="shared" si="37"/>
        <v>0.47707740459500619</v>
      </c>
    </row>
    <row r="189" spans="7:31" x14ac:dyDescent="0.3">
      <c r="G189" s="9">
        <v>184</v>
      </c>
      <c r="H189" s="9">
        <f t="shared" si="38"/>
        <v>4.2852842809364438</v>
      </c>
      <c r="I189" s="9">
        <f t="shared" si="26"/>
        <v>0.84774610508225334</v>
      </c>
      <c r="J189" s="9">
        <f t="shared" si="27"/>
        <v>0.74869815375949633</v>
      </c>
      <c r="K189" s="9">
        <f t="shared" si="28"/>
        <v>0.50118369489866765</v>
      </c>
      <c r="L189" s="9">
        <f t="shared" si="29"/>
        <v>0.61760114984370695</v>
      </c>
      <c r="M189" s="9">
        <f t="shared" si="30"/>
        <v>7.9444390516256333E-2</v>
      </c>
      <c r="X189" s="9">
        <f t="shared" si="31"/>
        <v>0.77715730556065821</v>
      </c>
      <c r="Y189" s="9">
        <f t="shared" si="32"/>
        <v>0.48807025242241492</v>
      </c>
      <c r="Z189" s="9">
        <f t="shared" si="33"/>
        <v>0.59499639098772394</v>
      </c>
      <c r="AB189" s="9">
        <f t="shared" si="34"/>
        <v>0.48309864837454769</v>
      </c>
      <c r="AC189" s="9">
        <f t="shared" si="35"/>
        <v>0.472965391287065</v>
      </c>
      <c r="AD189" s="9">
        <f t="shared" si="36"/>
        <v>0.50154549566550355</v>
      </c>
      <c r="AE189" s="9">
        <f t="shared" si="37"/>
        <v>0.48232666055677015</v>
      </c>
    </row>
    <row r="190" spans="7:31" x14ac:dyDescent="0.3">
      <c r="G190" s="9">
        <v>185</v>
      </c>
      <c r="H190" s="9">
        <f t="shared" si="38"/>
        <v>4.2923076923076815</v>
      </c>
      <c r="I190" s="9">
        <f t="shared" si="26"/>
        <v>0.84697000840949788</v>
      </c>
      <c r="J190" s="9">
        <f t="shared" si="27"/>
        <v>0.75126747433689578</v>
      </c>
      <c r="K190" s="9">
        <f t="shared" si="28"/>
        <v>0.49477772655100394</v>
      </c>
      <c r="L190" s="9">
        <f t="shared" si="29"/>
        <v>0.61829963055182646</v>
      </c>
      <c r="M190" s="9">
        <f t="shared" si="30"/>
        <v>7.9443779486617974E-2</v>
      </c>
      <c r="X190" s="9">
        <f t="shared" si="31"/>
        <v>0.77899729320382916</v>
      </c>
      <c r="Y190" s="9">
        <f t="shared" si="32"/>
        <v>0.47663972083697698</v>
      </c>
      <c r="Z190" s="9">
        <f t="shared" si="33"/>
        <v>0.59496516160647273</v>
      </c>
      <c r="AB190" s="9">
        <f t="shared" si="34"/>
        <v>0.48856262306801485</v>
      </c>
      <c r="AC190" s="9">
        <f t="shared" si="35"/>
        <v>0.47630097157149004</v>
      </c>
      <c r="AD190" s="9">
        <f t="shared" si="36"/>
        <v>0.50572433207240419</v>
      </c>
      <c r="AE190" s="9">
        <f t="shared" si="37"/>
        <v>0.48759412629872606</v>
      </c>
    </row>
    <row r="191" spans="7:31" x14ac:dyDescent="0.3">
      <c r="G191" s="9">
        <v>186</v>
      </c>
      <c r="H191" s="9">
        <f t="shared" si="38"/>
        <v>4.2993311036789192</v>
      </c>
      <c r="I191" s="9">
        <f t="shared" si="26"/>
        <v>0.84600561136781482</v>
      </c>
      <c r="J191" s="9">
        <f t="shared" si="27"/>
        <v>0.75378764202097304</v>
      </c>
      <c r="K191" s="9">
        <f t="shared" si="28"/>
        <v>0.49246733560394618</v>
      </c>
      <c r="L191" s="9">
        <f t="shared" si="29"/>
        <v>0.61892489214323765</v>
      </c>
      <c r="M191" s="9">
        <f t="shared" si="30"/>
        <v>7.9443013055089079E-2</v>
      </c>
      <c r="X191" s="9">
        <f t="shared" si="31"/>
        <v>0.78164906162086256</v>
      </c>
      <c r="Y191" s="9">
        <f t="shared" si="32"/>
        <v>0.4829426607406852</v>
      </c>
      <c r="Z191" s="9">
        <f t="shared" si="33"/>
        <v>0.59486275828655566</v>
      </c>
      <c r="AB191" s="9">
        <f t="shared" si="34"/>
        <v>0.49404340937534225</v>
      </c>
      <c r="AC191" s="9">
        <f t="shared" si="35"/>
        <v>0.4796769400162666</v>
      </c>
      <c r="AD191" s="9">
        <f t="shared" si="36"/>
        <v>0.50990269920058773</v>
      </c>
      <c r="AE191" s="9">
        <f t="shared" si="37"/>
        <v>0.49287946655536952</v>
      </c>
    </row>
    <row r="192" spans="7:31" x14ac:dyDescent="0.3">
      <c r="G192" s="9">
        <v>187</v>
      </c>
      <c r="H192" s="9">
        <f t="shared" si="38"/>
        <v>4.306354515050157</v>
      </c>
      <c r="I192" s="9">
        <f t="shared" si="26"/>
        <v>0.84485355894542991</v>
      </c>
      <c r="J192" s="9">
        <f t="shared" si="27"/>
        <v>0.7562555230180027</v>
      </c>
      <c r="K192" s="9">
        <f t="shared" si="28"/>
        <v>0.49424813431144982</v>
      </c>
      <c r="L192" s="9">
        <f t="shared" si="29"/>
        <v>0.6194764353389971</v>
      </c>
      <c r="M192" s="9">
        <f t="shared" si="30"/>
        <v>7.9442091226064437E-2</v>
      </c>
      <c r="X192" s="9">
        <f t="shared" si="31"/>
        <v>0.78386406818097265</v>
      </c>
      <c r="Y192" s="9">
        <f t="shared" si="32"/>
        <v>0.47865666160619058</v>
      </c>
      <c r="Z192" s="9">
        <f t="shared" si="33"/>
        <v>0.59469652519428073</v>
      </c>
      <c r="AB192" s="9">
        <f t="shared" si="34"/>
        <v>0.49954128636402795</v>
      </c>
      <c r="AC192" s="9">
        <f t="shared" si="35"/>
        <v>0.48305999136341049</v>
      </c>
      <c r="AD192" s="9">
        <f t="shared" si="36"/>
        <v>0.51408009762125928</v>
      </c>
      <c r="AE192" s="9">
        <f t="shared" si="37"/>
        <v>0.49818232530873408</v>
      </c>
    </row>
    <row r="193" spans="7:31" x14ac:dyDescent="0.3">
      <c r="G193" s="9">
        <v>188</v>
      </c>
      <c r="H193" s="9">
        <f t="shared" si="38"/>
        <v>4.3133779264213947</v>
      </c>
      <c r="I193" s="9">
        <f t="shared" si="26"/>
        <v>0.84351462099062824</v>
      </c>
      <c r="J193" s="9">
        <f t="shared" si="27"/>
        <v>0.75866763301002049</v>
      </c>
      <c r="K193" s="9">
        <f t="shared" si="28"/>
        <v>0.50017769053059058</v>
      </c>
      <c r="L193" s="9">
        <f t="shared" si="29"/>
        <v>0.61995378604093376</v>
      </c>
      <c r="M193" s="9">
        <f t="shared" si="30"/>
        <v>7.9441014004850846E-2</v>
      </c>
      <c r="X193" s="9">
        <f t="shared" si="31"/>
        <v>0.78611045815173552</v>
      </c>
      <c r="Y193" s="9">
        <f t="shared" si="32"/>
        <v>0.47900362344080533</v>
      </c>
      <c r="Z193" s="9">
        <f t="shared" si="33"/>
        <v>0.59486947994028017</v>
      </c>
      <c r="AB193" s="9">
        <f t="shared" si="34"/>
        <v>0.50505412912058689</v>
      </c>
      <c r="AC193" s="9">
        <f t="shared" si="35"/>
        <v>0.48638771085755167</v>
      </c>
      <c r="AD193" s="9">
        <f t="shared" si="36"/>
        <v>0.51825754328161167</v>
      </c>
      <c r="AE193" s="9">
        <f t="shared" si="37"/>
        <v>0.50350232329416189</v>
      </c>
    </row>
    <row r="194" spans="7:31" x14ac:dyDescent="0.3">
      <c r="G194" s="9">
        <v>189</v>
      </c>
      <c r="H194" s="9">
        <f t="shared" si="38"/>
        <v>4.3204013377926325</v>
      </c>
      <c r="I194" s="9">
        <f t="shared" si="26"/>
        <v>0.84198969135441293</v>
      </c>
      <c r="J194" s="9">
        <f t="shared" si="27"/>
        <v>0.76102014821985831</v>
      </c>
      <c r="K194" s="9">
        <f t="shared" si="28"/>
        <v>0.51036267496612875</v>
      </c>
      <c r="L194" s="9">
        <f t="shared" si="29"/>
        <v>0.62035649578101415</v>
      </c>
      <c r="M194" s="9">
        <f t="shared" si="30"/>
        <v>7.9439781397666928E-2</v>
      </c>
      <c r="X194" s="9">
        <f t="shared" si="31"/>
        <v>0.78827613568649113</v>
      </c>
      <c r="Y194" s="9">
        <f t="shared" si="32"/>
        <v>0.52403182611278998</v>
      </c>
      <c r="Z194" s="9">
        <f t="shared" si="33"/>
        <v>0.594974165806335</v>
      </c>
      <c r="AB194" s="9">
        <f t="shared" si="34"/>
        <v>0.51058316054876862</v>
      </c>
      <c r="AC194" s="9">
        <f t="shared" si="35"/>
        <v>0.48991379467236884</v>
      </c>
      <c r="AD194" s="9">
        <f t="shared" si="36"/>
        <v>0.52243596393408009</v>
      </c>
      <c r="AE194" s="9">
        <f t="shared" si="37"/>
        <v>0.50883905557600029</v>
      </c>
    </row>
    <row r="195" spans="7:31" x14ac:dyDescent="0.3">
      <c r="G195" s="9">
        <v>190</v>
      </c>
      <c r="H195" s="9">
        <f t="shared" si="38"/>
        <v>4.3274247491638702</v>
      </c>
      <c r="I195" s="9">
        <f t="shared" si="26"/>
        <v>0.84027978689605498</v>
      </c>
      <c r="J195" s="9">
        <f t="shared" si="27"/>
        <v>0.76330891863412753</v>
      </c>
      <c r="K195" s="9">
        <f t="shared" si="28"/>
        <v>0.52490598595324478</v>
      </c>
      <c r="L195" s="9">
        <f t="shared" si="29"/>
        <v>0.62068414215893952</v>
      </c>
      <c r="M195" s="9">
        <f t="shared" si="30"/>
        <v>7.9438393411643243E-2</v>
      </c>
      <c r="X195" s="9">
        <f t="shared" si="31"/>
        <v>0.79001625038629619</v>
      </c>
      <c r="Y195" s="9">
        <f t="shared" si="32"/>
        <v>0.5627066653618531</v>
      </c>
      <c r="Z195" s="9">
        <f t="shared" si="33"/>
        <v>0.59501058279244545</v>
      </c>
      <c r="AB195" s="9">
        <f t="shared" si="34"/>
        <v>0.51612590796974711</v>
      </c>
      <c r="AC195" s="9">
        <f t="shared" si="35"/>
        <v>0.49373381893540369</v>
      </c>
      <c r="AD195" s="9">
        <f t="shared" si="36"/>
        <v>0.52661488009823609</v>
      </c>
      <c r="AE195" s="9">
        <f t="shared" si="37"/>
        <v>0.51419208920863457</v>
      </c>
    </row>
    <row r="196" spans="7:31" x14ac:dyDescent="0.3">
      <c r="G196" s="9">
        <v>191</v>
      </c>
      <c r="H196" s="9">
        <f t="shared" si="38"/>
        <v>4.334448160535108</v>
      </c>
      <c r="I196" s="9">
        <f t="shared" si="26"/>
        <v>0.8383860463530759</v>
      </c>
      <c r="J196" s="9">
        <f t="shared" si="27"/>
        <v>0.76552948330001647</v>
      </c>
      <c r="K196" s="9">
        <f t="shared" si="28"/>
        <v>0.54382815133278606</v>
      </c>
      <c r="L196" s="9">
        <f t="shared" si="29"/>
        <v>0.62093632926746689</v>
      </c>
      <c r="M196" s="9">
        <f t="shared" si="30"/>
        <v>7.9436850054821789E-2</v>
      </c>
      <c r="X196" s="9">
        <f t="shared" si="31"/>
        <v>0.79133080225115071</v>
      </c>
      <c r="Y196" s="9">
        <f t="shared" si="32"/>
        <v>0.59502814118799419</v>
      </c>
      <c r="Z196" s="9">
        <f t="shared" si="33"/>
        <v>0.59497873089861097</v>
      </c>
      <c r="AB196" s="9">
        <f t="shared" si="34"/>
        <v>0.52167938248066859</v>
      </c>
      <c r="AC196" s="9">
        <f t="shared" si="35"/>
        <v>0.49780316136174618</v>
      </c>
      <c r="AD196" s="9">
        <f t="shared" si="36"/>
        <v>0.53079381229365297</v>
      </c>
      <c r="AE196" s="9">
        <f t="shared" si="37"/>
        <v>0.51956096099772953</v>
      </c>
    </row>
    <row r="197" spans="7:31" x14ac:dyDescent="0.3">
      <c r="G197" s="9">
        <v>192</v>
      </c>
      <c r="H197" s="9">
        <f t="shared" si="38"/>
        <v>4.3414715719063457</v>
      </c>
      <c r="I197" s="9">
        <f t="shared" si="26"/>
        <v>0.83630972907742884</v>
      </c>
      <c r="J197" s="9">
        <f t="shared" si="27"/>
        <v>0.76767708759893849</v>
      </c>
      <c r="K197" s="9">
        <f t="shared" si="28"/>
        <v>0.56698406956052683</v>
      </c>
      <c r="L197" s="9">
        <f t="shared" si="29"/>
        <v>0.6211126881049589</v>
      </c>
      <c r="M197" s="9">
        <f t="shared" si="30"/>
        <v>7.9435151336156556E-2</v>
      </c>
      <c r="X197" s="9">
        <f t="shared" si="31"/>
        <v>0.79221979128105446</v>
      </c>
      <c r="Y197" s="9">
        <f t="shared" si="32"/>
        <v>0.62099625359121369</v>
      </c>
      <c r="Z197" s="9">
        <f t="shared" si="33"/>
        <v>0.5948786101248319</v>
      </c>
      <c r="AB197" s="9">
        <f t="shared" si="34"/>
        <v>0.52724059517867872</v>
      </c>
      <c r="AC197" s="9">
        <f t="shared" si="35"/>
        <v>0.50207719966648612</v>
      </c>
      <c r="AD197" s="9">
        <f t="shared" si="36"/>
        <v>0.53497228103990269</v>
      </c>
      <c r="AE197" s="9">
        <f t="shared" si="37"/>
        <v>0.5249451753759049</v>
      </c>
    </row>
    <row r="198" spans="7:31" x14ac:dyDescent="0.3">
      <c r="G198" s="9">
        <v>193</v>
      </c>
      <c r="H198" s="9">
        <f t="shared" si="38"/>
        <v>4.3484949832775834</v>
      </c>
      <c r="I198" s="9">
        <f t="shared" si="26"/>
        <v>0.83405221363983606</v>
      </c>
      <c r="J198" s="9">
        <f t="shared" si="27"/>
        <v>0.76974670238796605</v>
      </c>
      <c r="K198" s="9">
        <f t="shared" si="28"/>
        <v>0.59399849413722761</v>
      </c>
      <c r="L198" s="9">
        <f t="shared" si="29"/>
        <v>0.62121287697466598</v>
      </c>
      <c r="M198" s="9">
        <f t="shared" si="30"/>
        <v>7.9433297265512876E-2</v>
      </c>
      <c r="X198" s="9">
        <f t="shared" si="31"/>
        <v>0.79268321747600723</v>
      </c>
      <c r="Y198" s="9">
        <f t="shared" si="32"/>
        <v>0.64061100257151116</v>
      </c>
      <c r="Z198" s="9">
        <f t="shared" si="33"/>
        <v>0.59471022047110911</v>
      </c>
      <c r="AB198" s="9">
        <f t="shared" si="34"/>
        <v>0.53280655716092296</v>
      </c>
      <c r="AC198" s="9">
        <f t="shared" si="35"/>
        <v>0.5065113115647133</v>
      </c>
      <c r="AD198" s="9">
        <f t="shared" si="36"/>
        <v>0.53914980685655778</v>
      </c>
      <c r="AE198" s="9">
        <f t="shared" si="37"/>
        <v>0.53034420240636271</v>
      </c>
    </row>
    <row r="199" spans="7:31" x14ac:dyDescent="0.3">
      <c r="G199" s="9">
        <v>194</v>
      </c>
      <c r="H199" s="9">
        <f t="shared" si="38"/>
        <v>4.3555183946488212</v>
      </c>
      <c r="I199" s="9">
        <f t="shared" ref="I199:I262" si="39">_xlfn.NORM.DIST($H199, $E$5, $E$6, FALSE)</f>
        <v>0.83161499630445068</v>
      </c>
      <c r="J199" s="9">
        <f t="shared" ref="J199:J262" si="40">EstymacjaGaussowska($H199, $B$6:$B$155)</f>
        <v>0.77173304488879646</v>
      </c>
      <c r="K199" s="9">
        <f t="shared" ref="K199:K262" si="41">EstymacjaGaussowska($H199, $B$6:$B$155, $K$5)</f>
        <v>0.62424095045116434</v>
      </c>
      <c r="L199" s="9">
        <f t="shared" ref="L199:L262" si="42">EstymacjaGaussowska($H199, $B$6:$B$155, $L$5)</f>
        <v>0.62123658187023445</v>
      </c>
      <c r="M199" s="9">
        <f t="shared" ref="M199:M262" si="43">EstymacjaGaussowska($H199, $B$6:$B$155, $M$5)</f>
        <v>7.9431287853667612E-2</v>
      </c>
      <c r="X199" s="9">
        <f t="shared" ref="X199:X262" si="44">EstymacjaEpanecznikowa($H199, $B$6:$B$155, $X$5)</f>
        <v>0.79272108083600989</v>
      </c>
      <c r="Y199" s="9">
        <f t="shared" ref="Y199:Y262" si="45">EstymacjaEpanecznikowa($H199, $B$6:$B$155, $Y$5)</f>
        <v>0.65387238812888682</v>
      </c>
      <c r="Z199" s="9">
        <f t="shared" ref="Z199:Z262" si="46">EstymacjaEpanecznikowa($H199, $B$6:$B$155, $Z$5)</f>
        <v>0.59447356193744127</v>
      </c>
      <c r="AB199" s="9">
        <f t="shared" ref="AB199:AB262" si="47">EstymacjaDystrybuanty($H199, $B$6:$B$155, $AB$5)</f>
        <v>0.53837427952454775</v>
      </c>
      <c r="AC199" s="9">
        <f t="shared" ref="AC199:AC262" si="48">EstymacjaDystrybuanty($H199, $B$6:$B$155, $AC$5)</f>
        <v>0.51106087477151763</v>
      </c>
      <c r="AD199" s="9">
        <f t="shared" ref="AD199:AD262" si="49">EstymacjaDystrybuanty($H199, $B$6:$B$155, $AD$5)</f>
        <v>0.54332591026318977</v>
      </c>
      <c r="AE199" s="9">
        <f t="shared" ref="AE199:AE262" si="50">EstymacjaGaussowskaDystrybuanta($H199, $B$6:$B$155, $AE$5)</f>
        <v>0.53575747592715917</v>
      </c>
    </row>
    <row r="200" spans="7:31" x14ac:dyDescent="0.3">
      <c r="G200" s="9">
        <v>195</v>
      </c>
      <c r="H200" s="9">
        <f t="shared" ref="H200:H263" si="51">$H199 + $E$9</f>
        <v>4.3625418060200589</v>
      </c>
      <c r="I200" s="9">
        <f t="shared" si="39"/>
        <v>0.82899968937620405</v>
      </c>
      <c r="J200" s="9">
        <f t="shared" si="40"/>
        <v>0.77363060119366256</v>
      </c>
      <c r="K200" s="9">
        <f t="shared" si="41"/>
        <v>0.65685334021730846</v>
      </c>
      <c r="L200" s="9">
        <f t="shared" si="42"/>
        <v>0.62118351684696027</v>
      </c>
      <c r="M200" s="9">
        <f t="shared" si="43"/>
        <v>7.9429123112309097E-2</v>
      </c>
      <c r="X200" s="9">
        <f t="shared" si="44"/>
        <v>0.79233338136106157</v>
      </c>
      <c r="Y200" s="9">
        <f t="shared" si="45"/>
        <v>0.66078041026334078</v>
      </c>
      <c r="Z200" s="9">
        <f t="shared" si="46"/>
        <v>0.59416863452382895</v>
      </c>
      <c r="AB200" s="9">
        <f t="shared" si="47"/>
        <v>0.54394077336669877</v>
      </c>
      <c r="AC200" s="9">
        <f t="shared" si="48"/>
        <v>0.5156812670019888</v>
      </c>
      <c r="AD200" s="9">
        <f t="shared" si="49"/>
        <v>0.54750011177937152</v>
      </c>
      <c r="AE200" s="9">
        <f t="shared" si="50"/>
        <v>0.54118439184794487</v>
      </c>
    </row>
    <row r="201" spans="7:31" x14ac:dyDescent="0.3">
      <c r="G201" s="9">
        <v>196</v>
      </c>
      <c r="H201" s="9">
        <f t="shared" si="51"/>
        <v>4.3695652173912967</v>
      </c>
      <c r="I201" s="9">
        <f t="shared" si="39"/>
        <v>0.82620801942339561</v>
      </c>
      <c r="J201" s="9">
        <f t="shared" si="40"/>
        <v>0.77543365024831856</v>
      </c>
      <c r="K201" s="9">
        <f t="shared" si="41"/>
        <v>0.69083262483945163</v>
      </c>
      <c r="L201" s="9">
        <f t="shared" si="42"/>
        <v>0.62105342437828559</v>
      </c>
      <c r="M201" s="9">
        <f t="shared" si="43"/>
        <v>7.9426803054036821E-2</v>
      </c>
      <c r="X201" s="9">
        <f t="shared" si="44"/>
        <v>0.79152011905116226</v>
      </c>
      <c r="Y201" s="9">
        <f t="shared" si="45"/>
        <v>0.66133506897487293</v>
      </c>
      <c r="Z201" s="9">
        <f t="shared" si="46"/>
        <v>0.59379543823027248</v>
      </c>
      <c r="AB201" s="9">
        <f t="shared" si="47"/>
        <v>0.54950304978452169</v>
      </c>
      <c r="AC201" s="9">
        <f t="shared" si="48"/>
        <v>0.52032786597121694</v>
      </c>
      <c r="AD201" s="9">
        <f t="shared" si="49"/>
        <v>0.55167193192467512</v>
      </c>
      <c r="AE201" s="9">
        <f t="shared" si="50"/>
        <v>0.54662430661005013</v>
      </c>
    </row>
    <row r="202" spans="7:31" x14ac:dyDescent="0.3">
      <c r="G202" s="9">
        <v>197</v>
      </c>
      <c r="H202" s="9">
        <f t="shared" si="51"/>
        <v>4.3765886287625344</v>
      </c>
      <c r="I202" s="9">
        <f t="shared" si="39"/>
        <v>0.8232418253782654</v>
      </c>
      <c r="J202" s="9">
        <f t="shared" si="40"/>
        <v>0.77713628916396127</v>
      </c>
      <c r="K202" s="9">
        <f t="shared" si="41"/>
        <v>0.72515872443879936</v>
      </c>
      <c r="L202" s="9">
        <f t="shared" si="42"/>
        <v>0.62084607569705508</v>
      </c>
      <c r="M202" s="9">
        <f t="shared" si="43"/>
        <v>7.9424327692361435E-2</v>
      </c>
      <c r="X202" s="9">
        <f t="shared" si="44"/>
        <v>0.79028129390631296</v>
      </c>
      <c r="Y202" s="9">
        <f t="shared" si="45"/>
        <v>0.65553636426348327</v>
      </c>
      <c r="Z202" s="9">
        <f t="shared" si="46"/>
        <v>0.59335397305677107</v>
      </c>
      <c r="AB202" s="9">
        <f t="shared" si="47"/>
        <v>0.55505811987516218</v>
      </c>
      <c r="AC202" s="9">
        <f t="shared" si="48"/>
        <v>0.52495604939429152</v>
      </c>
      <c r="AD202" s="9">
        <f t="shared" si="49"/>
        <v>0.55584089121867342</v>
      </c>
      <c r="AE202" s="9">
        <f t="shared" si="50"/>
        <v>0.55207653581976224</v>
      </c>
    </row>
    <row r="203" spans="7:31" x14ac:dyDescent="0.3">
      <c r="G203" s="9">
        <v>198</v>
      </c>
      <c r="H203" s="9">
        <f t="shared" si="51"/>
        <v>4.3836120401337721</v>
      </c>
      <c r="I203" s="9">
        <f t="shared" si="39"/>
        <v>0.8201030565184767</v>
      </c>
      <c r="J203" s="9">
        <f t="shared" si="40"/>
        <v>0.77873245970279314</v>
      </c>
      <c r="K203" s="9">
        <f t="shared" si="41"/>
        <v>0.75894656044219033</v>
      </c>
      <c r="L203" s="9">
        <f t="shared" si="42"/>
        <v>0.6205612711210563</v>
      </c>
      <c r="M203" s="9">
        <f t="shared" si="43"/>
        <v>7.9421697041704625E-2</v>
      </c>
      <c r="X203" s="9">
        <f t="shared" si="44"/>
        <v>0.78861690592651246</v>
      </c>
      <c r="Y203" s="9">
        <f t="shared" si="45"/>
        <v>0.64338429612917192</v>
      </c>
      <c r="Z203" s="9">
        <f t="shared" si="46"/>
        <v>0.59284423900332506</v>
      </c>
      <c r="AB203" s="9">
        <f t="shared" si="47"/>
        <v>0.56060299473576647</v>
      </c>
      <c r="AC203" s="9">
        <f t="shared" si="48"/>
        <v>0.52952119498630279</v>
      </c>
      <c r="AD203" s="9">
        <f t="shared" si="49"/>
        <v>0.56000651018093806</v>
      </c>
      <c r="AE203" s="9">
        <f t="shared" si="50"/>
        <v>0.55754035306359684</v>
      </c>
    </row>
    <row r="204" spans="7:31" x14ac:dyDescent="0.3">
      <c r="G204" s="9">
        <v>199</v>
      </c>
      <c r="H204" s="9">
        <f t="shared" si="51"/>
        <v>4.3906354515050099</v>
      </c>
      <c r="I204" s="9">
        <f t="shared" si="39"/>
        <v>0.81679377033260914</v>
      </c>
      <c r="J204" s="9">
        <f t="shared" si="40"/>
        <v>0.78021597577592916</v>
      </c>
      <c r="K204" s="9">
        <f t="shared" si="41"/>
        <v>0.79159338927822098</v>
      </c>
      <c r="L204" s="9">
        <f t="shared" si="42"/>
        <v>0.62019884036235473</v>
      </c>
      <c r="M204" s="9">
        <f t="shared" si="43"/>
        <v>7.9418911117398863E-2</v>
      </c>
      <c r="X204" s="9">
        <f t="shared" si="44"/>
        <v>0.78652695511176174</v>
      </c>
      <c r="Y204" s="9">
        <f t="shared" si="45"/>
        <v>0.66540466717259628</v>
      </c>
      <c r="Z204" s="9">
        <f t="shared" si="46"/>
        <v>0.59226623606993467</v>
      </c>
      <c r="AB204" s="9">
        <f t="shared" si="47"/>
        <v>0.56613468546347978</v>
      </c>
      <c r="AC204" s="9">
        <f t="shared" si="48"/>
        <v>0.53402828029399074</v>
      </c>
      <c r="AD204" s="9">
        <f t="shared" si="49"/>
        <v>0.56416830933104167</v>
      </c>
      <c r="AE204" s="9">
        <f t="shared" si="50"/>
        <v>0.56301498891323887</v>
      </c>
    </row>
    <row r="205" spans="7:31" x14ac:dyDescent="0.3">
      <c r="G205" s="9">
        <v>200</v>
      </c>
      <c r="H205" s="9">
        <f t="shared" si="51"/>
        <v>4.3976588628762476</v>
      </c>
      <c r="I205" s="9">
        <f t="shared" si="39"/>
        <v>0.8133161302729337</v>
      </c>
      <c r="J205" s="9">
        <f t="shared" si="40"/>
        <v>0.78158055178750152</v>
      </c>
      <c r="K205" s="9">
        <f t="shared" si="41"/>
        <v>0.82289008090675853</v>
      </c>
      <c r="L205" s="9">
        <f t="shared" si="42"/>
        <v>0.61975864281996751</v>
      </c>
      <c r="M205" s="9">
        <f t="shared" si="43"/>
        <v>7.9415969935687419E-2</v>
      </c>
      <c r="X205" s="9">
        <f t="shared" si="44"/>
        <v>0.78562022389990771</v>
      </c>
      <c r="Y205" s="9">
        <f t="shared" si="45"/>
        <v>0.75225917904548545</v>
      </c>
      <c r="Z205" s="9">
        <f t="shared" si="46"/>
        <v>0.59161996425659991</v>
      </c>
      <c r="AB205" s="9">
        <f t="shared" si="47"/>
        <v>0.57165585039048294</v>
      </c>
      <c r="AC205" s="9">
        <f t="shared" si="48"/>
        <v>0.53901475528449305</v>
      </c>
      <c r="AD205" s="9">
        <f t="shared" si="49"/>
        <v>0.56832580918855657</v>
      </c>
      <c r="AE205" s="9">
        <f t="shared" si="50"/>
        <v>0.56849963012668103</v>
      </c>
    </row>
    <row r="206" spans="7:31" x14ac:dyDescent="0.3">
      <c r="G206" s="9">
        <v>201</v>
      </c>
      <c r="H206" s="9">
        <f t="shared" si="51"/>
        <v>4.4046822742474854</v>
      </c>
      <c r="I206" s="9">
        <f t="shared" si="39"/>
        <v>0.80967240339890334</v>
      </c>
      <c r="J206" s="9">
        <f t="shared" si="40"/>
        <v>0.78281983165518276</v>
      </c>
      <c r="K206" s="9">
        <f t="shared" si="41"/>
        <v>0.85306871966646503</v>
      </c>
      <c r="L206" s="9">
        <f t="shared" si="42"/>
        <v>0.61924056785540882</v>
      </c>
      <c r="M206" s="9">
        <f t="shared" si="43"/>
        <v>7.9412873513724128E-2</v>
      </c>
      <c r="X206" s="9">
        <f t="shared" si="44"/>
        <v>0.78426994182209497</v>
      </c>
      <c r="Y206" s="9">
        <f t="shared" si="45"/>
        <v>0.8253480701687107</v>
      </c>
      <c r="Z206" s="9">
        <f t="shared" si="46"/>
        <v>0.59090542356332043</v>
      </c>
      <c r="AB206" s="9">
        <f t="shared" si="47"/>
        <v>0.57716910479570704</v>
      </c>
      <c r="AC206" s="9">
        <f t="shared" si="48"/>
        <v>0.5445629044326743</v>
      </c>
      <c r="AD206" s="9">
        <f t="shared" si="49"/>
        <v>0.57247853027305462</v>
      </c>
      <c r="AE206" s="9">
        <f t="shared" si="50"/>
        <v>0.57399341905091017</v>
      </c>
    </row>
    <row r="207" spans="7:31" x14ac:dyDescent="0.3">
      <c r="G207" s="9">
        <v>202</v>
      </c>
      <c r="H207" s="9">
        <f t="shared" si="51"/>
        <v>4.4117056856187231</v>
      </c>
      <c r="I207" s="9">
        <f t="shared" si="39"/>
        <v>0.80586495791495627</v>
      </c>
      <c r="J207" s="9">
        <f t="shared" si="40"/>
        <v>0.78392741833489943</v>
      </c>
      <c r="K207" s="9">
        <f t="shared" si="41"/>
        <v>0.88276860117047951</v>
      </c>
      <c r="L207" s="9">
        <f t="shared" si="42"/>
        <v>0.61864453505064521</v>
      </c>
      <c r="M207" s="9">
        <f t="shared" si="43"/>
        <v>7.940962186957308E-2</v>
      </c>
      <c r="X207" s="9">
        <f t="shared" si="44"/>
        <v>0.78329237612482694</v>
      </c>
      <c r="Y207" s="9">
        <f t="shared" si="45"/>
        <v>0.88467134054227237</v>
      </c>
      <c r="Z207" s="9">
        <f t="shared" si="46"/>
        <v>0.59012261399009658</v>
      </c>
      <c r="AB207" s="9">
        <f t="shared" si="47"/>
        <v>0.58267227024477641</v>
      </c>
      <c r="AC207" s="9">
        <f t="shared" si="48"/>
        <v>0.5505760461212289</v>
      </c>
      <c r="AD207" s="9">
        <f t="shared" si="49"/>
        <v>0.57662599310410867</v>
      </c>
      <c r="AE207" s="9">
        <f t="shared" si="50"/>
        <v>0.5794954532302925</v>
      </c>
    </row>
    <row r="208" spans="7:31" x14ac:dyDescent="0.3">
      <c r="G208" s="9">
        <v>203</v>
      </c>
      <c r="H208" s="9">
        <f t="shared" si="51"/>
        <v>4.4187290969899609</v>
      </c>
      <c r="I208" s="9">
        <f t="shared" si="39"/>
        <v>0.80189626060636821</v>
      </c>
      <c r="J208" s="9">
        <f t="shared" si="40"/>
        <v>0.78489690367629039</v>
      </c>
      <c r="K208" s="9">
        <f t="shared" si="41"/>
        <v>0.91291691191382807</v>
      </c>
      <c r="L208" s="9">
        <f t="shared" si="42"/>
        <v>0.61797049444803331</v>
      </c>
      <c r="M208" s="9">
        <f t="shared" si="43"/>
        <v>7.9406215022208765E-2</v>
      </c>
      <c r="X208" s="9">
        <f t="shared" si="44"/>
        <v>0.78351075705328888</v>
      </c>
      <c r="Y208" s="9">
        <f t="shared" si="45"/>
        <v>0.96450197624245415</v>
      </c>
      <c r="Z208" s="9">
        <f t="shared" si="46"/>
        <v>0.58927153553692813</v>
      </c>
      <c r="AB208" s="9">
        <f t="shared" si="47"/>
        <v>0.5881746642364295</v>
      </c>
      <c r="AC208" s="9">
        <f t="shared" si="48"/>
        <v>0.55707499242004288</v>
      </c>
      <c r="AD208" s="9">
        <f t="shared" si="49"/>
        <v>0.58076771820129047</v>
      </c>
      <c r="AE208" s="9">
        <f t="shared" si="50"/>
        <v>0.58500478522358135</v>
      </c>
    </row>
    <row r="209" spans="7:31" x14ac:dyDescent="0.3">
      <c r="G209" s="9">
        <v>204</v>
      </c>
      <c r="H209" s="9">
        <f t="shared" si="51"/>
        <v>4.4257525083611986</v>
      </c>
      <c r="I209" s="9">
        <f t="shared" si="39"/>
        <v>0.79776887417704279</v>
      </c>
      <c r="J209" s="9">
        <f t="shared" si="40"/>
        <v>0.78572189843543028</v>
      </c>
      <c r="K209" s="9">
        <f t="shared" si="41"/>
        <v>0.94453664551394045</v>
      </c>
      <c r="L209" s="9">
        <f t="shared" si="42"/>
        <v>0.61721842677178862</v>
      </c>
      <c r="M209" s="9">
        <f t="shared" si="43"/>
        <v>7.9402652991515721E-2</v>
      </c>
      <c r="X209" s="9">
        <f t="shared" si="44"/>
        <v>0.78331477416877238</v>
      </c>
      <c r="Y209" s="9">
        <f t="shared" si="45"/>
        <v>1.0331535976734769</v>
      </c>
      <c r="Z209" s="9">
        <f t="shared" si="46"/>
        <v>0.58835218820381541</v>
      </c>
      <c r="AB209" s="9">
        <f t="shared" si="47"/>
        <v>0.59367713688342116</v>
      </c>
      <c r="AC209" s="9">
        <f t="shared" si="48"/>
        <v>0.56409698815039955</v>
      </c>
      <c r="AD209" s="9">
        <f t="shared" si="49"/>
        <v>0.58490322608417311</v>
      </c>
      <c r="AE209" s="9">
        <f t="shared" si="50"/>
        <v>0.59052042263126681</v>
      </c>
    </row>
    <row r="210" spans="7:31" x14ac:dyDescent="0.3">
      <c r="G210" s="9">
        <v>205</v>
      </c>
      <c r="H210" s="9">
        <f t="shared" si="51"/>
        <v>4.4327759197324363</v>
      </c>
      <c r="I210" s="9">
        <f t="shared" si="39"/>
        <v>0.79348545449325913</v>
      </c>
      <c r="J210" s="9">
        <f t="shared" si="40"/>
        <v>0.78639606227250114</v>
      </c>
      <c r="K210" s="9">
        <f t="shared" si="41"/>
        <v>0.97850958254279452</v>
      </c>
      <c r="L210" s="9">
        <f t="shared" si="42"/>
        <v>0.6163883436305756</v>
      </c>
      <c r="M210" s="9">
        <f t="shared" si="43"/>
        <v>7.9398935798288051E-2</v>
      </c>
      <c r="X210" s="9">
        <f t="shared" si="44"/>
        <v>0.78270442747127777</v>
      </c>
      <c r="Y210" s="9">
        <f t="shared" si="45"/>
        <v>1.0901573861624763</v>
      </c>
      <c r="Z210" s="9">
        <f t="shared" si="46"/>
        <v>0.58736457199075753</v>
      </c>
      <c r="AB210" s="9">
        <f t="shared" si="47"/>
        <v>0.59917677793823554</v>
      </c>
      <c r="AC210" s="9">
        <f t="shared" si="48"/>
        <v>0.57156024869820132</v>
      </c>
      <c r="AD210" s="9">
        <f t="shared" si="49"/>
        <v>0.58903203727232789</v>
      </c>
      <c r="AE210" s="9">
        <f t="shared" si="50"/>
        <v>0.59604132833376766</v>
      </c>
    </row>
    <row r="211" spans="7:31" x14ac:dyDescent="0.3">
      <c r="G211" s="9">
        <v>206</v>
      </c>
      <c r="H211" s="9">
        <f t="shared" si="51"/>
        <v>4.4397993311036741</v>
      </c>
      <c r="I211" s="9">
        <f t="shared" si="39"/>
        <v>0.7890487477375232</v>
      </c>
      <c r="J211" s="9">
        <f t="shared" si="40"/>
        <v>0.78691313356438386</v>
      </c>
      <c r="K211" s="9">
        <f t="shared" si="41"/>
        <v>1.0153333729398291</v>
      </c>
      <c r="L211" s="9">
        <f t="shared" si="42"/>
        <v>0.61548028770079977</v>
      </c>
      <c r="M211" s="9">
        <f t="shared" si="43"/>
        <v>7.939506346422967E-2</v>
      </c>
      <c r="X211" s="9">
        <f t="shared" si="44"/>
        <v>0.78167971696080485</v>
      </c>
      <c r="Y211" s="9">
        <f t="shared" si="45"/>
        <v>1.1355133417094525</v>
      </c>
      <c r="Z211" s="9">
        <f t="shared" si="46"/>
        <v>0.58630868689775573</v>
      </c>
      <c r="AB211" s="9">
        <f t="shared" si="47"/>
        <v>0.60467067715335565</v>
      </c>
      <c r="AC211" s="9">
        <f t="shared" si="48"/>
        <v>0.57938296654111254</v>
      </c>
      <c r="AD211" s="9">
        <f t="shared" si="49"/>
        <v>0.59315367228532789</v>
      </c>
      <c r="AE211" s="9">
        <f t="shared" si="50"/>
        <v>0.60156642093975332</v>
      </c>
    </row>
    <row r="212" spans="7:31" x14ac:dyDescent="0.3">
      <c r="G212" s="9">
        <v>207</v>
      </c>
      <c r="H212" s="9">
        <f t="shared" si="51"/>
        <v>4.4468227424749118</v>
      </c>
      <c r="I212" s="9">
        <f t="shared" si="39"/>
        <v>0.78446158747679007</v>
      </c>
      <c r="J212" s="9">
        <f t="shared" si="40"/>
        <v>0.78726695886560172</v>
      </c>
      <c r="K212" s="9">
        <f t="shared" si="41"/>
        <v>1.0549164367777111</v>
      </c>
      <c r="L212" s="9">
        <f t="shared" si="42"/>
        <v>0.61449433289020727</v>
      </c>
      <c r="M212" s="9">
        <f t="shared" si="43"/>
        <v>7.9391036011954075E-2</v>
      </c>
      <c r="X212" s="9">
        <f t="shared" si="44"/>
        <v>0.78024064263735371</v>
      </c>
      <c r="Y212" s="9">
        <f t="shared" si="45"/>
        <v>1.1692214643144057</v>
      </c>
      <c r="Z212" s="9">
        <f t="shared" si="46"/>
        <v>0.58518453292480921</v>
      </c>
      <c r="AB212" s="9">
        <f t="shared" si="47"/>
        <v>0.61015592428126708</v>
      </c>
      <c r="AC212" s="9">
        <f t="shared" si="48"/>
        <v>0.5874833341567981</v>
      </c>
      <c r="AD212" s="9">
        <f t="shared" si="49"/>
        <v>0.59726765164274509</v>
      </c>
      <c r="AE212" s="9">
        <f t="shared" si="50"/>
        <v>0.6070945754427165</v>
      </c>
    </row>
    <row r="213" spans="7:31" x14ac:dyDescent="0.3">
      <c r="G213" s="9">
        <v>208</v>
      </c>
      <c r="H213" s="9">
        <f t="shared" si="51"/>
        <v>4.4538461538461496</v>
      </c>
      <c r="I213" s="9">
        <f t="shared" si="39"/>
        <v>0.77972689164943632</v>
      </c>
      <c r="J213" s="9">
        <f t="shared" si="40"/>
        <v>0.7874515218555237</v>
      </c>
      <c r="K213" s="9">
        <f t="shared" si="41"/>
        <v>1.0964511908137089</v>
      </c>
      <c r="L213" s="9">
        <f t="shared" si="42"/>
        <v>0.6134305844814093</v>
      </c>
      <c r="M213" s="9">
        <f t="shared" si="43"/>
        <v>7.9386853464983725E-2</v>
      </c>
      <c r="X213" s="9">
        <f t="shared" si="44"/>
        <v>0.77838720450092425</v>
      </c>
      <c r="Y213" s="9">
        <f t="shared" si="45"/>
        <v>1.191281753977335</v>
      </c>
      <c r="Z213" s="9">
        <f t="shared" si="46"/>
        <v>0.58399211007191831</v>
      </c>
      <c r="AB213" s="9">
        <f t="shared" si="47"/>
        <v>0.61562960907445263</v>
      </c>
      <c r="AC213" s="9">
        <f t="shared" si="48"/>
        <v>0.59577954402292277</v>
      </c>
      <c r="AD213" s="9">
        <f t="shared" si="49"/>
        <v>0.60137349586415179</v>
      </c>
      <c r="AE213" s="9">
        <f t="shared" si="50"/>
        <v>0.61262462408275042</v>
      </c>
    </row>
    <row r="214" spans="7:31" x14ac:dyDescent="0.3">
      <c r="G214" s="9">
        <v>209</v>
      </c>
      <c r="H214" s="9">
        <f t="shared" si="51"/>
        <v>4.4608695652173873</v>
      </c>
      <c r="I214" s="9">
        <f t="shared" si="39"/>
        <v>0.77484765947545986</v>
      </c>
      <c r="J214" s="9">
        <f t="shared" si="40"/>
        <v>0.78746097161527329</v>
      </c>
      <c r="K214" s="9">
        <f t="shared" si="41"/>
        <v>1.1383951275173299</v>
      </c>
      <c r="L214" s="9">
        <f t="shared" si="42"/>
        <v>0.61228917925495807</v>
      </c>
      <c r="M214" s="9">
        <f t="shared" si="43"/>
        <v>7.9382515847750121E-2</v>
      </c>
      <c r="X214" s="9">
        <f t="shared" si="44"/>
        <v>0.77611940255151646</v>
      </c>
      <c r="Y214" s="9">
        <f t="shared" si="45"/>
        <v>1.2016942106982416</v>
      </c>
      <c r="Z214" s="9">
        <f t="shared" si="46"/>
        <v>0.58273141833908271</v>
      </c>
      <c r="AB214" s="9">
        <f t="shared" si="47"/>
        <v>0.62108882128539722</v>
      </c>
      <c r="AC214" s="9">
        <f t="shared" si="48"/>
        <v>0.60418978861715122</v>
      </c>
      <c r="AD214" s="9">
        <f t="shared" si="49"/>
        <v>0.60547072546912029</v>
      </c>
      <c r="AE214" s="9">
        <f t="shared" si="50"/>
        <v>0.61815535740937011</v>
      </c>
    </row>
    <row r="215" spans="7:31" x14ac:dyDescent="0.3">
      <c r="G215" s="9">
        <v>210</v>
      </c>
      <c r="H215" s="9">
        <f t="shared" si="51"/>
        <v>4.4678929765886251</v>
      </c>
      <c r="I215" s="9">
        <f t="shared" si="39"/>
        <v>0.76982696829448627</v>
      </c>
      <c r="J215" s="9">
        <f t="shared" si="40"/>
        <v>0.7872896500842792</v>
      </c>
      <c r="K215" s="9">
        <f t="shared" si="41"/>
        <v>1.1785721574714181</v>
      </c>
      <c r="L215" s="9">
        <f t="shared" si="42"/>
        <v>0.61107028559162635</v>
      </c>
      <c r="M215" s="9">
        <f t="shared" si="43"/>
        <v>7.9378023185593588E-2</v>
      </c>
      <c r="X215" s="9">
        <f t="shared" si="44"/>
        <v>0.77343723678913068</v>
      </c>
      <c r="Y215" s="9">
        <f t="shared" si="45"/>
        <v>1.2004588344771245</v>
      </c>
      <c r="Z215" s="9">
        <f t="shared" si="46"/>
        <v>0.58140245772630272</v>
      </c>
      <c r="AB215" s="9">
        <f t="shared" si="47"/>
        <v>0.62653065066658442</v>
      </c>
      <c r="AC215" s="9">
        <f t="shared" si="48"/>
        <v>0.61263226041714836</v>
      </c>
      <c r="AD215" s="9">
        <f t="shared" si="49"/>
        <v>0.60955886097722289</v>
      </c>
      <c r="AE215" s="9">
        <f t="shared" si="50"/>
        <v>0.6236855255401399</v>
      </c>
    </row>
    <row r="216" spans="7:31" x14ac:dyDescent="0.3">
      <c r="G216" s="9">
        <v>211</v>
      </c>
      <c r="H216" s="9">
        <f t="shared" si="51"/>
        <v>4.4749163879598628</v>
      </c>
      <c r="I216" s="9">
        <f t="shared" si="39"/>
        <v>0.7646679703362359</v>
      </c>
      <c r="J216" s="9">
        <f t="shared" si="40"/>
        <v>0.78693211855378042</v>
      </c>
      <c r="K216" s="9">
        <f t="shared" si="41"/>
        <v>1.2143862926165225</v>
      </c>
      <c r="L216" s="9">
        <f t="shared" si="42"/>
        <v>0.60977410355354777</v>
      </c>
      <c r="M216" s="9">
        <f t="shared" si="43"/>
        <v>7.9373375504762783E-2</v>
      </c>
      <c r="X216" s="9">
        <f t="shared" si="44"/>
        <v>0.77034070721376646</v>
      </c>
      <c r="Y216" s="9">
        <f t="shared" si="45"/>
        <v>1.187575625313984</v>
      </c>
      <c r="Z216" s="9">
        <f t="shared" si="46"/>
        <v>0.58000522823357781</v>
      </c>
      <c r="AB216" s="9">
        <f t="shared" si="47"/>
        <v>0.6319521869704986</v>
      </c>
      <c r="AC216" s="9">
        <f t="shared" si="48"/>
        <v>0.62102515190057828</v>
      </c>
      <c r="AD216" s="9">
        <f t="shared" si="49"/>
        <v>0.61363742290803203</v>
      </c>
      <c r="AE216" s="9">
        <f t="shared" si="50"/>
        <v>0.62921383960883626</v>
      </c>
    </row>
    <row r="217" spans="7:31" x14ac:dyDescent="0.3">
      <c r="G217" s="9">
        <v>212</v>
      </c>
      <c r="H217" s="9">
        <f t="shared" si="51"/>
        <v>4.4819397993311005</v>
      </c>
      <c r="I217" s="9">
        <f t="shared" si="39"/>
        <v>0.75937388942819528</v>
      </c>
      <c r="J217" s="9">
        <f t="shared" si="40"/>
        <v>0.78638318306280663</v>
      </c>
      <c r="K217" s="9">
        <f t="shared" si="41"/>
        <v>1.243119875465329</v>
      </c>
      <c r="L217" s="9">
        <f t="shared" si="42"/>
        <v>0.60840086494390522</v>
      </c>
      <c r="M217" s="9">
        <f t="shared" si="43"/>
        <v>7.9368572832414774E-2</v>
      </c>
      <c r="X217" s="9">
        <f t="shared" si="44"/>
        <v>0.76682981382542337</v>
      </c>
      <c r="Y217" s="9">
        <f t="shared" si="45"/>
        <v>1.1630445832088203</v>
      </c>
      <c r="Z217" s="9">
        <f t="shared" si="46"/>
        <v>0.57853972986090885</v>
      </c>
      <c r="AB217" s="9">
        <f t="shared" si="47"/>
        <v>0.63735051994962399</v>
      </c>
      <c r="AC217" s="9">
        <f t="shared" si="48"/>
        <v>0.62928665554510643</v>
      </c>
      <c r="AD217" s="9">
        <f t="shared" si="49"/>
        <v>0.61770593178111999</v>
      </c>
      <c r="AE217" s="9">
        <f t="shared" si="50"/>
        <v>0.63473897339590946</v>
      </c>
    </row>
    <row r="218" spans="7:31" x14ac:dyDescent="0.3">
      <c r="G218" s="9">
        <v>213</v>
      </c>
      <c r="H218" s="9">
        <f t="shared" si="51"/>
        <v>4.4889632107023383</v>
      </c>
      <c r="I218" s="9">
        <f t="shared" si="39"/>
        <v>0.75394801764528974</v>
      </c>
      <c r="J218" s="9">
        <f t="shared" si="40"/>
        <v>0.78563791857111498</v>
      </c>
      <c r="K218" s="9">
        <f t="shared" si="41"/>
        <v>1.2622728882452519</v>
      </c>
      <c r="L218" s="9">
        <f t="shared" si="42"/>
        <v>0.60695083334486044</v>
      </c>
      <c r="M218" s="9">
        <f t="shared" si="43"/>
        <v>7.9363615196614487E-2</v>
      </c>
      <c r="X218" s="9">
        <f t="shared" si="44"/>
        <v>0.76290455662410295</v>
      </c>
      <c r="Y218" s="9">
        <f t="shared" si="45"/>
        <v>1.1323663738575662</v>
      </c>
      <c r="Z218" s="9">
        <f t="shared" si="46"/>
        <v>0.57700596260829518</v>
      </c>
      <c r="AB218" s="9">
        <f t="shared" si="47"/>
        <v>0.64272273935644464</v>
      </c>
      <c r="AC218" s="9">
        <f t="shared" si="48"/>
        <v>0.63733707467769152</v>
      </c>
      <c r="AD218" s="9">
        <f t="shared" si="49"/>
        <v>0.62176390811605842</v>
      </c>
      <c r="AE218" s="9">
        <f t="shared" si="50"/>
        <v>0.64025956513308946</v>
      </c>
    </row>
    <row r="219" spans="7:31" x14ac:dyDescent="0.3">
      <c r="G219" s="9">
        <v>214</v>
      </c>
      <c r="H219" s="9">
        <f t="shared" si="51"/>
        <v>4.495986622073576</v>
      </c>
      <c r="I219" s="9">
        <f t="shared" si="39"/>
        <v>0.74839371190642778</v>
      </c>
      <c r="J219" s="9">
        <f t="shared" si="40"/>
        <v>0.78469169179315879</v>
      </c>
      <c r="K219" s="9">
        <f t="shared" si="41"/>
        <v>1.269891464059252</v>
      </c>
      <c r="L219" s="9">
        <f t="shared" si="42"/>
        <v>0.6054243041334495</v>
      </c>
      <c r="M219" s="9">
        <f t="shared" si="43"/>
        <v>7.9358502626334579E-2</v>
      </c>
      <c r="X219" s="9">
        <f t="shared" si="44"/>
        <v>0.7591782958927028</v>
      </c>
      <c r="Y219" s="9">
        <f t="shared" si="45"/>
        <v>1.1331731501652447</v>
      </c>
      <c r="Z219" s="9">
        <f t="shared" si="46"/>
        <v>0.57540392647573735</v>
      </c>
      <c r="AB219" s="9">
        <f t="shared" si="47"/>
        <v>0.64806757306153595</v>
      </c>
      <c r="AC219" s="9">
        <f t="shared" si="48"/>
        <v>0.64530165926059591</v>
      </c>
      <c r="AD219" s="9">
        <f t="shared" si="49"/>
        <v>0.62581087243242084</v>
      </c>
      <c r="AE219" s="9">
        <f t="shared" si="50"/>
        <v>0.6457742194731253</v>
      </c>
    </row>
    <row r="220" spans="7:31" x14ac:dyDescent="0.3">
      <c r="G220" s="9">
        <v>215</v>
      </c>
      <c r="H220" s="9">
        <f t="shared" si="51"/>
        <v>4.5030100334448138</v>
      </c>
      <c r="I220" s="9">
        <f t="shared" si="39"/>
        <v>0.74271439052282373</v>
      </c>
      <c r="J220" s="9">
        <f t="shared" si="40"/>
        <v>0.78354018258738467</v>
      </c>
      <c r="K220" s="9">
        <f t="shared" si="41"/>
        <v>1.2648343140118314</v>
      </c>
      <c r="L220" s="9">
        <f t="shared" si="42"/>
        <v>0.60382160447517808</v>
      </c>
      <c r="M220" s="9">
        <f t="shared" si="43"/>
        <v>7.935323515145512E-2</v>
      </c>
      <c r="X220" s="9">
        <f t="shared" si="44"/>
        <v>0.75522237470264797</v>
      </c>
      <c r="Y220" s="9">
        <f t="shared" si="45"/>
        <v>1.1191554118194385</v>
      </c>
      <c r="Z220" s="9">
        <f t="shared" si="46"/>
        <v>0.57373362146323437</v>
      </c>
      <c r="AB220" s="9">
        <f t="shared" si="47"/>
        <v>0.65338595158200874</v>
      </c>
      <c r="AC220" s="9">
        <f t="shared" si="48"/>
        <v>0.65321985083299861</v>
      </c>
      <c r="AD220" s="9">
        <f t="shared" si="49"/>
        <v>0.62984634524977845</v>
      </c>
      <c r="AE220" s="9">
        <f t="shared" si="50"/>
        <v>0.65128150961488729</v>
      </c>
    </row>
    <row r="221" spans="7:31" x14ac:dyDescent="0.3">
      <c r="G221" s="9">
        <v>216</v>
      </c>
      <c r="H221" s="9">
        <f t="shared" si="51"/>
        <v>4.5100334448160515</v>
      </c>
      <c r="I221" s="9">
        <f t="shared" si="39"/>
        <v>0.73691352970305446</v>
      </c>
      <c r="J221" s="9">
        <f t="shared" si="40"/>
        <v>0.7821794038058052</v>
      </c>
      <c r="K221" s="9">
        <f t="shared" si="41"/>
        <v>1.2469354288657377</v>
      </c>
      <c r="L221" s="9">
        <f t="shared" si="42"/>
        <v>0.60214309329507942</v>
      </c>
      <c r="M221" s="9">
        <f t="shared" si="43"/>
        <v>7.9347812802763332E-2</v>
      </c>
      <c r="X221" s="9">
        <f t="shared" si="44"/>
        <v>0.75123892953052063</v>
      </c>
      <c r="Y221" s="9">
        <f t="shared" si="45"/>
        <v>1.0903131588201482</v>
      </c>
      <c r="Z221" s="9">
        <f t="shared" si="46"/>
        <v>0.57222082777940875</v>
      </c>
      <c r="AB221" s="9">
        <f t="shared" si="47"/>
        <v>0.65867518847664963</v>
      </c>
      <c r="AC221" s="9">
        <f t="shared" si="48"/>
        <v>0.66098753073010896</v>
      </c>
      <c r="AD221" s="9">
        <f t="shared" si="49"/>
        <v>0.63387027612249291</v>
      </c>
      <c r="AE221" s="9">
        <f t="shared" si="50"/>
        <v>0.65677997957334011</v>
      </c>
    </row>
    <row r="222" spans="7:31" x14ac:dyDescent="0.3">
      <c r="G222" s="9">
        <v>217</v>
      </c>
      <c r="H222" s="9">
        <f t="shared" si="51"/>
        <v>4.5170568561872892</v>
      </c>
      <c r="I222" s="9">
        <f t="shared" si="39"/>
        <v>0.73099466001983693</v>
      </c>
      <c r="J222" s="9">
        <f t="shared" si="40"/>
        <v>0.78060571951989854</v>
      </c>
      <c r="K222" s="9">
        <f t="shared" si="41"/>
        <v>1.2170384225991424</v>
      </c>
      <c r="L222" s="9">
        <f t="shared" si="42"/>
        <v>0.60038916122601582</v>
      </c>
      <c r="M222" s="9">
        <f t="shared" si="43"/>
        <v>7.9342235611953207E-2</v>
      </c>
      <c r="X222" s="9">
        <f t="shared" si="44"/>
        <v>0.75052619177499236</v>
      </c>
      <c r="Y222" s="9">
        <f t="shared" si="45"/>
        <v>1.0982644675786348</v>
      </c>
      <c r="Z222" s="9">
        <f t="shared" si="46"/>
        <v>0.57083321264768938</v>
      </c>
      <c r="AB222" s="9">
        <f t="shared" si="47"/>
        <v>0.66394916189378284</v>
      </c>
      <c r="AC222" s="9">
        <f t="shared" si="48"/>
        <v>0.66863512950943149</v>
      </c>
      <c r="AD222" s="9">
        <f t="shared" si="49"/>
        <v>0.63788438375164713</v>
      </c>
      <c r="AE222" s="9">
        <f t="shared" si="50"/>
        <v>0.66226814658326805</v>
      </c>
    </row>
    <row r="223" spans="7:31" x14ac:dyDescent="0.3">
      <c r="G223" s="9">
        <v>218</v>
      </c>
      <c r="H223" s="9">
        <f t="shared" si="51"/>
        <v>4.524080267558527</v>
      </c>
      <c r="I223" s="9">
        <f t="shared" si="39"/>
        <v>0.72496136284352908</v>
      </c>
      <c r="J223" s="9">
        <f t="shared" si="40"/>
        <v>0.77881586155024918</v>
      </c>
      <c r="K223" s="9">
        <f t="shared" si="41"/>
        <v>1.1768991466891483</v>
      </c>
      <c r="L223" s="9">
        <f t="shared" si="42"/>
        <v>0.59856023053402774</v>
      </c>
      <c r="M223" s="9">
        <f t="shared" si="43"/>
        <v>7.9336503611625309E-2</v>
      </c>
      <c r="X223" s="9">
        <f t="shared" si="44"/>
        <v>0.74944388629437542</v>
      </c>
      <c r="Y223" s="9">
        <f t="shared" si="45"/>
        <v>1.112483900001366</v>
      </c>
      <c r="Z223" s="9">
        <f t="shared" si="46"/>
        <v>0.56938023369474644</v>
      </c>
      <c r="AB223" s="9">
        <f t="shared" si="47"/>
        <v>0.669216831647377</v>
      </c>
      <c r="AC223" s="9">
        <f t="shared" si="48"/>
        <v>0.67640482466090557</v>
      </c>
      <c r="AD223" s="9">
        <f t="shared" si="49"/>
        <v>0.64188851605040398</v>
      </c>
      <c r="AE223" s="9">
        <f t="shared" si="50"/>
        <v>0.66774450362509452</v>
      </c>
    </row>
    <row r="224" spans="7:31" x14ac:dyDescent="0.3">
      <c r="G224" s="9">
        <v>219</v>
      </c>
      <c r="H224" s="9">
        <f t="shared" si="51"/>
        <v>4.5311036789297647</v>
      </c>
      <c r="I224" s="9">
        <f t="shared" si="39"/>
        <v>0.71881726674737867</v>
      </c>
      <c r="J224" s="9">
        <f t="shared" si="40"/>
        <v>0.77680694423897023</v>
      </c>
      <c r="K224" s="9">
        <f t="shared" si="41"/>
        <v>1.1289747937708918</v>
      </c>
      <c r="L224" s="9">
        <f t="shared" si="42"/>
        <v>0.59665675502055759</v>
      </c>
      <c r="M224" s="9">
        <f t="shared" si="43"/>
        <v>7.9330616835286305E-2</v>
      </c>
      <c r="X224" s="9">
        <f t="shared" si="44"/>
        <v>0.74799201308867003</v>
      </c>
      <c r="Y224" s="9">
        <f t="shared" si="45"/>
        <v>1.1161143933858941</v>
      </c>
      <c r="Z224" s="9">
        <f t="shared" si="46"/>
        <v>0.56786189092058048</v>
      </c>
      <c r="AB224" s="9">
        <f t="shared" si="47"/>
        <v>0.67447560211127078</v>
      </c>
      <c r="AC224" s="9">
        <f t="shared" si="48"/>
        <v>0.68423720349832495</v>
      </c>
      <c r="AD224" s="9">
        <f t="shared" si="49"/>
        <v>0.64588221394175838</v>
      </c>
      <c r="AE224" s="9">
        <f t="shared" si="50"/>
        <v>0.67320752206065582</v>
      </c>
    </row>
    <row r="225" spans="7:31" x14ac:dyDescent="0.3">
      <c r="G225" s="9">
        <v>220</v>
      </c>
      <c r="H225" s="9">
        <f t="shared" si="51"/>
        <v>4.5381270903010025</v>
      </c>
      <c r="I225" s="9">
        <f t="shared" si="39"/>
        <v>0.71256604388954226</v>
      </c>
      <c r="J225" s="9">
        <f t="shared" si="40"/>
        <v>0.77457647741564672</v>
      </c>
      <c r="K225" s="9">
        <f t="shared" si="41"/>
        <v>1.0761356683984236</v>
      </c>
      <c r="L225" s="9">
        <f t="shared" si="42"/>
        <v>0.59467921990140415</v>
      </c>
      <c r="M225" s="9">
        <f t="shared" si="43"/>
        <v>7.9324575317348905E-2</v>
      </c>
      <c r="X225" s="9">
        <f t="shared" si="44"/>
        <v>0.74617057215787574</v>
      </c>
      <c r="Y225" s="9">
        <f t="shared" si="45"/>
        <v>1.1091559477322201</v>
      </c>
      <c r="Z225" s="9">
        <f t="shared" si="46"/>
        <v>0.56627818432519095</v>
      </c>
      <c r="AB225" s="9">
        <f t="shared" si="47"/>
        <v>0.67972287765930017</v>
      </c>
      <c r="AC225" s="9">
        <f t="shared" si="48"/>
        <v>0.6920578955468395</v>
      </c>
      <c r="AD225" s="9">
        <f t="shared" si="49"/>
        <v>0.64986501834870425</v>
      </c>
      <c r="AE225" s="9">
        <f t="shared" si="50"/>
        <v>0.67865565436640751</v>
      </c>
    </row>
    <row r="226" spans="7:31" x14ac:dyDescent="0.3">
      <c r="G226" s="9">
        <v>221</v>
      </c>
      <c r="H226" s="9">
        <f t="shared" si="51"/>
        <v>4.5451505016722402</v>
      </c>
      <c r="I226" s="9">
        <f t="shared" si="39"/>
        <v>0.70621140637689395</v>
      </c>
      <c r="J226" s="9">
        <f t="shared" si="40"/>
        <v>0.77212237751933399</v>
      </c>
      <c r="K226" s="9">
        <f t="shared" si="41"/>
        <v>1.0213469171995733</v>
      </c>
      <c r="L226" s="9">
        <f t="shared" si="42"/>
        <v>0.59262814166227595</v>
      </c>
      <c r="M226" s="9">
        <f t="shared" si="43"/>
        <v>7.9318379093131178E-2</v>
      </c>
      <c r="X226" s="9">
        <f t="shared" si="44"/>
        <v>0.7439795635019929</v>
      </c>
      <c r="Y226" s="9">
        <f t="shared" si="45"/>
        <v>1.091608563040342</v>
      </c>
      <c r="Z226" s="9">
        <f t="shared" si="46"/>
        <v>0.56462911390857762</v>
      </c>
      <c r="AB226" s="9">
        <f t="shared" si="47"/>
        <v>0.68495606266530285</v>
      </c>
      <c r="AC226" s="9">
        <f t="shared" si="48"/>
        <v>0.69979253033159838</v>
      </c>
      <c r="AD226" s="9">
        <f t="shared" si="49"/>
        <v>0.65383647019423663</v>
      </c>
      <c r="AE226" s="9">
        <f t="shared" si="50"/>
        <v>0.68408733695124457</v>
      </c>
    </row>
    <row r="227" spans="7:31" x14ac:dyDescent="0.3">
      <c r="G227" s="9">
        <v>222</v>
      </c>
      <c r="H227" s="9">
        <f t="shared" si="51"/>
        <v>4.552173913043478</v>
      </c>
      <c r="I227" s="9">
        <f t="shared" si="39"/>
        <v>0.69975710261563295</v>
      </c>
      <c r="J227" s="9">
        <f t="shared" si="40"/>
        <v>0.76944297685081497</v>
      </c>
      <c r="K227" s="9">
        <f t="shared" si="41"/>
        <v>0.96736993014411354</v>
      </c>
      <c r="L227" s="9">
        <f t="shared" si="42"/>
        <v>0.59050406789085441</v>
      </c>
      <c r="M227" s="9">
        <f t="shared" si="43"/>
        <v>7.9312028198856521E-2</v>
      </c>
      <c r="X227" s="9">
        <f t="shared" si="44"/>
        <v>0.74141898712102094</v>
      </c>
      <c r="Y227" s="9">
        <f t="shared" si="45"/>
        <v>1.0634722393102618</v>
      </c>
      <c r="Z227" s="9">
        <f t="shared" si="46"/>
        <v>0.56291467967074094</v>
      </c>
      <c r="AB227" s="9">
        <f t="shared" si="47"/>
        <v>0.69017256150311601</v>
      </c>
      <c r="AC227" s="9">
        <f t="shared" si="48"/>
        <v>0.70736673737775202</v>
      </c>
      <c r="AD227" s="9">
        <f t="shared" si="49"/>
        <v>0.65779611040135022</v>
      </c>
      <c r="AE227" s="9">
        <f t="shared" si="50"/>
        <v>0.68950099304587309</v>
      </c>
    </row>
    <row r="228" spans="7:31" x14ac:dyDescent="0.3">
      <c r="G228" s="9">
        <v>223</v>
      </c>
      <c r="H228" s="9">
        <f t="shared" si="51"/>
        <v>4.5591973244147157</v>
      </c>
      <c r="I228" s="9">
        <f t="shared" si="39"/>
        <v>0.69320691365366904</v>
      </c>
      <c r="J228" s="9">
        <f t="shared" si="40"/>
        <v>0.7665370309409365</v>
      </c>
      <c r="K228" s="9">
        <f t="shared" si="41"/>
        <v>0.91652669092345129</v>
      </c>
      <c r="L228" s="9">
        <f t="shared" si="42"/>
        <v>0.58830757708528802</v>
      </c>
      <c r="M228" s="9">
        <f t="shared" si="43"/>
        <v>7.9305522671653028E-2</v>
      </c>
      <c r="X228" s="9">
        <f t="shared" si="44"/>
        <v>0.73848884301496032</v>
      </c>
      <c r="Y228" s="9">
        <f t="shared" si="45"/>
        <v>1.0247469765419779</v>
      </c>
      <c r="Z228" s="9">
        <f t="shared" si="46"/>
        <v>0.5611348816116809</v>
      </c>
      <c r="AB228" s="9">
        <f t="shared" si="47"/>
        <v>0.69536977854657678</v>
      </c>
      <c r="AC228" s="9">
        <f t="shared" si="48"/>
        <v>0.7147061462104497</v>
      </c>
      <c r="AD228" s="9">
        <f t="shared" si="49"/>
        <v>0.66174347989304039</v>
      </c>
      <c r="AE228" s="9">
        <f t="shared" si="50"/>
        <v>0.69489503565056254</v>
      </c>
    </row>
    <row r="229" spans="7:31" x14ac:dyDescent="0.3">
      <c r="G229" s="9">
        <v>224</v>
      </c>
      <c r="H229" s="9">
        <f t="shared" si="51"/>
        <v>4.5662207357859534</v>
      </c>
      <c r="I229" s="9">
        <f t="shared" si="39"/>
        <v>0.68656464951974461</v>
      </c>
      <c r="J229" s="9">
        <f t="shared" si="40"/>
        <v>0.76340372403217494</v>
      </c>
      <c r="K229" s="9">
        <f t="shared" si="41"/>
        <v>0.87055658374992806</v>
      </c>
      <c r="L229" s="9">
        <f t="shared" si="42"/>
        <v>0.58603927843907722</v>
      </c>
      <c r="M229" s="9">
        <f t="shared" si="43"/>
        <v>7.9298862549553414E-2</v>
      </c>
      <c r="X229" s="9">
        <f t="shared" si="44"/>
        <v>0.73518913118381146</v>
      </c>
      <c r="Y229" s="9">
        <f t="shared" si="45"/>
        <v>0.97543277473549139</v>
      </c>
      <c r="Z229" s="9">
        <f t="shared" si="46"/>
        <v>0.55928971973139741</v>
      </c>
      <c r="AB229" s="9">
        <f t="shared" si="47"/>
        <v>0.70054511816952214</v>
      </c>
      <c r="AC229" s="9">
        <f t="shared" si="48"/>
        <v>0.72173638635484139</v>
      </c>
      <c r="AD229" s="9">
        <f t="shared" si="49"/>
        <v>0.66567811959230117</v>
      </c>
      <c r="AE229" s="9">
        <f t="shared" si="50"/>
        <v>0.70026787052801465</v>
      </c>
    </row>
    <row r="230" spans="7:31" x14ac:dyDescent="0.3">
      <c r="G230" s="9">
        <v>225</v>
      </c>
      <c r="H230" s="9">
        <f t="shared" si="51"/>
        <v>4.5732441471571912</v>
      </c>
      <c r="I230" s="9">
        <f t="shared" si="39"/>
        <v>0.67983414556419952</v>
      </c>
      <c r="J230" s="9">
        <f t="shared" si="40"/>
        <v>0.76004267268166159</v>
      </c>
      <c r="K230" s="9">
        <f t="shared" si="41"/>
        <v>0.83057689742902563</v>
      </c>
      <c r="L230" s="9">
        <f t="shared" si="42"/>
        <v>0.58369981160232431</v>
      </c>
      <c r="M230" s="9">
        <f t="shared" si="43"/>
        <v>7.9292047871494464E-2</v>
      </c>
      <c r="X230" s="9">
        <f t="shared" si="44"/>
        <v>0.73151985162757338</v>
      </c>
      <c r="Y230" s="9">
        <f t="shared" si="45"/>
        <v>0.91552963389080178</v>
      </c>
      <c r="Z230" s="9">
        <f t="shared" si="46"/>
        <v>0.55737919402989033</v>
      </c>
      <c r="AB230" s="9">
        <f t="shared" si="47"/>
        <v>0.7056959847457891</v>
      </c>
      <c r="AC230" s="9">
        <f t="shared" si="48"/>
        <v>0.72838308733607693</v>
      </c>
      <c r="AD230" s="9">
        <f t="shared" si="49"/>
        <v>0.66959957042212792</v>
      </c>
      <c r="AE230" s="9">
        <f t="shared" si="50"/>
        <v>0.70561789922813078</v>
      </c>
    </row>
    <row r="231" spans="7:31" x14ac:dyDescent="0.3">
      <c r="G231" s="9">
        <v>226</v>
      </c>
      <c r="H231" s="9">
        <f t="shared" si="51"/>
        <v>4.5802675585284289</v>
      </c>
      <c r="I231" s="9">
        <f t="shared" si="39"/>
        <v>0.67301925880624958</v>
      </c>
      <c r="J231" s="9">
        <f t="shared" si="40"/>
        <v>0.7564539275045955</v>
      </c>
      <c r="K231" s="9">
        <f t="shared" si="41"/>
        <v>0.79713907738143863</v>
      </c>
      <c r="L231" s="9">
        <f t="shared" si="42"/>
        <v>0.58128984641936854</v>
      </c>
      <c r="M231" s="9">
        <f t="shared" si="43"/>
        <v>7.9285078677316601E-2</v>
      </c>
      <c r="X231" s="9">
        <f t="shared" si="44"/>
        <v>0.72748100434624663</v>
      </c>
      <c r="Y231" s="9">
        <f t="shared" si="45"/>
        <v>0.84503755400790892</v>
      </c>
      <c r="Z231" s="9">
        <f t="shared" si="46"/>
        <v>0.55540330450715969</v>
      </c>
      <c r="AB231" s="9">
        <f t="shared" si="47"/>
        <v>0.71081978264921575</v>
      </c>
      <c r="AC231" s="9">
        <f t="shared" si="48"/>
        <v>0.73457187867930573</v>
      </c>
      <c r="AD231" s="9">
        <f t="shared" si="49"/>
        <v>0.67350737330551469</v>
      </c>
      <c r="AE231" s="9">
        <f t="shared" si="50"/>
        <v>0.71094352213153811</v>
      </c>
    </row>
    <row r="232" spans="7:31" x14ac:dyDescent="0.3">
      <c r="G232" s="9">
        <v>227</v>
      </c>
      <c r="H232" s="9">
        <f t="shared" si="51"/>
        <v>4.5872909698996667</v>
      </c>
      <c r="I232" s="9">
        <f t="shared" si="39"/>
        <v>0.66612386429258474</v>
      </c>
      <c r="J232" s="9">
        <f t="shared" si="40"/>
        <v>0.75263797308725477</v>
      </c>
      <c r="K232" s="9">
        <f t="shared" si="41"/>
        <v>0.77035625689113441</v>
      </c>
      <c r="L232" s="9">
        <f t="shared" si="42"/>
        <v>0.57881008264283196</v>
      </c>
      <c r="M232" s="9">
        <f t="shared" si="43"/>
        <v>7.927795500776369E-2</v>
      </c>
      <c r="X232" s="9">
        <f t="shared" si="44"/>
        <v>0.72307258933983121</v>
      </c>
      <c r="Y232" s="9">
        <f t="shared" si="45"/>
        <v>0.76395653508681305</v>
      </c>
      <c r="Z232" s="9">
        <f t="shared" si="46"/>
        <v>0.5533620511632058</v>
      </c>
      <c r="AB232" s="9">
        <f t="shared" si="47"/>
        <v>0.71591391625363832</v>
      </c>
      <c r="AC232" s="9">
        <f t="shared" si="48"/>
        <v>0.74022838990967754</v>
      </c>
      <c r="AD232" s="9">
        <f t="shared" si="49"/>
        <v>0.67740106916545639</v>
      </c>
      <c r="AE232" s="9">
        <f t="shared" si="50"/>
        <v>0.71624314149891422</v>
      </c>
    </row>
    <row r="233" spans="7:31" x14ac:dyDescent="0.3">
      <c r="G233" s="9">
        <v>228</v>
      </c>
      <c r="H233" s="9">
        <f t="shared" si="51"/>
        <v>4.5943143812709044</v>
      </c>
      <c r="I233" s="9">
        <f t="shared" si="39"/>
        <v>0.65915185147203192</v>
      </c>
      <c r="J233" s="9">
        <f t="shared" si="40"/>
        <v>0.74859572610859382</v>
      </c>
      <c r="K233" s="9">
        <f t="shared" si="41"/>
        <v>0.75006668922675901</v>
      </c>
      <c r="L233" s="9">
        <f t="shared" si="42"/>
        <v>0.57626124962414604</v>
      </c>
      <c r="M233" s="9">
        <f t="shared" si="43"/>
        <v>7.927067690448257E-2</v>
      </c>
      <c r="X233" s="9">
        <f t="shared" si="44"/>
        <v>0.71871630109000983</v>
      </c>
      <c r="Y233" s="9">
        <f t="shared" si="45"/>
        <v>0.74369138273647084</v>
      </c>
      <c r="Z233" s="9">
        <f t="shared" si="46"/>
        <v>0.55125543399802834</v>
      </c>
      <c r="AB233" s="9">
        <f t="shared" si="47"/>
        <v>0.72097656253210995</v>
      </c>
      <c r="AC233" s="9">
        <f t="shared" si="48"/>
        <v>0.74549871798752809</v>
      </c>
      <c r="AD233" s="9">
        <f t="shared" si="49"/>
        <v>0.68128019892494851</v>
      </c>
      <c r="AE233" s="9">
        <f t="shared" si="50"/>
        <v>0.72151516451338238</v>
      </c>
    </row>
    <row r="234" spans="7:31" x14ac:dyDescent="0.3">
      <c r="G234" s="9">
        <v>229</v>
      </c>
      <c r="H234" s="9">
        <f t="shared" si="51"/>
        <v>4.6013377926421422</v>
      </c>
      <c r="I234" s="9">
        <f t="shared" si="39"/>
        <v>0.65210712059095532</v>
      </c>
      <c r="J234" s="9">
        <f t="shared" si="40"/>
        <v>0.74432853171866109</v>
      </c>
      <c r="K234" s="9">
        <f t="shared" si="41"/>
        <v>0.73599416599997447</v>
      </c>
      <c r="L234" s="9">
        <f t="shared" si="42"/>
        <v>0.57364410598065896</v>
      </c>
      <c r="M234" s="9">
        <f t="shared" si="43"/>
        <v>7.9263244410022429E-2</v>
      </c>
      <c r="X234" s="9">
        <f t="shared" si="44"/>
        <v>0.71436948070444273</v>
      </c>
      <c r="Y234" s="9">
        <f t="shared" si="45"/>
        <v>0.71845441136208421</v>
      </c>
      <c r="Z234" s="9">
        <f t="shared" si="46"/>
        <v>0.54908345301162753</v>
      </c>
      <c r="AB234" s="9">
        <f t="shared" si="47"/>
        <v>0.7260093608768089</v>
      </c>
      <c r="AC234" s="9">
        <f t="shared" si="48"/>
        <v>0.75064263999522385</v>
      </c>
      <c r="AD234" s="9">
        <f t="shared" si="49"/>
        <v>0.68514430350698474</v>
      </c>
      <c r="AE234" s="9">
        <f t="shared" si="50"/>
        <v>0.72675800630356324</v>
      </c>
    </row>
    <row r="235" spans="7:31" x14ac:dyDescent="0.3">
      <c r="G235" s="9">
        <v>230</v>
      </c>
      <c r="H235" s="9">
        <f t="shared" si="51"/>
        <v>4.6083612040133799</v>
      </c>
      <c r="I235" s="9">
        <f t="shared" si="39"/>
        <v>0.64499357911398703</v>
      </c>
      <c r="J235" s="9">
        <f t="shared" si="40"/>
        <v>0.73983815823072241</v>
      </c>
      <c r="K235" s="9">
        <f t="shared" si="41"/>
        <v>0.72787065764148862</v>
      </c>
      <c r="L235" s="9">
        <f t="shared" si="42"/>
        <v>0.57095943923943648</v>
      </c>
      <c r="M235" s="9">
        <f t="shared" si="43"/>
        <v>7.9255657567834772E-2</v>
      </c>
      <c r="X235" s="9">
        <f t="shared" si="44"/>
        <v>0.70964189357181406</v>
      </c>
      <c r="Y235" s="9">
        <f t="shared" si="45"/>
        <v>0.67733403143039328</v>
      </c>
      <c r="Z235" s="9">
        <f t="shared" si="46"/>
        <v>0.54690930434748186</v>
      </c>
      <c r="AB235" s="9">
        <f t="shared" si="47"/>
        <v>0.73101029257303252</v>
      </c>
      <c r="AC235" s="9">
        <f t="shared" si="48"/>
        <v>0.75555353451505558</v>
      </c>
      <c r="AD235" s="9">
        <f t="shared" si="49"/>
        <v>0.68899299113412549</v>
      </c>
      <c r="AE235" s="9">
        <f t="shared" si="50"/>
        <v>0.73197009293523352</v>
      </c>
    </row>
    <row r="236" spans="7:31" x14ac:dyDescent="0.3">
      <c r="G236" s="9">
        <v>231</v>
      </c>
      <c r="H236" s="9">
        <f t="shared" si="51"/>
        <v>4.6153846153846176</v>
      </c>
      <c r="I236" s="9">
        <f t="shared" si="39"/>
        <v>0.63781513817459479</v>
      </c>
      <c r="J236" s="9">
        <f t="shared" si="40"/>
        <v>0.73512679019197924</v>
      </c>
      <c r="K236" s="9">
        <f t="shared" si="41"/>
        <v>0.72549711778676862</v>
      </c>
      <c r="L236" s="9">
        <f t="shared" si="42"/>
        <v>0.56820806545791469</v>
      </c>
      <c r="M236" s="9">
        <f t="shared" si="43"/>
        <v>7.9247916422272691E-2</v>
      </c>
      <c r="X236" s="9">
        <f t="shared" si="44"/>
        <v>0.7066409998129598</v>
      </c>
      <c r="Y236" s="9">
        <f t="shared" si="45"/>
        <v>0.68145825510740787</v>
      </c>
      <c r="Z236" s="9">
        <f t="shared" si="46"/>
        <v>0.54481586369864632</v>
      </c>
      <c r="AB236" s="9">
        <f t="shared" si="47"/>
        <v>0.73598303445616775</v>
      </c>
      <c r="AC236" s="9">
        <f t="shared" si="48"/>
        <v>0.76022872702959976</v>
      </c>
      <c r="AD236" s="9">
        <f t="shared" si="49"/>
        <v>0.69282684602016065</v>
      </c>
      <c r="AE236" s="9">
        <f t="shared" si="50"/>
        <v>0.73714986435996854</v>
      </c>
    </row>
    <row r="237" spans="7:31" x14ac:dyDescent="0.3">
      <c r="G237" s="9">
        <v>232</v>
      </c>
      <c r="H237" s="9">
        <f t="shared" si="51"/>
        <v>4.6224080267558554</v>
      </c>
      <c r="I237" s="9">
        <f t="shared" si="39"/>
        <v>0.63057570905989779</v>
      </c>
      <c r="J237" s="9">
        <f t="shared" si="40"/>
        <v>0.73019701990514452</v>
      </c>
      <c r="K237" s="9">
        <f t="shared" si="41"/>
        <v>0.72873334545476598</v>
      </c>
      <c r="L237" s="9">
        <f t="shared" si="42"/>
        <v>0.56539082882158709</v>
      </c>
      <c r="M237" s="9">
        <f t="shared" si="43"/>
        <v>7.9240021018590664E-2</v>
      </c>
      <c r="X237" s="9">
        <f t="shared" si="44"/>
        <v>0.70363406241337401</v>
      </c>
      <c r="Y237" s="9">
        <f t="shared" si="45"/>
        <v>0.73404998566381108</v>
      </c>
      <c r="Z237" s="9">
        <f t="shared" si="46"/>
        <v>0.54265851175794788</v>
      </c>
      <c r="AB237" s="9">
        <f t="shared" si="47"/>
        <v>0.74093570860343194</v>
      </c>
      <c r="AC237" s="9">
        <f t="shared" si="48"/>
        <v>0.7652045333984131</v>
      </c>
      <c r="AD237" s="9">
        <f t="shared" si="49"/>
        <v>0.69664577337369105</v>
      </c>
      <c r="AE237" s="9">
        <f t="shared" si="50"/>
        <v>0.74229577730963703</v>
      </c>
    </row>
    <row r="238" spans="7:31" x14ac:dyDescent="0.3">
      <c r="G238" s="9">
        <v>233</v>
      </c>
      <c r="H238" s="9">
        <f t="shared" si="51"/>
        <v>4.6294314381270931</v>
      </c>
      <c r="I238" s="9">
        <f t="shared" si="39"/>
        <v>0.62327919973404255</v>
      </c>
      <c r="J238" s="9">
        <f t="shared" si="40"/>
        <v>0.72505183747976065</v>
      </c>
      <c r="K238" s="9">
        <f t="shared" si="41"/>
        <v>0.7374239769806995</v>
      </c>
      <c r="L238" s="9">
        <f t="shared" si="42"/>
        <v>0.56250860121893365</v>
      </c>
      <c r="M238" s="9">
        <f t="shared" si="43"/>
        <v>7.9231971402943802E-2</v>
      </c>
      <c r="X238" s="9">
        <f t="shared" si="44"/>
        <v>0.70027995533264487</v>
      </c>
      <c r="Y238" s="9">
        <f t="shared" si="45"/>
        <v>0.77817056498965165</v>
      </c>
      <c r="Z238" s="9">
        <f t="shared" si="46"/>
        <v>0.54043724852538622</v>
      </c>
      <c r="AB238" s="9">
        <f t="shared" si="47"/>
        <v>0.74586604463462791</v>
      </c>
      <c r="AC238" s="9">
        <f t="shared" si="48"/>
        <v>0.77051996493570929</v>
      </c>
      <c r="AD238" s="9">
        <f t="shared" si="49"/>
        <v>0.7004493243194222</v>
      </c>
      <c r="AE238" s="9">
        <f t="shared" si="50"/>
        <v>0.74740630812613384</v>
      </c>
    </row>
    <row r="239" spans="7:31" x14ac:dyDescent="0.3">
      <c r="G239" s="9">
        <v>234</v>
      </c>
      <c r="H239" s="9">
        <f t="shared" si="51"/>
        <v>4.6364548494983309</v>
      </c>
      <c r="I239" s="9">
        <f t="shared" si="39"/>
        <v>0.6159295114043406</v>
      </c>
      <c r="J239" s="9">
        <f t="shared" si="40"/>
        <v>0.71969461949810654</v>
      </c>
      <c r="K239" s="9">
        <f t="shared" si="41"/>
        <v>0.75128192794563919</v>
      </c>
      <c r="L239" s="9">
        <f t="shared" si="42"/>
        <v>0.55956228179383305</v>
      </c>
      <c r="M239" s="9">
        <f t="shared" si="43"/>
        <v>7.9223767622387753E-2</v>
      </c>
      <c r="X239" s="9">
        <f t="shared" si="44"/>
        <v>0.69657867857077116</v>
      </c>
      <c r="Y239" s="9">
        <f t="shared" si="45"/>
        <v>0.81381999308493014</v>
      </c>
      <c r="Z239" s="9">
        <f t="shared" si="46"/>
        <v>0.53815207400096188</v>
      </c>
      <c r="AB239" s="9">
        <f t="shared" si="47"/>
        <v>0.75077160423426947</v>
      </c>
      <c r="AC239" s="9">
        <f t="shared" si="48"/>
        <v>0.7761155252616081</v>
      </c>
      <c r="AD239" s="9">
        <f t="shared" si="49"/>
        <v>0.70423704998206038</v>
      </c>
      <c r="AE239" s="9">
        <f t="shared" si="50"/>
        <v>0.75247995551632385</v>
      </c>
    </row>
    <row r="240" spans="7:31" x14ac:dyDescent="0.3">
      <c r="G240" s="9">
        <v>235</v>
      </c>
      <c r="H240" s="9">
        <f t="shared" si="51"/>
        <v>4.6434782608695686</v>
      </c>
      <c r="I240" s="9">
        <f t="shared" si="39"/>
        <v>0.60853053513426214</v>
      </c>
      <c r="J240" s="9">
        <f t="shared" si="40"/>
        <v>0.71412911638571053</v>
      </c>
      <c r="K240" s="9">
        <f t="shared" si="41"/>
        <v>0.76976021289377217</v>
      </c>
      <c r="L240" s="9">
        <f t="shared" si="42"/>
        <v>0.55655279647573408</v>
      </c>
      <c r="M240" s="9">
        <f t="shared" si="43"/>
        <v>7.9215409724878075E-2</v>
      </c>
      <c r="X240" s="9">
        <f t="shared" si="44"/>
        <v>0.69253023212775355</v>
      </c>
      <c r="Y240" s="9">
        <f t="shared" si="45"/>
        <v>0.84099826994964633</v>
      </c>
      <c r="Z240" s="9">
        <f t="shared" si="46"/>
        <v>0.5358029881846742</v>
      </c>
      <c r="AB240" s="9">
        <f t="shared" si="47"/>
        <v>0.75564994908687055</v>
      </c>
      <c r="AC240" s="9">
        <f t="shared" si="48"/>
        <v>0.78193171799622918</v>
      </c>
      <c r="AD240" s="9">
        <f t="shared" si="49"/>
        <v>0.70800850148631156</v>
      </c>
      <c r="AE240" s="9">
        <f t="shared" si="50"/>
        <v>0.75751524322278041</v>
      </c>
    </row>
    <row r="241" spans="7:31" x14ac:dyDescent="0.3">
      <c r="G241" s="9">
        <v>236</v>
      </c>
      <c r="H241" s="9">
        <f t="shared" si="51"/>
        <v>4.6505016722408064</v>
      </c>
      <c r="I241" s="9">
        <f t="shared" si="39"/>
        <v>0.60108614850725106</v>
      </c>
      <c r="J241" s="9">
        <f t="shared" si="40"/>
        <v>0.70835943858097816</v>
      </c>
      <c r="K241" s="9">
        <f t="shared" si="41"/>
        <v>0.79194625732996937</v>
      </c>
      <c r="L241" s="9">
        <f t="shared" si="42"/>
        <v>0.55348109748787533</v>
      </c>
      <c r="M241" s="9">
        <f t="shared" si="43"/>
        <v>7.9206897759269687E-2</v>
      </c>
      <c r="X241" s="9">
        <f t="shared" si="44"/>
        <v>0.68813461600359249</v>
      </c>
      <c r="Y241" s="9">
        <f t="shared" si="45"/>
        <v>0.85970539558379988</v>
      </c>
      <c r="Z241" s="9">
        <f t="shared" si="46"/>
        <v>0.53338999107652407</v>
      </c>
      <c r="AB241" s="9">
        <f t="shared" si="47"/>
        <v>0.76049864087694485</v>
      </c>
      <c r="AC241" s="9">
        <f t="shared" si="48"/>
        <v>0.78790904675969242</v>
      </c>
      <c r="AD241" s="9">
        <f t="shared" si="49"/>
        <v>0.71176322995688113</v>
      </c>
      <c r="AE241" s="9">
        <f t="shared" si="50"/>
        <v>0.76251072260154418</v>
      </c>
    </row>
    <row r="242" spans="7:31" x14ac:dyDescent="0.3">
      <c r="G242" s="9">
        <v>237</v>
      </c>
      <c r="H242" s="9">
        <f t="shared" si="51"/>
        <v>4.6575250836120441</v>
      </c>
      <c r="I242" s="9">
        <f t="shared" si="39"/>
        <v>0.59360021234520888</v>
      </c>
      <c r="J242" s="9">
        <f t="shared" si="40"/>
        <v>0.70239004160212659</v>
      </c>
      <c r="K242" s="9">
        <f t="shared" si="41"/>
        <v>0.81650904338979047</v>
      </c>
      <c r="L242" s="9">
        <f t="shared" si="42"/>
        <v>0.55034816283389187</v>
      </c>
      <c r="M242" s="9">
        <f t="shared" si="43"/>
        <v>7.9198231775316583E-2</v>
      </c>
      <c r="X242" s="9">
        <f t="shared" si="44"/>
        <v>0.68339183019828742</v>
      </c>
      <c r="Y242" s="9">
        <f t="shared" si="45"/>
        <v>0.86994136998739091</v>
      </c>
      <c r="Z242" s="9">
        <f t="shared" si="46"/>
        <v>0.53091308267651061</v>
      </c>
      <c r="AB242" s="9">
        <f t="shared" si="47"/>
        <v>0.76531524128900552</v>
      </c>
      <c r="AC242" s="9">
        <f t="shared" si="48"/>
        <v>0.79398801517211781</v>
      </c>
      <c r="AD242" s="9">
        <f t="shared" si="49"/>
        <v>0.71550078651847582</v>
      </c>
      <c r="AE242" s="9">
        <f t="shared" si="50"/>
        <v>0.76746497509881995</v>
      </c>
    </row>
    <row r="243" spans="7:31" x14ac:dyDescent="0.3">
      <c r="G243" s="9">
        <v>238</v>
      </c>
      <c r="H243" s="9">
        <f t="shared" si="51"/>
        <v>4.6645484949832818</v>
      </c>
      <c r="I243" s="9">
        <f t="shared" si="39"/>
        <v>0.58607656748536219</v>
      </c>
      <c r="J243" s="9">
        <f t="shared" si="40"/>
        <v>0.69622571011260204</v>
      </c>
      <c r="K243" s="9">
        <f t="shared" si="41"/>
        <v>0.84171948303247168</v>
      </c>
      <c r="L243" s="9">
        <f t="shared" si="42"/>
        <v>0.5471549957631624</v>
      </c>
      <c r="M243" s="9">
        <f t="shared" si="43"/>
        <v>7.9189411823671202E-2</v>
      </c>
      <c r="X243" s="9">
        <f t="shared" si="44"/>
        <v>0.67830187471183778</v>
      </c>
      <c r="Y243" s="9">
        <f t="shared" si="45"/>
        <v>0.87170619316041975</v>
      </c>
      <c r="Z243" s="9">
        <f t="shared" si="46"/>
        <v>0.52837226298463447</v>
      </c>
      <c r="AB243" s="9">
        <f t="shared" si="47"/>
        <v>0.77009731200756704</v>
      </c>
      <c r="AC243" s="9">
        <f t="shared" si="48"/>
        <v>0.80010912685362501</v>
      </c>
      <c r="AD243" s="9">
        <f t="shared" si="49"/>
        <v>0.71922072229580147</v>
      </c>
      <c r="AE243" s="9">
        <f t="shared" si="50"/>
        <v>0.77237661461921003</v>
      </c>
    </row>
    <row r="244" spans="7:31" x14ac:dyDescent="0.3">
      <c r="G244" s="9">
        <v>239</v>
      </c>
      <c r="H244" s="9">
        <f t="shared" si="51"/>
        <v>4.6715719063545196</v>
      </c>
      <c r="I244" s="9">
        <f t="shared" si="39"/>
        <v>0.5785190316190898</v>
      </c>
      <c r="J244" s="9">
        <f t="shared" si="40"/>
        <v>0.68987154108840021</v>
      </c>
      <c r="K244" s="9">
        <f t="shared" si="41"/>
        <v>0.86555024225884514</v>
      </c>
      <c r="L244" s="9">
        <f t="shared" si="42"/>
        <v>0.54390262421528479</v>
      </c>
      <c r="M244" s="9">
        <f t="shared" si="43"/>
        <v>7.9180437955883892E-2</v>
      </c>
      <c r="X244" s="9">
        <f t="shared" si="44"/>
        <v>0.6728647495442448</v>
      </c>
      <c r="Y244" s="9">
        <f t="shared" si="45"/>
        <v>0.86499986510288629</v>
      </c>
      <c r="Z244" s="9">
        <f t="shared" si="46"/>
        <v>0.52576753200089532</v>
      </c>
      <c r="AB244" s="9">
        <f t="shared" si="47"/>
        <v>0.77484241471714299</v>
      </c>
      <c r="AC244" s="9">
        <f t="shared" si="48"/>
        <v>0.80621288542433367</v>
      </c>
      <c r="AD244" s="9">
        <f t="shared" si="49"/>
        <v>0.72292258841356383</v>
      </c>
      <c r="AE244" s="9">
        <f t="shared" si="50"/>
        <v>0.77724428977882254</v>
      </c>
    </row>
    <row r="245" spans="7:31" x14ac:dyDescent="0.3">
      <c r="G245" s="9">
        <v>240</v>
      </c>
      <c r="H245" s="9">
        <f t="shared" si="51"/>
        <v>4.6785953177257573</v>
      </c>
      <c r="I245" s="9">
        <f t="shared" si="39"/>
        <v>0.57093139619615008</v>
      </c>
      <c r="J245" s="9">
        <f t="shared" si="40"/>
        <v>0.68333292619220831</v>
      </c>
      <c r="K245" s="9">
        <f t="shared" si="41"/>
        <v>0.88584559215801972</v>
      </c>
      <c r="L245" s="9">
        <f t="shared" si="42"/>
        <v>0.54059210024409554</v>
      </c>
      <c r="M245" s="9">
        <f t="shared" si="43"/>
        <v>7.9171310224402686E-2</v>
      </c>
      <c r="X245" s="9">
        <f t="shared" si="44"/>
        <v>0.6670804546955077</v>
      </c>
      <c r="Y245" s="9">
        <f t="shared" si="45"/>
        <v>0.84982238581479019</v>
      </c>
      <c r="Z245" s="9">
        <f t="shared" si="46"/>
        <v>0.52309888972529273</v>
      </c>
      <c r="AB245" s="9">
        <f t="shared" si="47"/>
        <v>0.7795481111022462</v>
      </c>
      <c r="AC245" s="9">
        <f t="shared" si="48"/>
        <v>0.81223979450436379</v>
      </c>
      <c r="AD245" s="9">
        <f t="shared" si="49"/>
        <v>0.72660593599646861</v>
      </c>
      <c r="AE245" s="9">
        <f t="shared" si="50"/>
        <v>0.782066686037306</v>
      </c>
    </row>
    <row r="246" spans="7:31" x14ac:dyDescent="0.3">
      <c r="G246" s="9">
        <v>241</v>
      </c>
      <c r="H246" s="9">
        <f t="shared" si="51"/>
        <v>4.6856187290969951</v>
      </c>
      <c r="I246" s="9">
        <f t="shared" si="39"/>
        <v>0.56331742339760105</v>
      </c>
      <c r="J246" s="9">
        <f t="shared" si="40"/>
        <v>0.67661553346012127</v>
      </c>
      <c r="K246" s="9">
        <f t="shared" si="41"/>
        <v>0.900537755283914</v>
      </c>
      <c r="L246" s="9">
        <f t="shared" si="42"/>
        <v>0.53722449942167771</v>
      </c>
      <c r="M246" s="9">
        <f t="shared" si="43"/>
        <v>7.9162028682572341E-2</v>
      </c>
      <c r="X246" s="9">
        <f t="shared" si="44"/>
        <v>0.6609489901656268</v>
      </c>
      <c r="Y246" s="9">
        <f t="shared" si="45"/>
        <v>0.8261737552961318</v>
      </c>
      <c r="Z246" s="9">
        <f t="shared" si="46"/>
        <v>0.52036633615782801</v>
      </c>
      <c r="AB246" s="9">
        <f t="shared" si="47"/>
        <v>0.7842119628473917</v>
      </c>
      <c r="AC246" s="9">
        <f t="shared" si="48"/>
        <v>0.8181303577138348</v>
      </c>
      <c r="AD246" s="9">
        <f t="shared" si="49"/>
        <v>0.73027031616922278</v>
      </c>
      <c r="AE246" s="9">
        <f t="shared" si="50"/>
        <v>0.78684252770361562</v>
      </c>
    </row>
    <row r="247" spans="7:31" x14ac:dyDescent="0.3">
      <c r="G247" s="9">
        <v>242</v>
      </c>
      <c r="H247" s="9">
        <f t="shared" si="51"/>
        <v>4.6926421404682328</v>
      </c>
      <c r="I247" s="9">
        <f t="shared" si="39"/>
        <v>0.55568084318055488</v>
      </c>
      <c r="J247" s="9">
        <f t="shared" si="40"/>
        <v>0.66972528840682322</v>
      </c>
      <c r="K247" s="9">
        <f t="shared" si="41"/>
        <v>0.90787636326535137</v>
      </c>
      <c r="L247" s="9">
        <f t="shared" si="42"/>
        <v>0.53380092022282932</v>
      </c>
      <c r="M247" s="9">
        <f t="shared" si="43"/>
        <v>7.9152593384634359E-2</v>
      </c>
      <c r="X247" s="9">
        <f t="shared" si="44"/>
        <v>0.65447035595460157</v>
      </c>
      <c r="Y247" s="9">
        <f t="shared" si="45"/>
        <v>0.81496832870736757</v>
      </c>
      <c r="Z247" s="9">
        <f t="shared" si="46"/>
        <v>0.51756987129849974</v>
      </c>
      <c r="AB247" s="9">
        <f t="shared" si="47"/>
        <v>0.78883153163709241</v>
      </c>
      <c r="AC247" s="9">
        <f t="shared" si="48"/>
        <v>0.82387188079181006</v>
      </c>
      <c r="AD247" s="9">
        <f t="shared" si="49"/>
        <v>0.73391528005653117</v>
      </c>
      <c r="AE247" s="9">
        <f t="shared" si="50"/>
        <v>0.79157057981105472</v>
      </c>
    </row>
    <row r="248" spans="7:31" x14ac:dyDescent="0.3">
      <c r="G248" s="9">
        <v>243</v>
      </c>
      <c r="H248" s="9">
        <f t="shared" si="51"/>
        <v>4.6996655518394705</v>
      </c>
      <c r="I248" s="9">
        <f t="shared" si="39"/>
        <v>0.54802535039776468</v>
      </c>
      <c r="J248" s="9">
        <f t="shared" si="40"/>
        <v>0.66266835465459506</v>
      </c>
      <c r="K248" s="9">
        <f t="shared" si="41"/>
        <v>0.90663393359445421</v>
      </c>
      <c r="L248" s="9">
        <f t="shared" si="42"/>
        <v>0.53032248339049026</v>
      </c>
      <c r="M248" s="9">
        <f t="shared" si="43"/>
        <v>7.9143004385726037E-2</v>
      </c>
      <c r="X248" s="9">
        <f t="shared" si="44"/>
        <v>0.64764455206243254</v>
      </c>
      <c r="Y248" s="9">
        <f t="shared" si="45"/>
        <v>0.80569040116912438</v>
      </c>
      <c r="Z248" s="9">
        <f t="shared" si="46"/>
        <v>0.51470949514730857</v>
      </c>
      <c r="AB248" s="9">
        <f t="shared" si="47"/>
        <v>0.79340437915586226</v>
      </c>
      <c r="AC248" s="9">
        <f t="shared" si="48"/>
        <v>0.82956935480753602</v>
      </c>
      <c r="AD248" s="9">
        <f t="shared" si="49"/>
        <v>0.73754037878310041</v>
      </c>
      <c r="AE248" s="9">
        <f t="shared" si="50"/>
        <v>0.79624964985787505</v>
      </c>
    </row>
    <row r="249" spans="7:31" x14ac:dyDescent="0.3">
      <c r="G249" s="9">
        <v>244</v>
      </c>
      <c r="H249" s="9">
        <f t="shared" si="51"/>
        <v>4.7066889632107083</v>
      </c>
      <c r="I249" s="9">
        <f t="shared" si="39"/>
        <v>0.54035460199487295</v>
      </c>
      <c r="J249" s="9">
        <f t="shared" si="40"/>
        <v>0.65545111419040225</v>
      </c>
      <c r="K249" s="9">
        <f t="shared" si="41"/>
        <v>0.89625341228842714</v>
      </c>
      <c r="L249" s="9">
        <f t="shared" si="42"/>
        <v>0.52679033128265651</v>
      </c>
      <c r="M249" s="9">
        <f t="shared" si="43"/>
        <v>7.9133261741879984E-2</v>
      </c>
      <c r="X249" s="9">
        <f t="shared" si="44"/>
        <v>0.64047157848911951</v>
      </c>
      <c r="Y249" s="9">
        <f t="shared" si="45"/>
        <v>0.7858235345926784</v>
      </c>
      <c r="Z249" s="9">
        <f t="shared" si="46"/>
        <v>0.51179879222983593</v>
      </c>
      <c r="AB249" s="9">
        <f t="shared" si="47"/>
        <v>0.79792806708821462</v>
      </c>
      <c r="AC249" s="9">
        <f t="shared" si="48"/>
        <v>0.83516448088406336</v>
      </c>
      <c r="AD249" s="9">
        <f t="shared" si="49"/>
        <v>0.7411451665867923</v>
      </c>
      <c r="AE249" s="9">
        <f t="shared" si="50"/>
        <v>0.80087858941046064</v>
      </c>
    </row>
    <row r="250" spans="7:31" x14ac:dyDescent="0.3">
      <c r="G250" s="9">
        <v>245</v>
      </c>
      <c r="H250" s="9">
        <f t="shared" si="51"/>
        <v>4.713712374581946</v>
      </c>
      <c r="I250" s="9">
        <f t="shared" si="39"/>
        <v>0.53267221428800515</v>
      </c>
      <c r="J250" s="9">
        <f t="shared" si="40"/>
        <v>0.64808014735357677</v>
      </c>
      <c r="K250" s="9">
        <f t="shared" si="41"/>
        <v>0.87691319762494402</v>
      </c>
      <c r="L250" s="9">
        <f t="shared" si="42"/>
        <v>0.52320562720132946</v>
      </c>
      <c r="M250" s="9">
        <f t="shared" si="43"/>
        <v>7.9123365510023858E-2</v>
      </c>
      <c r="X250" s="9">
        <f t="shared" si="44"/>
        <v>0.63497998998514205</v>
      </c>
      <c r="Y250" s="9">
        <f t="shared" si="45"/>
        <v>0.76922969466626823</v>
      </c>
      <c r="Z250" s="9">
        <f t="shared" si="46"/>
        <v>0.50901951563460723</v>
      </c>
      <c r="AB250" s="9">
        <f t="shared" si="47"/>
        <v>0.80240458005851512</v>
      </c>
      <c r="AC250" s="9">
        <f t="shared" si="48"/>
        <v>0.84059608229102434</v>
      </c>
      <c r="AD250" s="9">
        <f t="shared" si="49"/>
        <v>0.74473001659863558</v>
      </c>
      <c r="AE250" s="9">
        <f t="shared" si="50"/>
        <v>0.80545629556684295</v>
      </c>
    </row>
    <row r="251" spans="7:31" x14ac:dyDescent="0.3">
      <c r="G251" s="9">
        <v>246</v>
      </c>
      <c r="H251" s="9">
        <f t="shared" si="51"/>
        <v>4.7207357859531838</v>
      </c>
      <c r="I251" s="9">
        <f t="shared" si="39"/>
        <v>0.5249817603242195</v>
      </c>
      <c r="J251" s="9">
        <f t="shared" si="40"/>
        <v>0.64056221265434365</v>
      </c>
      <c r="K251" s="9">
        <f t="shared" si="41"/>
        <v>0.84949885296643435</v>
      </c>
      <c r="L251" s="9">
        <f t="shared" si="42"/>
        <v>0.51956955470408428</v>
      </c>
      <c r="M251" s="9">
        <f t="shared" si="43"/>
        <v>7.9113315747979543E-2</v>
      </c>
      <c r="X251" s="9">
        <f t="shared" si="44"/>
        <v>0.6304115889505495</v>
      </c>
      <c r="Y251" s="9">
        <f t="shared" si="45"/>
        <v>0.78120528048327642</v>
      </c>
      <c r="Z251" s="9">
        <f t="shared" si="46"/>
        <v>0.50617778027687654</v>
      </c>
      <c r="AB251" s="9">
        <f t="shared" si="47"/>
        <v>0.80684843983530907</v>
      </c>
      <c r="AC251" s="9">
        <f t="shared" si="48"/>
        <v>0.84604509188613908</v>
      </c>
      <c r="AD251" s="9">
        <f t="shared" si="49"/>
        <v>0.7482951272708448</v>
      </c>
      <c r="AE251" s="9">
        <f t="shared" si="50"/>
        <v>0.80998171227901183</v>
      </c>
    </row>
    <row r="252" spans="7:31" x14ac:dyDescent="0.3">
      <c r="G252" s="9">
        <v>247</v>
      </c>
      <c r="H252" s="9">
        <f t="shared" si="51"/>
        <v>4.7277591973244215</v>
      </c>
      <c r="I252" s="9">
        <f t="shared" si="39"/>
        <v>0.5172867673271706</v>
      </c>
      <c r="J252" s="9">
        <f t="shared" si="40"/>
        <v>0.63290422652067391</v>
      </c>
      <c r="K252" s="9">
        <f t="shared" si="41"/>
        <v>0.81548630718354909</v>
      </c>
      <c r="L252" s="9">
        <f t="shared" si="42"/>
        <v>0.51588331689885569</v>
      </c>
      <c r="M252" s="9">
        <f t="shared" si="43"/>
        <v>7.9103112514462587E-2</v>
      </c>
      <c r="X252" s="9">
        <f t="shared" si="44"/>
        <v>0.62554081432270259</v>
      </c>
      <c r="Y252" s="9">
        <f t="shared" si="45"/>
        <v>0.78576860897354228</v>
      </c>
      <c r="Z252" s="9">
        <f t="shared" si="46"/>
        <v>0.50327358615664286</v>
      </c>
      <c r="AB252" s="9">
        <f t="shared" si="47"/>
        <v>0.81125915200526166</v>
      </c>
      <c r="AC252" s="9">
        <f t="shared" si="48"/>
        <v>0.85155218128066035</v>
      </c>
      <c r="AD252" s="9">
        <f t="shared" si="49"/>
        <v>0.75184005992983716</v>
      </c>
      <c r="AE252" s="9">
        <f t="shared" si="50"/>
        <v>0.81445383153317041</v>
      </c>
    </row>
    <row r="253" spans="7:31" x14ac:dyDescent="0.3">
      <c r="G253" s="9">
        <v>248</v>
      </c>
      <c r="H253" s="9">
        <f t="shared" si="51"/>
        <v>4.7347826086956593</v>
      </c>
      <c r="I253" s="9">
        <f t="shared" si="39"/>
        <v>0.50959071423016922</v>
      </c>
      <c r="J253" s="9">
        <f t="shared" si="40"/>
        <v>0.62511324306766369</v>
      </c>
      <c r="K253" s="9">
        <f t="shared" si="41"/>
        <v>0.77675580977891978</v>
      </c>
      <c r="L253" s="9">
        <f t="shared" si="42"/>
        <v>0.51214813572256956</v>
      </c>
      <c r="M253" s="9">
        <f t="shared" si="43"/>
        <v>7.9092755869081599E-2</v>
      </c>
      <c r="X253" s="9">
        <f t="shared" si="44"/>
        <v>0.62036766610160143</v>
      </c>
      <c r="Y253" s="9">
        <f t="shared" si="45"/>
        <v>0.78291968013706648</v>
      </c>
      <c r="Z253" s="9">
        <f t="shared" si="46"/>
        <v>0.50030693327390685</v>
      </c>
      <c r="AB253" s="9">
        <f t="shared" si="47"/>
        <v>0.81563459287423934</v>
      </c>
      <c r="AC253" s="9">
        <f t="shared" si="48"/>
        <v>0.85706529114219332</v>
      </c>
      <c r="AD253" s="9">
        <f t="shared" si="49"/>
        <v>0.75536437590202965</v>
      </c>
      <c r="AE253" s="9">
        <f t="shared" si="50"/>
        <v>0.81887169438777629</v>
      </c>
    </row>
    <row r="254" spans="7:31" x14ac:dyDescent="0.3">
      <c r="G254" s="9">
        <v>249</v>
      </c>
      <c r="H254" s="9">
        <f t="shared" si="51"/>
        <v>4.741806020066897</v>
      </c>
      <c r="I254" s="9">
        <f t="shared" si="39"/>
        <v>0.50189702929866098</v>
      </c>
      <c r="J254" s="9">
        <f t="shared" si="40"/>
        <v>0.61719643397997714</v>
      </c>
      <c r="K254" s="9">
        <f t="shared" si="41"/>
        <v>0.73536662016808663</v>
      </c>
      <c r="L254" s="9">
        <f t="shared" si="42"/>
        <v>0.50836525120427334</v>
      </c>
      <c r="M254" s="9">
        <f t="shared" si="43"/>
        <v>7.9082245872338169E-2</v>
      </c>
      <c r="X254" s="9">
        <f t="shared" si="44"/>
        <v>0.61489214428724559</v>
      </c>
      <c r="Y254" s="9">
        <f t="shared" si="45"/>
        <v>0.77265849397384823</v>
      </c>
      <c r="Z254" s="9">
        <f t="shared" si="46"/>
        <v>0.49727782162866879</v>
      </c>
      <c r="AB254" s="9">
        <f t="shared" si="47"/>
        <v>0.81997263874810944</v>
      </c>
      <c r="AC254" s="9">
        <f t="shared" si="48"/>
        <v>0.86253236213834295</v>
      </c>
      <c r="AD254" s="9">
        <f t="shared" si="49"/>
        <v>0.75886763651383959</v>
      </c>
      <c r="AE254" s="9">
        <f t="shared" si="50"/>
        <v>0.82323439186983349</v>
      </c>
    </row>
    <row r="255" spans="7:31" x14ac:dyDescent="0.3">
      <c r="G255" s="9">
        <v>250</v>
      </c>
      <c r="H255" s="9">
        <f t="shared" si="51"/>
        <v>4.7488294314381347</v>
      </c>
      <c r="I255" s="9">
        <f t="shared" si="39"/>
        <v>0.49420908784397743</v>
      </c>
      <c r="J255" s="9">
        <f t="shared" si="40"/>
        <v>0.60916106859381203</v>
      </c>
      <c r="K255" s="9">
        <f t="shared" si="41"/>
        <v>0.69332752462644054</v>
      </c>
      <c r="L255" s="9">
        <f t="shared" si="42"/>
        <v>0.50453592071343412</v>
      </c>
      <c r="M255" s="9">
        <f t="shared" si="43"/>
        <v>7.9071582585625508E-2</v>
      </c>
      <c r="X255" s="9">
        <f t="shared" si="44"/>
        <v>0.60911424887963539</v>
      </c>
      <c r="Y255" s="9">
        <f t="shared" si="45"/>
        <v>0.75498505048388798</v>
      </c>
      <c r="Z255" s="9">
        <f t="shared" si="46"/>
        <v>0.49418625122092802</v>
      </c>
      <c r="AB255" s="9">
        <f t="shared" si="47"/>
        <v>0.82427116593273853</v>
      </c>
      <c r="AC255" s="9">
        <f t="shared" si="48"/>
        <v>0.86790133493671395</v>
      </c>
      <c r="AD255" s="9">
        <f t="shared" si="49"/>
        <v>0.76234940309168409</v>
      </c>
      <c r="AE255" s="9">
        <f t="shared" si="50"/>
        <v>0.82754106573054476</v>
      </c>
    </row>
    <row r="256" spans="7:31" x14ac:dyDescent="0.3">
      <c r="G256" s="9">
        <v>251</v>
      </c>
      <c r="H256" s="9">
        <f t="shared" si="51"/>
        <v>4.7558528428093725</v>
      </c>
      <c r="I256" s="9">
        <f t="shared" si="39"/>
        <v>0.48653021003003821</v>
      </c>
      <c r="J256" s="9">
        <f t="shared" si="40"/>
        <v>0.60101449426041953</v>
      </c>
      <c r="K256" s="9">
        <f t="shared" si="41"/>
        <v>0.65239707248119394</v>
      </c>
      <c r="L256" s="9">
        <f t="shared" si="42"/>
        <v>0.50066141819410259</v>
      </c>
      <c r="M256" s="9">
        <f t="shared" si="43"/>
        <v>7.9060766071228333E-2</v>
      </c>
      <c r="X256" s="9">
        <f t="shared" si="44"/>
        <v>0.60303397987877094</v>
      </c>
      <c r="Y256" s="9">
        <f t="shared" si="45"/>
        <v>0.72989934966718573</v>
      </c>
      <c r="Z256" s="9">
        <f t="shared" si="46"/>
        <v>0.49103222205068481</v>
      </c>
      <c r="AB256" s="9">
        <f t="shared" si="47"/>
        <v>0.82852805073399338</v>
      </c>
      <c r="AC256" s="9">
        <f t="shared" si="48"/>
        <v>0.87312015020491074</v>
      </c>
      <c r="AD256" s="9">
        <f t="shared" si="49"/>
        <v>0.76580923696198056</v>
      </c>
      <c r="AE256" s="9">
        <f t="shared" si="50"/>
        <v>0.83179090906201347</v>
      </c>
    </row>
    <row r="257" spans="7:31" x14ac:dyDescent="0.3">
      <c r="G257" s="9">
        <v>252</v>
      </c>
      <c r="H257" s="9">
        <f t="shared" si="51"/>
        <v>4.7628762541806102</v>
      </c>
      <c r="I257" s="9">
        <f t="shared" si="39"/>
        <v>0.47886365877452086</v>
      </c>
      <c r="J257" s="9">
        <f t="shared" si="40"/>
        <v>0.59276411706849819</v>
      </c>
      <c r="K257" s="9">
        <f t="shared" si="41"/>
        <v>0.61394040630518321</v>
      </c>
      <c r="L257" s="9">
        <f t="shared" si="42"/>
        <v>0.49674303338565762</v>
      </c>
      <c r="M257" s="9">
        <f t="shared" si="43"/>
        <v>7.9049796392322208E-2</v>
      </c>
      <c r="X257" s="9">
        <f t="shared" si="44"/>
        <v>0.59665133728465203</v>
      </c>
      <c r="Y257" s="9">
        <f t="shared" si="45"/>
        <v>0.69740139152374114</v>
      </c>
      <c r="Z257" s="9">
        <f t="shared" si="46"/>
        <v>0.48781573411793916</v>
      </c>
      <c r="AB257" s="9">
        <f t="shared" si="47"/>
        <v>0.83274116945774102</v>
      </c>
      <c r="AC257" s="9">
        <f t="shared" si="48"/>
        <v>0.87813674861053859</v>
      </c>
      <c r="AD257" s="9">
        <f t="shared" si="49"/>
        <v>0.76924669945114632</v>
      </c>
      <c r="AE257" s="9">
        <f t="shared" si="50"/>
        <v>0.83598316677724527</v>
      </c>
    </row>
    <row r="258" spans="7:31" x14ac:dyDescent="0.3">
      <c r="G258" s="9">
        <v>253</v>
      </c>
      <c r="H258" s="9">
        <f t="shared" si="51"/>
        <v>4.769899665551848</v>
      </c>
      <c r="I258" s="9">
        <f t="shared" si="39"/>
        <v>0.47121263774584377</v>
      </c>
      <c r="J258" s="9">
        <f t="shared" si="40"/>
        <v>0.58441738299779356</v>
      </c>
      <c r="K258" s="9">
        <f t="shared" si="41"/>
        <v>0.57885829643738873</v>
      </c>
      <c r="L258" s="9">
        <f t="shared" si="42"/>
        <v>0.4927820710308668</v>
      </c>
      <c r="M258" s="9">
        <f t="shared" si="43"/>
        <v>7.9038673612972815E-2</v>
      </c>
      <c r="X258" s="9">
        <f t="shared" si="44"/>
        <v>0.58996632109727842</v>
      </c>
      <c r="Y258" s="9">
        <f t="shared" si="45"/>
        <v>0.65749117605355456</v>
      </c>
      <c r="Z258" s="9">
        <f t="shared" si="46"/>
        <v>0.48453678742269091</v>
      </c>
      <c r="AB258" s="9">
        <f t="shared" si="47"/>
        <v>0.83690839840984732</v>
      </c>
      <c r="AC258" s="9">
        <f t="shared" si="48"/>
        <v>0.88289907082120211</v>
      </c>
      <c r="AD258" s="9">
        <f t="shared" si="49"/>
        <v>0.77266135188559826</v>
      </c>
      <c r="AE258" s="9">
        <f t="shared" si="50"/>
        <v>0.84011713595623216</v>
      </c>
    </row>
    <row r="259" spans="7:31" x14ac:dyDescent="0.3">
      <c r="G259" s="9">
        <v>254</v>
      </c>
      <c r="H259" s="9">
        <f t="shared" si="51"/>
        <v>4.7769230769230857</v>
      </c>
      <c r="I259" s="9">
        <f t="shared" si="39"/>
        <v>0.46358028945713237</v>
      </c>
      <c r="J259" s="9">
        <f t="shared" si="40"/>
        <v>0.57598175957104503</v>
      </c>
      <c r="K259" s="9">
        <f t="shared" si="41"/>
        <v>0.54759075600791818</v>
      </c>
      <c r="L259" s="9">
        <f t="shared" si="42"/>
        <v>0.48877985007201263</v>
      </c>
      <c r="M259" s="9">
        <f t="shared" si="43"/>
        <v>7.9027397798135363E-2</v>
      </c>
      <c r="X259" s="9">
        <f t="shared" si="44"/>
        <v>0.58297893131665057</v>
      </c>
      <c r="Y259" s="9">
        <f t="shared" si="45"/>
        <v>0.61016870325662598</v>
      </c>
      <c r="Z259" s="9">
        <f t="shared" si="46"/>
        <v>0.48119538196494049</v>
      </c>
      <c r="AB259" s="9">
        <f t="shared" si="47"/>
        <v>0.84102761389618041</v>
      </c>
      <c r="AC259" s="9">
        <f t="shared" si="48"/>
        <v>0.88735505750450616</v>
      </c>
      <c r="AD259" s="9">
        <f t="shared" si="49"/>
        <v>0.7760527555917538</v>
      </c>
      <c r="AE259" s="9">
        <f t="shared" si="50"/>
        <v>0.84419216606137804</v>
      </c>
    </row>
    <row r="260" spans="7:31" x14ac:dyDescent="0.3">
      <c r="G260" s="9">
        <v>255</v>
      </c>
      <c r="H260" s="9">
        <f t="shared" si="51"/>
        <v>4.7839464882943235</v>
      </c>
      <c r="I260" s="9">
        <f t="shared" si="39"/>
        <v>0.45596969345817795</v>
      </c>
      <c r="J260" s="9">
        <f t="shared" si="40"/>
        <v>0.56746471806603627</v>
      </c>
      <c r="K260" s="9">
        <f t="shared" si="41"/>
        <v>0.52018492273443329</v>
      </c>
      <c r="L260" s="9">
        <f t="shared" si="42"/>
        <v>0.48473770283586698</v>
      </c>
      <c r="M260" s="9">
        <f t="shared" si="43"/>
        <v>7.9015969013654083E-2</v>
      </c>
      <c r="X260" s="9">
        <f t="shared" si="44"/>
        <v>0.57568916794276837</v>
      </c>
      <c r="Y260" s="9">
        <f t="shared" si="45"/>
        <v>0.55543397313295517</v>
      </c>
      <c r="Z260" s="9">
        <f t="shared" si="46"/>
        <v>0.47779151774468787</v>
      </c>
      <c r="AB260" s="9">
        <f t="shared" si="47"/>
        <v>0.84509669222260586</v>
      </c>
      <c r="AC260" s="9">
        <f t="shared" si="48"/>
        <v>0.89145264932805557</v>
      </c>
      <c r="AD260" s="9">
        <f t="shared" si="49"/>
        <v>0.77942047189603014</v>
      </c>
      <c r="AE260" s="9">
        <f t="shared" si="50"/>
        <v>0.84820765902599349</v>
      </c>
    </row>
    <row r="261" spans="7:31" x14ac:dyDescent="0.3">
      <c r="G261" s="9">
        <v>256</v>
      </c>
      <c r="H261" s="9">
        <f t="shared" si="51"/>
        <v>4.7909698996655612</v>
      </c>
      <c r="I261" s="9">
        <f t="shared" si="39"/>
        <v>0.44838386462622692</v>
      </c>
      <c r="J261" s="9">
        <f t="shared" si="40"/>
        <v>0.55887371634400462</v>
      </c>
      <c r="K261" s="9">
        <f t="shared" si="41"/>
        <v>0.49640700737051791</v>
      </c>
      <c r="L261" s="9">
        <f t="shared" si="42"/>
        <v>0.4806569742082859</v>
      </c>
      <c r="M261" s="9">
        <f t="shared" si="43"/>
        <v>7.9004387326261388E-2</v>
      </c>
      <c r="X261" s="9">
        <f t="shared" si="44"/>
        <v>0.56809703097563202</v>
      </c>
      <c r="Y261" s="9">
        <f t="shared" si="45"/>
        <v>0.50643371776170365</v>
      </c>
      <c r="Z261" s="9">
        <f t="shared" si="46"/>
        <v>0.47432519476193247</v>
      </c>
      <c r="AB261" s="9">
        <f t="shared" si="47"/>
        <v>0.84911350969499111</v>
      </c>
      <c r="AC261" s="9">
        <f t="shared" si="48"/>
        <v>0.89515809317825412</v>
      </c>
      <c r="AD261" s="9">
        <f t="shared" si="49"/>
        <v>0.78276406212484417</v>
      </c>
      <c r="AE261" s="9">
        <f t="shared" si="50"/>
        <v>0.85216306921999219</v>
      </c>
    </row>
    <row r="262" spans="7:31" x14ac:dyDescent="0.3">
      <c r="G262" s="9">
        <v>257</v>
      </c>
      <c r="H262" s="9">
        <f t="shared" si="51"/>
        <v>4.7979933110367989</v>
      </c>
      <c r="I262" s="9">
        <f t="shared" si="39"/>
        <v>0.44082575155626913</v>
      </c>
      <c r="J262" s="9">
        <f t="shared" si="40"/>
        <v>0.55021618234506342</v>
      </c>
      <c r="K262" s="9">
        <f t="shared" si="41"/>
        <v>0.47587262155023596</v>
      </c>
      <c r="L262" s="9">
        <f t="shared" si="42"/>
        <v>0.4765390207992426</v>
      </c>
      <c r="M262" s="9">
        <f t="shared" si="43"/>
        <v>7.899265280357734E-2</v>
      </c>
      <c r="X262" s="9">
        <f t="shared" si="44"/>
        <v>0.56020252041524099</v>
      </c>
      <c r="Y262" s="9">
        <f t="shared" si="45"/>
        <v>0.46869171361838313</v>
      </c>
      <c r="Z262" s="9">
        <f t="shared" si="46"/>
        <v>0.47079641301667463</v>
      </c>
      <c r="AB262" s="9">
        <f t="shared" si="47"/>
        <v>0.85307594261920272</v>
      </c>
      <c r="AC262" s="9">
        <f t="shared" si="48"/>
        <v>0.89858802448543673</v>
      </c>
      <c r="AD262" s="9">
        <f t="shared" si="49"/>
        <v>0.78608308760461365</v>
      </c>
      <c r="AE262" s="9">
        <f t="shared" si="50"/>
        <v>0.85605790329729714</v>
      </c>
    </row>
    <row r="263" spans="7:31" x14ac:dyDescent="0.3">
      <c r="G263" s="9">
        <v>258</v>
      </c>
      <c r="H263" s="9">
        <f t="shared" si="51"/>
        <v>4.8050167224080367</v>
      </c>
      <c r="I263" s="9">
        <f t="shared" ref="I263:I305" si="52">_xlfn.NORM.DIST($H263, $E$5, $E$6, FALSE)</f>
        <v>0.43329823505133463</v>
      </c>
      <c r="J263" s="9">
        <f t="shared" ref="J263:J305" si="53">EstymacjaGaussowska($H263, $B$6:$B$155)</f>
        <v>0.54149949829561583</v>
      </c>
      <c r="K263" s="9">
        <f t="shared" ref="K263:K305" si="54">EstymacjaGaussowska($H263, $B$6:$B$155, $K$5)</f>
        <v>0.4581693881593944</v>
      </c>
      <c r="L263" s="9">
        <f t="shared" ref="L263:L305" si="55">EstymacjaGaussowska($H263, $B$6:$B$155, $L$5)</f>
        <v>0.47238521009910944</v>
      </c>
      <c r="M263" s="9">
        <f t="shared" ref="M263:M305" si="56">EstymacjaGaussowska($H263, $B$6:$B$155, $M$5)</f>
        <v>7.8980765514109014E-2</v>
      </c>
      <c r="X263" s="9">
        <f t="shared" ref="X263:X305" si="57">EstymacjaEpanecznikowa($H263, $B$6:$B$155, $X$5)</f>
        <v>0.55200563626159538</v>
      </c>
      <c r="Y263" s="9">
        <f t="shared" ref="Y263:Y305" si="58">EstymacjaEpanecznikowa($H263, $B$6:$B$155, $Y$5)</f>
        <v>0.42141966434068018</v>
      </c>
      <c r="Z263" s="9">
        <f t="shared" ref="Z263:Z305" si="59">EstymacjaEpanecznikowa($H263, $B$6:$B$155, $Z$5)</f>
        <v>0.46720517250891425</v>
      </c>
      <c r="AB263" s="9">
        <f t="shared" ref="AB263:AB305" si="60">EstymacjaDystrybuanty($H263, $B$6:$B$155, $AB$5)</f>
        <v>0.85698186730110759</v>
      </c>
      <c r="AC263" s="9">
        <f t="shared" ref="AC263:AC305" si="61">EstymacjaDystrybuanty($H263, $B$6:$B$155, $AC$5)</f>
        <v>0.90171941145786338</v>
      </c>
      <c r="AD263" s="9">
        <f t="shared" ref="AD263:AD305" si="62">EstymacjaDystrybuanty($H263, $B$6:$B$155, $AD$5)</f>
        <v>0.78937710966175534</v>
      </c>
      <c r="AE263" s="9">
        <f t="shared" ref="AE263:AE305" si="63">EstymacjaGaussowskaDystrybuanta($H263, $B$6:$B$155, $AE$5)</f>
        <v>0.8598917199298044</v>
      </c>
    </row>
    <row r="264" spans="7:31" x14ac:dyDescent="0.3">
      <c r="G264" s="9">
        <v>259</v>
      </c>
      <c r="H264" s="9">
        <f t="shared" ref="H264:H305" si="64">$H263 + $E$9</f>
        <v>4.8120401337792744</v>
      </c>
      <c r="I264" s="9">
        <f t="shared" si="52"/>
        <v>0.42580412671313866</v>
      </c>
      <c r="J264" s="9">
        <f t="shared" si="53"/>
        <v>0.532730985667073</v>
      </c>
      <c r="K264" s="9">
        <f t="shared" si="54"/>
        <v>0.44295010330697548</v>
      </c>
      <c r="L264" s="9">
        <f t="shared" si="55"/>
        <v>0.46819691962701837</v>
      </c>
      <c r="M264" s="9">
        <f t="shared" si="56"/>
        <v>7.8968725527249761E-2</v>
      </c>
      <c r="X264" s="9">
        <f t="shared" si="57"/>
        <v>0.54413122958166749</v>
      </c>
      <c r="Y264" s="9">
        <f t="shared" si="58"/>
        <v>0.36746139638526143</v>
      </c>
      <c r="Z264" s="9">
        <f t="shared" si="59"/>
        <v>0.46372410478863435</v>
      </c>
      <c r="AB264" s="9">
        <f t="shared" si="60"/>
        <v>0.86083000118470865</v>
      </c>
      <c r="AC264" s="9">
        <f t="shared" si="61"/>
        <v>0.90448565716599338</v>
      </c>
      <c r="AD264" s="9">
        <f t="shared" si="62"/>
        <v>0.79264619059682828</v>
      </c>
      <c r="AE264" s="9">
        <f t="shared" si="63"/>
        <v>0.86366412943304605</v>
      </c>
    </row>
    <row r="265" spans="7:31" x14ac:dyDescent="0.3">
      <c r="G265" s="9">
        <v>260</v>
      </c>
      <c r="H265" s="9">
        <f t="shared" si="64"/>
        <v>4.8190635451505122</v>
      </c>
      <c r="I265" s="9">
        <f t="shared" si="52"/>
        <v>0.41834616763325699</v>
      </c>
      <c r="J265" s="9">
        <f t="shared" si="53"/>
        <v>0.52391789091950502</v>
      </c>
      <c r="K265" s="9">
        <f t="shared" si="54"/>
        <v>0.42998270260748539</v>
      </c>
      <c r="L265" s="9">
        <f t="shared" si="55"/>
        <v>0.4639755360721462</v>
      </c>
      <c r="M265" s="9">
        <f t="shared" si="56"/>
        <v>7.8956532913278477E-2</v>
      </c>
      <c r="X265" s="9">
        <f t="shared" si="57"/>
        <v>0.53697372132441157</v>
      </c>
      <c r="Y265" s="9">
        <f t="shared" si="58"/>
        <v>0.38823588630782407</v>
      </c>
      <c r="Z265" s="9">
        <f t="shared" si="59"/>
        <v>0.4602179755845941</v>
      </c>
      <c r="AB265" s="9">
        <f t="shared" si="60"/>
        <v>0.86462668745284432</v>
      </c>
      <c r="AC265" s="9">
        <f t="shared" si="61"/>
        <v>0.90714192262606164</v>
      </c>
      <c r="AD265" s="9">
        <f t="shared" si="62"/>
        <v>0.79589083895964674</v>
      </c>
      <c r="AE265" s="9">
        <f t="shared" si="63"/>
        <v>0.86737479328895051</v>
      </c>
    </row>
    <row r="266" spans="7:31" x14ac:dyDescent="0.3">
      <c r="G266" s="9">
        <v>261</v>
      </c>
      <c r="H266" s="9">
        <f t="shared" si="64"/>
        <v>4.8260869565217499</v>
      </c>
      <c r="I266" s="9">
        <f t="shared" si="52"/>
        <v>0.41092702718485563</v>
      </c>
      <c r="J266" s="9">
        <f t="shared" si="53"/>
        <v>0.51506737205824593</v>
      </c>
      <c r="K266" s="9">
        <f t="shared" si="54"/>
        <v>0.41915314485513111</v>
      </c>
      <c r="L266" s="9">
        <f t="shared" si="55"/>
        <v>0.45972245442877363</v>
      </c>
      <c r="M266" s="9">
        <f t="shared" si="56"/>
        <v>7.8944187743359207E-2</v>
      </c>
      <c r="X266" s="9">
        <f t="shared" si="57"/>
        <v>0.52953623751784595</v>
      </c>
      <c r="Y266" s="9">
        <f t="shared" si="58"/>
        <v>0.40477480061510557</v>
      </c>
      <c r="Z266" s="9">
        <f t="shared" si="59"/>
        <v>0.4566508401474122</v>
      </c>
      <c r="AB266" s="9">
        <f t="shared" si="60"/>
        <v>0.86837212040436784</v>
      </c>
      <c r="AC266" s="9">
        <f t="shared" si="61"/>
        <v>0.90992922177991375</v>
      </c>
      <c r="AD266" s="9">
        <f t="shared" si="62"/>
        <v>0.79911064809880894</v>
      </c>
      <c r="AE266" s="9">
        <f t="shared" si="63"/>
        <v>0.87102342357131646</v>
      </c>
    </row>
    <row r="267" spans="7:31" x14ac:dyDescent="0.3">
      <c r="G267" s="9">
        <v>262</v>
      </c>
      <c r="H267" s="9">
        <f t="shared" si="64"/>
        <v>4.8331103678929876</v>
      </c>
      <c r="I267" s="9">
        <f t="shared" si="52"/>
        <v>0.40354930191483801</v>
      </c>
      <c r="J267" s="9">
        <f t="shared" si="53"/>
        <v>0.50618648602591454</v>
      </c>
      <c r="K267" s="9">
        <f t="shared" si="54"/>
        <v>0.41042709835012325</v>
      </c>
      <c r="L267" s="9">
        <f t="shared" si="55"/>
        <v>0.45543907712598214</v>
      </c>
      <c r="M267" s="9">
        <f t="shared" si="56"/>
        <v>7.8931690089540069E-2</v>
      </c>
      <c r="X267" s="9">
        <f t="shared" si="57"/>
        <v>0.52181877816197086</v>
      </c>
      <c r="Y267" s="9">
        <f t="shared" si="58"/>
        <v>0.4170781393071058</v>
      </c>
      <c r="Z267" s="9">
        <f t="shared" si="59"/>
        <v>0.45302269847708809</v>
      </c>
      <c r="AB267" s="9">
        <f t="shared" si="60"/>
        <v>0.87206433365582259</v>
      </c>
      <c r="AC267" s="9">
        <f t="shared" si="61"/>
        <v>0.91281780643760957</v>
      </c>
      <c r="AD267" s="9">
        <f t="shared" si="62"/>
        <v>0.8023051895424429</v>
      </c>
      <c r="AE267" s="9">
        <f t="shared" si="63"/>
        <v>0.87460978227978614</v>
      </c>
    </row>
    <row r="268" spans="7:31" x14ac:dyDescent="0.3">
      <c r="G268" s="9">
        <v>263</v>
      </c>
      <c r="H268" s="9">
        <f t="shared" si="64"/>
        <v>4.8401337792642254</v>
      </c>
      <c r="I268" s="9">
        <f t="shared" si="52"/>
        <v>0.39621551453612486</v>
      </c>
      <c r="J268" s="9">
        <f t="shared" si="53"/>
        <v>0.49728217694689419</v>
      </c>
      <c r="K268" s="9">
        <f t="shared" si="54"/>
        <v>0.40378418402367222</v>
      </c>
      <c r="L268" s="9">
        <f t="shared" si="55"/>
        <v>0.45112681315286118</v>
      </c>
      <c r="M268" s="9">
        <f t="shared" si="56"/>
        <v>7.8919040024752779E-2</v>
      </c>
      <c r="X268" s="9">
        <f t="shared" si="57"/>
        <v>0.51382134325678597</v>
      </c>
      <c r="Y268" s="9">
        <f t="shared" si="58"/>
        <v>0.42514590238382488</v>
      </c>
      <c r="Z268" s="9">
        <f t="shared" si="59"/>
        <v>0.4493335505736224</v>
      </c>
      <c r="AB268" s="9">
        <f t="shared" si="60"/>
        <v>0.87570136082375205</v>
      </c>
      <c r="AC268" s="9">
        <f t="shared" si="61"/>
        <v>0.9157779284092088</v>
      </c>
      <c r="AD268" s="9">
        <f t="shared" si="62"/>
        <v>0.80547403481867719</v>
      </c>
      <c r="AE268" s="9">
        <f t="shared" si="63"/>
        <v>0.87813368058825703</v>
      </c>
    </row>
    <row r="269" spans="7:31" x14ac:dyDescent="0.3">
      <c r="G269" s="9">
        <v>264</v>
      </c>
      <c r="H269" s="9">
        <f t="shared" si="64"/>
        <v>4.8471571906354631</v>
      </c>
      <c r="I269" s="9">
        <f t="shared" si="52"/>
        <v>0.38892811301962904</v>
      </c>
      <c r="J269" s="9">
        <f t="shared" si="53"/>
        <v>0.4883612652359906</v>
      </c>
      <c r="K269" s="9">
        <f t="shared" si="54"/>
        <v>0.39914315052557164</v>
      </c>
      <c r="L269" s="9">
        <f t="shared" si="55"/>
        <v>0.44678707718009347</v>
      </c>
      <c r="M269" s="9">
        <f t="shared" si="56"/>
        <v>7.8906237622811945E-2</v>
      </c>
      <c r="X269" s="9">
        <f t="shared" si="57"/>
        <v>0.50554393280229137</v>
      </c>
      <c r="Y269" s="9">
        <f t="shared" si="58"/>
        <v>0.42897808984526281</v>
      </c>
      <c r="Z269" s="9">
        <f t="shared" si="59"/>
        <v>0.4455833964370145</v>
      </c>
      <c r="AB269" s="9">
        <f t="shared" si="60"/>
        <v>0.87928123552469895</v>
      </c>
      <c r="AC269" s="9">
        <f t="shared" si="61"/>
        <v>0.9187798395047716</v>
      </c>
      <c r="AD269" s="9">
        <f t="shared" si="62"/>
        <v>0.80861675545564049</v>
      </c>
      <c r="AE269" s="9">
        <f t="shared" si="63"/>
        <v>0.88159497801375819</v>
      </c>
    </row>
    <row r="270" spans="7:31" x14ac:dyDescent="0.3">
      <c r="G270" s="9">
        <v>265</v>
      </c>
      <c r="H270" s="9">
        <f t="shared" si="64"/>
        <v>4.8541806020067009</v>
      </c>
      <c r="I270" s="9">
        <f t="shared" si="52"/>
        <v>0.38168946978534007</v>
      </c>
      <c r="J270" s="9">
        <f t="shared" si="53"/>
        <v>0.47943043757786946</v>
      </c>
      <c r="K270" s="9">
        <f t="shared" si="54"/>
        <v>0.39629707041568546</v>
      </c>
      <c r="L270" s="9">
        <f t="shared" si="55"/>
        <v>0.44242128867881081</v>
      </c>
      <c r="M270" s="9">
        <f t="shared" si="56"/>
        <v>7.8893282958414301E-2</v>
      </c>
      <c r="X270" s="9">
        <f t="shared" si="57"/>
        <v>0.49698654679848719</v>
      </c>
      <c r="Y270" s="9">
        <f t="shared" si="58"/>
        <v>0.42857470169141948</v>
      </c>
      <c r="Z270" s="9">
        <f t="shared" si="59"/>
        <v>0.44177223606726496</v>
      </c>
      <c r="AB270" s="9">
        <f t="shared" si="60"/>
        <v>0.88280199137520754</v>
      </c>
      <c r="AC270" s="9">
        <f t="shared" si="61"/>
        <v>0.92179379153435748</v>
      </c>
      <c r="AD270" s="9">
        <f t="shared" si="62"/>
        <v>0.81173292298146105</v>
      </c>
      <c r="AE270" s="9">
        <f t="shared" si="63"/>
        <v>0.88499358151188379</v>
      </c>
    </row>
    <row r="271" spans="7:31" x14ac:dyDescent="0.3">
      <c r="G271" s="9">
        <v>266</v>
      </c>
      <c r="H271" s="9">
        <f t="shared" si="64"/>
        <v>4.8612040133779386</v>
      </c>
      <c r="I271" s="9">
        <f t="shared" si="52"/>
        <v>0.3745018809917946</v>
      </c>
      <c r="J271" s="9">
        <f t="shared" si="53"/>
        <v>0.47049623777889282</v>
      </c>
      <c r="K271" s="9">
        <f t="shared" si="54"/>
        <v>0.39487455829310431</v>
      </c>
      <c r="L271" s="9">
        <f t="shared" si="55"/>
        <v>0.43803087103759675</v>
      </c>
      <c r="M271" s="9">
        <f t="shared" si="56"/>
        <v>7.8880176107137795E-2</v>
      </c>
      <c r="X271" s="9">
        <f t="shared" si="57"/>
        <v>0.48814918524537343</v>
      </c>
      <c r="Y271" s="9">
        <f t="shared" si="58"/>
        <v>0.423935737922295</v>
      </c>
      <c r="Z271" s="9">
        <f t="shared" si="59"/>
        <v>0.43790006946437326</v>
      </c>
      <c r="AB271" s="9">
        <f t="shared" si="60"/>
        <v>0.88626166199182022</v>
      </c>
      <c r="AC271" s="9">
        <f t="shared" si="61"/>
        <v>0.92479003630802681</v>
      </c>
      <c r="AD271" s="9">
        <f t="shared" si="62"/>
        <v>0.81482210892426676</v>
      </c>
      <c r="AE271" s="9">
        <f t="shared" si="63"/>
        <v>0.88832944450492124</v>
      </c>
    </row>
    <row r="272" spans="7:31" x14ac:dyDescent="0.3">
      <c r="G272" s="9">
        <v>267</v>
      </c>
      <c r="H272" s="9">
        <f t="shared" si="64"/>
        <v>4.8682274247491764</v>
      </c>
      <c r="I272" s="9">
        <f t="shared" si="52"/>
        <v>0.36736756592306241</v>
      </c>
      <c r="J272" s="9">
        <f t="shared" si="53"/>
        <v>0.46156505848824192</v>
      </c>
      <c r="K272" s="9">
        <f t="shared" si="54"/>
        <v>0.39433692668147147</v>
      </c>
      <c r="L272" s="9">
        <f t="shared" si="55"/>
        <v>0.43361725067853307</v>
      </c>
      <c r="M272" s="9">
        <f t="shared" si="56"/>
        <v>7.8866917145441404E-2</v>
      </c>
      <c r="X272" s="9">
        <f t="shared" si="57"/>
        <v>0.47903184814295013</v>
      </c>
      <c r="Y272" s="9">
        <f t="shared" si="58"/>
        <v>0.41506119853788914</v>
      </c>
      <c r="Z272" s="9">
        <f t="shared" si="59"/>
        <v>0.43396689662833993</v>
      </c>
      <c r="AB272" s="9">
        <f t="shared" si="60"/>
        <v>0.88965828099108069</v>
      </c>
      <c r="AC272" s="9">
        <f t="shared" si="61"/>
        <v>0.9277388256358392</v>
      </c>
      <c r="AD272" s="9">
        <f t="shared" si="62"/>
        <v>0.81788388481218732</v>
      </c>
      <c r="AE272" s="9">
        <f t="shared" si="63"/>
        <v>0.89160256584877273</v>
      </c>
    </row>
    <row r="273" spans="7:31" x14ac:dyDescent="0.3">
      <c r="G273" s="9">
        <v>268</v>
      </c>
      <c r="H273" s="9">
        <f t="shared" si="64"/>
        <v>4.8752508361204141</v>
      </c>
      <c r="I273" s="9">
        <f t="shared" si="52"/>
        <v>0.36028866647225138</v>
      </c>
      <c r="J273" s="9">
        <f t="shared" si="53"/>
        <v>0.45264313378065435</v>
      </c>
      <c r="K273" s="9">
        <f t="shared" si="54"/>
        <v>0.39401343446488701</v>
      </c>
      <c r="L273" s="9">
        <f t="shared" si="55"/>
        <v>0.42918185617317073</v>
      </c>
      <c r="M273" s="9">
        <f t="shared" si="56"/>
        <v>7.8853506150663583E-2</v>
      </c>
      <c r="X273" s="9">
        <f t="shared" si="57"/>
        <v>0.46963453549121698</v>
      </c>
      <c r="Y273" s="9">
        <f t="shared" si="58"/>
        <v>0.40195108353820219</v>
      </c>
      <c r="Z273" s="9">
        <f t="shared" si="59"/>
        <v>0.42997271755916444</v>
      </c>
      <c r="AB273" s="9">
        <f t="shared" si="60"/>
        <v>0.89298988198953255</v>
      </c>
      <c r="AC273" s="9">
        <f t="shared" si="61"/>
        <v>0.93061041132785449</v>
      </c>
      <c r="AD273" s="9">
        <f t="shared" si="62"/>
        <v>0.82091782217335041</v>
      </c>
      <c r="AE273" s="9">
        <f t="shared" si="63"/>
        <v>0.89481298874476922</v>
      </c>
    </row>
    <row r="274" spans="7:31" x14ac:dyDescent="0.3">
      <c r="G274" s="9">
        <v>269</v>
      </c>
      <c r="H274" s="9">
        <f t="shared" si="64"/>
        <v>4.8822742474916518</v>
      </c>
      <c r="I274" s="9">
        <f t="shared" si="52"/>
        <v>0.35326724672039644</v>
      </c>
      <c r="J274" s="9">
        <f t="shared" si="53"/>
        <v>0.44373653258884627</v>
      </c>
      <c r="K274" s="9">
        <f t="shared" si="54"/>
        <v>0.39316891203984683</v>
      </c>
      <c r="L274" s="9">
        <f t="shared" si="55"/>
        <v>0.42472611735931759</v>
      </c>
      <c r="M274" s="9">
        <f t="shared" si="56"/>
        <v>7.8839943201022375E-2</v>
      </c>
      <c r="X274" s="9">
        <f t="shared" si="57"/>
        <v>0.45995724729017434</v>
      </c>
      <c r="Y274" s="9">
        <f t="shared" si="58"/>
        <v>0.38460539292323409</v>
      </c>
      <c r="Z274" s="9">
        <f t="shared" si="59"/>
        <v>0.42591753225684709</v>
      </c>
      <c r="AB274" s="9">
        <f t="shared" si="60"/>
        <v>0.8962544986037182</v>
      </c>
      <c r="AC274" s="9">
        <f t="shared" si="61"/>
        <v>0.93337504519413306</v>
      </c>
      <c r="AD274" s="9">
        <f t="shared" si="62"/>
        <v>0.82392349253588437</v>
      </c>
      <c r="AE274" s="9">
        <f t="shared" si="63"/>
        <v>0.89796079960238218</v>
      </c>
    </row>
    <row r="275" spans="7:31" x14ac:dyDescent="0.3">
      <c r="G275" s="9">
        <v>270</v>
      </c>
      <c r="H275" s="9">
        <f t="shared" si="64"/>
        <v>4.8892976588628896</v>
      </c>
      <c r="I275" s="9">
        <f t="shared" si="52"/>
        <v>0.34630529260947668</v>
      </c>
      <c r="J275" s="9">
        <f t="shared" si="53"/>
        <v>0.43485115296962223</v>
      </c>
      <c r="K275" s="9">
        <f t="shared" si="54"/>
        <v>0.3910915776831892</v>
      </c>
      <c r="L275" s="9">
        <f t="shared" si="55"/>
        <v>0.42025146445953709</v>
      </c>
      <c r="M275" s="9">
        <f t="shared" si="56"/>
        <v>7.8826228375613927E-2</v>
      </c>
      <c r="X275" s="9">
        <f t="shared" si="57"/>
        <v>0.44999998353982196</v>
      </c>
      <c r="Y275" s="9">
        <f t="shared" si="58"/>
        <v>0.36565365319283744</v>
      </c>
      <c r="Z275" s="9">
        <f t="shared" si="59"/>
        <v>0.42180134072138786</v>
      </c>
      <c r="AB275" s="9">
        <f t="shared" si="60"/>
        <v>0.89945016445018244</v>
      </c>
      <c r="AC275" s="9">
        <f t="shared" si="61"/>
        <v>0.93600442906282411</v>
      </c>
      <c r="AD275" s="9">
        <f t="shared" si="62"/>
        <v>0.82690046742791812</v>
      </c>
      <c r="AE275" s="9">
        <f t="shared" si="63"/>
        <v>0.90104612685874297</v>
      </c>
    </row>
    <row r="276" spans="7:31" x14ac:dyDescent="0.3">
      <c r="G276" s="9">
        <v>271</v>
      </c>
      <c r="H276" s="9">
        <f t="shared" si="64"/>
        <v>4.8963210702341273</v>
      </c>
      <c r="I276" s="9">
        <f t="shared" si="52"/>
        <v>0.3394047117081786</v>
      </c>
      <c r="J276" s="9">
        <f t="shared" si="53"/>
        <v>0.42599271718394133</v>
      </c>
      <c r="K276" s="9">
        <f t="shared" si="54"/>
        <v>0.3871849674139653</v>
      </c>
      <c r="L276" s="9">
        <f t="shared" si="55"/>
        <v>0.4157593272022293</v>
      </c>
      <c r="M276" s="9">
        <f t="shared" si="56"/>
        <v>7.8812361754412211E-2</v>
      </c>
      <c r="X276" s="9">
        <f t="shared" si="57"/>
        <v>0.43976274424015988</v>
      </c>
      <c r="Y276" s="9">
        <f t="shared" si="58"/>
        <v>0.3559975492603713</v>
      </c>
      <c r="Z276" s="9">
        <f t="shared" si="59"/>
        <v>0.41762414295278677</v>
      </c>
      <c r="AB276" s="9">
        <f t="shared" si="60"/>
        <v>0.90257491314546667</v>
      </c>
      <c r="AC276" s="9">
        <f t="shared" si="61"/>
        <v>0.93854175446329824</v>
      </c>
      <c r="AD276" s="9">
        <f t="shared" si="62"/>
        <v>0.82984831837757911</v>
      </c>
      <c r="AE276" s="9">
        <f t="shared" si="63"/>
        <v>0.9040691397607642</v>
      </c>
    </row>
    <row r="277" spans="7:31" x14ac:dyDescent="0.3">
      <c r="G277" s="9">
        <v>272</v>
      </c>
      <c r="H277" s="9">
        <f t="shared" si="64"/>
        <v>4.9033444816053651</v>
      </c>
      <c r="I277" s="9">
        <f t="shared" si="52"/>
        <v>0.33256733306891278</v>
      </c>
      <c r="J277" s="9">
        <f t="shared" si="53"/>
        <v>0.41716676756769722</v>
      </c>
      <c r="K277" s="9">
        <f t="shared" si="54"/>
        <v>0.38104722303835364</v>
      </c>
      <c r="L277" s="9">
        <f t="shared" si="55"/>
        <v>0.4112511339461889</v>
      </c>
      <c r="M277" s="9">
        <f t="shared" si="56"/>
        <v>7.8798343418267927E-2</v>
      </c>
      <c r="X277" s="9">
        <f t="shared" si="57"/>
        <v>0.42924552939118826</v>
      </c>
      <c r="Y277" s="9">
        <f t="shared" si="58"/>
        <v>0.34104697580880344</v>
      </c>
      <c r="Z277" s="9">
        <f t="shared" si="59"/>
        <v>0.41338593895104353</v>
      </c>
      <c r="AB277" s="9">
        <f t="shared" si="60"/>
        <v>0.90562677830611593</v>
      </c>
      <c r="AC277" s="9">
        <f t="shared" si="61"/>
        <v>0.94099266845489848</v>
      </c>
      <c r="AD277" s="9">
        <f t="shared" si="62"/>
        <v>0.83276661691299647</v>
      </c>
      <c r="AE277" s="9">
        <f t="shared" si="63"/>
        <v>0.90703004711549884</v>
      </c>
    </row>
    <row r="278" spans="7:31" x14ac:dyDescent="0.3">
      <c r="G278" s="9">
        <v>273</v>
      </c>
      <c r="H278" s="9">
        <f t="shared" si="64"/>
        <v>4.9103678929766028</v>
      </c>
      <c r="I278" s="9">
        <f t="shared" si="52"/>
        <v>0.32579490717447068</v>
      </c>
      <c r="J278" s="9">
        <f t="shared" si="53"/>
        <v>0.40837866316679122</v>
      </c>
      <c r="K278" s="9">
        <f t="shared" si="54"/>
        <v>0.3725235212994758</v>
      </c>
      <c r="L278" s="9">
        <f t="shared" si="55"/>
        <v>0.40672831080950267</v>
      </c>
      <c r="M278" s="9">
        <f t="shared" si="56"/>
        <v>7.8784173448907965E-2</v>
      </c>
      <c r="X278" s="9">
        <f t="shared" si="57"/>
        <v>0.41892172797107946</v>
      </c>
      <c r="Y278" s="9">
        <f t="shared" si="58"/>
        <v>0.32080193283813424</v>
      </c>
      <c r="Z278" s="9">
        <f t="shared" si="59"/>
        <v>0.40945524504904768</v>
      </c>
      <c r="AB278" s="9">
        <f t="shared" si="60"/>
        <v>0.90860403546719537</v>
      </c>
      <c r="AC278" s="9">
        <f t="shared" si="61"/>
        <v>0.94331998580019982</v>
      </c>
      <c r="AD278" s="9">
        <f t="shared" si="62"/>
        <v>0.83565569637284309</v>
      </c>
      <c r="AE278" s="9">
        <f t="shared" si="63"/>
        <v>0.90992909601419347</v>
      </c>
    </row>
    <row r="279" spans="7:31" x14ac:dyDescent="0.3">
      <c r="G279" s="9">
        <v>274</v>
      </c>
      <c r="H279" s="9">
        <f t="shared" si="64"/>
        <v>4.9173913043478406</v>
      </c>
      <c r="I279" s="9">
        <f t="shared" si="52"/>
        <v>0.31908910597261098</v>
      </c>
      <c r="J279" s="9">
        <f t="shared" si="53"/>
        <v>0.39963357710718328</v>
      </c>
      <c r="K279" s="9">
        <f t="shared" si="54"/>
        <v>0.36172257279578746</v>
      </c>
      <c r="L279" s="9">
        <f t="shared" si="55"/>
        <v>0.40219228080366609</v>
      </c>
      <c r="M279" s="9">
        <f t="shared" si="56"/>
        <v>7.8769851928934417E-2</v>
      </c>
      <c r="X279" s="9">
        <f t="shared" si="57"/>
        <v>0.41112214245407347</v>
      </c>
      <c r="Y279" s="9">
        <f t="shared" si="58"/>
        <v>0.32275464364835899</v>
      </c>
      <c r="Z279" s="9">
        <f t="shared" si="59"/>
        <v>0.40572407754622392</v>
      </c>
      <c r="AB279" s="9">
        <f t="shared" si="60"/>
        <v>0.91151904289312269</v>
      </c>
      <c r="AC279" s="9">
        <f t="shared" si="61"/>
        <v>0.94556270899351602</v>
      </c>
      <c r="AD279" s="9">
        <f t="shared" si="62"/>
        <v>0.83851839939036099</v>
      </c>
      <c r="AE279" s="9">
        <f t="shared" si="63"/>
        <v>0.91276657053531318</v>
      </c>
    </row>
    <row r="280" spans="7:31" x14ac:dyDescent="0.3">
      <c r="G280" s="9">
        <v>275</v>
      </c>
      <c r="H280" s="9">
        <f t="shared" si="64"/>
        <v>4.9244147157190783</v>
      </c>
      <c r="I280" s="9">
        <f t="shared" si="52"/>
        <v>0.31245152299675477</v>
      </c>
      <c r="J280" s="9">
        <f t="shared" si="53"/>
        <v>0.39093649466799874</v>
      </c>
      <c r="K280" s="9">
        <f t="shared" si="54"/>
        <v>0.34899479571691217</v>
      </c>
      <c r="L280" s="9">
        <f t="shared" si="55"/>
        <v>0.39764446297376793</v>
      </c>
      <c r="M280" s="9">
        <f t="shared" si="56"/>
        <v>7.8755378941823856E-2</v>
      </c>
      <c r="X280" s="9">
        <f t="shared" si="57"/>
        <v>0.40308737747564732</v>
      </c>
      <c r="Y280" s="9">
        <f t="shared" si="58"/>
        <v>0.32837686604244581</v>
      </c>
      <c r="Z280" s="9">
        <f t="shared" si="59"/>
        <v>0.4019362613983396</v>
      </c>
      <c r="AB280" s="9">
        <f t="shared" si="60"/>
        <v>0.91437844474038665</v>
      </c>
      <c r="AC280" s="9">
        <f t="shared" si="61"/>
        <v>0.94785115048005419</v>
      </c>
      <c r="AD280" s="9">
        <f t="shared" si="62"/>
        <v>0.84135469795024331</v>
      </c>
      <c r="AE280" s="9">
        <f t="shared" si="63"/>
        <v>0.91554279043158049</v>
      </c>
    </row>
    <row r="281" spans="7:31" x14ac:dyDescent="0.3">
      <c r="G281" s="9">
        <v>276</v>
      </c>
      <c r="H281" s="9">
        <f t="shared" si="64"/>
        <v>4.931438127090316</v>
      </c>
      <c r="I281" s="9">
        <f t="shared" si="52"/>
        <v>0.30588367357087898</v>
      </c>
      <c r="J281" s="9">
        <f t="shared" si="53"/>
        <v>0.38229221202350183</v>
      </c>
      <c r="K281" s="9">
        <f t="shared" si="54"/>
        <v>0.33487665588454479</v>
      </c>
      <c r="L281" s="9">
        <f t="shared" si="55"/>
        <v>0.39308627154560266</v>
      </c>
      <c r="M281" s="9">
        <f t="shared" si="56"/>
        <v>7.8740754571926627E-2</v>
      </c>
      <c r="X281" s="9">
        <f t="shared" si="57"/>
        <v>0.3948174330358008</v>
      </c>
      <c r="Y281" s="9">
        <f t="shared" si="58"/>
        <v>0.33082240672507174</v>
      </c>
      <c r="Z281" s="9">
        <f t="shared" si="59"/>
        <v>0.3980917966053949</v>
      </c>
      <c r="AB281" s="9">
        <f t="shared" si="60"/>
        <v>0.9171805892468845</v>
      </c>
      <c r="AC281" s="9">
        <f t="shared" si="61"/>
        <v>0.95016792357605884</v>
      </c>
      <c r="AD281" s="9">
        <f t="shared" si="62"/>
        <v>0.84416419418575073</v>
      </c>
      <c r="AE281" s="9">
        <f t="shared" si="63"/>
        <v>0.91825810980585043</v>
      </c>
    </row>
    <row r="282" spans="7:31" x14ac:dyDescent="0.3">
      <c r="G282" s="9">
        <v>277</v>
      </c>
      <c r="H282" s="9">
        <f t="shared" si="64"/>
        <v>4.9384615384615538</v>
      </c>
      <c r="I282" s="9">
        <f t="shared" si="52"/>
        <v>0.29938699509660144</v>
      </c>
      <c r="J282" s="9">
        <f t="shared" si="53"/>
        <v>0.3737053356177652</v>
      </c>
      <c r="K282" s="9">
        <f t="shared" si="54"/>
        <v>0.3200114592311088</v>
      </c>
      <c r="L282" s="9">
        <f t="shared" si="55"/>
        <v>0.38851911508054254</v>
      </c>
      <c r="M282" s="9">
        <f t="shared" si="56"/>
        <v>7.8725978904465838E-2</v>
      </c>
      <c r="X282" s="9">
        <f t="shared" si="57"/>
        <v>0.38631230913453452</v>
      </c>
      <c r="Y282" s="9">
        <f t="shared" si="58"/>
        <v>0.33009126569623665</v>
      </c>
      <c r="Z282" s="9">
        <f t="shared" si="59"/>
        <v>0.39419068316738998</v>
      </c>
      <c r="AB282" s="9">
        <f t="shared" si="60"/>
        <v>0.91992382465051181</v>
      </c>
      <c r="AC282" s="9">
        <f t="shared" si="61"/>
        <v>0.95249071713907529</v>
      </c>
      <c r="AD282" s="9">
        <f t="shared" si="62"/>
        <v>0.8469464902301469</v>
      </c>
      <c r="AE282" s="9">
        <f t="shared" si="63"/>
        <v>0.92091291578039391</v>
      </c>
    </row>
    <row r="283" spans="7:31" x14ac:dyDescent="0.3">
      <c r="G283" s="9">
        <v>278</v>
      </c>
      <c r="H283" s="9">
        <f t="shared" si="64"/>
        <v>4.9454849498327915</v>
      </c>
      <c r="I283" s="9">
        <f t="shared" si="52"/>
        <v>0.29296284742036804</v>
      </c>
      <c r="J283" s="9">
        <f t="shared" si="53"/>
        <v>0.36518028213420234</v>
      </c>
      <c r="K283" s="9">
        <f t="shared" si="54"/>
        <v>0.3050605502530252</v>
      </c>
      <c r="L283" s="9">
        <f t="shared" si="55"/>
        <v>0.3839443956390044</v>
      </c>
      <c r="M283" s="9">
        <f t="shared" si="56"/>
        <v>7.8711052025536563E-2</v>
      </c>
      <c r="X283" s="9">
        <f t="shared" si="57"/>
        <v>0.37757200577184807</v>
      </c>
      <c r="Y283" s="9">
        <f t="shared" si="58"/>
        <v>0.32618344295594071</v>
      </c>
      <c r="Z283" s="9">
        <f t="shared" si="59"/>
        <v>0.39023292108432506</v>
      </c>
      <c r="AB283" s="9">
        <f t="shared" si="60"/>
        <v>0.92260649918916571</v>
      </c>
      <c r="AC283" s="9">
        <f t="shared" si="61"/>
        <v>0.95479722002664824</v>
      </c>
      <c r="AD283" s="9">
        <f t="shared" si="62"/>
        <v>0.84970118821669272</v>
      </c>
      <c r="AE283" s="9">
        <f t="shared" si="63"/>
        <v>0.92350762716390089</v>
      </c>
    </row>
    <row r="284" spans="7:31" x14ac:dyDescent="0.3">
      <c r="G284" s="9">
        <v>279</v>
      </c>
      <c r="H284" s="9">
        <f t="shared" si="64"/>
        <v>4.9525083612040293</v>
      </c>
      <c r="I284" s="9">
        <f t="shared" si="52"/>
        <v>0.28661251327857246</v>
      </c>
      <c r="J284" s="9">
        <f t="shared" si="53"/>
        <v>0.35672127902078116</v>
      </c>
      <c r="K284" s="9">
        <f t="shared" si="54"/>
        <v>0.29061982613037857</v>
      </c>
      <c r="L284" s="9">
        <f t="shared" si="55"/>
        <v>0.37936350795331814</v>
      </c>
      <c r="M284" s="9">
        <f t="shared" si="56"/>
        <v>7.8695974022105181E-2</v>
      </c>
      <c r="X284" s="9">
        <f t="shared" si="57"/>
        <v>0.36859652294774153</v>
      </c>
      <c r="Y284" s="9">
        <f t="shared" si="58"/>
        <v>0.3190989385041838</v>
      </c>
      <c r="Z284" s="9">
        <f t="shared" si="59"/>
        <v>0.38621851035619947</v>
      </c>
      <c r="AB284" s="9">
        <f t="shared" si="60"/>
        <v>0.92522696110074198</v>
      </c>
      <c r="AC284" s="9">
        <f t="shared" si="61"/>
        <v>0.95706512109632258</v>
      </c>
      <c r="AD284" s="9">
        <f t="shared" si="62"/>
        <v>0.85242789027865085</v>
      </c>
      <c r="AE284" s="9">
        <f t="shared" si="63"/>
        <v>0.92604269312024468</v>
      </c>
    </row>
    <row r="285" spans="7:31" x14ac:dyDescent="0.3">
      <c r="G285" s="9">
        <v>280</v>
      </c>
      <c r="H285" s="9">
        <f t="shared" si="64"/>
        <v>4.959531772575267</v>
      </c>
      <c r="I285" s="9">
        <f t="shared" si="52"/>
        <v>0.28033719881836161</v>
      </c>
      <c r="J285" s="9">
        <f t="shared" si="53"/>
        <v>0.34833236553069069</v>
      </c>
      <c r="K285" s="9">
        <f t="shared" si="54"/>
        <v>0.27715467753143513</v>
      </c>
      <c r="L285" s="9">
        <f t="shared" si="55"/>
        <v>0.37477783861080199</v>
      </c>
      <c r="M285" s="9">
        <f t="shared" si="56"/>
        <v>7.8680744982008347E-2</v>
      </c>
      <c r="X285" s="9">
        <f t="shared" si="57"/>
        <v>0.35938586066221473</v>
      </c>
      <c r="Y285" s="9">
        <f t="shared" si="58"/>
        <v>0.30883775234096611</v>
      </c>
      <c r="Z285" s="9">
        <f t="shared" si="59"/>
        <v>0.38214745098301373</v>
      </c>
      <c r="AB285" s="9">
        <f t="shared" si="60"/>
        <v>0.92778355862313755</v>
      </c>
      <c r="AC285" s="9">
        <f t="shared" si="61"/>
        <v>0.95927210920564365</v>
      </c>
      <c r="AD285" s="9">
        <f t="shared" si="62"/>
        <v>0.85512619854928307</v>
      </c>
      <c r="AE285" s="9">
        <f t="shared" si="63"/>
        <v>0.92851859184276664</v>
      </c>
    </row>
    <row r="286" spans="7:31" x14ac:dyDescent="0.3">
      <c r="G286" s="9">
        <v>281</v>
      </c>
      <c r="H286" s="9">
        <f t="shared" si="64"/>
        <v>4.9665551839465047</v>
      </c>
      <c r="I286" s="9">
        <f t="shared" si="52"/>
        <v>0.27413803419181421</v>
      </c>
      <c r="J286" s="9">
        <f t="shared" si="53"/>
        <v>0.34001739423749344</v>
      </c>
      <c r="K286" s="9">
        <f t="shared" si="54"/>
        <v>0.26496239075489603</v>
      </c>
      <c r="L286" s="9">
        <f t="shared" si="55"/>
        <v>0.37018876524782912</v>
      </c>
      <c r="M286" s="9">
        <f t="shared" si="56"/>
        <v>7.8665364993952311E-2</v>
      </c>
      <c r="X286" s="9">
        <f t="shared" si="57"/>
        <v>0.34994001891526799</v>
      </c>
      <c r="Y286" s="9">
        <f t="shared" si="58"/>
        <v>0.29539988446628751</v>
      </c>
      <c r="Z286" s="9">
        <f t="shared" si="59"/>
        <v>0.37801974296476748</v>
      </c>
      <c r="AB286" s="9">
        <f t="shared" si="60"/>
        <v>0.93027463999424842</v>
      </c>
      <c r="AC286" s="9">
        <f t="shared" si="61"/>
        <v>0.96139587321215569</v>
      </c>
      <c r="AD286" s="9">
        <f t="shared" si="62"/>
        <v>0.85779571516185182</v>
      </c>
      <c r="AE286" s="9">
        <f t="shared" si="63"/>
        <v>0.93093582923756268</v>
      </c>
    </row>
    <row r="287" spans="7:31" x14ac:dyDescent="0.3">
      <c r="G287" s="9">
        <v>282</v>
      </c>
      <c r="H287" s="9">
        <f t="shared" si="64"/>
        <v>4.9735785953177425</v>
      </c>
      <c r="I287" s="9">
        <f t="shared" si="52"/>
        <v>0.26801607422111301</v>
      </c>
      <c r="J287" s="9">
        <f t="shared" si="53"/>
        <v>0.33178003298335135</v>
      </c>
      <c r="K287" s="9">
        <f t="shared" si="54"/>
        <v>0.25416557098222603</v>
      </c>
      <c r="L287" s="9">
        <f t="shared" si="55"/>
        <v>0.36559765575564823</v>
      </c>
      <c r="M287" s="9">
        <f t="shared" si="56"/>
        <v>7.8649834147511671E-2</v>
      </c>
      <c r="X287" s="9">
        <f t="shared" si="57"/>
        <v>0.34025899770690116</v>
      </c>
      <c r="Y287" s="9">
        <f t="shared" si="58"/>
        <v>0.27878533488014789</v>
      </c>
      <c r="Z287" s="9">
        <f t="shared" si="59"/>
        <v>0.37383538630146085</v>
      </c>
      <c r="AB287" s="9">
        <f t="shared" si="60"/>
        <v>0.93269855345197084</v>
      </c>
      <c r="AC287" s="9">
        <f t="shared" si="61"/>
        <v>0.96341410197340427</v>
      </c>
      <c r="AD287" s="9">
        <f t="shared" si="62"/>
        <v>0.86043604224961934</v>
      </c>
      <c r="AE287" s="9">
        <f t="shared" si="63"/>
        <v>0.93329493761895943</v>
      </c>
    </row>
    <row r="288" spans="7:31" x14ac:dyDescent="0.3">
      <c r="G288" s="9">
        <v>283</v>
      </c>
      <c r="H288" s="9">
        <f t="shared" si="64"/>
        <v>4.9806020066889802</v>
      </c>
      <c r="I288" s="9">
        <f t="shared" si="52"/>
        <v>0.26197229913227721</v>
      </c>
      <c r="J288" s="9">
        <f t="shared" si="53"/>
        <v>0.32362376721875802</v>
      </c>
      <c r="K288" s="9">
        <f t="shared" si="54"/>
        <v>0.24473436545435132</v>
      </c>
      <c r="L288" s="9">
        <f t="shared" si="55"/>
        <v>0.36100586749871544</v>
      </c>
      <c r="M288" s="9">
        <f t="shared" si="56"/>
        <v>7.8634152533129109E-2</v>
      </c>
      <c r="X288" s="9">
        <f t="shared" si="57"/>
        <v>0.33034279703711411</v>
      </c>
      <c r="Y288" s="9">
        <f t="shared" si="58"/>
        <v>0.25899410358254749</v>
      </c>
      <c r="Z288" s="9">
        <f t="shared" si="59"/>
        <v>0.36959438099309377</v>
      </c>
      <c r="AB288" s="9">
        <f t="shared" si="60"/>
        <v>0.9350536472342017</v>
      </c>
      <c r="AC288" s="9">
        <f t="shared" si="61"/>
        <v>0.96530448434693383</v>
      </c>
      <c r="AD288" s="9">
        <f t="shared" si="62"/>
        <v>0.8630467819458475</v>
      </c>
      <c r="AE288" s="9">
        <f t="shared" si="63"/>
        <v>0.93559647442006022</v>
      </c>
    </row>
    <row r="289" spans="7:31" x14ac:dyDescent="0.3">
      <c r="G289" s="9">
        <v>284</v>
      </c>
      <c r="H289" s="9">
        <f t="shared" si="64"/>
        <v>4.987625418060218</v>
      </c>
      <c r="I289" s="9">
        <f t="shared" si="52"/>
        <v>0.25600761535496325</v>
      </c>
      <c r="J289" s="9">
        <f t="shared" si="53"/>
        <v>0.31555190269234196</v>
      </c>
      <c r="K289" s="9">
        <f t="shared" si="54"/>
        <v>0.2365302659591885</v>
      </c>
      <c r="L289" s="9">
        <f t="shared" si="55"/>
        <v>0.35641474654625976</v>
      </c>
      <c r="M289" s="9">
        <f t="shared" si="56"/>
        <v>7.861832024211407E-2</v>
      </c>
      <c r="X289" s="9">
        <f t="shared" si="57"/>
        <v>0.32019141690590708</v>
      </c>
      <c r="Y289" s="9">
        <f t="shared" si="58"/>
        <v>0.23602619057348617</v>
      </c>
      <c r="Z289" s="9">
        <f t="shared" si="59"/>
        <v>0.36529672703966648</v>
      </c>
      <c r="AB289" s="9">
        <f t="shared" si="60"/>
        <v>0.93733826957883692</v>
      </c>
      <c r="AC289" s="9">
        <f t="shared" si="61"/>
        <v>0.96704470919028962</v>
      </c>
      <c r="AD289" s="9">
        <f t="shared" si="62"/>
        <v>0.86562753638379863</v>
      </c>
      <c r="AE289" s="9">
        <f t="shared" si="63"/>
        <v>0.93784102092099753</v>
      </c>
    </row>
    <row r="290" spans="7:31" x14ac:dyDescent="0.3">
      <c r="G290" s="9">
        <v>285</v>
      </c>
      <c r="H290" s="9">
        <f t="shared" si="64"/>
        <v>4.9946488294314557</v>
      </c>
      <c r="I290" s="9">
        <f t="shared" si="52"/>
        <v>0.25012285638580389</v>
      </c>
      <c r="J290" s="9">
        <f t="shared" si="53"/>
        <v>0.30756756844969962</v>
      </c>
      <c r="K290" s="9">
        <f t="shared" si="54"/>
        <v>0.22936093115033493</v>
      </c>
      <c r="L290" s="9">
        <f t="shared" si="55"/>
        <v>0.35182562691780367</v>
      </c>
      <c r="M290" s="9">
        <f t="shared" si="56"/>
        <v>7.8602337366641892E-2</v>
      </c>
      <c r="X290" s="9">
        <f t="shared" si="57"/>
        <v>0.30980485731328</v>
      </c>
      <c r="Y290" s="9">
        <f t="shared" si="58"/>
        <v>0.22492011032321757</v>
      </c>
      <c r="Z290" s="9">
        <f t="shared" si="59"/>
        <v>0.36094242444117897</v>
      </c>
      <c r="AB290" s="9">
        <f t="shared" si="60"/>
        <v>0.93955076872377308</v>
      </c>
      <c r="AC290" s="9">
        <f t="shared" si="61"/>
        <v>0.9686614618373145</v>
      </c>
      <c r="AD290" s="9">
        <f t="shared" si="62"/>
        <v>0.8681779076967342</v>
      </c>
      <c r="AE290" s="9">
        <f t="shared" si="63"/>
        <v>0.94002918099716437</v>
      </c>
    </row>
    <row r="291" spans="7:31" x14ac:dyDescent="0.3">
      <c r="G291" s="9">
        <v>286</v>
      </c>
      <c r="H291" s="9">
        <f t="shared" si="64"/>
        <v>5.0016722408026935</v>
      </c>
      <c r="I291" s="9">
        <f t="shared" si="52"/>
        <v>0.24431878371270369</v>
      </c>
      <c r="J291" s="9">
        <f t="shared" si="53"/>
        <v>0.29967372010087706</v>
      </c>
      <c r="K291" s="9">
        <f t="shared" si="54"/>
        <v>0.22303430961880852</v>
      </c>
      <c r="L291" s="9">
        <f t="shared" si="55"/>
        <v>0.34723982984332002</v>
      </c>
      <c r="M291" s="9">
        <f t="shared" si="56"/>
        <v>7.8586203999753107E-2</v>
      </c>
      <c r="X291" s="9">
        <f t="shared" si="57"/>
        <v>0.29918311825923277</v>
      </c>
      <c r="Y291" s="9">
        <f t="shared" si="58"/>
        <v>0.21095279549662546</v>
      </c>
      <c r="Z291" s="9">
        <f t="shared" si="59"/>
        <v>0.35653147319763095</v>
      </c>
      <c r="AB291" s="9">
        <f t="shared" si="60"/>
        <v>0.94168949290690651</v>
      </c>
      <c r="AC291" s="9">
        <f t="shared" si="61"/>
        <v>0.97019459821471754</v>
      </c>
      <c r="AD291" s="9">
        <f t="shared" si="62"/>
        <v>0.87069749801791696</v>
      </c>
      <c r="AE291" s="9">
        <f t="shared" si="63"/>
        <v>0.94216157988949323</v>
      </c>
    </row>
    <row r="292" spans="7:31" x14ac:dyDescent="0.3">
      <c r="G292" s="9">
        <v>287</v>
      </c>
      <c r="H292" s="9">
        <f t="shared" si="64"/>
        <v>5.0086956521739312</v>
      </c>
      <c r="I292" s="9">
        <f t="shared" si="52"/>
        <v>0.23859608779748387</v>
      </c>
      <c r="J292" s="9">
        <f t="shared" si="53"/>
        <v>0.29187314331702235</v>
      </c>
      <c r="K292" s="9">
        <f t="shared" si="54"/>
        <v>0.21740144783384074</v>
      </c>
      <c r="L292" s="9">
        <f t="shared" si="55"/>
        <v>0.34265866303869791</v>
      </c>
      <c r="M292" s="9">
        <f t="shared" si="56"/>
        <v>7.8569920235352544E-2</v>
      </c>
      <c r="X292" s="9">
        <f t="shared" si="57"/>
        <v>0.28832619974376533</v>
      </c>
      <c r="Y292" s="9">
        <f t="shared" si="58"/>
        <v>0.19274990505475209</v>
      </c>
      <c r="Z292" s="9">
        <f t="shared" si="59"/>
        <v>0.35242951505007769</v>
      </c>
      <c r="AB292" s="9">
        <f t="shared" si="60"/>
        <v>0.9437527903661338</v>
      </c>
      <c r="AC292" s="9">
        <f t="shared" si="61"/>
        <v>0.97161476229937183</v>
      </c>
      <c r="AD292" s="9">
        <f t="shared" si="62"/>
        <v>0.87318635996166349</v>
      </c>
      <c r="AE292" s="9">
        <f t="shared" si="63"/>
        <v>0.94423886299849813</v>
      </c>
    </row>
    <row r="293" spans="7:31" x14ac:dyDescent="0.3">
      <c r="G293" s="9">
        <v>288</v>
      </c>
      <c r="H293" s="9">
        <f t="shared" si="64"/>
        <v>5.0157190635451689</v>
      </c>
      <c r="I293" s="9">
        <f t="shared" si="52"/>
        <v>0.23295538911422944</v>
      </c>
      <c r="J293" s="9">
        <f t="shared" si="53"/>
        <v>0.28416845751786507</v>
      </c>
      <c r="K293" s="9">
        <f t="shared" si="54"/>
        <v>0.21238039201751027</v>
      </c>
      <c r="L293" s="9">
        <f t="shared" si="55"/>
        <v>0.33808341999716451</v>
      </c>
      <c r="M293" s="9">
        <f t="shared" si="56"/>
        <v>7.8553486168207995E-2</v>
      </c>
      <c r="X293" s="9">
        <f t="shared" si="57"/>
        <v>0.2824255292293219</v>
      </c>
      <c r="Y293" s="9">
        <f t="shared" si="58"/>
        <v>0.18943575922546982</v>
      </c>
      <c r="Z293" s="9">
        <f t="shared" si="59"/>
        <v>0.34895195225679437</v>
      </c>
      <c r="AB293" s="9">
        <f t="shared" si="60"/>
        <v>0.94575551904767241</v>
      </c>
      <c r="AC293" s="9">
        <f t="shared" si="61"/>
        <v>0.97292943332020387</v>
      </c>
      <c r="AD293" s="9">
        <f t="shared" si="62"/>
        <v>0.87564943415304131</v>
      </c>
      <c r="AE293" s="9">
        <f t="shared" si="63"/>
        <v>0.94626169470357557</v>
      </c>
    </row>
    <row r="294" spans="7:31" x14ac:dyDescent="0.3">
      <c r="G294" s="9">
        <v>289</v>
      </c>
      <c r="H294" s="9">
        <f t="shared" si="64"/>
        <v>5.0227424749164067</v>
      </c>
      <c r="I294" s="9">
        <f t="shared" si="52"/>
        <v>0.22739723924067454</v>
      </c>
      <c r="J294" s="9">
        <f t="shared" si="53"/>
        <v>0.27656211971303402</v>
      </c>
      <c r="K294" s="9">
        <f t="shared" si="54"/>
        <v>0.2079578623838628</v>
      </c>
      <c r="L294" s="9">
        <f t="shared" si="55"/>
        <v>0.33351537929728192</v>
      </c>
      <c r="M294" s="9">
        <f t="shared" si="56"/>
        <v>7.8536901893950004E-2</v>
      </c>
      <c r="X294" s="9">
        <f t="shared" si="57"/>
        <v>0.27689374566172381</v>
      </c>
      <c r="Y294" s="9">
        <f t="shared" si="58"/>
        <v>0.19871368676369883</v>
      </c>
      <c r="Z294" s="9">
        <f t="shared" si="59"/>
        <v>0.3454250034652534</v>
      </c>
      <c r="AB294" s="9">
        <f t="shared" si="60"/>
        <v>0.94771977548994513</v>
      </c>
      <c r="AC294" s="9">
        <f t="shared" si="61"/>
        <v>0.97429373944446795</v>
      </c>
      <c r="AD294" s="9">
        <f t="shared" si="62"/>
        <v>0.87808791056126101</v>
      </c>
      <c r="AE294" s="9">
        <f t="shared" si="63"/>
        <v>0.94823075720876071</v>
      </c>
    </row>
    <row r="295" spans="7:31" x14ac:dyDescent="0.3">
      <c r="G295" s="9">
        <v>290</v>
      </c>
      <c r="H295" s="9">
        <f t="shared" si="64"/>
        <v>5.0297658862876444</v>
      </c>
      <c r="I295" s="9">
        <f t="shared" si="52"/>
        <v>0.22192212199993619</v>
      </c>
      <c r="J295" s="9">
        <f t="shared" si="53"/>
        <v>0.26905642846177302</v>
      </c>
      <c r="K295" s="9">
        <f t="shared" si="54"/>
        <v>0.20417002288717365</v>
      </c>
      <c r="L295" s="9">
        <f t="shared" si="55"/>
        <v>0.32895580392812107</v>
      </c>
      <c r="M295" s="9">
        <f t="shared" si="56"/>
        <v>7.8520167509070343E-2</v>
      </c>
      <c r="X295" s="9">
        <f t="shared" si="57"/>
        <v>0.27120517578651226</v>
      </c>
      <c r="Y295" s="9">
        <f t="shared" si="58"/>
        <v>0.2058738264942872</v>
      </c>
      <c r="Z295" s="9">
        <f t="shared" si="59"/>
        <v>0.34184866867545466</v>
      </c>
      <c r="AB295" s="9">
        <f t="shared" si="60"/>
        <v>0.94964462935323757</v>
      </c>
      <c r="AC295" s="9">
        <f t="shared" si="61"/>
        <v>0.97571577122302044</v>
      </c>
      <c r="AD295" s="9">
        <f t="shared" si="62"/>
        <v>0.88050144232814243</v>
      </c>
      <c r="AE295" s="9">
        <f t="shared" si="63"/>
        <v>0.95014674941590072</v>
      </c>
    </row>
    <row r="296" spans="7:31" x14ac:dyDescent="0.3">
      <c r="G296" s="9">
        <v>291</v>
      </c>
      <c r="H296" s="9">
        <f t="shared" si="64"/>
        <v>5.0367892976588822</v>
      </c>
      <c r="I296" s="9">
        <f t="shared" si="52"/>
        <v>0.21653045464989526</v>
      </c>
      <c r="J296" s="9">
        <f t="shared" si="53"/>
        <v>0.26165352791735141</v>
      </c>
      <c r="K296" s="9">
        <f t="shared" si="54"/>
        <v>0.20106779987143586</v>
      </c>
      <c r="L296" s="9">
        <f t="shared" si="55"/>
        <v>0.32440594063218131</v>
      </c>
      <c r="M296" s="9">
        <f t="shared" si="56"/>
        <v>7.8503283110921238E-2</v>
      </c>
      <c r="X296" s="9">
        <f t="shared" si="57"/>
        <v>0.26535981960368749</v>
      </c>
      <c r="Y296" s="9">
        <f t="shared" si="58"/>
        <v>0.21091617841723498</v>
      </c>
      <c r="Z296" s="9">
        <f t="shared" si="59"/>
        <v>0.33822294788739837</v>
      </c>
      <c r="AB296" s="9">
        <f t="shared" si="60"/>
        <v>0.95152897946281467</v>
      </c>
      <c r="AC296" s="9">
        <f t="shared" si="61"/>
        <v>0.97718065456089165</v>
      </c>
      <c r="AD296" s="9">
        <f t="shared" si="62"/>
        <v>0.8828896825955026</v>
      </c>
      <c r="AE296" s="9">
        <f t="shared" si="63"/>
        <v>0.95201038582595643</v>
      </c>
    </row>
    <row r="297" spans="7:31" x14ac:dyDescent="0.3">
      <c r="G297" s="9">
        <v>292</v>
      </c>
      <c r="H297" s="9">
        <f t="shared" si="64"/>
        <v>5.0438127090301199</v>
      </c>
      <c r="I297" s="9">
        <f t="shared" si="52"/>
        <v>0.21122258911751393</v>
      </c>
      <c r="J297" s="9">
        <f t="shared" si="53"/>
        <v>0.2543554119243619</v>
      </c>
      <c r="K297" s="9">
        <f t="shared" si="54"/>
        <v>0.19867507311002458</v>
      </c>
      <c r="L297" s="9">
        <f t="shared" si="55"/>
        <v>0.31986701926660666</v>
      </c>
      <c r="M297" s="9">
        <f t="shared" si="56"/>
        <v>7.8486248797714681E-2</v>
      </c>
      <c r="X297" s="9">
        <f t="shared" si="57"/>
        <v>0.25935767711324925</v>
      </c>
      <c r="Y297" s="9">
        <f t="shared" si="58"/>
        <v>0.21384074253254218</v>
      </c>
      <c r="Z297" s="9">
        <f t="shared" si="59"/>
        <v>0.33454784110108399</v>
      </c>
      <c r="AB297" s="9">
        <f t="shared" si="60"/>
        <v>0.9533717246439406</v>
      </c>
      <c r="AC297" s="9">
        <f t="shared" si="61"/>
        <v>0.9786735153631112</v>
      </c>
      <c r="AD297" s="9">
        <f t="shared" si="62"/>
        <v>0.88525228450516014</v>
      </c>
      <c r="AE297" s="9">
        <f t="shared" si="63"/>
        <v>0.95382239546891057</v>
      </c>
    </row>
    <row r="298" spans="7:31" x14ac:dyDescent="0.3">
      <c r="G298" s="9">
        <v>293</v>
      </c>
      <c r="H298" s="9">
        <f t="shared" si="64"/>
        <v>5.0508361204013577</v>
      </c>
      <c r="I298" s="9">
        <f t="shared" si="52"/>
        <v>0.20599881327537228</v>
      </c>
      <c r="J298" s="9">
        <f t="shared" si="53"/>
        <v>0.24716392813914573</v>
      </c>
      <c r="K298" s="9">
        <f t="shared" si="54"/>
        <v>0.19694920051725004</v>
      </c>
      <c r="L298" s="9">
        <f t="shared" si="55"/>
        <v>0.31534025218321898</v>
      </c>
      <c r="M298" s="9">
        <f t="shared" si="56"/>
        <v>7.8469064668521077E-2</v>
      </c>
      <c r="X298" s="9">
        <f t="shared" si="57"/>
        <v>0.25319874831519756</v>
      </c>
      <c r="Y298" s="9">
        <f t="shared" si="58"/>
        <v>0.21464751884020875</v>
      </c>
      <c r="Z298" s="9">
        <f t="shared" si="59"/>
        <v>0.33082334831651222</v>
      </c>
      <c r="AB298" s="9">
        <f t="shared" si="60"/>
        <v>0.95517176372187951</v>
      </c>
      <c r="AC298" s="9">
        <f t="shared" si="61"/>
        <v>0.98017947953470896</v>
      </c>
      <c r="AD298" s="9">
        <f t="shared" si="62"/>
        <v>0.88758890119893352</v>
      </c>
      <c r="AE298" s="9">
        <f t="shared" si="63"/>
        <v>0.95558352086255438</v>
      </c>
    </row>
    <row r="299" spans="7:31" x14ac:dyDescent="0.3">
      <c r="G299" s="9">
        <v>294</v>
      </c>
      <c r="H299" s="9">
        <f t="shared" si="64"/>
        <v>5.0578595317725954</v>
      </c>
      <c r="I299" s="9">
        <f t="shared" si="52"/>
        <v>0.20085935225771051</v>
      </c>
      <c r="J299" s="9">
        <f t="shared" si="53"/>
        <v>0.2400807821457456</v>
      </c>
      <c r="K299" s="9">
        <f t="shared" si="54"/>
        <v>0.1957526171993966</v>
      </c>
      <c r="L299" s="9">
        <f t="shared" si="55"/>
        <v>0.31082683362785868</v>
      </c>
      <c r="M299" s="9">
        <f t="shared" si="56"/>
        <v>7.8451730823268617E-2</v>
      </c>
      <c r="X299" s="9">
        <f t="shared" si="57"/>
        <v>0.24688303320953253</v>
      </c>
      <c r="Y299" s="9">
        <f t="shared" si="58"/>
        <v>0.21333650734023471</v>
      </c>
      <c r="Z299" s="9">
        <f t="shared" si="59"/>
        <v>0.32704946953368252</v>
      </c>
      <c r="AB299" s="9">
        <f t="shared" si="60"/>
        <v>0.95692799552189556</v>
      </c>
      <c r="AC299" s="9">
        <f t="shared" si="61"/>
        <v>0.98168367298071502</v>
      </c>
      <c r="AD299" s="9">
        <f t="shared" si="62"/>
        <v>0.88989918581864091</v>
      </c>
      <c r="AE299" s="9">
        <f t="shared" si="63"/>
        <v>0.95729451700020884</v>
      </c>
    </row>
    <row r="300" spans="7:31" x14ac:dyDescent="0.3">
      <c r="G300" s="9">
        <v>295</v>
      </c>
      <c r="H300" s="9">
        <f t="shared" si="64"/>
        <v>5.0648829431438331</v>
      </c>
      <c r="I300" s="9">
        <f t="shared" si="52"/>
        <v>0.1958043698132643</v>
      </c>
      <c r="J300" s="9">
        <f t="shared" si="53"/>
        <v>0.23310754154207008</v>
      </c>
      <c r="K300" s="9">
        <f t="shared" si="54"/>
        <v>0.19484189584040765</v>
      </c>
      <c r="L300" s="9">
        <f t="shared" si="55"/>
        <v>0.30632793915950485</v>
      </c>
      <c r="M300" s="9">
        <f t="shared" si="56"/>
        <v>7.8434247362742016E-2</v>
      </c>
      <c r="X300" s="9">
        <f t="shared" si="57"/>
        <v>0.24041053179625413</v>
      </c>
      <c r="Y300" s="9">
        <f t="shared" si="58"/>
        <v>0.2099077080326201</v>
      </c>
      <c r="Z300" s="9">
        <f t="shared" si="59"/>
        <v>0.32322620475259517</v>
      </c>
      <c r="AB300" s="9">
        <f t="shared" si="60"/>
        <v>0.95863931886925313</v>
      </c>
      <c r="AC300" s="9">
        <f t="shared" si="61"/>
        <v>0.98317122160615922</v>
      </c>
      <c r="AD300" s="9">
        <f t="shared" si="62"/>
        <v>0.89218279150609969</v>
      </c>
      <c r="AE300" s="9">
        <f t="shared" si="63"/>
        <v>0.95895615036727089</v>
      </c>
    </row>
    <row r="301" spans="7:31" x14ac:dyDescent="0.3">
      <c r="G301" s="9">
        <v>296</v>
      </c>
      <c r="H301" s="9">
        <f t="shared" si="64"/>
        <v>5.0719063545150709</v>
      </c>
      <c r="I301" s="9">
        <f t="shared" si="52"/>
        <v>0.1908339696921966</v>
      </c>
      <c r="J301" s="9">
        <f t="shared" si="53"/>
        <v>0.22624563997330305</v>
      </c>
      <c r="K301" s="9">
        <f t="shared" si="54"/>
        <v>0.19387718592106529</v>
      </c>
      <c r="L301" s="9">
        <f t="shared" si="55"/>
        <v>0.30184472508960836</v>
      </c>
      <c r="M301" s="9">
        <f t="shared" si="56"/>
        <v>7.8416614388581871E-2</v>
      </c>
      <c r="X301" s="9">
        <f t="shared" si="57"/>
        <v>0.23378124407536227</v>
      </c>
      <c r="Y301" s="9">
        <f t="shared" si="58"/>
        <v>0.20436112091736489</v>
      </c>
      <c r="Z301" s="9">
        <f t="shared" si="59"/>
        <v>0.31935355397325005</v>
      </c>
      <c r="AB301" s="9">
        <f t="shared" si="60"/>
        <v>0.96030463258921661</v>
      </c>
      <c r="AC301" s="9">
        <f t="shared" si="61"/>
        <v>0.98462725131607187</v>
      </c>
      <c r="AD301" s="9">
        <f t="shared" si="62"/>
        <v>0.89443937140312979</v>
      </c>
      <c r="AE301" s="9">
        <f t="shared" si="63"/>
        <v>0.96056919798627627</v>
      </c>
    </row>
    <row r="302" spans="7:31" x14ac:dyDescent="0.3">
      <c r="G302" s="9">
        <v>297</v>
      </c>
      <c r="H302" s="9">
        <f t="shared" si="64"/>
        <v>5.0789297658863086</v>
      </c>
      <c r="I302" s="9">
        <f t="shared" si="52"/>
        <v>0.18594819706443572</v>
      </c>
      <c r="J302" s="9">
        <f t="shared" si="53"/>
        <v>0.21949638109201305</v>
      </c>
      <c r="K302" s="9">
        <f t="shared" si="54"/>
        <v>0.19245106226709183</v>
      </c>
      <c r="L302" s="9">
        <f t="shared" si="55"/>
        <v>0.29737832794204838</v>
      </c>
      <c r="M302" s="9">
        <f t="shared" si="56"/>
        <v>7.8398832003283334E-2</v>
      </c>
      <c r="X302" s="9">
        <f t="shared" si="57"/>
        <v>0.22699517004685704</v>
      </c>
      <c r="Y302" s="9">
        <f t="shared" si="58"/>
        <v>0.19669674599446907</v>
      </c>
      <c r="Z302" s="9">
        <f t="shared" si="59"/>
        <v>0.31543151719564699</v>
      </c>
      <c r="AB302" s="9">
        <f t="shared" si="60"/>
        <v>0.96192283550705016</v>
      </c>
      <c r="AC302" s="9">
        <f t="shared" si="61"/>
        <v>0.98603688801548239</v>
      </c>
      <c r="AD302" s="9">
        <f t="shared" si="62"/>
        <v>0.89666857865154781</v>
      </c>
      <c r="AE302" s="9">
        <f t="shared" si="63"/>
        <v>0.96213444649005286</v>
      </c>
    </row>
    <row r="303" spans="7:31" x14ac:dyDescent="0.3">
      <c r="G303" s="9">
        <v>298</v>
      </c>
      <c r="H303" s="9">
        <f t="shared" si="64"/>
        <v>5.0859531772575464</v>
      </c>
      <c r="I303" s="9">
        <f t="shared" si="52"/>
        <v>0.18114703996675677</v>
      </c>
      <c r="J303" s="9">
        <f t="shared" si="53"/>
        <v>0.21286094242688644</v>
      </c>
      <c r="K303" s="9">
        <f t="shared" si="54"/>
        <v>0.19013224885491695</v>
      </c>
      <c r="L303" s="9">
        <f t="shared" si="55"/>
        <v>0.29292986393409887</v>
      </c>
      <c r="M303" s="9">
        <f t="shared" si="56"/>
        <v>7.8380900310195359E-2</v>
      </c>
      <c r="X303" s="9">
        <f t="shared" si="57"/>
        <v>0.22005230971073836</v>
      </c>
      <c r="Y303" s="9">
        <f t="shared" si="58"/>
        <v>0.18691458326393259</v>
      </c>
      <c r="Z303" s="9">
        <f t="shared" si="59"/>
        <v>0.31146009441978645</v>
      </c>
      <c r="AB303" s="9">
        <f t="shared" si="60"/>
        <v>0.9634928264480177</v>
      </c>
      <c r="AC303" s="9">
        <f t="shared" si="61"/>
        <v>0.9873852576094212</v>
      </c>
      <c r="AD303" s="9">
        <f t="shared" si="62"/>
        <v>0.89887006639317246</v>
      </c>
      <c r="AE303" s="9">
        <f t="shared" si="63"/>
        <v>0.96365269122237196</v>
      </c>
    </row>
    <row r="304" spans="7:31" x14ac:dyDescent="0.3">
      <c r="G304" s="9">
        <v>299</v>
      </c>
      <c r="H304" s="9">
        <f t="shared" si="64"/>
        <v>5.0929765886287841</v>
      </c>
      <c r="I304" s="9">
        <f t="shared" si="52"/>
        <v>0.17643043077596002</v>
      </c>
      <c r="J304" s="9">
        <f t="shared" si="53"/>
        <v>0.20634037914448361</v>
      </c>
      <c r="K304" s="9">
        <f t="shared" si="54"/>
        <v>0.1865170823781086</v>
      </c>
      <c r="L304" s="9">
        <f t="shared" si="55"/>
        <v>0.28850042847874752</v>
      </c>
      <c r="M304" s="9">
        <f t="shared" si="56"/>
        <v>7.8362819413519691E-2</v>
      </c>
      <c r="X304" s="9">
        <f t="shared" si="57"/>
        <v>0.21295266306700639</v>
      </c>
      <c r="Y304" s="9">
        <f t="shared" si="58"/>
        <v>0.17501463272575557</v>
      </c>
      <c r="Z304" s="9">
        <f t="shared" si="59"/>
        <v>0.30743928564566814</v>
      </c>
      <c r="AB304" s="9">
        <f t="shared" si="60"/>
        <v>0.96501350423738375</v>
      </c>
      <c r="AC304" s="9">
        <f t="shared" si="61"/>
        <v>0.98865748600291792</v>
      </c>
      <c r="AD304" s="9">
        <f t="shared" si="62"/>
        <v>0.90104348776982324</v>
      </c>
      <c r="AE304" s="9">
        <f t="shared" si="63"/>
        <v>0.96512473536540611</v>
      </c>
    </row>
    <row r="305" spans="7:31" x14ac:dyDescent="0.3">
      <c r="G305" s="9">
        <v>300</v>
      </c>
      <c r="H305" s="9">
        <f t="shared" si="64"/>
        <v>5.1000000000000218</v>
      </c>
      <c r="I305" s="9">
        <f t="shared" si="52"/>
        <v>0.1717982477055304</v>
      </c>
      <c r="J305" s="9">
        <f t="shared" si="53"/>
        <v>0.19993562769091497</v>
      </c>
      <c r="K305" s="9">
        <f t="shared" si="54"/>
        <v>0.18128036780715751</v>
      </c>
      <c r="L305" s="9">
        <f t="shared" si="55"/>
        <v>0.28409109570869784</v>
      </c>
      <c r="M305" s="9">
        <f t="shared" si="56"/>
        <v>7.8344589418309685E-2</v>
      </c>
      <c r="X305" s="9">
        <f t="shared" si="57"/>
        <v>0.20569623011566088</v>
      </c>
      <c r="Y305" s="9">
        <f t="shared" si="58"/>
        <v>0.16099689437993794</v>
      </c>
      <c r="Z305" s="9">
        <f t="shared" si="59"/>
        <v>0.30336909087329195</v>
      </c>
      <c r="AB305" s="9">
        <f t="shared" si="60"/>
        <v>0.96648376770041278</v>
      </c>
      <c r="AC305" s="9">
        <f t="shared" si="61"/>
        <v>0.98983869910100264</v>
      </c>
      <c r="AD305" s="9">
        <f t="shared" si="62"/>
        <v>0.90318849592331685</v>
      </c>
      <c r="AE305" s="9">
        <f t="shared" si="63"/>
        <v>0.96655138909319094</v>
      </c>
    </row>
  </sheetData>
  <mergeCells count="5">
    <mergeCell ref="J4:M4"/>
    <mergeCell ref="X2:Z2"/>
    <mergeCell ref="X4:Z4"/>
    <mergeCell ref="AB2:AD2"/>
    <mergeCell ref="AB4:AD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837B5DFAB6C9D4EABC0219424F6E020" ma:contentTypeVersion="11" ma:contentTypeDescription="Utwórz nowy dokument." ma:contentTypeScope="" ma:versionID="9c94b0c0dad742f54d8faf4ea50e439e">
  <xsd:schema xmlns:xsd="http://www.w3.org/2001/XMLSchema" xmlns:xs="http://www.w3.org/2001/XMLSchema" xmlns:p="http://schemas.microsoft.com/office/2006/metadata/properties" xmlns:ns3="6f76e8df-8962-4219-9d90-830137f61fba" xmlns:ns4="a308a4c8-5a06-47b5-80c1-4377bb885d3d" targetNamespace="http://schemas.microsoft.com/office/2006/metadata/properties" ma:root="true" ma:fieldsID="7b31364acd7a5cec3daf6629f8f1b09b" ns3:_="" ns4:_="">
    <xsd:import namespace="6f76e8df-8962-4219-9d90-830137f61fba"/>
    <xsd:import namespace="a308a4c8-5a06-47b5-80c1-4377bb885d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76e8df-8962-4219-9d90-830137f61f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08a4c8-5a06-47b5-80c1-4377bb885d3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66BD83-8DDC-4943-85DC-63DF50FBBB84}">
  <ds:schemaRefs>
    <ds:schemaRef ds:uri="6f76e8df-8962-4219-9d90-830137f61fba"/>
    <ds:schemaRef ds:uri="http://www.w3.org/XML/1998/namespace"/>
    <ds:schemaRef ds:uri="http://purl.org/dc/terms/"/>
    <ds:schemaRef ds:uri="http://purl.org/dc/dcmitype/"/>
    <ds:schemaRef ds:uri="a308a4c8-5a06-47b5-80c1-4377bb885d3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6F9C6CFD-8039-4B16-937D-82C10497B0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32263C-A44A-4670-8B57-6EBF9CCCB2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76e8df-8962-4219-9d90-830137f61fba"/>
    <ds:schemaRef ds:uri="a308a4c8-5a06-47b5-80c1-4377bb885d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Nazwane zakresy</vt:lpstr>
      </vt:variant>
      <vt:variant>
        <vt:i4>3</vt:i4>
      </vt:variant>
    </vt:vector>
  </HeadingPairs>
  <TitlesOfParts>
    <vt:vector size="7" baseType="lpstr">
      <vt:lpstr>Irysy</vt:lpstr>
      <vt:lpstr>Irysy - estymacja g. i d.</vt:lpstr>
      <vt:lpstr>Gatunek 1</vt:lpstr>
      <vt:lpstr>Gatunek 1- estymacja g. i d.</vt:lpstr>
      <vt:lpstr>_h</vt:lpstr>
      <vt:lpstr>_k</vt:lpstr>
      <vt:lpstr>_n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oridn</dc:creator>
  <cp:keywords/>
  <dc:description/>
  <cp:lastModifiedBy>izuś .</cp:lastModifiedBy>
  <cp:revision/>
  <dcterms:created xsi:type="dcterms:W3CDTF">2022-03-27T09:38:54Z</dcterms:created>
  <dcterms:modified xsi:type="dcterms:W3CDTF">2022-03-28T11:34:16Z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0x0101006837B5DFAB6C9D4EABC0219424F6E020</vt:lpwstr>
  </property>
</Properties>
</file>