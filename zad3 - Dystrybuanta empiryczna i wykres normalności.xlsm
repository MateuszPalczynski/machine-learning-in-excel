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PAD\"/>
    </mc:Choice>
  </mc:AlternateContent>
  <xr:revisionPtr revIDLastSave="0" documentId="13_ncr:1_{9896E6DB-37E0-44B2-B5C1-98764930A295}" xr6:coauthVersionLast="47" xr6:coauthVersionMax="47" xr10:uidLastSave="{00000000-0000-0000-0000-000000000000}"/>
  <bookViews>
    <workbookView xWindow="-108" yWindow="-108" windowWidth="23256" windowHeight="12576" activeTab="2" xr2:uid="{8D3DC6C0-78F9-49C3-8758-262CF8168B9C}"/>
  </bookViews>
  <sheets>
    <sheet name="Arkusz1" sheetId="1" r:id="rId1"/>
    <sheet name="Arkusz2" sheetId="2" r:id="rId2"/>
    <sheet name="Arkusz3" sheetId="3" r:id="rId3"/>
  </sheets>
  <functionGroups builtInGroupCount="19"/>
  <definedNames>
    <definedName name="_Fi">OFFSET(Arkusz1!$P$3,0,0,_k,1)</definedName>
    <definedName name="_h">Arkusz1!$E$13</definedName>
    <definedName name="_k">Arkusz1!$E$12</definedName>
    <definedName name="_mi">Arkusz1!$E$2</definedName>
    <definedName name="_sigma">Arkusz1!$E$3</definedName>
    <definedName name="_skalow">OFFSET(Arkusz1!$O$3,0,0,_k,1)</definedName>
    <definedName name="_srodki">OFFSET(Arkusz1!$K$3,0,0,_k,1)</definedName>
    <definedName name="dystr_Fi">OFFSET(Arkusz1!$R$2,0,0,[0]!_k+1,1)</definedName>
    <definedName name="dystr_x" localSheetId="0">OFFSET(Arkusz1!$Q$2,0,0,[0]!_k+1,1)</definedName>
    <definedName name="n">Arkusz1!$E$7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2" i="3"/>
  <c r="K2" i="3"/>
  <c r="K8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G83" i="3"/>
  <c r="G2" i="3" l="1"/>
  <c r="I83" i="3"/>
  <c r="B3" i="3"/>
  <c r="G12" i="3" s="1"/>
  <c r="B4" i="3"/>
  <c r="B5" i="3"/>
  <c r="G38" i="3" s="1"/>
  <c r="B6" i="3"/>
  <c r="B7" i="3"/>
  <c r="G24" i="3" s="1"/>
  <c r="B8" i="3"/>
  <c r="G3" i="3" s="1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2" i="3"/>
  <c r="G5" i="3" s="1"/>
  <c r="Y4" i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3" i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C203" i="1"/>
  <c r="C204" i="1"/>
  <c r="C205" i="1"/>
  <c r="C209" i="1"/>
  <c r="C213" i="1"/>
  <c r="C217" i="1"/>
  <c r="C221" i="1"/>
  <c r="C225" i="1"/>
  <c r="C229" i="1"/>
  <c r="C233" i="1"/>
  <c r="C237" i="1"/>
  <c r="C241" i="1"/>
  <c r="C245" i="1"/>
  <c r="C249" i="1"/>
  <c r="C257" i="1"/>
  <c r="C261" i="1"/>
  <c r="C269" i="1"/>
  <c r="C273" i="1"/>
  <c r="C277" i="1"/>
  <c r="C282" i="1"/>
  <c r="C285" i="1"/>
  <c r="C289" i="1"/>
  <c r="C294" i="1"/>
  <c r="C297" i="1"/>
  <c r="C298" i="1"/>
  <c r="C301" i="1"/>
  <c r="C303" i="1"/>
  <c r="C306" i="1"/>
  <c r="C309" i="1"/>
  <c r="C310" i="1"/>
  <c r="C313" i="1"/>
  <c r="C315" i="1"/>
  <c r="C318" i="1"/>
  <c r="C321" i="1"/>
  <c r="C322" i="1"/>
  <c r="C324" i="1"/>
  <c r="C325" i="1"/>
  <c r="C327" i="1"/>
  <c r="C329" i="1"/>
  <c r="C331" i="1"/>
  <c r="C333" i="1"/>
  <c r="C335" i="1"/>
  <c r="C337" i="1"/>
  <c r="C338" i="1"/>
  <c r="C339" i="1"/>
  <c r="C342" i="1"/>
  <c r="C344" i="1"/>
  <c r="C345" i="1"/>
  <c r="C346" i="1"/>
  <c r="C348" i="1"/>
  <c r="C351" i="1"/>
  <c r="C353" i="1"/>
  <c r="C355" i="1"/>
  <c r="C356" i="1"/>
  <c r="C357" i="1"/>
  <c r="C359" i="1"/>
  <c r="C361" i="1"/>
  <c r="C363" i="1"/>
  <c r="C365" i="1"/>
  <c r="C368" i="1"/>
  <c r="C369" i="1"/>
  <c r="C371" i="1"/>
  <c r="C373" i="1"/>
  <c r="C374" i="1"/>
  <c r="C376" i="1"/>
  <c r="C377" i="1"/>
  <c r="C378" i="1"/>
  <c r="C380" i="1"/>
  <c r="C381" i="1"/>
  <c r="C383" i="1"/>
  <c r="C385" i="1"/>
  <c r="C386" i="1"/>
  <c r="C387" i="1"/>
  <c r="C389" i="1"/>
  <c r="C391" i="1"/>
  <c r="C393" i="1"/>
  <c r="C394" i="1"/>
  <c r="C396" i="1"/>
  <c r="C397" i="1"/>
  <c r="C398" i="1"/>
  <c r="C400" i="1"/>
  <c r="C207" i="1"/>
  <c r="C211" i="1"/>
  <c r="C215" i="1"/>
  <c r="C219" i="1"/>
  <c r="C223" i="1"/>
  <c r="C227" i="1"/>
  <c r="C230" i="1"/>
  <c r="C231" i="1"/>
  <c r="C235" i="1"/>
  <c r="C239" i="1"/>
  <c r="C243" i="1"/>
  <c r="C246" i="1"/>
  <c r="C247" i="1"/>
  <c r="C250" i="1"/>
  <c r="C251" i="1"/>
  <c r="C253" i="1"/>
  <c r="C254" i="1"/>
  <c r="C255" i="1"/>
  <c r="C259" i="1"/>
  <c r="C262" i="1"/>
  <c r="C263" i="1"/>
  <c r="C265" i="1"/>
  <c r="C267" i="1"/>
  <c r="C270" i="1"/>
  <c r="C271" i="1"/>
  <c r="C275" i="1"/>
  <c r="C278" i="1"/>
  <c r="C279" i="1"/>
  <c r="C281" i="1"/>
  <c r="C283" i="1"/>
  <c r="C286" i="1"/>
  <c r="C287" i="1"/>
  <c r="C291" i="1"/>
  <c r="C293" i="1"/>
  <c r="C295" i="1"/>
  <c r="C299" i="1"/>
  <c r="C302" i="1"/>
  <c r="C305" i="1"/>
  <c r="C307" i="1"/>
  <c r="C311" i="1"/>
  <c r="C314" i="1"/>
  <c r="C317" i="1"/>
  <c r="C319" i="1"/>
  <c r="C323" i="1"/>
  <c r="C326" i="1"/>
  <c r="C330" i="1"/>
  <c r="C332" i="1"/>
  <c r="C334" i="1"/>
  <c r="C341" i="1"/>
  <c r="C343" i="1"/>
  <c r="C347" i="1"/>
  <c r="C349" i="1"/>
  <c r="C352" i="1"/>
  <c r="C354" i="1"/>
  <c r="C358" i="1"/>
  <c r="C360" i="1"/>
  <c r="C362" i="1"/>
  <c r="C364" i="1"/>
  <c r="C367" i="1"/>
  <c r="C370" i="1"/>
  <c r="C375" i="1"/>
  <c r="C379" i="1"/>
  <c r="C382" i="1"/>
  <c r="C388" i="1"/>
  <c r="C390" i="1"/>
  <c r="C392" i="1"/>
  <c r="C395" i="1"/>
  <c r="C399" i="1"/>
  <c r="C202" i="1"/>
  <c r="C206" i="1"/>
  <c r="C210" i="1"/>
  <c r="C214" i="1"/>
  <c r="C218" i="1"/>
  <c r="C222" i="1"/>
  <c r="C226" i="1"/>
  <c r="C234" i="1"/>
  <c r="C238" i="1"/>
  <c r="C242" i="1"/>
  <c r="C258" i="1"/>
  <c r="C266" i="1"/>
  <c r="C274" i="1"/>
  <c r="C290" i="1"/>
  <c r="C328" i="1"/>
  <c r="C336" i="1"/>
  <c r="C350" i="1"/>
  <c r="C366" i="1"/>
  <c r="C384" i="1"/>
  <c r="C208" i="1"/>
  <c r="C212" i="1"/>
  <c r="C216" i="1"/>
  <c r="C220" i="1"/>
  <c r="C224" i="1"/>
  <c r="C228" i="1"/>
  <c r="C232" i="1"/>
  <c r="C236" i="1"/>
  <c r="C240" i="1"/>
  <c r="C244" i="1"/>
  <c r="C248" i="1"/>
  <c r="C252" i="1"/>
  <c r="C256" i="1"/>
  <c r="C260" i="1"/>
  <c r="C264" i="1"/>
  <c r="C268" i="1"/>
  <c r="C272" i="1"/>
  <c r="C276" i="1"/>
  <c r="C280" i="1"/>
  <c r="C284" i="1"/>
  <c r="C288" i="1"/>
  <c r="C292" i="1"/>
  <c r="C296" i="1"/>
  <c r="C300" i="1"/>
  <c r="C304" i="1"/>
  <c r="C308" i="1"/>
  <c r="C312" i="1"/>
  <c r="C316" i="1"/>
  <c r="C320" i="1"/>
  <c r="C340" i="1"/>
  <c r="C372" i="1"/>
  <c r="R2" i="1"/>
  <c r="C7" i="1"/>
  <c r="C15" i="1"/>
  <c r="C23" i="1"/>
  <c r="C31" i="1"/>
  <c r="C39" i="1"/>
  <c r="C47" i="1"/>
  <c r="C63" i="1"/>
  <c r="C71" i="1"/>
  <c r="C79" i="1"/>
  <c r="C87" i="1"/>
  <c r="C95" i="1"/>
  <c r="C103" i="1"/>
  <c r="C111" i="1"/>
  <c r="C119" i="1"/>
  <c r="C127" i="1"/>
  <c r="C135" i="1"/>
  <c r="C151" i="1"/>
  <c r="C159" i="1"/>
  <c r="C175" i="1"/>
  <c r="C183" i="1"/>
  <c r="C191" i="1"/>
  <c r="C199" i="1"/>
  <c r="C3" i="1"/>
  <c r="C4" i="1"/>
  <c r="C6" i="1"/>
  <c r="C8" i="1"/>
  <c r="C9" i="1"/>
  <c r="C10" i="1"/>
  <c r="C11" i="1"/>
  <c r="C12" i="1"/>
  <c r="C16" i="1"/>
  <c r="C17" i="1"/>
  <c r="C18" i="1"/>
  <c r="C19" i="1"/>
  <c r="C20" i="1"/>
  <c r="C22" i="1"/>
  <c r="C24" i="1"/>
  <c r="C25" i="1"/>
  <c r="C26" i="1"/>
  <c r="C27" i="1"/>
  <c r="C28" i="1"/>
  <c r="C30" i="1"/>
  <c r="C32" i="1"/>
  <c r="C33" i="1"/>
  <c r="C34" i="1"/>
  <c r="C36" i="1"/>
  <c r="C38" i="1"/>
  <c r="C40" i="1"/>
  <c r="C41" i="1"/>
  <c r="C42" i="1"/>
  <c r="C43" i="1"/>
  <c r="C44" i="1"/>
  <c r="C51" i="1"/>
  <c r="C52" i="1"/>
  <c r="C54" i="1"/>
  <c r="C55" i="1"/>
  <c r="C56" i="1"/>
  <c r="C57" i="1"/>
  <c r="C58" i="1"/>
  <c r="C59" i="1"/>
  <c r="C60" i="1"/>
  <c r="C64" i="1"/>
  <c r="C65" i="1"/>
  <c r="C66" i="1"/>
  <c r="C67" i="1"/>
  <c r="C68" i="1"/>
  <c r="C72" i="1"/>
  <c r="C74" i="1"/>
  <c r="C75" i="1"/>
  <c r="C76" i="1"/>
  <c r="C80" i="1"/>
  <c r="C81" i="1"/>
  <c r="C82" i="1"/>
  <c r="C83" i="1"/>
  <c r="C84" i="1"/>
  <c r="C88" i="1"/>
  <c r="C89" i="1"/>
  <c r="C90" i="1"/>
  <c r="C91" i="1"/>
  <c r="C92" i="1"/>
  <c r="C96" i="1"/>
  <c r="C97" i="1"/>
  <c r="C98" i="1"/>
  <c r="C99" i="1"/>
  <c r="C100" i="1"/>
  <c r="C102" i="1"/>
  <c r="C105" i="1"/>
  <c r="C106" i="1"/>
  <c r="C107" i="1"/>
  <c r="C108" i="1"/>
  <c r="C110" i="1"/>
  <c r="C112" i="1"/>
  <c r="C116" i="1"/>
  <c r="C120" i="1"/>
  <c r="C121" i="1"/>
  <c r="C122" i="1"/>
  <c r="C123" i="1"/>
  <c r="C124" i="1"/>
  <c r="C126" i="1"/>
  <c r="C128" i="1"/>
  <c r="C129" i="1"/>
  <c r="C130" i="1"/>
  <c r="C131" i="1"/>
  <c r="C132" i="1"/>
  <c r="C136" i="1"/>
  <c r="C137" i="1"/>
  <c r="C138" i="1"/>
  <c r="C139" i="1"/>
  <c r="C140" i="1"/>
  <c r="C143" i="1"/>
  <c r="C145" i="1"/>
  <c r="C147" i="1"/>
  <c r="C148" i="1"/>
  <c r="C150" i="1"/>
  <c r="C153" i="1"/>
  <c r="C154" i="1"/>
  <c r="C155" i="1"/>
  <c r="C156" i="1"/>
  <c r="C158" i="1"/>
  <c r="C160" i="1"/>
  <c r="C161" i="1"/>
  <c r="C164" i="1"/>
  <c r="C166" i="1"/>
  <c r="C167" i="1"/>
  <c r="C168" i="1"/>
  <c r="C169" i="1"/>
  <c r="C170" i="1"/>
  <c r="C171" i="1"/>
  <c r="C172" i="1"/>
  <c r="C174" i="1"/>
  <c r="C176" i="1"/>
  <c r="C177" i="1"/>
  <c r="C178" i="1"/>
  <c r="C179" i="1"/>
  <c r="C180" i="1"/>
  <c r="C184" i="1"/>
  <c r="C185" i="1"/>
  <c r="C186" i="1"/>
  <c r="C187" i="1"/>
  <c r="C188" i="1"/>
  <c r="C192" i="1"/>
  <c r="C193" i="1"/>
  <c r="C194" i="1"/>
  <c r="C195" i="1"/>
  <c r="C196" i="1"/>
  <c r="C198" i="1"/>
  <c r="C200" i="1"/>
  <c r="C201" i="1"/>
  <c r="C49" i="1"/>
  <c r="C50" i="1"/>
  <c r="C146" i="1"/>
  <c r="C5" i="1"/>
  <c r="C13" i="1"/>
  <c r="C21" i="1"/>
  <c r="C29" i="1"/>
  <c r="C37" i="1"/>
  <c r="C45" i="1"/>
  <c r="C48" i="1"/>
  <c r="C53" i="1"/>
  <c r="C61" i="1"/>
  <c r="C69" i="1"/>
  <c r="C77" i="1"/>
  <c r="C85" i="1"/>
  <c r="C93" i="1"/>
  <c r="C101" i="1"/>
  <c r="C109" i="1"/>
  <c r="C114" i="1"/>
  <c r="C117" i="1"/>
  <c r="C125" i="1"/>
  <c r="C133" i="1"/>
  <c r="C141" i="1"/>
  <c r="C144" i="1"/>
  <c r="C149" i="1"/>
  <c r="C157" i="1"/>
  <c r="C162" i="1"/>
  <c r="C165" i="1"/>
  <c r="C173" i="1"/>
  <c r="C181" i="1"/>
  <c r="C189" i="1"/>
  <c r="C197" i="1"/>
  <c r="C14" i="1"/>
  <c r="C35" i="1"/>
  <c r="C46" i="1"/>
  <c r="C62" i="1"/>
  <c r="C70" i="1"/>
  <c r="C73" i="1"/>
  <c r="C78" i="1"/>
  <c r="C86" i="1"/>
  <c r="C94" i="1"/>
  <c r="C104" i="1"/>
  <c r="C113" i="1"/>
  <c r="C115" i="1"/>
  <c r="C118" i="1"/>
  <c r="C134" i="1"/>
  <c r="C142" i="1"/>
  <c r="C152" i="1"/>
  <c r="C163" i="1"/>
  <c r="C182" i="1"/>
  <c r="C190" i="1"/>
  <c r="C2" i="1"/>
  <c r="I3" i="3" l="1"/>
  <c r="I24" i="3"/>
  <c r="I12" i="3"/>
  <c r="I5" i="3"/>
  <c r="I38" i="3"/>
  <c r="G56" i="3"/>
  <c r="G8" i="3"/>
  <c r="G55" i="3"/>
  <c r="G15" i="3"/>
  <c r="G70" i="3"/>
  <c r="G62" i="3"/>
  <c r="G54" i="3"/>
  <c r="G46" i="3"/>
  <c r="G30" i="3"/>
  <c r="G22" i="3"/>
  <c r="G14" i="3"/>
  <c r="G6" i="3"/>
  <c r="G77" i="3"/>
  <c r="G69" i="3"/>
  <c r="G61" i="3"/>
  <c r="G53" i="3"/>
  <c r="G45" i="3"/>
  <c r="G37" i="3"/>
  <c r="G29" i="3"/>
  <c r="G21" i="3"/>
  <c r="G13" i="3"/>
  <c r="G32" i="3"/>
  <c r="G79" i="3"/>
  <c r="G31" i="3"/>
  <c r="G20" i="3"/>
  <c r="G72" i="3"/>
  <c r="G40" i="3"/>
  <c r="G71" i="3"/>
  <c r="G23" i="3"/>
  <c r="G68" i="3"/>
  <c r="G52" i="3"/>
  <c r="G36" i="3"/>
  <c r="G4" i="3"/>
  <c r="G81" i="3"/>
  <c r="G80" i="3"/>
  <c r="D2" i="3"/>
  <c r="G75" i="3"/>
  <c r="G67" i="3"/>
  <c r="G59" i="3"/>
  <c r="G51" i="3"/>
  <c r="G43" i="3"/>
  <c r="G35" i="3"/>
  <c r="G27" i="3"/>
  <c r="G19" i="3"/>
  <c r="G11" i="3"/>
  <c r="D5" i="3"/>
  <c r="G64" i="3"/>
  <c r="G16" i="3"/>
  <c r="G63" i="3"/>
  <c r="G39" i="3"/>
  <c r="G78" i="3"/>
  <c r="G76" i="3"/>
  <c r="G60" i="3"/>
  <c r="G44" i="3"/>
  <c r="G28" i="3"/>
  <c r="D1" i="3"/>
  <c r="G74" i="3"/>
  <c r="G66" i="3"/>
  <c r="G58" i="3"/>
  <c r="G50" i="3"/>
  <c r="G42" i="3"/>
  <c r="G34" i="3"/>
  <c r="G26" i="3"/>
  <c r="G18" i="3"/>
  <c r="G10" i="3"/>
  <c r="D7" i="3"/>
  <c r="H12" i="3" s="1"/>
  <c r="D4" i="3"/>
  <c r="G73" i="3"/>
  <c r="G65" i="3"/>
  <c r="G57" i="3"/>
  <c r="G49" i="3"/>
  <c r="G41" i="3"/>
  <c r="G33" i="3"/>
  <c r="G25" i="3"/>
  <c r="G17" i="3"/>
  <c r="G9" i="3"/>
  <c r="G48" i="3"/>
  <c r="G47" i="3"/>
  <c r="G7" i="3"/>
  <c r="I2" i="3"/>
  <c r="H2" i="3"/>
  <c r="E10" i="1"/>
  <c r="E9" i="1"/>
  <c r="H5" i="1"/>
  <c r="H6" i="1"/>
  <c r="E7" i="1"/>
  <c r="E6" i="1"/>
  <c r="E5" i="1"/>
  <c r="H17" i="3" l="1"/>
  <c r="I17" i="3"/>
  <c r="I74" i="3"/>
  <c r="H74" i="3"/>
  <c r="H16" i="3"/>
  <c r="I16" i="3"/>
  <c r="H46" i="3"/>
  <c r="I46" i="3"/>
  <c r="H83" i="3"/>
  <c r="H7" i="3"/>
  <c r="I7" i="3"/>
  <c r="H49" i="3"/>
  <c r="I49" i="3"/>
  <c r="I26" i="3"/>
  <c r="H26" i="3"/>
  <c r="I28" i="3"/>
  <c r="H28" i="3"/>
  <c r="H64" i="3"/>
  <c r="I64" i="3"/>
  <c r="H59" i="3"/>
  <c r="I59" i="3"/>
  <c r="H52" i="3"/>
  <c r="I52" i="3"/>
  <c r="I79" i="3"/>
  <c r="H79" i="3"/>
  <c r="H61" i="3"/>
  <c r="I61" i="3"/>
  <c r="H54" i="3"/>
  <c r="I54" i="3"/>
  <c r="I18" i="3"/>
  <c r="H18" i="3"/>
  <c r="I31" i="3"/>
  <c r="H31" i="3"/>
  <c r="H57" i="3"/>
  <c r="I57" i="3"/>
  <c r="I68" i="3"/>
  <c r="H68" i="3"/>
  <c r="H32" i="3"/>
  <c r="I32" i="3"/>
  <c r="H62" i="3"/>
  <c r="I62" i="3"/>
  <c r="H38" i="3"/>
  <c r="I10" i="3"/>
  <c r="H10" i="3"/>
  <c r="I36" i="3"/>
  <c r="H36" i="3"/>
  <c r="H47" i="3"/>
  <c r="I47" i="3"/>
  <c r="H44" i="3"/>
  <c r="I44" i="3"/>
  <c r="H69" i="3"/>
  <c r="I69" i="3"/>
  <c r="H48" i="3"/>
  <c r="I48" i="3"/>
  <c r="H65" i="3"/>
  <c r="I65" i="3"/>
  <c r="I42" i="3"/>
  <c r="H42" i="3"/>
  <c r="I60" i="3"/>
  <c r="H60" i="3"/>
  <c r="H11" i="3"/>
  <c r="I11" i="3"/>
  <c r="H75" i="3"/>
  <c r="I75" i="3"/>
  <c r="I23" i="3"/>
  <c r="H23" i="3"/>
  <c r="H13" i="3"/>
  <c r="I13" i="3"/>
  <c r="H77" i="3"/>
  <c r="I77" i="3"/>
  <c r="H70" i="3"/>
  <c r="I70" i="3"/>
  <c r="H24" i="3"/>
  <c r="I66" i="3"/>
  <c r="H66" i="3"/>
  <c r="H41" i="3"/>
  <c r="I41" i="3"/>
  <c r="H51" i="3"/>
  <c r="I51" i="3"/>
  <c r="H53" i="3"/>
  <c r="I53" i="3"/>
  <c r="I34" i="3"/>
  <c r="H34" i="3"/>
  <c r="H67" i="3"/>
  <c r="I67" i="3"/>
  <c r="H9" i="3"/>
  <c r="I9" i="3"/>
  <c r="H73" i="3"/>
  <c r="I73" i="3"/>
  <c r="I50" i="3"/>
  <c r="H50" i="3"/>
  <c r="I76" i="3"/>
  <c r="H76" i="3"/>
  <c r="H19" i="3"/>
  <c r="I19" i="3"/>
  <c r="H71" i="3"/>
  <c r="I71" i="3"/>
  <c r="H21" i="3"/>
  <c r="I21" i="3"/>
  <c r="H6" i="3"/>
  <c r="I6" i="3"/>
  <c r="H15" i="3"/>
  <c r="I15" i="3"/>
  <c r="I58" i="3"/>
  <c r="H58" i="3"/>
  <c r="H78" i="3"/>
  <c r="I78" i="3"/>
  <c r="H27" i="3"/>
  <c r="I27" i="3"/>
  <c r="H80" i="3"/>
  <c r="I80" i="3"/>
  <c r="H40" i="3"/>
  <c r="I40" i="3"/>
  <c r="H29" i="3"/>
  <c r="I29" i="3"/>
  <c r="H14" i="3"/>
  <c r="I14" i="3"/>
  <c r="I55" i="3"/>
  <c r="H55" i="3"/>
  <c r="H5" i="3"/>
  <c r="H3" i="3"/>
  <c r="H25" i="3"/>
  <c r="I25" i="3"/>
  <c r="I39" i="3"/>
  <c r="H39" i="3"/>
  <c r="H35" i="3"/>
  <c r="I35" i="3"/>
  <c r="G82" i="3"/>
  <c r="H81" i="3"/>
  <c r="I81" i="3"/>
  <c r="H72" i="3"/>
  <c r="I72" i="3"/>
  <c r="H37" i="3"/>
  <c r="I37" i="3"/>
  <c r="H22" i="3"/>
  <c r="I22" i="3"/>
  <c r="H8" i="3"/>
  <c r="I8" i="3"/>
  <c r="H33" i="3"/>
  <c r="I33" i="3"/>
  <c r="I63" i="3"/>
  <c r="H63" i="3"/>
  <c r="H43" i="3"/>
  <c r="I43" i="3"/>
  <c r="I4" i="3"/>
  <c r="H4" i="3"/>
  <c r="I20" i="3"/>
  <c r="H20" i="3"/>
  <c r="H45" i="3"/>
  <c r="I45" i="3"/>
  <c r="H30" i="3"/>
  <c r="I30" i="3"/>
  <c r="H56" i="3"/>
  <c r="I56" i="3"/>
  <c r="K3" i="3"/>
  <c r="E13" i="1"/>
  <c r="J3" i="1" s="1"/>
  <c r="W3" i="1" s="1"/>
  <c r="X3" i="1" a="1"/>
  <c r="I82" i="3" l="1"/>
  <c r="H82" i="3"/>
  <c r="X3" i="1"/>
  <c r="Z3" i="1"/>
  <c r="Q2" i="1"/>
  <c r="S2" i="1" s="1"/>
  <c r="L3" i="1"/>
  <c r="Q3" i="1" s="1"/>
  <c r="S3" i="1" s="1"/>
  <c r="M3" i="1" l="1"/>
  <c r="N3" i="1" s="1"/>
  <c r="O3" i="1" s="1"/>
  <c r="J4" i="1"/>
  <c r="L4" i="1" s="1"/>
  <c r="M4" i="1" s="1"/>
  <c r="K3" i="1"/>
  <c r="P3" i="1" l="1"/>
  <c r="N4" i="1"/>
  <c r="O4" i="1" s="1"/>
  <c r="R3" i="1"/>
  <c r="Q4" i="1"/>
  <c r="S4" i="1" s="1"/>
  <c r="J5" i="1"/>
  <c r="L5" i="1" s="1"/>
  <c r="J6" i="1" s="1"/>
  <c r="K4" i="1"/>
  <c r="P4" i="1" s="1"/>
  <c r="R4" i="1"/>
  <c r="K5" i="1" l="1"/>
  <c r="Q5" i="1"/>
  <c r="S5" i="1" s="1"/>
  <c r="M5" i="1"/>
  <c r="N5" i="1" s="1"/>
  <c r="O5" i="1" s="1"/>
  <c r="L6" i="1"/>
  <c r="J7" i="1" s="1"/>
  <c r="P5" i="1" l="1"/>
  <c r="K6" i="1"/>
  <c r="R5" i="1"/>
  <c r="L7" i="1"/>
  <c r="Q6" i="1"/>
  <c r="S6" i="1" s="1"/>
  <c r="M6" i="1"/>
  <c r="K7" i="1" l="1"/>
  <c r="P6" i="1"/>
  <c r="N6" i="1"/>
  <c r="O6" i="1" s="1"/>
  <c r="R6" i="1"/>
  <c r="J8" i="1"/>
  <c r="L8" i="1" l="1"/>
  <c r="K8" i="1" s="1"/>
  <c r="P8" i="1" s="1"/>
  <c r="Q7" i="1"/>
  <c r="S7" i="1" s="1"/>
  <c r="P7" i="1"/>
  <c r="M7" i="1"/>
  <c r="N7" i="1" l="1"/>
  <c r="O7" i="1" s="1"/>
  <c r="R7" i="1"/>
  <c r="J9" i="1"/>
  <c r="L9" i="1" l="1"/>
  <c r="K9" i="1" s="1"/>
  <c r="Q8" i="1"/>
  <c r="S8" i="1" s="1"/>
  <c r="M8" i="1"/>
  <c r="P9" i="1" l="1"/>
  <c r="N8" i="1"/>
  <c r="O8" i="1" s="1"/>
  <c r="R8" i="1"/>
  <c r="Q9" i="1" l="1"/>
  <c r="S9" i="1" s="1"/>
  <c r="J10" i="1"/>
  <c r="M9" i="1"/>
  <c r="L10" i="1" l="1"/>
  <c r="J11" i="1" s="1"/>
  <c r="N9" i="1"/>
  <c r="O9" i="1" s="1"/>
  <c r="R9" i="1"/>
  <c r="L11" i="1" l="1"/>
  <c r="K11" i="1" s="1"/>
  <c r="P11" i="1" s="1"/>
  <c r="K10" i="1"/>
  <c r="Q10" i="1"/>
  <c r="S10" i="1" s="1"/>
  <c r="M10" i="1"/>
  <c r="P10" i="1" l="1"/>
  <c r="N10" i="1"/>
  <c r="O10" i="1" s="1"/>
  <c r="R10" i="1"/>
  <c r="J12" i="1"/>
  <c r="L12" i="1" l="1"/>
  <c r="Q11" i="1"/>
  <c r="S11" i="1" s="1"/>
  <c r="M11" i="1"/>
  <c r="K12" i="1" l="1"/>
  <c r="N11" i="1"/>
  <c r="O11" i="1" s="1"/>
  <c r="R11" i="1"/>
  <c r="P12" i="1" l="1"/>
  <c r="Q12" i="1"/>
  <c r="S12" i="1" s="1"/>
  <c r="J13" i="1"/>
  <c r="M12" i="1"/>
  <c r="L13" i="1" l="1"/>
  <c r="K13" i="1" s="1"/>
  <c r="N12" i="1"/>
  <c r="O12" i="1" s="1"/>
  <c r="R12" i="1"/>
  <c r="P13" i="1" l="1"/>
  <c r="Q13" i="1"/>
  <c r="S13" i="1" s="1"/>
  <c r="J14" i="1"/>
  <c r="M13" i="1"/>
  <c r="L14" i="1" l="1"/>
  <c r="K14" i="1" s="1"/>
  <c r="N13" i="1"/>
  <c r="O13" i="1" s="1"/>
  <c r="R13" i="1"/>
  <c r="P14" i="1" l="1"/>
  <c r="Q14" i="1"/>
  <c r="S14" i="1" s="1"/>
  <c r="J15" i="1"/>
  <c r="M14" i="1"/>
  <c r="L15" i="1" l="1"/>
  <c r="J16" i="1" s="1"/>
  <c r="N14" i="1"/>
  <c r="O14" i="1" s="1"/>
  <c r="R14" i="1"/>
  <c r="K15" i="1" l="1"/>
  <c r="L16" i="1"/>
  <c r="K16" i="1" s="1"/>
  <c r="P16" i="1" s="1"/>
  <c r="Q15" i="1"/>
  <c r="S15" i="1" s="1"/>
  <c r="M15" i="1"/>
  <c r="P15" i="1" l="1"/>
  <c r="N15" i="1"/>
  <c r="O15" i="1" s="1"/>
  <c r="R15" i="1"/>
  <c r="J17" i="1"/>
  <c r="L17" i="1" l="1"/>
  <c r="Q16" i="1"/>
  <c r="S16" i="1" s="1"/>
  <c r="M16" i="1"/>
  <c r="K17" i="1" l="1"/>
  <c r="E18" i="1"/>
  <c r="W4" i="1" s="1"/>
  <c r="N16" i="1"/>
  <c r="O16" i="1" s="1"/>
  <c r="R16" i="1"/>
  <c r="J18" i="1"/>
  <c r="X4" i="1" a="1"/>
  <c r="X4" i="1" l="1"/>
  <c r="W5" i="1"/>
  <c r="Z4" i="1"/>
  <c r="P17" i="1"/>
  <c r="E15" i="1"/>
  <c r="L18" i="1"/>
  <c r="K18" i="1" s="1"/>
  <c r="P18" i="1" s="1"/>
  <c r="Q17" i="1"/>
  <c r="S17" i="1" s="1"/>
  <c r="M17" i="1"/>
  <c r="X5" i="1" a="1"/>
  <c r="X5" i="1" l="1"/>
  <c r="Z5" i="1"/>
  <c r="W6" i="1"/>
  <c r="N17" i="1"/>
  <c r="O17" i="1" s="1"/>
  <c r="R17" i="1"/>
  <c r="J19" i="1"/>
  <c r="X6" i="1" a="1"/>
  <c r="X6" i="1" l="1"/>
  <c r="Z6" i="1"/>
  <c r="W7" i="1"/>
  <c r="L19" i="1"/>
  <c r="K19" i="1" s="1"/>
  <c r="P19" i="1" s="1"/>
  <c r="Q18" i="1"/>
  <c r="S18" i="1" s="1"/>
  <c r="M18" i="1"/>
  <c r="X7" i="1" a="1"/>
  <c r="X7" i="1" l="1"/>
  <c r="Z7" i="1"/>
  <c r="W8" i="1"/>
  <c r="N18" i="1"/>
  <c r="O18" i="1" s="1"/>
  <c r="R18" i="1"/>
  <c r="J20" i="1"/>
  <c r="X8" i="1" a="1"/>
  <c r="X8" i="1" l="1"/>
  <c r="W9" i="1"/>
  <c r="Z8" i="1"/>
  <c r="L20" i="1"/>
  <c r="K20" i="1" s="1"/>
  <c r="P20" i="1" s="1"/>
  <c r="Q19" i="1"/>
  <c r="S19" i="1" s="1"/>
  <c r="M19" i="1"/>
  <c r="X9" i="1" a="1"/>
  <c r="X9" i="1" l="1"/>
  <c r="W10" i="1"/>
  <c r="Z9" i="1"/>
  <c r="N19" i="1"/>
  <c r="O19" i="1" s="1"/>
  <c r="R19" i="1"/>
  <c r="J21" i="1"/>
  <c r="X10" i="1" a="1"/>
  <c r="X10" i="1" l="1"/>
  <c r="Z10" i="1"/>
  <c r="W11" i="1"/>
  <c r="L21" i="1"/>
  <c r="K21" i="1" s="1"/>
  <c r="P21" i="1" s="1"/>
  <c r="Q20" i="1"/>
  <c r="S20" i="1" s="1"/>
  <c r="M20" i="1"/>
  <c r="X11" i="1" a="1"/>
  <c r="X11" i="1" l="1"/>
  <c r="Z11" i="1"/>
  <c r="W12" i="1"/>
  <c r="N20" i="1"/>
  <c r="O20" i="1" s="1"/>
  <c r="R20" i="1"/>
  <c r="X12" i="1" a="1"/>
  <c r="X12" i="1" l="1"/>
  <c r="Z12" i="1"/>
  <c r="W13" i="1"/>
  <c r="Q21" i="1"/>
  <c r="S21" i="1" s="1"/>
  <c r="J22" i="1"/>
  <c r="M21" i="1"/>
  <c r="X13" i="1" a="1"/>
  <c r="X13" i="1" l="1"/>
  <c r="Z13" i="1"/>
  <c r="W14" i="1"/>
  <c r="L22" i="1"/>
  <c r="J23" i="1" s="1"/>
  <c r="N21" i="1"/>
  <c r="O21" i="1" s="1"/>
  <c r="R21" i="1"/>
  <c r="X14" i="1" a="1"/>
  <c r="X14" i="1" l="1"/>
  <c r="Z14" i="1"/>
  <c r="W15" i="1"/>
  <c r="K22" i="1"/>
  <c r="P22" i="1" s="1"/>
  <c r="L23" i="1"/>
  <c r="K23" i="1" s="1"/>
  <c r="P23" i="1" s="1"/>
  <c r="Q22" i="1"/>
  <c r="S22" i="1" s="1"/>
  <c r="M22" i="1"/>
  <c r="X15" i="1" a="1"/>
  <c r="X15" i="1" l="1"/>
  <c r="Z15" i="1"/>
  <c r="W16" i="1"/>
  <c r="N22" i="1"/>
  <c r="O22" i="1" s="1"/>
  <c r="R22" i="1"/>
  <c r="J24" i="1"/>
  <c r="X16" i="1" a="1"/>
  <c r="X16" i="1" l="1"/>
  <c r="Z16" i="1"/>
  <c r="W17" i="1"/>
  <c r="L24" i="1"/>
  <c r="K24" i="1" s="1"/>
  <c r="P24" i="1" s="1"/>
  <c r="Q23" i="1"/>
  <c r="S23" i="1" s="1"/>
  <c r="M23" i="1"/>
  <c r="X17" i="1" a="1"/>
  <c r="X17" i="1" l="1"/>
  <c r="Z17" i="1"/>
  <c r="W18" i="1"/>
  <c r="N23" i="1"/>
  <c r="O23" i="1" s="1"/>
  <c r="R23" i="1"/>
  <c r="J25" i="1"/>
  <c r="X18" i="1" a="1"/>
  <c r="X18" i="1" l="1"/>
  <c r="Z18" i="1"/>
  <c r="W19" i="1"/>
  <c r="L25" i="1"/>
  <c r="K25" i="1" s="1"/>
  <c r="P25" i="1" s="1"/>
  <c r="Q24" i="1"/>
  <c r="S24" i="1" s="1"/>
  <c r="M24" i="1"/>
  <c r="X19" i="1" a="1"/>
  <c r="X19" i="1" l="1"/>
  <c r="Z19" i="1"/>
  <c r="W20" i="1"/>
  <c r="N24" i="1"/>
  <c r="O24" i="1" s="1"/>
  <c r="R24" i="1"/>
  <c r="J26" i="1"/>
  <c r="X20" i="1" a="1"/>
  <c r="X20" i="1" l="1"/>
  <c r="Z20" i="1"/>
  <c r="W21" i="1"/>
  <c r="L26" i="1"/>
  <c r="K26" i="1" s="1"/>
  <c r="P26" i="1" s="1"/>
  <c r="Q25" i="1"/>
  <c r="S25" i="1" s="1"/>
  <c r="M25" i="1"/>
  <c r="X21" i="1" a="1"/>
  <c r="X21" i="1" l="1"/>
  <c r="Z21" i="1"/>
  <c r="W22" i="1"/>
  <c r="N25" i="1"/>
  <c r="O25" i="1" s="1"/>
  <c r="R25" i="1"/>
  <c r="J27" i="1"/>
  <c r="X22" i="1" a="1"/>
  <c r="X22" i="1" l="1"/>
  <c r="Z22" i="1"/>
  <c r="W23" i="1"/>
  <c r="L27" i="1"/>
  <c r="K27" i="1" s="1"/>
  <c r="P27" i="1" s="1"/>
  <c r="Q26" i="1"/>
  <c r="S26" i="1" s="1"/>
  <c r="M26" i="1"/>
  <c r="X23" i="1" a="1"/>
  <c r="X23" i="1" l="1"/>
  <c r="Z23" i="1"/>
  <c r="W24" i="1"/>
  <c r="N26" i="1"/>
  <c r="O26" i="1" s="1"/>
  <c r="R26" i="1"/>
  <c r="X24" i="1" a="1"/>
  <c r="X24" i="1" l="1"/>
  <c r="Z24" i="1"/>
  <c r="W25" i="1"/>
  <c r="Q27" i="1"/>
  <c r="S27" i="1" s="1"/>
  <c r="J28" i="1"/>
  <c r="M27" i="1"/>
  <c r="X25" i="1" a="1"/>
  <c r="X25" i="1" l="1"/>
  <c r="Z25" i="1"/>
  <c r="W26" i="1"/>
  <c r="L28" i="1"/>
  <c r="K28" i="1" s="1"/>
  <c r="P28" i="1" s="1"/>
  <c r="N27" i="1"/>
  <c r="O27" i="1" s="1"/>
  <c r="R27" i="1"/>
  <c r="X26" i="1" a="1"/>
  <c r="X26" i="1" l="1"/>
  <c r="W27" i="1"/>
  <c r="Z26" i="1"/>
  <c r="J29" i="1"/>
  <c r="L29" i="1" s="1"/>
  <c r="Q28" i="1"/>
  <c r="S28" i="1" s="1"/>
  <c r="M28" i="1"/>
  <c r="X27" i="1" a="1"/>
  <c r="X27" i="1" l="1"/>
  <c r="Z27" i="1"/>
  <c r="W28" i="1"/>
  <c r="K29" i="1"/>
  <c r="P29" i="1" s="1"/>
  <c r="N28" i="1"/>
  <c r="O28" i="1" s="1"/>
  <c r="R28" i="1"/>
  <c r="J30" i="1"/>
  <c r="X28" i="1" a="1"/>
  <c r="X28" i="1" l="1"/>
  <c r="W29" i="1"/>
  <c r="Z28" i="1"/>
  <c r="L30" i="1"/>
  <c r="K30" i="1" s="1"/>
  <c r="P30" i="1" s="1"/>
  <c r="Q29" i="1"/>
  <c r="S29" i="1" s="1"/>
  <c r="M29" i="1"/>
  <c r="X29" i="1" a="1"/>
  <c r="X29" i="1" l="1"/>
  <c r="Z29" i="1"/>
  <c r="W30" i="1"/>
  <c r="N29" i="1"/>
  <c r="O29" i="1" s="1"/>
  <c r="R29" i="1"/>
  <c r="J31" i="1"/>
  <c r="X30" i="1" a="1"/>
  <c r="X30" i="1" l="1"/>
  <c r="W31" i="1"/>
  <c r="Z30" i="1"/>
  <c r="L31" i="1"/>
  <c r="K31" i="1" s="1"/>
  <c r="P31" i="1" s="1"/>
  <c r="Q30" i="1"/>
  <c r="S30" i="1" s="1"/>
  <c r="M30" i="1"/>
  <c r="X31" i="1" a="1"/>
  <c r="X31" i="1" l="1"/>
  <c r="Z31" i="1"/>
  <c r="W32" i="1"/>
  <c r="N30" i="1"/>
  <c r="O30" i="1" s="1"/>
  <c r="R30" i="1"/>
  <c r="J32" i="1"/>
  <c r="X32" i="1" a="1"/>
  <c r="X32" i="1" l="1"/>
  <c r="Z32" i="1"/>
  <c r="W33" i="1"/>
  <c r="L32" i="1"/>
  <c r="Q31" i="1"/>
  <c r="S31" i="1" s="1"/>
  <c r="M31" i="1"/>
  <c r="X33" i="1" a="1"/>
  <c r="X33" i="1" l="1"/>
  <c r="Z33" i="1"/>
  <c r="W34" i="1"/>
  <c r="K32" i="1"/>
  <c r="P32" i="1" s="1"/>
  <c r="N31" i="1"/>
  <c r="O31" i="1" s="1"/>
  <c r="R31" i="1"/>
  <c r="X34" i="1" a="1"/>
  <c r="X34" i="1" l="1"/>
  <c r="W35" i="1"/>
  <c r="Z34" i="1"/>
  <c r="Q32" i="1"/>
  <c r="S32" i="1" s="1"/>
  <c r="M32" i="1"/>
  <c r="X35" i="1" a="1"/>
  <c r="X35" i="1" l="1"/>
  <c r="Z35" i="1"/>
  <c r="W36" i="1"/>
  <c r="N32" i="1"/>
  <c r="O32" i="1" s="1"/>
  <c r="R32" i="1"/>
  <c r="X36" i="1" a="1"/>
  <c r="X36" i="1" l="1"/>
  <c r="Z36" i="1"/>
  <c r="W37" i="1"/>
  <c r="X37" i="1" a="1"/>
  <c r="X37" i="1" l="1"/>
  <c r="W38" i="1"/>
  <c r="Z37" i="1"/>
  <c r="X38" i="1" a="1"/>
  <c r="X38" i="1" l="1"/>
  <c r="W39" i="1"/>
  <c r="Z38" i="1"/>
  <c r="X39" i="1" a="1"/>
  <c r="X39" i="1" l="1"/>
  <c r="Z39" i="1"/>
  <c r="W40" i="1"/>
  <c r="X40" i="1" a="1"/>
  <c r="X40" i="1" l="1"/>
  <c r="W41" i="1"/>
  <c r="Z40" i="1"/>
  <c r="X41" i="1" a="1"/>
  <c r="X41" i="1" l="1"/>
  <c r="W42" i="1"/>
  <c r="Z41" i="1"/>
  <c r="X42" i="1" a="1"/>
  <c r="X42" i="1" l="1"/>
  <c r="W43" i="1"/>
  <c r="Z42" i="1"/>
  <c r="X43" i="1" a="1"/>
  <c r="X43" i="1" l="1"/>
  <c r="Z43" i="1"/>
  <c r="W44" i="1"/>
  <c r="X44" i="1" a="1"/>
  <c r="X44" i="1" l="1"/>
  <c r="Z44" i="1"/>
  <c r="W45" i="1"/>
  <c r="X45" i="1" a="1"/>
  <c r="X45" i="1" l="1"/>
  <c r="Z45" i="1"/>
  <c r="W46" i="1"/>
  <c r="X46" i="1" a="1"/>
  <c r="X46" i="1" l="1"/>
  <c r="Z46" i="1"/>
  <c r="W47" i="1"/>
  <c r="X47" i="1" a="1"/>
  <c r="X47" i="1" l="1"/>
  <c r="Z47" i="1"/>
  <c r="W48" i="1"/>
  <c r="X48" i="1" a="1"/>
  <c r="X48" i="1" l="1"/>
  <c r="Z48" i="1"/>
  <c r="W49" i="1"/>
  <c r="X49" i="1" a="1"/>
  <c r="X49" i="1" l="1"/>
  <c r="Z49" i="1"/>
  <c r="W50" i="1"/>
  <c r="X50" i="1" a="1"/>
  <c r="X50" i="1" l="1"/>
  <c r="Z50" i="1"/>
  <c r="W51" i="1"/>
  <c r="X51" i="1" a="1"/>
  <c r="X51" i="1" l="1"/>
  <c r="Z51" i="1"/>
  <c r="W52" i="1"/>
  <c r="X52" i="1" a="1"/>
  <c r="X52" i="1" l="1"/>
  <c r="Z52" i="1"/>
  <c r="W53" i="1"/>
  <c r="X53" i="1" a="1"/>
  <c r="X53" i="1" l="1"/>
  <c r="Z53" i="1"/>
  <c r="W54" i="1"/>
  <c r="X54" i="1" a="1"/>
  <c r="X54" i="1" l="1"/>
  <c r="W55" i="1"/>
  <c r="Z54" i="1"/>
  <c r="X55" i="1" a="1"/>
  <c r="X55" i="1" l="1"/>
  <c r="Z55" i="1"/>
  <c r="W56" i="1"/>
  <c r="X56" i="1" a="1"/>
  <c r="X56" i="1" l="1"/>
  <c r="W57" i="1"/>
  <c r="Z56" i="1"/>
  <c r="X57" i="1" a="1"/>
  <c r="X57" i="1" l="1"/>
  <c r="Z57" i="1"/>
  <c r="W58" i="1"/>
  <c r="X58" i="1" a="1"/>
  <c r="X58" i="1" l="1"/>
  <c r="Z58" i="1"/>
  <c r="W59" i="1"/>
  <c r="X59" i="1" a="1"/>
  <c r="X59" i="1" l="1"/>
  <c r="W60" i="1"/>
  <c r="Z59" i="1"/>
  <c r="X60" i="1" a="1"/>
  <c r="X60" i="1" l="1"/>
  <c r="Z60" i="1"/>
  <c r="W61" i="1"/>
  <c r="X61" i="1" a="1"/>
  <c r="X61" i="1" l="1"/>
  <c r="Z61" i="1"/>
  <c r="W62" i="1"/>
  <c r="X62" i="1" a="1"/>
  <c r="X62" i="1" l="1"/>
  <c r="Z62" i="1"/>
  <c r="W63" i="1"/>
  <c r="X63" i="1" a="1"/>
  <c r="X63" i="1" l="1"/>
  <c r="W64" i="1"/>
  <c r="Z63" i="1"/>
  <c r="X64" i="1" a="1"/>
  <c r="X64" i="1" l="1"/>
  <c r="Z64" i="1"/>
  <c r="W65" i="1"/>
  <c r="X65" i="1" a="1"/>
  <c r="X65" i="1" l="1"/>
  <c r="Z65" i="1"/>
  <c r="W66" i="1"/>
  <c r="X66" i="1" a="1"/>
  <c r="X66" i="1" l="1"/>
  <c r="W67" i="1"/>
  <c r="Z66" i="1"/>
  <c r="X67" i="1" a="1"/>
  <c r="X67" i="1" l="1"/>
  <c r="Z67" i="1"/>
  <c r="W68" i="1"/>
  <c r="X68" i="1" a="1"/>
  <c r="X68" i="1" l="1"/>
  <c r="W69" i="1"/>
  <c r="Z68" i="1"/>
  <c r="X69" i="1" a="1"/>
  <c r="X69" i="1" l="1"/>
  <c r="W70" i="1"/>
  <c r="Z69" i="1"/>
  <c r="X70" i="1" a="1"/>
  <c r="X70" i="1" l="1"/>
  <c r="Z70" i="1"/>
  <c r="W71" i="1"/>
  <c r="X71" i="1" a="1"/>
  <c r="X71" i="1" l="1"/>
  <c r="W72" i="1"/>
  <c r="Z71" i="1"/>
  <c r="X72" i="1" a="1"/>
  <c r="X72" i="1" l="1"/>
  <c r="Z72" i="1"/>
  <c r="W73" i="1"/>
  <c r="X73" i="1" a="1"/>
  <c r="X73" i="1" l="1"/>
  <c r="W74" i="1"/>
  <c r="Z73" i="1"/>
  <c r="X74" i="1" a="1"/>
  <c r="X74" i="1" l="1"/>
  <c r="Z74" i="1"/>
  <c r="W75" i="1"/>
  <c r="X75" i="1" a="1"/>
  <c r="X75" i="1" l="1"/>
  <c r="Z75" i="1"/>
  <c r="W76" i="1"/>
  <c r="X76" i="1" a="1"/>
  <c r="X76" i="1" l="1"/>
  <c r="Z76" i="1"/>
  <c r="W77" i="1"/>
  <c r="X77" i="1" a="1"/>
  <c r="X77" i="1" l="1"/>
  <c r="W78" i="1"/>
  <c r="Z77" i="1"/>
  <c r="X78" i="1" a="1"/>
  <c r="X78" i="1" l="1"/>
  <c r="W79" i="1"/>
  <c r="Z78" i="1"/>
  <c r="X79" i="1" a="1"/>
  <c r="X79" i="1" l="1"/>
  <c r="Z79" i="1"/>
  <c r="W80" i="1"/>
  <c r="X80" i="1" a="1"/>
  <c r="X80" i="1" l="1"/>
  <c r="W81" i="1"/>
  <c r="Z80" i="1"/>
  <c r="X81" i="1" a="1"/>
  <c r="X81" i="1" l="1"/>
  <c r="W82" i="1"/>
  <c r="Z81" i="1"/>
  <c r="X82" i="1" a="1"/>
  <c r="X82" i="1" l="1"/>
  <c r="W83" i="1"/>
  <c r="Z82" i="1"/>
  <c r="X83" i="1" a="1"/>
  <c r="X83" i="1" l="1"/>
  <c r="W84" i="1"/>
  <c r="Z83" i="1"/>
  <c r="X84" i="1" a="1"/>
  <c r="X84" i="1" l="1"/>
  <c r="W85" i="1"/>
  <c r="Z84" i="1"/>
  <c r="X85" i="1" a="1"/>
  <c r="X85" i="1" l="1"/>
  <c r="W86" i="1"/>
  <c r="Z85" i="1"/>
  <c r="X86" i="1" a="1"/>
  <c r="X86" i="1" l="1"/>
  <c r="Z86" i="1"/>
  <c r="W87" i="1"/>
  <c r="X87" i="1" a="1"/>
  <c r="X87" i="1" l="1"/>
  <c r="W88" i="1"/>
  <c r="Z87" i="1"/>
  <c r="X88" i="1" a="1"/>
  <c r="X88" i="1" l="1"/>
  <c r="W89" i="1"/>
  <c r="Z88" i="1"/>
  <c r="X89" i="1" a="1"/>
  <c r="X89" i="1" l="1"/>
  <c r="Z89" i="1"/>
  <c r="W90" i="1"/>
  <c r="X90" i="1" a="1"/>
  <c r="X90" i="1" l="1"/>
  <c r="Z90" i="1"/>
  <c r="W91" i="1"/>
  <c r="X91" i="1" a="1"/>
  <c r="X91" i="1" l="1"/>
  <c r="W92" i="1"/>
  <c r="Z91" i="1"/>
  <c r="X92" i="1" a="1"/>
  <c r="X92" i="1" l="1"/>
  <c r="W93" i="1"/>
  <c r="Z92" i="1"/>
  <c r="X93" i="1" a="1"/>
  <c r="X93" i="1" l="1"/>
  <c r="W94" i="1"/>
  <c r="Z93" i="1"/>
  <c r="X94" i="1" a="1"/>
  <c r="X94" i="1" l="1"/>
  <c r="Z94" i="1"/>
  <c r="W95" i="1"/>
  <c r="X95" i="1" a="1"/>
  <c r="X95" i="1" l="1"/>
  <c r="Z95" i="1"/>
  <c r="W96" i="1"/>
  <c r="X96" i="1" a="1"/>
  <c r="X96" i="1" l="1"/>
  <c r="Z96" i="1"/>
  <c r="W97" i="1"/>
  <c r="X97" i="1" a="1"/>
  <c r="X97" i="1" l="1"/>
  <c r="Z97" i="1"/>
  <c r="W98" i="1"/>
  <c r="X98" i="1" a="1"/>
  <c r="X98" i="1" l="1"/>
  <c r="Z98" i="1"/>
  <c r="W99" i="1"/>
  <c r="X99" i="1" a="1"/>
  <c r="X99" i="1" l="1"/>
  <c r="Z99" i="1"/>
  <c r="W100" i="1"/>
  <c r="X100" i="1" a="1"/>
  <c r="X100" i="1" l="1"/>
  <c r="Z100" i="1"/>
  <c r="W101" i="1"/>
  <c r="X101" i="1" a="1"/>
  <c r="X101" i="1" l="1"/>
  <c r="Z101" i="1"/>
  <c r="W102" i="1"/>
  <c r="X102" i="1" a="1"/>
  <c r="X102" i="1" l="1"/>
  <c r="Z102" i="1"/>
  <c r="W103" i="1"/>
  <c r="X103" i="1" a="1"/>
  <c r="X103" i="1" l="1"/>
  <c r="Z10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<sst xmlns="http://schemas.openxmlformats.org/spreadsheetml/2006/main" count="57" uniqueCount="52">
  <si>
    <t>Pomoc</t>
  </si>
  <si>
    <t>mi</t>
  </si>
  <si>
    <t>sigma</t>
  </si>
  <si>
    <t>Norm</t>
  </si>
  <si>
    <t>średnia</t>
  </si>
  <si>
    <t>odch. Stand</t>
  </si>
  <si>
    <t>n</t>
  </si>
  <si>
    <t>Wzrost</t>
  </si>
  <si>
    <t>śr</t>
  </si>
  <si>
    <t>odch. St.</t>
  </si>
  <si>
    <t>min</t>
  </si>
  <si>
    <t>max</t>
  </si>
  <si>
    <t>h</t>
  </si>
  <si>
    <t>k</t>
  </si>
  <si>
    <t>y_i-1</t>
  </si>
  <si>
    <t>sr</t>
  </si>
  <si>
    <t>y_i</t>
  </si>
  <si>
    <t>skumulowany m_i</t>
  </si>
  <si>
    <t>m_i</t>
  </si>
  <si>
    <t>fi</t>
  </si>
  <si>
    <t>skalowanie m_i</t>
  </si>
  <si>
    <t>skalowanie skumulowane</t>
  </si>
  <si>
    <t>Fi(y_i)</t>
  </si>
  <si>
    <t>Rysowane gęstości i dystrybuanty</t>
  </si>
  <si>
    <t>y</t>
  </si>
  <si>
    <t>fi(y)</t>
  </si>
  <si>
    <t>Fi(y)</t>
  </si>
  <si>
    <t>k_h</t>
  </si>
  <si>
    <t>wykres_kolumna x</t>
  </si>
  <si>
    <t>Dystrybuanta x</t>
  </si>
  <si>
    <t>Etykiety wierszy</t>
  </si>
  <si>
    <t>Suma końcowa</t>
  </si>
  <si>
    <t>Suma z Wzrost</t>
  </si>
  <si>
    <t>wzrost</t>
  </si>
  <si>
    <t>Dystrybuanta Empiryczna</t>
  </si>
  <si>
    <t>FN</t>
  </si>
  <si>
    <t>Fi</t>
  </si>
  <si>
    <t>119,722222222222-132,277777777778</t>
  </si>
  <si>
    <t>132,277777777778-144,833333333333</t>
  </si>
  <si>
    <t>144,833333333333-157,388888888889</t>
  </si>
  <si>
    <t>157,388888888889-169,944444444444</t>
  </si>
  <si>
    <t>169,944444444444-182,5</t>
  </si>
  <si>
    <t>182,5-195,055555555556</t>
  </si>
  <si>
    <t>195,055555555556-207,611111111111</t>
  </si>
  <si>
    <t>207,611111111111-220,166666666667</t>
  </si>
  <si>
    <t>220,166666666667-232,722222222222</t>
  </si>
  <si>
    <t>232,722222222222-245,277777777778</t>
  </si>
  <si>
    <t>odch. stand.</t>
  </si>
  <si>
    <t>Ranga</t>
  </si>
  <si>
    <t>Percentyl</t>
  </si>
  <si>
    <t>Rozkład standardowy</t>
  </si>
  <si>
    <t>Dla próbki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</si>
</sst>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</a:t>
            </a:r>
          </a:p>
        </c:rich>
      </c:tx>
      <c:layout>
        <c:manualLayout>
          <c:xMode val="edge"/>
          <c:yMode val="edge"/>
          <c:x val="0.43651947918274919"/>
          <c:y val="2.484472049689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7.2946691063094926E-2"/>
          <c:y val="0.1126757337151038"/>
          <c:w val="0.88045878940055089"/>
          <c:h val="0.623592703086027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2700">
              <a:solidFill>
                <a:schemeClr val="tx1"/>
              </a:solidFill>
            </a:ln>
            <a:effectLst/>
          </c:spPr>
          <c:invertIfNegative val="0"/>
          <c:cat>
            <c:numRef>
              <c:f>[0]!_srodki</c:f>
              <c:numCache>
                <c:formatCode>General</c:formatCode>
                <c:ptCount val="10"/>
                <c:pt idx="0">
                  <c:v>126</c:v>
                </c:pt>
                <c:pt idx="1">
                  <c:v>138.55555555555554</c:v>
                </c:pt>
                <c:pt idx="2">
                  <c:v>151.11111111111109</c:v>
                </c:pt>
                <c:pt idx="3">
                  <c:v>163.66666666666663</c:v>
                </c:pt>
                <c:pt idx="4">
                  <c:v>176.22222222222217</c:v>
                </c:pt>
                <c:pt idx="5">
                  <c:v>188.77777777777771</c:v>
                </c:pt>
                <c:pt idx="6">
                  <c:v>201.33333333333326</c:v>
                </c:pt>
                <c:pt idx="7">
                  <c:v>213.8888888888888</c:v>
                </c:pt>
                <c:pt idx="8">
                  <c:v>226.44444444444434</c:v>
                </c:pt>
                <c:pt idx="9">
                  <c:v>238.99999999999989</c:v>
                </c:pt>
              </c:numCache>
            </c:numRef>
          </c:cat>
          <c:val>
            <c:numRef>
              <c:f>[0]!_skalow</c:f>
              <c:numCache>
                <c:formatCode>General</c:formatCode>
                <c:ptCount val="10"/>
                <c:pt idx="0">
                  <c:v>3.9922815889280723E-4</c:v>
                </c:pt>
                <c:pt idx="1">
                  <c:v>1.9961407944640362E-3</c:v>
                </c:pt>
                <c:pt idx="2">
                  <c:v>8.5834054161953565E-3</c:v>
                </c:pt>
                <c:pt idx="3">
                  <c:v>1.5170670037926676E-2</c:v>
                </c:pt>
                <c:pt idx="4">
                  <c:v>2.1159092421318783E-2</c:v>
                </c:pt>
                <c:pt idx="5">
                  <c:v>2.2955619136336418E-2</c:v>
                </c:pt>
                <c:pt idx="6">
                  <c:v>6.9864927806241274E-3</c:v>
                </c:pt>
                <c:pt idx="7">
                  <c:v>1.9961407944640362E-3</c:v>
                </c:pt>
                <c:pt idx="8">
                  <c:v>1.9961407944640362E-4</c:v>
                </c:pt>
                <c:pt idx="9">
                  <c:v>1.9961407944640362E-4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8-4A6B-A26D-1965A0780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19225624"/>
        <c:axId val="419226608"/>
      </c:barChart>
      <c:scatterChart>
        <c:scatterStyle val="smooth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Arkusz1!$V$3:$V$103</c:f>
              <c:numCache>
                <c:formatCode>General</c:formatCode>
                <c:ptCount val="101"/>
                <c:pt idx="0">
                  <c:v>0.67</c:v>
                </c:pt>
                <c:pt idx="1">
                  <c:v>0.77</c:v>
                </c:pt>
                <c:pt idx="2">
                  <c:v>0.87</c:v>
                </c:pt>
                <c:pt idx="3">
                  <c:v>0.97</c:v>
                </c:pt>
                <c:pt idx="4">
                  <c:v>1.07</c:v>
                </c:pt>
                <c:pt idx="5">
                  <c:v>1.1700000000000002</c:v>
                </c:pt>
                <c:pt idx="6">
                  <c:v>1.2700000000000002</c:v>
                </c:pt>
                <c:pt idx="7">
                  <c:v>1.3700000000000003</c:v>
                </c:pt>
                <c:pt idx="8">
                  <c:v>1.4700000000000004</c:v>
                </c:pt>
                <c:pt idx="9">
                  <c:v>1.5700000000000005</c:v>
                </c:pt>
                <c:pt idx="10">
                  <c:v>1.6700000000000006</c:v>
                </c:pt>
                <c:pt idx="11">
                  <c:v>1.7700000000000007</c:v>
                </c:pt>
                <c:pt idx="12">
                  <c:v>1.8700000000000008</c:v>
                </c:pt>
                <c:pt idx="13">
                  <c:v>1.9700000000000009</c:v>
                </c:pt>
                <c:pt idx="14">
                  <c:v>2.0700000000000007</c:v>
                </c:pt>
                <c:pt idx="15">
                  <c:v>2.1700000000000008</c:v>
                </c:pt>
                <c:pt idx="16">
                  <c:v>2.2700000000000009</c:v>
                </c:pt>
                <c:pt idx="17">
                  <c:v>2.370000000000001</c:v>
                </c:pt>
                <c:pt idx="18">
                  <c:v>2.4700000000000011</c:v>
                </c:pt>
                <c:pt idx="19">
                  <c:v>2.5700000000000012</c:v>
                </c:pt>
                <c:pt idx="20">
                  <c:v>2.6700000000000013</c:v>
                </c:pt>
                <c:pt idx="21">
                  <c:v>2.7700000000000014</c:v>
                </c:pt>
                <c:pt idx="22">
                  <c:v>2.8700000000000014</c:v>
                </c:pt>
                <c:pt idx="23">
                  <c:v>2.9700000000000015</c:v>
                </c:pt>
                <c:pt idx="24">
                  <c:v>3.0700000000000016</c:v>
                </c:pt>
                <c:pt idx="25">
                  <c:v>3.1700000000000017</c:v>
                </c:pt>
                <c:pt idx="26">
                  <c:v>3.2700000000000018</c:v>
                </c:pt>
                <c:pt idx="27">
                  <c:v>3.3700000000000019</c:v>
                </c:pt>
                <c:pt idx="28">
                  <c:v>3.470000000000002</c:v>
                </c:pt>
                <c:pt idx="29">
                  <c:v>3.5700000000000021</c:v>
                </c:pt>
                <c:pt idx="30">
                  <c:v>3.6700000000000021</c:v>
                </c:pt>
                <c:pt idx="31">
                  <c:v>3.7700000000000022</c:v>
                </c:pt>
                <c:pt idx="32">
                  <c:v>3.8700000000000023</c:v>
                </c:pt>
                <c:pt idx="33">
                  <c:v>3.9700000000000024</c:v>
                </c:pt>
                <c:pt idx="34">
                  <c:v>4.0700000000000021</c:v>
                </c:pt>
                <c:pt idx="35">
                  <c:v>4.1700000000000017</c:v>
                </c:pt>
                <c:pt idx="36">
                  <c:v>4.2700000000000014</c:v>
                </c:pt>
                <c:pt idx="37">
                  <c:v>4.370000000000001</c:v>
                </c:pt>
                <c:pt idx="38">
                  <c:v>4.4700000000000006</c:v>
                </c:pt>
                <c:pt idx="39">
                  <c:v>4.57</c:v>
                </c:pt>
                <c:pt idx="40">
                  <c:v>4.67</c:v>
                </c:pt>
                <c:pt idx="41">
                  <c:v>4.7699999999999996</c:v>
                </c:pt>
                <c:pt idx="42">
                  <c:v>4.8699999999999992</c:v>
                </c:pt>
                <c:pt idx="43">
                  <c:v>4.9699999999999989</c:v>
                </c:pt>
                <c:pt idx="44">
                  <c:v>5.0699999999999985</c:v>
                </c:pt>
                <c:pt idx="45">
                  <c:v>5.1699999999999982</c:v>
                </c:pt>
                <c:pt idx="46">
                  <c:v>5.2699999999999978</c:v>
                </c:pt>
                <c:pt idx="47">
                  <c:v>5.3699999999999974</c:v>
                </c:pt>
                <c:pt idx="48">
                  <c:v>5.4699999999999971</c:v>
                </c:pt>
                <c:pt idx="49">
                  <c:v>5.5699999999999967</c:v>
                </c:pt>
                <c:pt idx="50">
                  <c:v>5.6699999999999964</c:v>
                </c:pt>
                <c:pt idx="51">
                  <c:v>5.769999999999996</c:v>
                </c:pt>
                <c:pt idx="52">
                  <c:v>5.8699999999999957</c:v>
                </c:pt>
                <c:pt idx="53">
                  <c:v>5.9699999999999953</c:v>
                </c:pt>
                <c:pt idx="54">
                  <c:v>6.069999999999995</c:v>
                </c:pt>
                <c:pt idx="55">
                  <c:v>6.1699999999999946</c:v>
                </c:pt>
                <c:pt idx="56">
                  <c:v>6.2699999999999942</c:v>
                </c:pt>
                <c:pt idx="57">
                  <c:v>6.3699999999999939</c:v>
                </c:pt>
                <c:pt idx="58">
                  <c:v>6.4699999999999935</c:v>
                </c:pt>
                <c:pt idx="59">
                  <c:v>6.5699999999999932</c:v>
                </c:pt>
                <c:pt idx="60">
                  <c:v>6.6699999999999928</c:v>
                </c:pt>
                <c:pt idx="61">
                  <c:v>6.7699999999999925</c:v>
                </c:pt>
                <c:pt idx="62">
                  <c:v>6.8699999999999921</c:v>
                </c:pt>
                <c:pt idx="63">
                  <c:v>6.9699999999999918</c:v>
                </c:pt>
                <c:pt idx="64">
                  <c:v>7.0699999999999914</c:v>
                </c:pt>
                <c:pt idx="65">
                  <c:v>7.169999999999991</c:v>
                </c:pt>
                <c:pt idx="66">
                  <c:v>7.2699999999999907</c:v>
                </c:pt>
                <c:pt idx="67">
                  <c:v>7.3699999999999903</c:v>
                </c:pt>
                <c:pt idx="68">
                  <c:v>7.46999999999999</c:v>
                </c:pt>
                <c:pt idx="69">
                  <c:v>7.5699999999999896</c:v>
                </c:pt>
                <c:pt idx="70">
                  <c:v>7.6699999999999893</c:v>
                </c:pt>
                <c:pt idx="71">
                  <c:v>7.7699999999999889</c:v>
                </c:pt>
                <c:pt idx="72">
                  <c:v>7.8699999999999886</c:v>
                </c:pt>
                <c:pt idx="73">
                  <c:v>7.9699999999999882</c:v>
                </c:pt>
                <c:pt idx="74">
                  <c:v>8.0699999999999878</c:v>
                </c:pt>
                <c:pt idx="75">
                  <c:v>8.1699999999999875</c:v>
                </c:pt>
                <c:pt idx="76">
                  <c:v>8.2699999999999871</c:v>
                </c:pt>
                <c:pt idx="77">
                  <c:v>8.3699999999999868</c:v>
                </c:pt>
                <c:pt idx="78">
                  <c:v>8.4699999999999864</c:v>
                </c:pt>
                <c:pt idx="79">
                  <c:v>8.5699999999999861</c:v>
                </c:pt>
                <c:pt idx="80">
                  <c:v>8.6699999999999857</c:v>
                </c:pt>
                <c:pt idx="81">
                  <c:v>8.7699999999999854</c:v>
                </c:pt>
                <c:pt idx="82">
                  <c:v>8.869999999999985</c:v>
                </c:pt>
                <c:pt idx="83">
                  <c:v>8.9699999999999847</c:v>
                </c:pt>
                <c:pt idx="84">
                  <c:v>9.0699999999999843</c:v>
                </c:pt>
                <c:pt idx="85">
                  <c:v>9.1699999999999839</c:v>
                </c:pt>
                <c:pt idx="86">
                  <c:v>9.2699999999999836</c:v>
                </c:pt>
                <c:pt idx="87">
                  <c:v>9.3699999999999832</c:v>
                </c:pt>
                <c:pt idx="88">
                  <c:v>9.4699999999999829</c:v>
                </c:pt>
                <c:pt idx="89">
                  <c:v>9.5699999999999825</c:v>
                </c:pt>
                <c:pt idx="90">
                  <c:v>9.6699999999999822</c:v>
                </c:pt>
                <c:pt idx="91">
                  <c:v>9.7699999999999818</c:v>
                </c:pt>
                <c:pt idx="92">
                  <c:v>9.8699999999999815</c:v>
                </c:pt>
                <c:pt idx="93">
                  <c:v>9.9699999999999811</c:v>
                </c:pt>
                <c:pt idx="94">
                  <c:v>10.069999999999981</c:v>
                </c:pt>
                <c:pt idx="95">
                  <c:v>10.16999999999998</c:v>
                </c:pt>
                <c:pt idx="96">
                  <c:v>10.26999999999998</c:v>
                </c:pt>
                <c:pt idx="97">
                  <c:v>10.36999999999998</c:v>
                </c:pt>
                <c:pt idx="98">
                  <c:v>10.469999999999979</c:v>
                </c:pt>
                <c:pt idx="99">
                  <c:v>10.569999999999979</c:v>
                </c:pt>
                <c:pt idx="100">
                  <c:v>10.669999999999979</c:v>
                </c:pt>
              </c:numCache>
            </c:numRef>
          </c:xVal>
          <c:yVal>
            <c:numRef>
              <c:f>Arkusz1!$X$3:$X$103</c:f>
              <c:numCache>
                <c:formatCode>0.00000</c:formatCode>
                <c:ptCount val="101"/>
                <c:pt idx="0">
                  <c:v>1.4023561753597134E-4</c:v>
                </c:pt>
                <c:pt idx="1">
                  <c:v>1.7466196092659004E-4</c:v>
                </c:pt>
                <c:pt idx="2">
                  <c:v>2.1648373651845994E-4</c:v>
                </c:pt>
                <c:pt idx="3">
                  <c:v>2.6701715362749916E-4</c:v>
                </c:pt>
                <c:pt idx="4">
                  <c:v>3.2774795613844016E-4</c:v>
                </c:pt>
                <c:pt idx="5">
                  <c:v>4.0033887581162567E-4</c:v>
                </c:pt>
                <c:pt idx="6">
                  <c:v>4.8663403688892497E-4</c:v>
                </c:pt>
                <c:pt idx="7">
                  <c:v>5.8865947853751815E-4</c:v>
                </c:pt>
                <c:pt idx="8">
                  <c:v>7.0861892080669288E-4</c:v>
                </c:pt>
                <c:pt idx="9">
                  <c:v>8.4888388729564043E-4</c:v>
                </c:pt>
                <c:pt idx="10">
                  <c:v>1.0119773204167177E-3</c:v>
                </c:pt>
                <c:pt idx="11">
                  <c:v>1.2005498893478373E-3</c:v>
                </c:pt>
                <c:pt idx="12">
                  <c:v>1.4173483019804011E-3</c:v>
                </c:pt>
                <c:pt idx="13">
                  <c:v>1.665175094487341E-3</c:v>
                </c:pt>
                <c:pt idx="14">
                  <c:v>1.9468395877689912E-3</c:v>
                </c:pt>
                <c:pt idx="15">
                  <c:v>2.2650999688032932E-3</c:v>
                </c:pt>
                <c:pt idx="16">
                  <c:v>2.6225967738248549E-3</c:v>
                </c:pt>
                <c:pt idx="17">
                  <c:v>3.0217784131071055E-3</c:v>
                </c:pt>
                <c:pt idx="18">
                  <c:v>3.4648197743710318E-3</c:v>
                </c:pt>
                <c:pt idx="19">
                  <c:v>3.9535353605354125E-3</c:v>
                </c:pt>
                <c:pt idx="20">
                  <c:v>4.489288841474994E-3</c:v>
                </c:pt>
                <c:pt idx="21">
                  <c:v>5.0729013096659148E-3</c:v>
                </c:pt>
                <c:pt idx="22">
                  <c:v>5.7045609049059202E-3</c:v>
                </c:pt>
                <c:pt idx="23">
                  <c:v>6.3837367912490837E-3</c:v>
                </c:pt>
                <c:pt idx="24">
                  <c:v>7.1091007072425971E-3</c:v>
                </c:pt>
                <c:pt idx="25">
                  <c:v>7.8784594469082196E-3</c:v>
                </c:pt>
                <c:pt idx="26">
                  <c:v>8.6887016445011556E-3</c:v>
                </c:pt>
                <c:pt idx="27">
                  <c:v>9.5357621155364083E-3</c:v>
                </c:pt>
                <c:pt idx="28">
                  <c:v>1.0414606739656197E-2</c:v>
                </c:pt>
                <c:pt idx="29">
                  <c:v>1.1319240453676721E-2</c:v>
                </c:pt>
                <c:pt idx="30">
                  <c:v>1.2242740358863444E-2</c:v>
                </c:pt>
                <c:pt idx="31">
                  <c:v>1.3177315246193016E-2</c:v>
                </c:pt>
                <c:pt idx="32">
                  <c:v>1.4114392026066166E-2</c:v>
                </c:pt>
                <c:pt idx="33">
                  <c:v>1.5044728641281502E-2</c:v>
                </c:pt>
                <c:pt idx="34">
                  <c:v>1.5958552077558259E-2</c:v>
                </c:pt>
                <c:pt idx="35">
                  <c:v>1.6845719103572791E-2</c:v>
                </c:pt>
                <c:pt idx="36">
                  <c:v>1.769589641527701E-2</c:v>
                </c:pt>
                <c:pt idx="37">
                  <c:v>1.8498755971909742E-2</c:v>
                </c:pt>
                <c:pt idx="38">
                  <c:v>1.9244180537763594E-2</c:v>
                </c:pt>
                <c:pt idx="39">
                  <c:v>1.9922473825605559E-2</c:v>
                </c:pt>
                <c:pt idx="40">
                  <c:v>2.0524569210433819E-2</c:v>
                </c:pt>
                <c:pt idx="41">
                  <c:v>2.1042230774104064E-2</c:v>
                </c:pt>
                <c:pt idx="42">
                  <c:v>2.1468240470861572E-2</c:v>
                </c:pt>
                <c:pt idx="43">
                  <c:v>2.1796565478605777E-2</c:v>
                </c:pt>
                <c:pt idx="44">
                  <c:v>2.2022500316657156E-2</c:v>
                </c:pt>
                <c:pt idx="45">
                  <c:v>2.2142779051823231E-2</c:v>
                </c:pt>
                <c:pt idx="46">
                  <c:v>2.2155653853205219E-2</c:v>
                </c:pt>
                <c:pt idx="47">
                  <c:v>2.2060937254799275E-2</c:v>
                </c:pt>
                <c:pt idx="48">
                  <c:v>2.1860006697527169E-2</c:v>
                </c:pt>
                <c:pt idx="49">
                  <c:v>2.155577119687974E-2</c:v>
                </c:pt>
                <c:pt idx="50">
                  <c:v>2.115260126359178E-2</c:v>
                </c:pt>
                <c:pt idx="51">
                  <c:v>2.0656224437052513E-2</c:v>
                </c:pt>
                <c:pt idx="52">
                  <c:v>2.0073589921449579E-2</c:v>
                </c:pt>
                <c:pt idx="53">
                  <c:v>1.9412706795282911E-2</c:v>
                </c:pt>
                <c:pt idx="54">
                  <c:v>1.8682461056034733E-2</c:v>
                </c:pt>
                <c:pt idx="55">
                  <c:v>1.7892417333409402E-2</c:v>
                </c:pt>
                <c:pt idx="56">
                  <c:v>1.7052611437794046E-2</c:v>
                </c:pt>
                <c:pt idx="57">
                  <c:v>1.6173339998441425E-2</c:v>
                </c:pt>
                <c:pt idx="58">
                  <c:v>1.5264953293213411E-2</c:v>
                </c:pt>
                <c:pt idx="59">
                  <c:v>1.4337656994624115E-2</c:v>
                </c:pt>
                <c:pt idx="60">
                  <c:v>1.3401327981382856E-2</c:v>
                </c:pt>
                <c:pt idx="61">
                  <c:v>1.2465348624788155E-2</c:v>
                </c:pt>
                <c:pt idx="62">
                  <c:v>1.1538463095263549E-2</c:v>
                </c:pt>
                <c:pt idx="63">
                  <c:v>1.0628658289731654E-2</c:v>
                </c:pt>
                <c:pt idx="64">
                  <c:v>9.7430710001967478E-3</c:v>
                </c:pt>
                <c:pt idx="65">
                  <c:v>8.8879219714022607E-3</c:v>
                </c:pt>
                <c:pt idx="66">
                  <c:v>8.0684765709084783E-3</c:v>
                </c:pt>
                <c:pt idx="67">
                  <c:v>7.2890309533548622E-3</c:v>
                </c:pt>
                <c:pt idx="68">
                  <c:v>6.5529218704008033E-3</c:v>
                </c:pt>
                <c:pt idx="69">
                  <c:v>5.8625576797497244E-3</c:v>
                </c:pt>
                <c:pt idx="70">
                  <c:v>5.2194676537066107E-3</c:v>
                </c:pt>
                <c:pt idx="71">
                  <c:v>4.6243663849866697E-3</c:v>
                </c:pt>
                <c:pt idx="72">
                  <c:v>4.0772299326882807E-3</c:v>
                </c:pt>
                <c:pt idx="73">
                  <c:v>3.5773803356321668E-3</c:v>
                </c:pt>
                <c:pt idx="74">
                  <c:v>3.1235752293914303E-3</c:v>
                </c:pt>
                <c:pt idx="75">
                  <c:v>2.7140995189057879E-3</c:v>
                </c:pt>
                <c:pt idx="76">
                  <c:v>2.3468563594505601E-3</c:v>
                </c:pt>
                <c:pt idx="77">
                  <c:v>2.0194550624028306E-3</c:v>
                </c:pt>
                <c:pt idx="78">
                  <c:v>1.7292939461090702E-3</c:v>
                </c:pt>
                <c:pt idx="79">
                  <c:v>1.4736365746485082E-3</c:v>
                </c:pt>
                <c:pt idx="80">
                  <c:v>1.2496802488206086E-3</c:v>
                </c:pt>
                <c:pt idx="81">
                  <c:v>1.0546160173612641E-3</c:v>
                </c:pt>
                <c:pt idx="82">
                  <c:v>8.8567984845885092E-4</c:v>
                </c:pt>
                <c:pt idx="83">
                  <c:v>7.4019493172717914E-4</c:v>
                </c:pt>
                <c:pt idx="84">
                  <c:v>6.1560536192656898E-4</c:v>
                </c:pt>
                <c:pt idx="85">
                  <c:v>5.0950168416937132E-4</c:v>
                </c:pt>
                <c:pt idx="86">
                  <c:v>4.1963895528424543E-4</c:v>
                </c:pt>
                <c:pt idx="87">
                  <c:v>3.439480991269238E-4</c:v>
                </c:pt>
                <c:pt idx="88">
                  <c:v>2.8054140861026448E-4</c:v>
                </c:pt>
                <c:pt idx="89">
                  <c:v>2.277130792810898E-4</c:v>
                </c:pt>
                <c:pt idx="90">
                  <c:v>1.8393565458840031E-4</c:v>
                </c:pt>
                <c:pt idx="91">
                  <c:v>1.4785322828345828E-4</c:v>
                </c:pt>
                <c:pt idx="92">
                  <c:v>1.1827219149001531E-4</c:v>
                </c:pt>
                <c:pt idx="93">
                  <c:v>9.4150237465493502E-5</c:v>
                </c:pt>
                <c:pt idx="94">
                  <c:v>7.4584252012728343E-5</c:v>
                </c:pt>
                <c:pt idx="95">
                  <c:v>5.8797627263642882E-5</c:v>
                </c:pt>
                <c:pt idx="96">
                  <c:v>4.6127445683214374E-5</c:v>
                </c:pt>
                <c:pt idx="97">
                  <c:v>3.6011893298478812E-5</c:v>
                </c:pt>
                <c:pt idx="98">
                  <c:v>2.7978179131957449E-5</c:v>
                </c:pt>
                <c:pt idx="99">
                  <c:v>2.1631163572590934E-5</c:v>
                </c:pt>
                <c:pt idx="100">
                  <c:v>1.6642833163187168E-5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58-4A6B-A26D-1965A0780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225624"/>
        <c:axId val="419226608"/>
      </c:scatterChart>
      <c:catAx>
        <c:axId val="419225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9226608"/>
        <c:crosses val="autoZero"/>
        <c:auto val="1"/>
        <c:lblAlgn val="ctr"/>
        <c:lblOffset val="100"/>
        <c:noMultiLvlLbl val="0"/>
      </c:catAx>
      <c:valAx>
        <c:axId val="41922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922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 skumulowany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2700">
              <a:solidFill>
                <a:schemeClr val="tx1"/>
              </a:solidFill>
            </a:ln>
            <a:effectLst/>
          </c:spPr>
          <c:invertIfNegative val="0"/>
          <c:cat>
            <c:numRef>
              <c:f>Arkusz1!dystr_x</c:f>
              <c:numCache>
                <c:formatCode>General</c:formatCode>
                <c:ptCount val="11"/>
                <c:pt idx="0">
                  <c:v>119.72222222222223</c:v>
                </c:pt>
                <c:pt idx="1">
                  <c:v>132.27777777777777</c:v>
                </c:pt>
                <c:pt idx="2">
                  <c:v>144.83333333333331</c:v>
                </c:pt>
                <c:pt idx="3">
                  <c:v>157.38888888888886</c:v>
                </c:pt>
                <c:pt idx="4">
                  <c:v>169.9444444444444</c:v>
                </c:pt>
                <c:pt idx="5">
                  <c:v>182.49999999999994</c:v>
                </c:pt>
                <c:pt idx="6">
                  <c:v>195.05555555555549</c:v>
                </c:pt>
                <c:pt idx="7">
                  <c:v>207.61111111111103</c:v>
                </c:pt>
                <c:pt idx="8">
                  <c:v>220.16666666666657</c:v>
                </c:pt>
                <c:pt idx="9">
                  <c:v>232.72222222222211</c:v>
                </c:pt>
                <c:pt idx="10">
                  <c:v>245.27777777777766</c:v>
                </c:pt>
              </c:numCache>
            </c:numRef>
          </c:cat>
          <c:val>
            <c:numRef>
              <c:f>[0]!dystr_Fi</c:f>
              <c:numCache>
                <c:formatCode>General</c:formatCode>
                <c:ptCount val="11"/>
                <c:pt idx="0">
                  <c:v>0</c:v>
                </c:pt>
                <c:pt idx="1">
                  <c:v>5.0125313283208017E-3</c:v>
                </c:pt>
                <c:pt idx="2">
                  <c:v>3.007518796992481E-2</c:v>
                </c:pt>
                <c:pt idx="3">
                  <c:v>0.13784461152882205</c:v>
                </c:pt>
                <c:pt idx="4">
                  <c:v>0.32832080200501251</c:v>
                </c:pt>
                <c:pt idx="5">
                  <c:v>0.59398496240601506</c:v>
                </c:pt>
                <c:pt idx="6">
                  <c:v>0.8822055137844611</c:v>
                </c:pt>
                <c:pt idx="7">
                  <c:v>0.96992481203007519</c:v>
                </c:pt>
                <c:pt idx="8">
                  <c:v>0.9949874686716792</c:v>
                </c:pt>
                <c:pt idx="9">
                  <c:v>0.99749373433583954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C-4183-85A5-3A0244E32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255112"/>
        <c:axId val="124248880"/>
      </c:barChart>
      <c:scatterChart>
        <c:scatterStyle val="smooth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Arkusz1!$Y$3:$Y$103</c:f>
              <c:numCache>
                <c:formatCode>0.00000</c:formatCode>
                <c:ptCount val="101"/>
                <c:pt idx="0">
                  <c:v>0.5</c:v>
                </c:pt>
                <c:pt idx="1">
                  <c:v>0.61</c:v>
                </c:pt>
                <c:pt idx="2">
                  <c:v>0.72</c:v>
                </c:pt>
                <c:pt idx="3">
                  <c:v>0.83</c:v>
                </c:pt>
                <c:pt idx="4">
                  <c:v>0.94</c:v>
                </c:pt>
                <c:pt idx="5">
                  <c:v>1.05</c:v>
                </c:pt>
                <c:pt idx="6">
                  <c:v>1.1600000000000001</c:v>
                </c:pt>
                <c:pt idx="7">
                  <c:v>1.2700000000000002</c:v>
                </c:pt>
                <c:pt idx="8">
                  <c:v>1.3800000000000003</c:v>
                </c:pt>
                <c:pt idx="9">
                  <c:v>1.4900000000000004</c:v>
                </c:pt>
                <c:pt idx="10">
                  <c:v>1.6000000000000005</c:v>
                </c:pt>
                <c:pt idx="11">
                  <c:v>1.7100000000000006</c:v>
                </c:pt>
                <c:pt idx="12">
                  <c:v>1.8200000000000007</c:v>
                </c:pt>
                <c:pt idx="13">
                  <c:v>1.9300000000000008</c:v>
                </c:pt>
                <c:pt idx="14">
                  <c:v>2.0400000000000009</c:v>
                </c:pt>
                <c:pt idx="15">
                  <c:v>2.1500000000000008</c:v>
                </c:pt>
                <c:pt idx="16">
                  <c:v>2.2600000000000007</c:v>
                </c:pt>
                <c:pt idx="17">
                  <c:v>2.3700000000000006</c:v>
                </c:pt>
                <c:pt idx="18">
                  <c:v>2.4800000000000004</c:v>
                </c:pt>
                <c:pt idx="19">
                  <c:v>2.5900000000000003</c:v>
                </c:pt>
                <c:pt idx="20">
                  <c:v>2.7</c:v>
                </c:pt>
                <c:pt idx="21">
                  <c:v>2.81</c:v>
                </c:pt>
                <c:pt idx="22">
                  <c:v>2.92</c:v>
                </c:pt>
                <c:pt idx="23">
                  <c:v>3.03</c:v>
                </c:pt>
                <c:pt idx="24">
                  <c:v>3.1399999999999997</c:v>
                </c:pt>
                <c:pt idx="25">
                  <c:v>3.2499999999999996</c:v>
                </c:pt>
                <c:pt idx="26">
                  <c:v>3.3599999999999994</c:v>
                </c:pt>
                <c:pt idx="27">
                  <c:v>3.4699999999999993</c:v>
                </c:pt>
                <c:pt idx="28">
                  <c:v>3.5799999999999992</c:v>
                </c:pt>
                <c:pt idx="29">
                  <c:v>3.6899999999999991</c:v>
                </c:pt>
                <c:pt idx="30">
                  <c:v>3.7999999999999989</c:v>
                </c:pt>
                <c:pt idx="31">
                  <c:v>3.9099999999999988</c:v>
                </c:pt>
                <c:pt idx="32">
                  <c:v>4.0199999999999987</c:v>
                </c:pt>
                <c:pt idx="33">
                  <c:v>4.129999999999999</c:v>
                </c:pt>
                <c:pt idx="34">
                  <c:v>4.2399999999999993</c:v>
                </c:pt>
                <c:pt idx="35">
                  <c:v>4.3499999999999996</c:v>
                </c:pt>
                <c:pt idx="36">
                  <c:v>4.46</c:v>
                </c:pt>
                <c:pt idx="37">
                  <c:v>4.57</c:v>
                </c:pt>
                <c:pt idx="38">
                  <c:v>4.6800000000000006</c:v>
                </c:pt>
                <c:pt idx="39">
                  <c:v>4.7900000000000009</c:v>
                </c:pt>
                <c:pt idx="40">
                  <c:v>4.9000000000000012</c:v>
                </c:pt>
                <c:pt idx="41">
                  <c:v>5.0100000000000016</c:v>
                </c:pt>
                <c:pt idx="42">
                  <c:v>5.1200000000000019</c:v>
                </c:pt>
                <c:pt idx="43">
                  <c:v>5.2300000000000022</c:v>
                </c:pt>
                <c:pt idx="44">
                  <c:v>5.3400000000000025</c:v>
                </c:pt>
                <c:pt idx="45">
                  <c:v>5.4500000000000028</c:v>
                </c:pt>
                <c:pt idx="46">
                  <c:v>5.5600000000000032</c:v>
                </c:pt>
                <c:pt idx="47">
                  <c:v>5.6700000000000035</c:v>
                </c:pt>
                <c:pt idx="48">
                  <c:v>5.7800000000000038</c:v>
                </c:pt>
                <c:pt idx="49">
                  <c:v>5.8900000000000041</c:v>
                </c:pt>
                <c:pt idx="50">
                  <c:v>6.0000000000000044</c:v>
                </c:pt>
                <c:pt idx="51">
                  <c:v>6.1100000000000048</c:v>
                </c:pt>
                <c:pt idx="52">
                  <c:v>6.2200000000000051</c:v>
                </c:pt>
                <c:pt idx="53">
                  <c:v>6.3300000000000054</c:v>
                </c:pt>
                <c:pt idx="54">
                  <c:v>6.4400000000000057</c:v>
                </c:pt>
                <c:pt idx="55">
                  <c:v>6.550000000000006</c:v>
                </c:pt>
                <c:pt idx="56">
                  <c:v>6.6600000000000064</c:v>
                </c:pt>
                <c:pt idx="57">
                  <c:v>6.7700000000000067</c:v>
                </c:pt>
                <c:pt idx="58">
                  <c:v>6.880000000000007</c:v>
                </c:pt>
                <c:pt idx="59">
                  <c:v>6.9900000000000073</c:v>
                </c:pt>
                <c:pt idx="60">
                  <c:v>7.1000000000000076</c:v>
                </c:pt>
                <c:pt idx="61">
                  <c:v>7.210000000000008</c:v>
                </c:pt>
                <c:pt idx="62">
                  <c:v>7.3200000000000083</c:v>
                </c:pt>
                <c:pt idx="63">
                  <c:v>7.4300000000000086</c:v>
                </c:pt>
                <c:pt idx="64">
                  <c:v>7.5400000000000089</c:v>
                </c:pt>
                <c:pt idx="65">
                  <c:v>7.6500000000000092</c:v>
                </c:pt>
                <c:pt idx="66">
                  <c:v>7.7600000000000096</c:v>
                </c:pt>
                <c:pt idx="67">
                  <c:v>7.8700000000000099</c:v>
                </c:pt>
                <c:pt idx="68">
                  <c:v>7.9800000000000102</c:v>
                </c:pt>
                <c:pt idx="69">
                  <c:v>8.0900000000000105</c:v>
                </c:pt>
                <c:pt idx="70">
                  <c:v>8.2000000000000099</c:v>
                </c:pt>
                <c:pt idx="71">
                  <c:v>8.3100000000000094</c:v>
                </c:pt>
                <c:pt idx="72">
                  <c:v>8.4200000000000088</c:v>
                </c:pt>
                <c:pt idx="73">
                  <c:v>8.5300000000000082</c:v>
                </c:pt>
                <c:pt idx="74">
                  <c:v>8.6400000000000077</c:v>
                </c:pt>
                <c:pt idx="75">
                  <c:v>8.7500000000000071</c:v>
                </c:pt>
                <c:pt idx="76">
                  <c:v>8.8600000000000065</c:v>
                </c:pt>
                <c:pt idx="77">
                  <c:v>8.970000000000006</c:v>
                </c:pt>
                <c:pt idx="78">
                  <c:v>9.0800000000000054</c:v>
                </c:pt>
                <c:pt idx="79">
                  <c:v>9.1900000000000048</c:v>
                </c:pt>
                <c:pt idx="80">
                  <c:v>9.3000000000000043</c:v>
                </c:pt>
                <c:pt idx="81">
                  <c:v>9.4100000000000037</c:v>
                </c:pt>
                <c:pt idx="82">
                  <c:v>9.5200000000000031</c:v>
                </c:pt>
                <c:pt idx="83">
                  <c:v>9.6300000000000026</c:v>
                </c:pt>
                <c:pt idx="84">
                  <c:v>9.740000000000002</c:v>
                </c:pt>
                <c:pt idx="85">
                  <c:v>9.8500000000000014</c:v>
                </c:pt>
                <c:pt idx="86">
                  <c:v>9.9600000000000009</c:v>
                </c:pt>
                <c:pt idx="87">
                  <c:v>10.07</c:v>
                </c:pt>
                <c:pt idx="88">
                  <c:v>10.18</c:v>
                </c:pt>
                <c:pt idx="89">
                  <c:v>10.29</c:v>
                </c:pt>
                <c:pt idx="90">
                  <c:v>10.399999999999999</c:v>
                </c:pt>
                <c:pt idx="91">
                  <c:v>10.509999999999998</c:v>
                </c:pt>
                <c:pt idx="92">
                  <c:v>10.619999999999997</c:v>
                </c:pt>
                <c:pt idx="93">
                  <c:v>10.729999999999997</c:v>
                </c:pt>
                <c:pt idx="94">
                  <c:v>10.839999999999996</c:v>
                </c:pt>
                <c:pt idx="95">
                  <c:v>10.949999999999996</c:v>
                </c:pt>
                <c:pt idx="96">
                  <c:v>11.059999999999995</c:v>
                </c:pt>
                <c:pt idx="97">
                  <c:v>11.169999999999995</c:v>
                </c:pt>
                <c:pt idx="98">
                  <c:v>11.279999999999994</c:v>
                </c:pt>
                <c:pt idx="99">
                  <c:v>11.389999999999993</c:v>
                </c:pt>
                <c:pt idx="100">
                  <c:v>11.499999999999993</c:v>
                </c:pt>
              </c:numCache>
            </c:numRef>
          </c:xVal>
          <c:yVal>
            <c:numRef>
              <c:f>Arkusz1!$Z$3:$Z$103</c:f>
              <c:numCache>
                <c:formatCode>General</c:formatCode>
                <c:ptCount val="101"/>
                <c:pt idx="0">
                  <c:v>7.3105974542971366E-4</c:v>
                </c:pt>
                <c:pt idx="1">
                  <c:v>9.2803512512897902E-4</c:v>
                </c:pt>
                <c:pt idx="2">
                  <c:v>1.17274822956241E-3</c:v>
                </c:pt>
                <c:pt idx="3">
                  <c:v>1.4752934557023282E-3</c:v>
                </c:pt>
                <c:pt idx="4">
                  <c:v>1.8475232913876866E-3</c:v>
                </c:pt>
                <c:pt idx="5">
                  <c:v>2.3032661316958964E-3</c:v>
                </c:pt>
                <c:pt idx="6">
                  <c:v>2.8585516237363243E-3</c:v>
                </c:pt>
                <c:pt idx="7">
                  <c:v>3.5318391943573303E-3</c:v>
                </c:pt>
                <c:pt idx="8">
                  <c:v>4.3442443405369768E-3</c:v>
                </c:pt>
                <c:pt idx="9">
                  <c:v>5.3197561533028436E-3</c:v>
                </c:pt>
                <c:pt idx="10">
                  <c:v>6.4854384428150629E-3</c:v>
                </c:pt>
                <c:pt idx="11">
                  <c:v>7.8716057829579574E-3</c:v>
                </c:pt>
                <c:pt idx="12">
                  <c:v>9.5119648541120028E-3</c:v>
                </c:pt>
                <c:pt idx="13">
                  <c:v>1.1443710694480198E-2</c:v>
                </c:pt>
                <c:pt idx="14">
                  <c:v>1.3707566939200192E-2</c:v>
                </c:pt>
                <c:pt idx="15">
                  <c:v>1.6347758899585566E-2</c:v>
                </c:pt>
                <c:pt idx="16">
                  <c:v>1.9411908477352191E-2</c:v>
                </c:pt>
                <c:pt idx="17">
                  <c:v>2.2950840480003159E-2</c:v>
                </c:pt>
                <c:pt idx="18">
                  <c:v>2.7018290953217058E-2</c:v>
                </c:pt>
                <c:pt idx="19">
                  <c:v>3.1670509709513711E-2</c:v>
                </c:pt>
                <c:pt idx="20">
                  <c:v>3.6965751326745171E-2</c:v>
                </c:pt>
                <c:pt idx="21">
                  <c:v>4.2963651510018089E-2</c:v>
                </c:pt>
                <c:pt idx="22">
                  <c:v>4.9724488826146558E-2</c:v>
                </c:pt>
                <c:pt idx="23">
                  <c:v>5.7308335372822483E-2</c:v>
                </c:pt>
                <c:pt idx="24">
                  <c:v>6.5774103849099333E-2</c:v>
                </c:pt>
                <c:pt idx="25">
                  <c:v>7.517850263533353E-2</c:v>
                </c:pt>
                <c:pt idx="26">
                  <c:v>8.5574914729494841E-2</c:v>
                </c:pt>
                <c:pt idx="27">
                  <c:v>9.7012220561004142E-2</c:v>
                </c:pt>
                <c:pt idx="28">
                  <c:v>0.10953358863502628</c:v>
                </c:pt>
                <c:pt idx="29">
                  <c:v>0.12317526146246942</c:v>
                </c:pt>
                <c:pt idx="30">
                  <c:v>0.13796536711634905</c:v>
                </c:pt>
                <c:pt idx="31">
                  <c:v>0.15392278884512617</c:v>
                </c:pt>
                <c:pt idx="32">
                  <c:v>0.17105612630848391</c:v>
                </c:pt>
                <c:pt idx="33">
                  <c:v>0.18936278204980561</c:v>
                </c:pt>
                <c:pt idx="34">
                  <c:v>0.20882820568928276</c:v>
                </c:pt>
                <c:pt idx="35">
                  <c:v>0.22942532596473633</c:v>
                </c:pt>
                <c:pt idx="36">
                  <c:v>0.25111419716817018</c:v>
                </c:pt>
                <c:pt idx="37">
                  <c:v>0.27384188178434954</c:v>
                </c:pt>
                <c:pt idx="38">
                  <c:v>0.29754258534890243</c:v>
                </c:pt>
                <c:pt idx="39">
                  <c:v>0.32213805287701547</c:v>
                </c:pt>
                <c:pt idx="40">
                  <c:v>0.34753822888772368</c:v>
                </c:pt>
                <c:pt idx="41">
                  <c:v>0.37364217532137362</c:v>
                </c:pt>
                <c:pt idx="42">
                  <c:v>0.40033923380688197</c:v>
                </c:pt>
                <c:pt idx="43">
                  <c:v>0.42751041108528187</c:v>
                </c:pt>
                <c:pt idx="44">
                  <c:v>0.45502995924339379</c:v>
                </c:pt>
                <c:pt idx="45">
                  <c:v>0.48276711605018696</c:v>
                </c:pt>
                <c:pt idx="46">
                  <c:v>0.51058796538502893</c:v>
                </c:pt>
                <c:pt idx="47">
                  <c:v>0.5383573737270102</c:v>
                </c:pt>
                <c:pt idx="48">
                  <c:v>0.56594095611061424</c:v>
                </c:pt>
                <c:pt idx="49">
                  <c:v>0.59320702395611646</c:v>
                </c:pt>
                <c:pt idx="50">
                  <c:v>0.62002846779653609</c:v>
                </c:pt>
                <c:pt idx="51">
                  <c:v>0.6462845301200757</c:v>
                </c:pt>
                <c:pt idx="52">
                  <c:v>0.67186242723258838</c:v>
                </c:pt>
                <c:pt idx="53">
                  <c:v>0.69665878406003812</c:v>
                </c:pt>
                <c:pt idx="54">
                  <c:v>0.7205808519423168</c:v>
                </c:pt>
                <c:pt idx="55">
                  <c:v>0.74354748645927926</c:v>
                </c:pt>
                <c:pt idx="56">
                  <c:v>0.76548986988877388</c:v>
                </c:pt>
                <c:pt idx="57">
                  <c:v>0.78635197071981189</c:v>
                </c:pt>
                <c:pt idx="58">
                  <c:v>0.80609074042558138</c:v>
                </c:pt>
                <c:pt idx="59">
                  <c:v>0.82467605514777442</c:v>
                </c:pt>
                <c:pt idx="60">
                  <c:v>0.84209041678922469</c:v>
                </c:pt>
                <c:pt idx="61">
                  <c:v>0.85832843402768866</c:v>
                </c:pt>
                <c:pt idx="62">
                  <c:v>0.87339610876810037</c:v>
                </c:pt>
                <c:pt idx="63">
                  <c:v>0.8873099574150336</c:v>
                </c:pt>
                <c:pt idx="64">
                  <c:v>0.90009599899840398</c:v>
                </c:pt>
                <c:pt idx="65">
                  <c:v>0.91178864360639233</c:v>
                </c:pt>
                <c:pt idx="66">
                  <c:v>0.92242951480564483</c:v>
                </c:pt>
                <c:pt idx="67">
                  <c:v>0.93206623884282402</c:v>
                </c:pt>
                <c:pt idx="68">
                  <c:v>0.94075123154624285</c:v>
                </c:pt>
                <c:pt idx="69">
                  <c:v>0.94854051113528337</c:v>
                </c:pt>
                <c:pt idx="70">
                  <c:v>0.95549256177351261</c:v>
                </c:pt>
                <c:pt idx="71">
                  <c:v>0.96166726885507914</c:v>
                </c:pt>
                <c:pt idx="72">
                  <c:v>0.96712494288101802</c:v>
                </c:pt>
                <c:pt idx="73">
                  <c:v>0.97192544454331886</c:v>
                </c:pt>
                <c:pt idx="74">
                  <c:v>0.97612741945621817</c:v>
                </c:pt>
                <c:pt idx="75">
                  <c:v>0.97978764700170584</c:v>
                </c:pt>
                <c:pt idx="76">
                  <c:v>0.98296050411029456</c:v>
                </c:pt>
                <c:pt idx="77">
                  <c:v>0.9856975415717274</c:v>
                </c:pt>
                <c:pt idx="78">
                  <c:v>0.98804716772809686</c:v>
                </c:pt>
                <c:pt idx="79">
                  <c:v>0.99005443218058531</c:v>
                </c:pt>
                <c:pt idx="80">
                  <c:v>0.99176090045154497</c:v>
                </c:pt>
                <c:pt idx="81">
                  <c:v>0.99320460937381061</c:v>
                </c:pt>
                <c:pt idx="82">
                  <c:v>0.99442009229756567</c:v>
                </c:pt>
                <c:pt idx="83">
                  <c:v>0.99543846296521654</c:v>
                </c:pt>
                <c:pt idx="84">
                  <c:v>0.99628754704912237</c:v>
                </c:pt>
                <c:pt idx="85">
                  <c:v>0.99699205081156517</c:v>
                </c:pt>
                <c:pt idx="86">
                  <c:v>0.99757375706404872</c:v>
                </c:pt>
                <c:pt idx="87">
                  <c:v>0.99805173950755288</c:v>
                </c:pt>
                <c:pt idx="88">
                  <c:v>0.99844258756378235</c:v>
                </c:pt>
                <c:pt idx="89">
                  <c:v>0.99876063490245937</c:v>
                </c:pt>
                <c:pt idx="90">
                  <c:v>0.99901818598121894</c:v>
                </c:pt>
                <c:pt idx="91">
                  <c:v>0.99922573600073084</c:v>
                </c:pt>
                <c:pt idx="92">
                  <c:v>0.99939218070489622</c:v>
                </c:pt>
                <c:pt idx="93">
                  <c:v>0.99952501339939348</c:v>
                </c:pt>
                <c:pt idx="94">
                  <c:v>0.99963050740449222</c:v>
                </c:pt>
                <c:pt idx="95">
                  <c:v>0.99971388289013052</c:v>
                </c:pt>
                <c:pt idx="96">
                  <c:v>0.9997794576592014</c:v>
                </c:pt>
                <c:pt idx="97">
                  <c:v>0.99983078195040753</c:v>
                </c:pt>
                <c:pt idx="98">
                  <c:v>0.99987075773057765</c:v>
                </c:pt>
                <c:pt idx="99">
                  <c:v>0.99990174324659864</c:v>
                </c:pt>
                <c:pt idx="100">
                  <c:v>0.99992564381971027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3C-4183-85A5-3A0244E32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55112"/>
        <c:axId val="124248880"/>
      </c:scatterChart>
      <c:catAx>
        <c:axId val="124255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248880"/>
        <c:crosses val="autoZero"/>
        <c:auto val="1"/>
        <c:lblAlgn val="ctr"/>
        <c:lblOffset val="100"/>
        <c:noMultiLvlLbl val="0"/>
      </c:catAx>
      <c:valAx>
        <c:axId val="12424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255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6.4483814523184607E-2"/>
          <c:y val="0.18560185185185185"/>
          <c:w val="0.87762729658792649"/>
          <c:h val="0.614984324876057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Arkusz3!$G$2:$G$83</c:f>
              <c:numCache>
                <c:formatCode>General</c:formatCode>
                <c:ptCount val="82"/>
                <c:pt idx="0">
                  <c:v>145</c:v>
                </c:pt>
                <c:pt idx="1">
                  <c:v>149</c:v>
                </c:pt>
                <c:pt idx="2">
                  <c:v>149</c:v>
                </c:pt>
                <c:pt idx="3">
                  <c:v>151</c:v>
                </c:pt>
                <c:pt idx="4">
                  <c:v>151</c:v>
                </c:pt>
                <c:pt idx="5">
                  <c:v>152</c:v>
                </c:pt>
                <c:pt idx="6">
                  <c:v>152</c:v>
                </c:pt>
                <c:pt idx="7">
                  <c:v>156</c:v>
                </c:pt>
                <c:pt idx="8">
                  <c:v>156</c:v>
                </c:pt>
                <c:pt idx="9">
                  <c:v>161</c:v>
                </c:pt>
                <c:pt idx="10">
                  <c:v>161</c:v>
                </c:pt>
                <c:pt idx="11">
                  <c:v>163</c:v>
                </c:pt>
                <c:pt idx="12">
                  <c:v>163</c:v>
                </c:pt>
                <c:pt idx="13">
                  <c:v>166</c:v>
                </c:pt>
                <c:pt idx="14">
                  <c:v>166</c:v>
                </c:pt>
                <c:pt idx="15">
                  <c:v>167</c:v>
                </c:pt>
                <c:pt idx="16">
                  <c:v>167</c:v>
                </c:pt>
                <c:pt idx="17">
                  <c:v>169</c:v>
                </c:pt>
                <c:pt idx="18">
                  <c:v>169</c:v>
                </c:pt>
                <c:pt idx="19">
                  <c:v>169</c:v>
                </c:pt>
                <c:pt idx="20">
                  <c:v>169</c:v>
                </c:pt>
                <c:pt idx="21">
                  <c:v>170</c:v>
                </c:pt>
                <c:pt idx="22">
                  <c:v>170</c:v>
                </c:pt>
                <c:pt idx="23">
                  <c:v>171</c:v>
                </c:pt>
                <c:pt idx="24">
                  <c:v>171</c:v>
                </c:pt>
                <c:pt idx="25">
                  <c:v>171</c:v>
                </c:pt>
                <c:pt idx="26">
                  <c:v>171</c:v>
                </c:pt>
                <c:pt idx="27">
                  <c:v>172</c:v>
                </c:pt>
                <c:pt idx="28">
                  <c:v>172</c:v>
                </c:pt>
                <c:pt idx="29">
                  <c:v>174</c:v>
                </c:pt>
                <c:pt idx="30">
                  <c:v>174</c:v>
                </c:pt>
                <c:pt idx="31">
                  <c:v>174</c:v>
                </c:pt>
                <c:pt idx="32">
                  <c:v>174</c:v>
                </c:pt>
                <c:pt idx="33">
                  <c:v>175</c:v>
                </c:pt>
                <c:pt idx="34">
                  <c:v>175</c:v>
                </c:pt>
                <c:pt idx="35">
                  <c:v>176</c:v>
                </c:pt>
                <c:pt idx="36">
                  <c:v>176</c:v>
                </c:pt>
                <c:pt idx="37">
                  <c:v>176</c:v>
                </c:pt>
                <c:pt idx="38">
                  <c:v>176</c:v>
                </c:pt>
                <c:pt idx="39">
                  <c:v>176</c:v>
                </c:pt>
                <c:pt idx="40">
                  <c:v>176</c:v>
                </c:pt>
                <c:pt idx="41">
                  <c:v>177</c:v>
                </c:pt>
                <c:pt idx="42">
                  <c:v>177</c:v>
                </c:pt>
                <c:pt idx="43">
                  <c:v>178</c:v>
                </c:pt>
                <c:pt idx="44">
                  <c:v>178</c:v>
                </c:pt>
                <c:pt idx="45">
                  <c:v>179</c:v>
                </c:pt>
                <c:pt idx="46">
                  <c:v>179</c:v>
                </c:pt>
                <c:pt idx="47">
                  <c:v>180</c:v>
                </c:pt>
                <c:pt idx="48">
                  <c:v>180</c:v>
                </c:pt>
                <c:pt idx="49">
                  <c:v>180</c:v>
                </c:pt>
                <c:pt idx="50">
                  <c:v>180</c:v>
                </c:pt>
                <c:pt idx="51">
                  <c:v>184</c:v>
                </c:pt>
                <c:pt idx="52">
                  <c:v>184</c:v>
                </c:pt>
                <c:pt idx="53">
                  <c:v>184</c:v>
                </c:pt>
                <c:pt idx="54">
                  <c:v>184</c:v>
                </c:pt>
                <c:pt idx="55">
                  <c:v>185</c:v>
                </c:pt>
                <c:pt idx="56">
                  <c:v>185</c:v>
                </c:pt>
                <c:pt idx="57">
                  <c:v>187</c:v>
                </c:pt>
                <c:pt idx="58">
                  <c:v>187</c:v>
                </c:pt>
                <c:pt idx="59">
                  <c:v>189</c:v>
                </c:pt>
                <c:pt idx="60">
                  <c:v>189</c:v>
                </c:pt>
                <c:pt idx="61">
                  <c:v>189</c:v>
                </c:pt>
                <c:pt idx="62">
                  <c:v>189</c:v>
                </c:pt>
                <c:pt idx="63">
                  <c:v>190</c:v>
                </c:pt>
                <c:pt idx="64">
                  <c:v>190</c:v>
                </c:pt>
                <c:pt idx="65">
                  <c:v>193</c:v>
                </c:pt>
                <c:pt idx="66">
                  <c:v>193</c:v>
                </c:pt>
                <c:pt idx="67">
                  <c:v>194</c:v>
                </c:pt>
                <c:pt idx="68">
                  <c:v>194</c:v>
                </c:pt>
                <c:pt idx="69">
                  <c:v>195</c:v>
                </c:pt>
                <c:pt idx="70">
                  <c:v>195</c:v>
                </c:pt>
                <c:pt idx="71">
                  <c:v>200</c:v>
                </c:pt>
                <c:pt idx="72">
                  <c:v>200</c:v>
                </c:pt>
                <c:pt idx="73">
                  <c:v>202</c:v>
                </c:pt>
                <c:pt idx="74">
                  <c:v>202</c:v>
                </c:pt>
                <c:pt idx="75">
                  <c:v>203</c:v>
                </c:pt>
                <c:pt idx="76">
                  <c:v>203</c:v>
                </c:pt>
                <c:pt idx="77">
                  <c:v>213</c:v>
                </c:pt>
                <c:pt idx="78">
                  <c:v>213</c:v>
                </c:pt>
                <c:pt idx="79">
                  <c:v>214</c:v>
                </c:pt>
                <c:pt idx="80">
                  <c:v>214</c:v>
                </c:pt>
                <c:pt idx="81">
                  <c:v>220</c:v>
                </c:pt>
              </c:numCache>
            </c:numRef>
          </c:xVal>
          <c:yVal>
            <c:numRef>
              <c:f>Arkusz3!$H$2:$H$83</c:f>
              <c:numCache>
                <c:formatCode>General</c:formatCode>
                <c:ptCount val="82"/>
                <c:pt idx="0">
                  <c:v>0</c:v>
                </c:pt>
                <c:pt idx="1">
                  <c:v>0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0.05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0.1</c:v>
                </c:pt>
                <c:pt idx="9">
                  <c:v>0.1</c:v>
                </c:pt>
                <c:pt idx="10">
                  <c:v>0.125</c:v>
                </c:pt>
                <c:pt idx="11">
                  <c:v>0.125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0.17499999999999999</c:v>
                </c:pt>
                <c:pt idx="16">
                  <c:v>0.2</c:v>
                </c:pt>
                <c:pt idx="17">
                  <c:v>0.2</c:v>
                </c:pt>
                <c:pt idx="18">
                  <c:v>0.25</c:v>
                </c:pt>
                <c:pt idx="19">
                  <c:v>0.2</c:v>
                </c:pt>
                <c:pt idx="20">
                  <c:v>0.25</c:v>
                </c:pt>
                <c:pt idx="21">
                  <c:v>0.25</c:v>
                </c:pt>
                <c:pt idx="22">
                  <c:v>0.27500000000000002</c:v>
                </c:pt>
                <c:pt idx="23">
                  <c:v>0.27500000000000002</c:v>
                </c:pt>
                <c:pt idx="24">
                  <c:v>0.32500000000000001</c:v>
                </c:pt>
                <c:pt idx="25">
                  <c:v>0.27500000000000002</c:v>
                </c:pt>
                <c:pt idx="26">
                  <c:v>0.32500000000000001</c:v>
                </c:pt>
                <c:pt idx="27">
                  <c:v>0.32500000000000001</c:v>
                </c:pt>
                <c:pt idx="28">
                  <c:v>0.35</c:v>
                </c:pt>
                <c:pt idx="29">
                  <c:v>0.35</c:v>
                </c:pt>
                <c:pt idx="30">
                  <c:v>0.4</c:v>
                </c:pt>
                <c:pt idx="31">
                  <c:v>0.35</c:v>
                </c:pt>
                <c:pt idx="32">
                  <c:v>0.4</c:v>
                </c:pt>
                <c:pt idx="33">
                  <c:v>0.4</c:v>
                </c:pt>
                <c:pt idx="34">
                  <c:v>0.42499999999999999</c:v>
                </c:pt>
                <c:pt idx="35">
                  <c:v>0.42499999999999999</c:v>
                </c:pt>
                <c:pt idx="36">
                  <c:v>0.5</c:v>
                </c:pt>
                <c:pt idx="37">
                  <c:v>0.42499999999999999</c:v>
                </c:pt>
                <c:pt idx="38">
                  <c:v>0.5</c:v>
                </c:pt>
                <c:pt idx="39">
                  <c:v>0.42499999999999999</c:v>
                </c:pt>
                <c:pt idx="40">
                  <c:v>0.5</c:v>
                </c:pt>
                <c:pt idx="41">
                  <c:v>0.5</c:v>
                </c:pt>
                <c:pt idx="42">
                  <c:v>0.52500000000000002</c:v>
                </c:pt>
                <c:pt idx="43">
                  <c:v>0.52500000000000002</c:v>
                </c:pt>
                <c:pt idx="44">
                  <c:v>0.55000000000000004</c:v>
                </c:pt>
                <c:pt idx="45">
                  <c:v>0.55000000000000004</c:v>
                </c:pt>
                <c:pt idx="46">
                  <c:v>0.57499999999999996</c:v>
                </c:pt>
                <c:pt idx="47">
                  <c:v>0.57499999999999996</c:v>
                </c:pt>
                <c:pt idx="48">
                  <c:v>0.625</c:v>
                </c:pt>
                <c:pt idx="49">
                  <c:v>0.57499999999999996</c:v>
                </c:pt>
                <c:pt idx="50">
                  <c:v>0.625</c:v>
                </c:pt>
                <c:pt idx="51">
                  <c:v>0.625</c:v>
                </c:pt>
                <c:pt idx="52">
                  <c:v>0.67500000000000004</c:v>
                </c:pt>
                <c:pt idx="53">
                  <c:v>0.625</c:v>
                </c:pt>
                <c:pt idx="54">
                  <c:v>0.67500000000000004</c:v>
                </c:pt>
                <c:pt idx="55">
                  <c:v>0.67500000000000004</c:v>
                </c:pt>
                <c:pt idx="56">
                  <c:v>0.7</c:v>
                </c:pt>
                <c:pt idx="57">
                  <c:v>0.7</c:v>
                </c:pt>
                <c:pt idx="58">
                  <c:v>0.72499999999999998</c:v>
                </c:pt>
                <c:pt idx="59">
                  <c:v>0.72499999999999998</c:v>
                </c:pt>
                <c:pt idx="60">
                  <c:v>0.77500000000000002</c:v>
                </c:pt>
                <c:pt idx="61">
                  <c:v>0.72499999999999998</c:v>
                </c:pt>
                <c:pt idx="62">
                  <c:v>0.77500000000000002</c:v>
                </c:pt>
                <c:pt idx="63">
                  <c:v>0.77500000000000002</c:v>
                </c:pt>
                <c:pt idx="64">
                  <c:v>0.8</c:v>
                </c:pt>
                <c:pt idx="65">
                  <c:v>0.8</c:v>
                </c:pt>
                <c:pt idx="66">
                  <c:v>0.82499999999999996</c:v>
                </c:pt>
                <c:pt idx="67">
                  <c:v>0.82499999999999996</c:v>
                </c:pt>
                <c:pt idx="68">
                  <c:v>0.85</c:v>
                </c:pt>
                <c:pt idx="69">
                  <c:v>0.85</c:v>
                </c:pt>
                <c:pt idx="70">
                  <c:v>0.875</c:v>
                </c:pt>
                <c:pt idx="71">
                  <c:v>0.875</c:v>
                </c:pt>
                <c:pt idx="72">
                  <c:v>0.9</c:v>
                </c:pt>
                <c:pt idx="73">
                  <c:v>0.9</c:v>
                </c:pt>
                <c:pt idx="74">
                  <c:v>0.92500000000000004</c:v>
                </c:pt>
                <c:pt idx="75">
                  <c:v>0.92500000000000004</c:v>
                </c:pt>
                <c:pt idx="76">
                  <c:v>0.95</c:v>
                </c:pt>
                <c:pt idx="77">
                  <c:v>0.95</c:v>
                </c:pt>
                <c:pt idx="78">
                  <c:v>0.97499999999999998</c:v>
                </c:pt>
                <c:pt idx="79">
                  <c:v>0.97499999999999998</c:v>
                </c:pt>
                <c:pt idx="80">
                  <c:v>1</c:v>
                </c:pt>
                <c:pt idx="8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6F-47E4-A9C6-B6DDBE80BEE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Arkusz3!$G$2:$G$83</c:f>
              <c:numCache>
                <c:formatCode>General</c:formatCode>
                <c:ptCount val="82"/>
                <c:pt idx="0">
                  <c:v>145</c:v>
                </c:pt>
                <c:pt idx="1">
                  <c:v>149</c:v>
                </c:pt>
                <c:pt idx="2">
                  <c:v>149</c:v>
                </c:pt>
                <c:pt idx="3">
                  <c:v>151</c:v>
                </c:pt>
                <c:pt idx="4">
                  <c:v>151</c:v>
                </c:pt>
                <c:pt idx="5">
                  <c:v>152</c:v>
                </c:pt>
                <c:pt idx="6">
                  <c:v>152</c:v>
                </c:pt>
                <c:pt idx="7">
                  <c:v>156</c:v>
                </c:pt>
                <c:pt idx="8">
                  <c:v>156</c:v>
                </c:pt>
                <c:pt idx="9">
                  <c:v>161</c:v>
                </c:pt>
                <c:pt idx="10">
                  <c:v>161</c:v>
                </c:pt>
                <c:pt idx="11">
                  <c:v>163</c:v>
                </c:pt>
                <c:pt idx="12">
                  <c:v>163</c:v>
                </c:pt>
                <c:pt idx="13">
                  <c:v>166</c:v>
                </c:pt>
                <c:pt idx="14">
                  <c:v>166</c:v>
                </c:pt>
                <c:pt idx="15">
                  <c:v>167</c:v>
                </c:pt>
                <c:pt idx="16">
                  <c:v>167</c:v>
                </c:pt>
                <c:pt idx="17">
                  <c:v>169</c:v>
                </c:pt>
                <c:pt idx="18">
                  <c:v>169</c:v>
                </c:pt>
                <c:pt idx="19">
                  <c:v>169</c:v>
                </c:pt>
                <c:pt idx="20">
                  <c:v>169</c:v>
                </c:pt>
                <c:pt idx="21">
                  <c:v>170</c:v>
                </c:pt>
                <c:pt idx="22">
                  <c:v>170</c:v>
                </c:pt>
                <c:pt idx="23">
                  <c:v>171</c:v>
                </c:pt>
                <c:pt idx="24">
                  <c:v>171</c:v>
                </c:pt>
                <c:pt idx="25">
                  <c:v>171</c:v>
                </c:pt>
                <c:pt idx="26">
                  <c:v>171</c:v>
                </c:pt>
                <c:pt idx="27">
                  <c:v>172</c:v>
                </c:pt>
                <c:pt idx="28">
                  <c:v>172</c:v>
                </c:pt>
                <c:pt idx="29">
                  <c:v>174</c:v>
                </c:pt>
                <c:pt idx="30">
                  <c:v>174</c:v>
                </c:pt>
                <c:pt idx="31">
                  <c:v>174</c:v>
                </c:pt>
                <c:pt idx="32">
                  <c:v>174</c:v>
                </c:pt>
                <c:pt idx="33">
                  <c:v>175</c:v>
                </c:pt>
                <c:pt idx="34">
                  <c:v>175</c:v>
                </c:pt>
                <c:pt idx="35">
                  <c:v>176</c:v>
                </c:pt>
                <c:pt idx="36">
                  <c:v>176</c:v>
                </c:pt>
                <c:pt idx="37">
                  <c:v>176</c:v>
                </c:pt>
                <c:pt idx="38">
                  <c:v>176</c:v>
                </c:pt>
                <c:pt idx="39">
                  <c:v>176</c:v>
                </c:pt>
                <c:pt idx="40">
                  <c:v>176</c:v>
                </c:pt>
                <c:pt idx="41">
                  <c:v>177</c:v>
                </c:pt>
                <c:pt idx="42">
                  <c:v>177</c:v>
                </c:pt>
                <c:pt idx="43">
                  <c:v>178</c:v>
                </c:pt>
                <c:pt idx="44">
                  <c:v>178</c:v>
                </c:pt>
                <c:pt idx="45">
                  <c:v>179</c:v>
                </c:pt>
                <c:pt idx="46">
                  <c:v>179</c:v>
                </c:pt>
                <c:pt idx="47">
                  <c:v>180</c:v>
                </c:pt>
                <c:pt idx="48">
                  <c:v>180</c:v>
                </c:pt>
                <c:pt idx="49">
                  <c:v>180</c:v>
                </c:pt>
                <c:pt idx="50">
                  <c:v>180</c:v>
                </c:pt>
                <c:pt idx="51">
                  <c:v>184</c:v>
                </c:pt>
                <c:pt idx="52">
                  <c:v>184</c:v>
                </c:pt>
                <c:pt idx="53">
                  <c:v>184</c:v>
                </c:pt>
                <c:pt idx="54">
                  <c:v>184</c:v>
                </c:pt>
                <c:pt idx="55">
                  <c:v>185</c:v>
                </c:pt>
                <c:pt idx="56">
                  <c:v>185</c:v>
                </c:pt>
                <c:pt idx="57">
                  <c:v>187</c:v>
                </c:pt>
                <c:pt idx="58">
                  <c:v>187</c:v>
                </c:pt>
                <c:pt idx="59">
                  <c:v>189</c:v>
                </c:pt>
                <c:pt idx="60">
                  <c:v>189</c:v>
                </c:pt>
                <c:pt idx="61">
                  <c:v>189</c:v>
                </c:pt>
                <c:pt idx="62">
                  <c:v>189</c:v>
                </c:pt>
                <c:pt idx="63">
                  <c:v>190</c:v>
                </c:pt>
                <c:pt idx="64">
                  <c:v>190</c:v>
                </c:pt>
                <c:pt idx="65">
                  <c:v>193</c:v>
                </c:pt>
                <c:pt idx="66">
                  <c:v>193</c:v>
                </c:pt>
                <c:pt idx="67">
                  <c:v>194</c:v>
                </c:pt>
                <c:pt idx="68">
                  <c:v>194</c:v>
                </c:pt>
                <c:pt idx="69">
                  <c:v>195</c:v>
                </c:pt>
                <c:pt idx="70">
                  <c:v>195</c:v>
                </c:pt>
                <c:pt idx="71">
                  <c:v>200</c:v>
                </c:pt>
                <c:pt idx="72">
                  <c:v>200</c:v>
                </c:pt>
                <c:pt idx="73">
                  <c:v>202</c:v>
                </c:pt>
                <c:pt idx="74">
                  <c:v>202</c:v>
                </c:pt>
                <c:pt idx="75">
                  <c:v>203</c:v>
                </c:pt>
                <c:pt idx="76">
                  <c:v>203</c:v>
                </c:pt>
                <c:pt idx="77">
                  <c:v>213</c:v>
                </c:pt>
                <c:pt idx="78">
                  <c:v>213</c:v>
                </c:pt>
                <c:pt idx="79">
                  <c:v>214</c:v>
                </c:pt>
                <c:pt idx="80">
                  <c:v>214</c:v>
                </c:pt>
                <c:pt idx="81">
                  <c:v>220</c:v>
                </c:pt>
              </c:numCache>
            </c:numRef>
          </c:xVal>
          <c:yVal>
            <c:numRef>
              <c:f>Arkusz3!$I$2:$I$83</c:f>
              <c:numCache>
                <c:formatCode>General</c:formatCode>
                <c:ptCount val="82"/>
                <c:pt idx="0">
                  <c:v>3.7720179813400243E-2</c:v>
                </c:pt>
                <c:pt idx="1">
                  <c:v>5.9906907102771828E-2</c:v>
                </c:pt>
                <c:pt idx="2">
                  <c:v>5.9906907102771828E-2</c:v>
                </c:pt>
                <c:pt idx="3">
                  <c:v>7.4306998227605878E-2</c:v>
                </c:pt>
                <c:pt idx="4">
                  <c:v>7.4306998227605878E-2</c:v>
                </c:pt>
                <c:pt idx="5">
                  <c:v>8.2433269873954537E-2</c:v>
                </c:pt>
                <c:pt idx="6">
                  <c:v>8.2433269873954537E-2</c:v>
                </c:pt>
                <c:pt idx="7">
                  <c:v>0.12167250457438125</c:v>
                </c:pt>
                <c:pt idx="8">
                  <c:v>0.12167250457438125</c:v>
                </c:pt>
                <c:pt idx="9">
                  <c:v>0.18703139874544125</c:v>
                </c:pt>
                <c:pt idx="10">
                  <c:v>0.18703139874544125</c:v>
                </c:pt>
                <c:pt idx="11">
                  <c:v>0.21835001536137882</c:v>
                </c:pt>
                <c:pt idx="12">
                  <c:v>0.21835001536137882</c:v>
                </c:pt>
                <c:pt idx="13">
                  <c:v>0.27056301223583412</c:v>
                </c:pt>
                <c:pt idx="14">
                  <c:v>0.27056301223583412</c:v>
                </c:pt>
                <c:pt idx="15">
                  <c:v>0.28925736075397196</c:v>
                </c:pt>
                <c:pt idx="16">
                  <c:v>0.28925736075397196</c:v>
                </c:pt>
                <c:pt idx="17">
                  <c:v>0.32836064328188519</c:v>
                </c:pt>
                <c:pt idx="18">
                  <c:v>0.32836064328188519</c:v>
                </c:pt>
                <c:pt idx="19">
                  <c:v>0.32836064328188519</c:v>
                </c:pt>
                <c:pt idx="20">
                  <c:v>0.32836064328188519</c:v>
                </c:pt>
                <c:pt idx="21">
                  <c:v>0.3486791709387379</c:v>
                </c:pt>
                <c:pt idx="22">
                  <c:v>0.3486791709387379</c:v>
                </c:pt>
                <c:pt idx="23">
                  <c:v>0.36944134018176361</c:v>
                </c:pt>
                <c:pt idx="24">
                  <c:v>0.36944134018176361</c:v>
                </c:pt>
                <c:pt idx="25">
                  <c:v>0.36944134018176361</c:v>
                </c:pt>
                <c:pt idx="26">
                  <c:v>0.36944134018176361</c:v>
                </c:pt>
                <c:pt idx="27">
                  <c:v>0.39059147543357498</c:v>
                </c:pt>
                <c:pt idx="28">
                  <c:v>0.39059147543357498</c:v>
                </c:pt>
                <c:pt idx="29">
                  <c:v>0.43381616738909634</c:v>
                </c:pt>
                <c:pt idx="30">
                  <c:v>0.43381616738909634</c:v>
                </c:pt>
                <c:pt idx="31">
                  <c:v>0.43381616738909634</c:v>
                </c:pt>
                <c:pt idx="32">
                  <c:v>0.43381616738909634</c:v>
                </c:pt>
                <c:pt idx="33">
                  <c:v>0.4557641189546886</c:v>
                </c:pt>
                <c:pt idx="34">
                  <c:v>0.4557641189546886</c:v>
                </c:pt>
                <c:pt idx="35">
                  <c:v>0.47784793565821782</c:v>
                </c:pt>
                <c:pt idx="36">
                  <c:v>0.47784793565821782</c:v>
                </c:pt>
                <c:pt idx="37">
                  <c:v>0.47784793565821782</c:v>
                </c:pt>
                <c:pt idx="38">
                  <c:v>0.47784793565821782</c:v>
                </c:pt>
                <c:pt idx="39">
                  <c:v>0.47784793565821782</c:v>
                </c:pt>
                <c:pt idx="40">
                  <c:v>0.47784793565821782</c:v>
                </c:pt>
                <c:pt idx="41">
                  <c:v>0.5</c:v>
                </c:pt>
                <c:pt idx="42">
                  <c:v>0.5</c:v>
                </c:pt>
                <c:pt idx="43">
                  <c:v>0.52215206434178218</c:v>
                </c:pt>
                <c:pt idx="44">
                  <c:v>0.52215206434178218</c:v>
                </c:pt>
                <c:pt idx="45">
                  <c:v>0.5442358810453114</c:v>
                </c:pt>
                <c:pt idx="46">
                  <c:v>0.5442358810453114</c:v>
                </c:pt>
                <c:pt idx="47">
                  <c:v>0.56618383261090366</c:v>
                </c:pt>
                <c:pt idx="48">
                  <c:v>0.56618383261090366</c:v>
                </c:pt>
                <c:pt idx="49">
                  <c:v>0.56618383261090366</c:v>
                </c:pt>
                <c:pt idx="50">
                  <c:v>0.56618383261090366</c:v>
                </c:pt>
                <c:pt idx="51">
                  <c:v>0.6513208290612621</c:v>
                </c:pt>
                <c:pt idx="52">
                  <c:v>0.6513208290612621</c:v>
                </c:pt>
                <c:pt idx="53">
                  <c:v>0.6513208290612621</c:v>
                </c:pt>
                <c:pt idx="54">
                  <c:v>0.6513208290612621</c:v>
                </c:pt>
                <c:pt idx="55">
                  <c:v>0.67163935671811481</c:v>
                </c:pt>
                <c:pt idx="56">
                  <c:v>0.67163935671811481</c:v>
                </c:pt>
                <c:pt idx="57">
                  <c:v>0.7107426392460281</c:v>
                </c:pt>
                <c:pt idx="58">
                  <c:v>0.7107426392460281</c:v>
                </c:pt>
                <c:pt idx="59">
                  <c:v>0.74750746245307709</c:v>
                </c:pt>
                <c:pt idx="60">
                  <c:v>0.74750746245307709</c:v>
                </c:pt>
                <c:pt idx="61">
                  <c:v>0.74750746245307709</c:v>
                </c:pt>
                <c:pt idx="62">
                  <c:v>0.74750746245307709</c:v>
                </c:pt>
                <c:pt idx="63">
                  <c:v>0.76492106857116515</c:v>
                </c:pt>
                <c:pt idx="64">
                  <c:v>0.76492106857116515</c:v>
                </c:pt>
                <c:pt idx="65">
                  <c:v>0.81296860125455872</c:v>
                </c:pt>
                <c:pt idx="66">
                  <c:v>0.81296860125455872</c:v>
                </c:pt>
                <c:pt idx="67">
                  <c:v>0.82752871058569177</c:v>
                </c:pt>
                <c:pt idx="68">
                  <c:v>0.82752871058569177</c:v>
                </c:pt>
                <c:pt idx="69">
                  <c:v>0.84134474606854304</c:v>
                </c:pt>
                <c:pt idx="70">
                  <c:v>0.84134474606854304</c:v>
                </c:pt>
                <c:pt idx="71">
                  <c:v>0.89933610400849928</c:v>
                </c:pt>
                <c:pt idx="72">
                  <c:v>0.89933610400849928</c:v>
                </c:pt>
                <c:pt idx="73">
                  <c:v>0.9175667301260455</c:v>
                </c:pt>
                <c:pt idx="74">
                  <c:v>0.9175667301260455</c:v>
                </c:pt>
                <c:pt idx="75">
                  <c:v>0.92569300177239411</c:v>
                </c:pt>
                <c:pt idx="76">
                  <c:v>0.92569300177239411</c:v>
                </c:pt>
                <c:pt idx="77">
                  <c:v>0.97724986805182079</c:v>
                </c:pt>
                <c:pt idx="78">
                  <c:v>0.97724986805182079</c:v>
                </c:pt>
                <c:pt idx="79">
                  <c:v>0.98008731225022472</c:v>
                </c:pt>
                <c:pt idx="80">
                  <c:v>0.98008731225022472</c:v>
                </c:pt>
                <c:pt idx="81">
                  <c:v>0.99155029378774917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6F-47E4-A9C6-B6DDBE80B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51688"/>
        <c:axId val="515255296"/>
      </c:scatterChart>
      <c:valAx>
        <c:axId val="515251688"/>
        <c:scaling>
          <c:orientation val="minMax"/>
          <c:max val="220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15255296"/>
        <c:crosses val="autoZero"/>
        <c:crossBetween val="midCat"/>
      </c:valAx>
      <c:valAx>
        <c:axId val="5152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15251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Kwantyl-kwantyl</a:t>
            </a:r>
          </a:p>
        </c:rich>
      </c:tx>
      <c:layout>
        <c:manualLayout>
          <c:xMode val="edge"/>
          <c:yMode val="edge"/>
          <c:x val="0.2936874453193351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4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18-4FD8-8F01-179209FC4629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218-4FD8-8F01-179209FC4629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Arkusz3!$M$2:$M$83</c:f>
              <c:numCache>
                <c:formatCode>General</c:formatCode>
                <c:ptCount val="82"/>
                <c:pt idx="0">
                  <c:v>-2.5064473464808872</c:v>
                </c:pt>
                <c:pt idx="1">
                  <c:v>-1.9705053031703286</c:v>
                </c:pt>
                <c:pt idx="2">
                  <c:v>-1.9705053031703286</c:v>
                </c:pt>
                <c:pt idx="3">
                  <c:v>-1.6567947658159807</c:v>
                </c:pt>
                <c:pt idx="4">
                  <c:v>-1.6567947658159807</c:v>
                </c:pt>
                <c:pt idx="5">
                  <c:v>-1.4525761808120043</c:v>
                </c:pt>
                <c:pt idx="6">
                  <c:v>-1.4525761808120043</c:v>
                </c:pt>
                <c:pt idx="7">
                  <c:v>-1.2955749870976874</c:v>
                </c:pt>
                <c:pt idx="8">
                  <c:v>-1.2955749870976874</c:v>
                </c:pt>
                <c:pt idx="9">
                  <c:v>-1.1652879896966826</c:v>
                </c:pt>
                <c:pt idx="10">
                  <c:v>-1.1652879896966826</c:v>
                </c:pt>
                <c:pt idx="11">
                  <c:v>-1.0522542255562288</c:v>
                </c:pt>
                <c:pt idx="12">
                  <c:v>-1.0522542255562288</c:v>
                </c:pt>
                <c:pt idx="13">
                  <c:v>-0.95127771872909239</c:v>
                </c:pt>
                <c:pt idx="14">
                  <c:v>-0.95127771872909239</c:v>
                </c:pt>
                <c:pt idx="15">
                  <c:v>-0.85917512959584974</c:v>
                </c:pt>
                <c:pt idx="16">
                  <c:v>-0.85917512959584974</c:v>
                </c:pt>
                <c:pt idx="17">
                  <c:v>-0.73323578318551175</c:v>
                </c:pt>
                <c:pt idx="18">
                  <c:v>-0.73323578318551175</c:v>
                </c:pt>
                <c:pt idx="19">
                  <c:v>-0.73323578318551175</c:v>
                </c:pt>
                <c:pt idx="20">
                  <c:v>-0.73323578318551175</c:v>
                </c:pt>
                <c:pt idx="21">
                  <c:v>-0.6179847884685038</c:v>
                </c:pt>
                <c:pt idx="22">
                  <c:v>-0.6179847884685038</c:v>
                </c:pt>
                <c:pt idx="23">
                  <c:v>-0.51042164266321888</c:v>
                </c:pt>
                <c:pt idx="24">
                  <c:v>-0.51042164266321888</c:v>
                </c:pt>
                <c:pt idx="25">
                  <c:v>-0.51042164266321888</c:v>
                </c:pt>
                <c:pt idx="26">
                  <c:v>-0.51042164266321888</c:v>
                </c:pt>
                <c:pt idx="27">
                  <c:v>-0.40847248197412372</c:v>
                </c:pt>
                <c:pt idx="28">
                  <c:v>-0.40847248197412372</c:v>
                </c:pt>
                <c:pt idx="29">
                  <c:v>-0.31060942538225567</c:v>
                </c:pt>
                <c:pt idx="30">
                  <c:v>-0.31060942538225567</c:v>
                </c:pt>
                <c:pt idx="31">
                  <c:v>-0.31060942538225567</c:v>
                </c:pt>
                <c:pt idx="32">
                  <c:v>-0.31060942538225567</c:v>
                </c:pt>
                <c:pt idx="33">
                  <c:v>-0.21564010401258188</c:v>
                </c:pt>
                <c:pt idx="34">
                  <c:v>-0.21564010401258188</c:v>
                </c:pt>
                <c:pt idx="35">
                  <c:v>-9.1834832954222234E-2</c:v>
                </c:pt>
                <c:pt idx="36">
                  <c:v>-9.1834832954222234E-2</c:v>
                </c:pt>
                <c:pt idx="37">
                  <c:v>-9.1834832954222234E-2</c:v>
                </c:pt>
                <c:pt idx="38">
                  <c:v>-9.1834832954222234E-2</c:v>
                </c:pt>
                <c:pt idx="39">
                  <c:v>-9.1834832954222234E-2</c:v>
                </c:pt>
                <c:pt idx="40">
                  <c:v>-9.1834832954222234E-2</c:v>
                </c:pt>
                <c:pt idx="41">
                  <c:v>3.0573399820906299E-2</c:v>
                </c:pt>
                <c:pt idx="42">
                  <c:v>3.0573399820906299E-2</c:v>
                </c:pt>
                <c:pt idx="43">
                  <c:v>9.1834832954222387E-2</c:v>
                </c:pt>
                <c:pt idx="44">
                  <c:v>9.1834832954222387E-2</c:v>
                </c:pt>
                <c:pt idx="45">
                  <c:v>0.15344319882333449</c:v>
                </c:pt>
                <c:pt idx="46">
                  <c:v>0.15344319882333449</c:v>
                </c:pt>
                <c:pt idx="47">
                  <c:v>0.2470389907389772</c:v>
                </c:pt>
                <c:pt idx="48">
                  <c:v>0.2470389907389772</c:v>
                </c:pt>
                <c:pt idx="49">
                  <c:v>0.2470389907389772</c:v>
                </c:pt>
                <c:pt idx="50">
                  <c:v>0.2470389907389772</c:v>
                </c:pt>
                <c:pt idx="51">
                  <c:v>0.37546177023551847</c:v>
                </c:pt>
                <c:pt idx="52">
                  <c:v>0.37546177023551847</c:v>
                </c:pt>
                <c:pt idx="53">
                  <c:v>0.37546177023551847</c:v>
                </c:pt>
                <c:pt idx="54">
                  <c:v>0.37546177023551847</c:v>
                </c:pt>
                <c:pt idx="55">
                  <c:v>0.47589899043667905</c:v>
                </c:pt>
                <c:pt idx="56">
                  <c:v>0.47589899043667905</c:v>
                </c:pt>
                <c:pt idx="57">
                  <c:v>0.54556374182259537</c:v>
                </c:pt>
                <c:pt idx="58">
                  <c:v>0.54556374182259537</c:v>
                </c:pt>
                <c:pt idx="59">
                  <c:v>0.65542350523442661</c:v>
                </c:pt>
                <c:pt idx="60">
                  <c:v>0.65542350523442661</c:v>
                </c:pt>
                <c:pt idx="61">
                  <c:v>0.65542350523442661</c:v>
                </c:pt>
                <c:pt idx="62">
                  <c:v>0.65542350523442661</c:v>
                </c:pt>
                <c:pt idx="63">
                  <c:v>0.77384173233725317</c:v>
                </c:pt>
                <c:pt idx="64">
                  <c:v>0.77384173233725317</c:v>
                </c:pt>
                <c:pt idx="65">
                  <c:v>0.85917512959585085</c:v>
                </c:pt>
                <c:pt idx="66">
                  <c:v>0.85917512959585085</c:v>
                </c:pt>
                <c:pt idx="67">
                  <c:v>0.95127771872909239</c:v>
                </c:pt>
                <c:pt idx="68">
                  <c:v>0.95127771872909239</c:v>
                </c:pt>
                <c:pt idx="69">
                  <c:v>1.0522542255562288</c:v>
                </c:pt>
                <c:pt idx="70">
                  <c:v>1.0522542255562288</c:v>
                </c:pt>
                <c:pt idx="71">
                  <c:v>1.1652879896966826</c:v>
                </c:pt>
                <c:pt idx="72">
                  <c:v>1.1652879896966826</c:v>
                </c:pt>
                <c:pt idx="73">
                  <c:v>1.2955749870976874</c:v>
                </c:pt>
                <c:pt idx="74">
                  <c:v>1.2955749870976874</c:v>
                </c:pt>
                <c:pt idx="75">
                  <c:v>1.4525761808120046</c:v>
                </c:pt>
                <c:pt idx="76">
                  <c:v>1.4525761808120046</c:v>
                </c:pt>
                <c:pt idx="77">
                  <c:v>1.6567947658159803</c:v>
                </c:pt>
                <c:pt idx="78">
                  <c:v>1.6567947658159803</c:v>
                </c:pt>
                <c:pt idx="79">
                  <c:v>1.9705053031703283</c:v>
                </c:pt>
                <c:pt idx="80">
                  <c:v>1.9705053031703283</c:v>
                </c:pt>
                <c:pt idx="81">
                  <c:v>2.5064473464808863</c:v>
                </c:pt>
              </c:numCache>
            </c:numRef>
          </c:xVal>
          <c:yVal>
            <c:numRef>
              <c:f>Arkusz3!$N$2:$N$83</c:f>
              <c:numCache>
                <c:formatCode>General</c:formatCode>
                <c:ptCount val="82"/>
                <c:pt idx="0">
                  <c:v>-1.7777777777777777</c:v>
                </c:pt>
                <c:pt idx="1">
                  <c:v>-1.5555555555555556</c:v>
                </c:pt>
                <c:pt idx="2">
                  <c:v>-1.5555555555555556</c:v>
                </c:pt>
                <c:pt idx="3">
                  <c:v>-1.4444444444444444</c:v>
                </c:pt>
                <c:pt idx="4">
                  <c:v>-1.4444444444444444</c:v>
                </c:pt>
                <c:pt idx="5">
                  <c:v>-1.3888888888888888</c:v>
                </c:pt>
                <c:pt idx="6">
                  <c:v>-1.3888888888888888</c:v>
                </c:pt>
                <c:pt idx="7">
                  <c:v>-1.1666666666666667</c:v>
                </c:pt>
                <c:pt idx="8">
                  <c:v>-1.1666666666666667</c:v>
                </c:pt>
                <c:pt idx="9">
                  <c:v>-0.88888888888888884</c:v>
                </c:pt>
                <c:pt idx="10">
                  <c:v>-0.88888888888888884</c:v>
                </c:pt>
                <c:pt idx="11">
                  <c:v>-0.77777777777777779</c:v>
                </c:pt>
                <c:pt idx="12">
                  <c:v>-0.77777777777777779</c:v>
                </c:pt>
                <c:pt idx="13">
                  <c:v>-0.61111111111111116</c:v>
                </c:pt>
                <c:pt idx="14">
                  <c:v>-0.61111111111111116</c:v>
                </c:pt>
                <c:pt idx="15">
                  <c:v>-0.55555555555555558</c:v>
                </c:pt>
                <c:pt idx="16">
                  <c:v>-0.55555555555555558</c:v>
                </c:pt>
                <c:pt idx="17">
                  <c:v>-0.44444444444444442</c:v>
                </c:pt>
                <c:pt idx="18">
                  <c:v>-0.44444444444444442</c:v>
                </c:pt>
                <c:pt idx="19">
                  <c:v>-0.44444444444444442</c:v>
                </c:pt>
                <c:pt idx="20">
                  <c:v>-0.44444444444444442</c:v>
                </c:pt>
                <c:pt idx="21">
                  <c:v>-0.3888888888888889</c:v>
                </c:pt>
                <c:pt idx="22">
                  <c:v>-0.3888888888888889</c:v>
                </c:pt>
                <c:pt idx="23">
                  <c:v>-0.33333333333333331</c:v>
                </c:pt>
                <c:pt idx="24">
                  <c:v>-0.33333333333333331</c:v>
                </c:pt>
                <c:pt idx="25">
                  <c:v>-0.33333333333333331</c:v>
                </c:pt>
                <c:pt idx="26">
                  <c:v>-0.33333333333333331</c:v>
                </c:pt>
                <c:pt idx="27">
                  <c:v>-0.27777777777777779</c:v>
                </c:pt>
                <c:pt idx="28">
                  <c:v>-0.27777777777777779</c:v>
                </c:pt>
                <c:pt idx="29">
                  <c:v>-0.16666666666666666</c:v>
                </c:pt>
                <c:pt idx="30">
                  <c:v>-0.16666666666666666</c:v>
                </c:pt>
                <c:pt idx="31">
                  <c:v>-0.16666666666666666</c:v>
                </c:pt>
                <c:pt idx="32">
                  <c:v>-0.16666666666666666</c:v>
                </c:pt>
                <c:pt idx="33">
                  <c:v>-0.1111111111111111</c:v>
                </c:pt>
                <c:pt idx="34">
                  <c:v>-0.1111111111111111</c:v>
                </c:pt>
                <c:pt idx="35">
                  <c:v>-5.5555555555555552E-2</c:v>
                </c:pt>
                <c:pt idx="36">
                  <c:v>-5.5555555555555552E-2</c:v>
                </c:pt>
                <c:pt idx="37">
                  <c:v>-5.5555555555555552E-2</c:v>
                </c:pt>
                <c:pt idx="38">
                  <c:v>-5.5555555555555552E-2</c:v>
                </c:pt>
                <c:pt idx="39">
                  <c:v>-5.5555555555555552E-2</c:v>
                </c:pt>
                <c:pt idx="40">
                  <c:v>-5.5555555555555552E-2</c:v>
                </c:pt>
                <c:pt idx="41">
                  <c:v>0</c:v>
                </c:pt>
                <c:pt idx="42">
                  <c:v>0</c:v>
                </c:pt>
                <c:pt idx="43">
                  <c:v>5.5555555555555552E-2</c:v>
                </c:pt>
                <c:pt idx="44">
                  <c:v>5.5555555555555552E-2</c:v>
                </c:pt>
                <c:pt idx="45">
                  <c:v>0.1111111111111111</c:v>
                </c:pt>
                <c:pt idx="46">
                  <c:v>0.1111111111111111</c:v>
                </c:pt>
                <c:pt idx="47">
                  <c:v>0.16666666666666666</c:v>
                </c:pt>
                <c:pt idx="48">
                  <c:v>0.16666666666666666</c:v>
                </c:pt>
                <c:pt idx="49">
                  <c:v>0.16666666666666666</c:v>
                </c:pt>
                <c:pt idx="50">
                  <c:v>0.16666666666666666</c:v>
                </c:pt>
                <c:pt idx="51">
                  <c:v>0.3888888888888889</c:v>
                </c:pt>
                <c:pt idx="52">
                  <c:v>0.3888888888888889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0.44444444444444442</c:v>
                </c:pt>
                <c:pt idx="56">
                  <c:v>0.44444444444444442</c:v>
                </c:pt>
                <c:pt idx="57">
                  <c:v>0.55555555555555558</c:v>
                </c:pt>
                <c:pt idx="58">
                  <c:v>0.55555555555555558</c:v>
                </c:pt>
                <c:pt idx="59">
                  <c:v>0.66666666666666663</c:v>
                </c:pt>
                <c:pt idx="60">
                  <c:v>0.66666666666666663</c:v>
                </c:pt>
                <c:pt idx="61">
                  <c:v>0.66666666666666663</c:v>
                </c:pt>
                <c:pt idx="62">
                  <c:v>0.66666666666666663</c:v>
                </c:pt>
                <c:pt idx="63">
                  <c:v>0.72222222222222221</c:v>
                </c:pt>
                <c:pt idx="64">
                  <c:v>0.72222222222222221</c:v>
                </c:pt>
                <c:pt idx="65">
                  <c:v>0.88888888888888884</c:v>
                </c:pt>
                <c:pt idx="66">
                  <c:v>0.88888888888888884</c:v>
                </c:pt>
                <c:pt idx="67">
                  <c:v>0.94444444444444442</c:v>
                </c:pt>
                <c:pt idx="68">
                  <c:v>0.94444444444444442</c:v>
                </c:pt>
                <c:pt idx="69">
                  <c:v>1</c:v>
                </c:pt>
                <c:pt idx="70">
                  <c:v>1</c:v>
                </c:pt>
                <c:pt idx="71">
                  <c:v>1.2777777777777777</c:v>
                </c:pt>
                <c:pt idx="72">
                  <c:v>1.2777777777777777</c:v>
                </c:pt>
                <c:pt idx="73">
                  <c:v>1.3888888888888888</c:v>
                </c:pt>
                <c:pt idx="74">
                  <c:v>1.3888888888888888</c:v>
                </c:pt>
                <c:pt idx="75">
                  <c:v>1.4444444444444444</c:v>
                </c:pt>
                <c:pt idx="76">
                  <c:v>1.4444444444444444</c:v>
                </c:pt>
                <c:pt idx="77">
                  <c:v>2</c:v>
                </c:pt>
                <c:pt idx="78">
                  <c:v>2</c:v>
                </c:pt>
                <c:pt idx="79">
                  <c:v>2.0555555555555554</c:v>
                </c:pt>
                <c:pt idx="80">
                  <c:v>2.0555555555555554</c:v>
                </c:pt>
                <c:pt idx="81">
                  <c:v>2.3888888888888888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A-4F71-BD62-7F1AF8593CED}"/>
            </c:ext>
          </c:extLst>
        </c:ser>
        <c:ser>
          <c:idx val="1"/>
          <c:order val="1"/>
          <c:tx>
            <c:strRef>
              <c:f>Arkusz3!$M$2:$M$83</c:f>
              <c:strCache>
                <c:ptCount val="82"/>
                <c:pt idx="0">
                  <c:v>-2,506447346</c:v>
                </c:pt>
                <c:pt idx="1">
                  <c:v>-1,970505303</c:v>
                </c:pt>
                <c:pt idx="2">
                  <c:v>-1,970505303</c:v>
                </c:pt>
                <c:pt idx="3">
                  <c:v>-1,656794766</c:v>
                </c:pt>
                <c:pt idx="4">
                  <c:v>-1,656794766</c:v>
                </c:pt>
                <c:pt idx="5">
                  <c:v>-1,452576181</c:v>
                </c:pt>
                <c:pt idx="6">
                  <c:v>-1,452576181</c:v>
                </c:pt>
                <c:pt idx="7">
                  <c:v>-1,295574987</c:v>
                </c:pt>
                <c:pt idx="8">
                  <c:v>-1,295574987</c:v>
                </c:pt>
                <c:pt idx="9">
                  <c:v>-1,16528799</c:v>
                </c:pt>
                <c:pt idx="10">
                  <c:v>-1,16528799</c:v>
                </c:pt>
                <c:pt idx="11">
                  <c:v>-1,052254226</c:v>
                </c:pt>
                <c:pt idx="12">
                  <c:v>-1,052254226</c:v>
                </c:pt>
                <c:pt idx="13">
                  <c:v>-0,951277719</c:v>
                </c:pt>
                <c:pt idx="14">
                  <c:v>-0,951277719</c:v>
                </c:pt>
                <c:pt idx="15">
                  <c:v>-0,85917513</c:v>
                </c:pt>
                <c:pt idx="16">
                  <c:v>-0,85917513</c:v>
                </c:pt>
                <c:pt idx="17">
                  <c:v>-0,733235783</c:v>
                </c:pt>
                <c:pt idx="18">
                  <c:v>-0,733235783</c:v>
                </c:pt>
                <c:pt idx="19">
                  <c:v>-0,733235783</c:v>
                </c:pt>
                <c:pt idx="20">
                  <c:v>-0,733235783</c:v>
                </c:pt>
                <c:pt idx="21">
                  <c:v>-0,617984788</c:v>
                </c:pt>
                <c:pt idx="22">
                  <c:v>-0,617984788</c:v>
                </c:pt>
                <c:pt idx="23">
                  <c:v>-0,510421643</c:v>
                </c:pt>
                <c:pt idx="24">
                  <c:v>-0,510421643</c:v>
                </c:pt>
                <c:pt idx="25">
                  <c:v>-0,510421643</c:v>
                </c:pt>
                <c:pt idx="26">
                  <c:v>-0,510421643</c:v>
                </c:pt>
                <c:pt idx="27">
                  <c:v>-0,408472482</c:v>
                </c:pt>
                <c:pt idx="28">
                  <c:v>-0,408472482</c:v>
                </c:pt>
                <c:pt idx="29">
                  <c:v>-0,310609425</c:v>
                </c:pt>
                <c:pt idx="30">
                  <c:v>-0,310609425</c:v>
                </c:pt>
                <c:pt idx="31">
                  <c:v>-0,310609425</c:v>
                </c:pt>
                <c:pt idx="32">
                  <c:v>-0,310609425</c:v>
                </c:pt>
                <c:pt idx="33">
                  <c:v>-0,215640104</c:v>
                </c:pt>
                <c:pt idx="34">
                  <c:v>-0,215640104</c:v>
                </c:pt>
                <c:pt idx="35">
                  <c:v>-0,091834833</c:v>
                </c:pt>
                <c:pt idx="36">
                  <c:v>-0,091834833</c:v>
                </c:pt>
                <c:pt idx="37">
                  <c:v>-0,091834833</c:v>
                </c:pt>
                <c:pt idx="38">
                  <c:v>-0,091834833</c:v>
                </c:pt>
                <c:pt idx="39">
                  <c:v>-0,091834833</c:v>
                </c:pt>
                <c:pt idx="40">
                  <c:v>-0,091834833</c:v>
                </c:pt>
                <c:pt idx="41">
                  <c:v>0,0305734</c:v>
                </c:pt>
                <c:pt idx="42">
                  <c:v>0,0305734</c:v>
                </c:pt>
                <c:pt idx="43">
                  <c:v>0,091834833</c:v>
                </c:pt>
                <c:pt idx="44">
                  <c:v>0,091834833</c:v>
                </c:pt>
                <c:pt idx="45">
                  <c:v>0,153443199</c:v>
                </c:pt>
                <c:pt idx="46">
                  <c:v>0,153443199</c:v>
                </c:pt>
                <c:pt idx="47">
                  <c:v>0,247038991</c:v>
                </c:pt>
                <c:pt idx="48">
                  <c:v>0,247038991</c:v>
                </c:pt>
                <c:pt idx="49">
                  <c:v>0,247038991</c:v>
                </c:pt>
                <c:pt idx="50">
                  <c:v>0,247038991</c:v>
                </c:pt>
                <c:pt idx="51">
                  <c:v>0,37546177</c:v>
                </c:pt>
                <c:pt idx="52">
                  <c:v>0,37546177</c:v>
                </c:pt>
                <c:pt idx="53">
                  <c:v>0,37546177</c:v>
                </c:pt>
                <c:pt idx="54">
                  <c:v>0,37546177</c:v>
                </c:pt>
                <c:pt idx="55">
                  <c:v>0,47589899</c:v>
                </c:pt>
                <c:pt idx="56">
                  <c:v>0,47589899</c:v>
                </c:pt>
                <c:pt idx="57">
                  <c:v>0,545563742</c:v>
                </c:pt>
                <c:pt idx="58">
                  <c:v>0,545563742</c:v>
                </c:pt>
                <c:pt idx="59">
                  <c:v>0,655423505</c:v>
                </c:pt>
                <c:pt idx="60">
                  <c:v>0,655423505</c:v>
                </c:pt>
                <c:pt idx="61">
                  <c:v>0,655423505</c:v>
                </c:pt>
                <c:pt idx="62">
                  <c:v>0,655423505</c:v>
                </c:pt>
                <c:pt idx="63">
                  <c:v>0,773841732</c:v>
                </c:pt>
                <c:pt idx="64">
                  <c:v>0,773841732</c:v>
                </c:pt>
                <c:pt idx="65">
                  <c:v>0,85917513</c:v>
                </c:pt>
                <c:pt idx="66">
                  <c:v>0,85917513</c:v>
                </c:pt>
                <c:pt idx="67">
                  <c:v>0,951277719</c:v>
                </c:pt>
                <c:pt idx="68">
                  <c:v>0,951277719</c:v>
                </c:pt>
                <c:pt idx="69">
                  <c:v>1,052254226</c:v>
                </c:pt>
                <c:pt idx="70">
                  <c:v>1,052254226</c:v>
                </c:pt>
                <c:pt idx="71">
                  <c:v>1,16528799</c:v>
                </c:pt>
                <c:pt idx="72">
                  <c:v>1,16528799</c:v>
                </c:pt>
                <c:pt idx="73">
                  <c:v>1,295574987</c:v>
                </c:pt>
                <c:pt idx="74">
                  <c:v>1,295574987</c:v>
                </c:pt>
                <c:pt idx="75">
                  <c:v>1,452576181</c:v>
                </c:pt>
                <c:pt idx="76">
                  <c:v>1,452576181</c:v>
                </c:pt>
                <c:pt idx="77">
                  <c:v>1,656794766</c:v>
                </c:pt>
                <c:pt idx="78">
                  <c:v>1,656794766</c:v>
                </c:pt>
                <c:pt idx="79">
                  <c:v>1,970505303</c:v>
                </c:pt>
                <c:pt idx="80">
                  <c:v>1,970505303</c:v>
                </c:pt>
                <c:pt idx="81">
                  <c:v>2,506447346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Arkusz3!$M$2:$M$83</c:f>
              <c:numCache>
                <c:formatCode>General</c:formatCode>
                <c:ptCount val="82"/>
                <c:pt idx="0">
                  <c:v>-2.5064473464808872</c:v>
                </c:pt>
                <c:pt idx="1">
                  <c:v>-1.9705053031703286</c:v>
                </c:pt>
                <c:pt idx="2">
                  <c:v>-1.9705053031703286</c:v>
                </c:pt>
                <c:pt idx="3">
                  <c:v>-1.6567947658159807</c:v>
                </c:pt>
                <c:pt idx="4">
                  <c:v>-1.6567947658159807</c:v>
                </c:pt>
                <c:pt idx="5">
                  <c:v>-1.4525761808120043</c:v>
                </c:pt>
                <c:pt idx="6">
                  <c:v>-1.4525761808120043</c:v>
                </c:pt>
                <c:pt idx="7">
                  <c:v>-1.2955749870976874</c:v>
                </c:pt>
                <c:pt idx="8">
                  <c:v>-1.2955749870976874</c:v>
                </c:pt>
                <c:pt idx="9">
                  <c:v>-1.1652879896966826</c:v>
                </c:pt>
                <c:pt idx="10">
                  <c:v>-1.1652879896966826</c:v>
                </c:pt>
                <c:pt idx="11">
                  <c:v>-1.0522542255562288</c:v>
                </c:pt>
                <c:pt idx="12">
                  <c:v>-1.0522542255562288</c:v>
                </c:pt>
                <c:pt idx="13">
                  <c:v>-0.95127771872909239</c:v>
                </c:pt>
                <c:pt idx="14">
                  <c:v>-0.95127771872909239</c:v>
                </c:pt>
                <c:pt idx="15">
                  <c:v>-0.85917512959584974</c:v>
                </c:pt>
                <c:pt idx="16">
                  <c:v>-0.85917512959584974</c:v>
                </c:pt>
                <c:pt idx="17">
                  <c:v>-0.73323578318551175</c:v>
                </c:pt>
                <c:pt idx="18">
                  <c:v>-0.73323578318551175</c:v>
                </c:pt>
                <c:pt idx="19">
                  <c:v>-0.73323578318551175</c:v>
                </c:pt>
                <c:pt idx="20">
                  <c:v>-0.73323578318551175</c:v>
                </c:pt>
                <c:pt idx="21">
                  <c:v>-0.6179847884685038</c:v>
                </c:pt>
                <c:pt idx="22">
                  <c:v>-0.6179847884685038</c:v>
                </c:pt>
                <c:pt idx="23">
                  <c:v>-0.51042164266321888</c:v>
                </c:pt>
                <c:pt idx="24">
                  <c:v>-0.51042164266321888</c:v>
                </c:pt>
                <c:pt idx="25">
                  <c:v>-0.51042164266321888</c:v>
                </c:pt>
                <c:pt idx="26">
                  <c:v>-0.51042164266321888</c:v>
                </c:pt>
                <c:pt idx="27">
                  <c:v>-0.40847248197412372</c:v>
                </c:pt>
                <c:pt idx="28">
                  <c:v>-0.40847248197412372</c:v>
                </c:pt>
                <c:pt idx="29">
                  <c:v>-0.31060942538225567</c:v>
                </c:pt>
                <c:pt idx="30">
                  <c:v>-0.31060942538225567</c:v>
                </c:pt>
                <c:pt idx="31">
                  <c:v>-0.31060942538225567</c:v>
                </c:pt>
                <c:pt idx="32">
                  <c:v>-0.31060942538225567</c:v>
                </c:pt>
                <c:pt idx="33">
                  <c:v>-0.21564010401258188</c:v>
                </c:pt>
                <c:pt idx="34">
                  <c:v>-0.21564010401258188</c:v>
                </c:pt>
                <c:pt idx="35">
                  <c:v>-9.1834832954222234E-2</c:v>
                </c:pt>
                <c:pt idx="36">
                  <c:v>-9.1834832954222234E-2</c:v>
                </c:pt>
                <c:pt idx="37">
                  <c:v>-9.1834832954222234E-2</c:v>
                </c:pt>
                <c:pt idx="38">
                  <c:v>-9.1834832954222234E-2</c:v>
                </c:pt>
                <c:pt idx="39">
                  <c:v>-9.1834832954222234E-2</c:v>
                </c:pt>
                <c:pt idx="40">
                  <c:v>-9.1834832954222234E-2</c:v>
                </c:pt>
                <c:pt idx="41">
                  <c:v>3.0573399820906299E-2</c:v>
                </c:pt>
                <c:pt idx="42">
                  <c:v>3.0573399820906299E-2</c:v>
                </c:pt>
                <c:pt idx="43">
                  <c:v>9.1834832954222387E-2</c:v>
                </c:pt>
                <c:pt idx="44">
                  <c:v>9.1834832954222387E-2</c:v>
                </c:pt>
                <c:pt idx="45">
                  <c:v>0.15344319882333449</c:v>
                </c:pt>
                <c:pt idx="46">
                  <c:v>0.15344319882333449</c:v>
                </c:pt>
                <c:pt idx="47">
                  <c:v>0.2470389907389772</c:v>
                </c:pt>
                <c:pt idx="48">
                  <c:v>0.2470389907389772</c:v>
                </c:pt>
                <c:pt idx="49">
                  <c:v>0.2470389907389772</c:v>
                </c:pt>
                <c:pt idx="50">
                  <c:v>0.2470389907389772</c:v>
                </c:pt>
                <c:pt idx="51">
                  <c:v>0.37546177023551847</c:v>
                </c:pt>
                <c:pt idx="52">
                  <c:v>0.37546177023551847</c:v>
                </c:pt>
                <c:pt idx="53">
                  <c:v>0.37546177023551847</c:v>
                </c:pt>
                <c:pt idx="54">
                  <c:v>0.37546177023551847</c:v>
                </c:pt>
                <c:pt idx="55">
                  <c:v>0.47589899043667905</c:v>
                </c:pt>
                <c:pt idx="56">
                  <c:v>0.47589899043667905</c:v>
                </c:pt>
                <c:pt idx="57">
                  <c:v>0.54556374182259537</c:v>
                </c:pt>
                <c:pt idx="58">
                  <c:v>0.54556374182259537</c:v>
                </c:pt>
                <c:pt idx="59">
                  <c:v>0.65542350523442661</c:v>
                </c:pt>
                <c:pt idx="60">
                  <c:v>0.65542350523442661</c:v>
                </c:pt>
                <c:pt idx="61">
                  <c:v>0.65542350523442661</c:v>
                </c:pt>
                <c:pt idx="62">
                  <c:v>0.65542350523442661</c:v>
                </c:pt>
                <c:pt idx="63">
                  <c:v>0.77384173233725317</c:v>
                </c:pt>
                <c:pt idx="64">
                  <c:v>0.77384173233725317</c:v>
                </c:pt>
                <c:pt idx="65">
                  <c:v>0.85917512959585085</c:v>
                </c:pt>
                <c:pt idx="66">
                  <c:v>0.85917512959585085</c:v>
                </c:pt>
                <c:pt idx="67">
                  <c:v>0.95127771872909239</c:v>
                </c:pt>
                <c:pt idx="68">
                  <c:v>0.95127771872909239</c:v>
                </c:pt>
                <c:pt idx="69">
                  <c:v>1.0522542255562288</c:v>
                </c:pt>
                <c:pt idx="70">
                  <c:v>1.0522542255562288</c:v>
                </c:pt>
                <c:pt idx="71">
                  <c:v>1.1652879896966826</c:v>
                </c:pt>
                <c:pt idx="72">
                  <c:v>1.1652879896966826</c:v>
                </c:pt>
                <c:pt idx="73">
                  <c:v>1.2955749870976874</c:v>
                </c:pt>
                <c:pt idx="74">
                  <c:v>1.2955749870976874</c:v>
                </c:pt>
                <c:pt idx="75">
                  <c:v>1.4525761808120046</c:v>
                </c:pt>
                <c:pt idx="76">
                  <c:v>1.4525761808120046</c:v>
                </c:pt>
                <c:pt idx="77">
                  <c:v>1.6567947658159803</c:v>
                </c:pt>
                <c:pt idx="78">
                  <c:v>1.6567947658159803</c:v>
                </c:pt>
                <c:pt idx="79">
                  <c:v>1.9705053031703283</c:v>
                </c:pt>
                <c:pt idx="80">
                  <c:v>1.9705053031703283</c:v>
                </c:pt>
                <c:pt idx="81">
                  <c:v>2.5064473464808863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3218-4FD8-8F01-179209FC4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640280"/>
        <c:axId val="536640608"/>
      </c:scatterChart>
      <c:valAx>
        <c:axId val="536640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6640608"/>
        <c:crosses val="autoZero"/>
        <c:crossBetween val="midCat"/>
      </c:valAx>
      <c:valAx>
        <c:axId val="53664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6640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83820</xdr:colOff>
      <xdr:row>4</xdr:row>
      <xdr:rowOff>3810</xdr:rowOff>
    </xdr:from>
    <xdr:to>
      <xdr:col>26</xdr:col>
      <xdr:colOff>114300</xdr:colOff>
      <xdr:row>21</xdr:row>
      <xdr:rowOff>38100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CA0328D6-20A2-4EBF-AD6F-270445E6D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541020</xdr:colOff>
      <xdr:row>3</xdr:row>
      <xdr:rowOff>140970</xdr:rowOff>
    </xdr:from>
    <xdr:to>
      <xdr:col>17</xdr:col>
      <xdr:colOff>1463040</xdr:colOff>
      <xdr:row>21</xdr:row>
      <xdr:rowOff>22860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A2EF3D6F-F410-49C6-8D94-079AAAAFC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125730</xdr:colOff>
      <xdr:row>0</xdr:row>
      <xdr:rowOff>140970</xdr:rowOff>
    </xdr:from>
    <xdr:to>
      <xdr:col>21</xdr:col>
      <xdr:colOff>430530</xdr:colOff>
      <xdr:row>15</xdr:row>
      <xdr:rowOff>140970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9EF3DFD-AB06-47EE-8ACD-2C5CDE5DD0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579120</xdr:colOff>
      <xdr:row>17</xdr:row>
      <xdr:rowOff>163830</xdr:rowOff>
    </xdr:from>
    <xdr:to>
      <xdr:col>22</xdr:col>
      <xdr:colOff>274320</xdr:colOff>
      <xdr:row>32</xdr:row>
      <xdr:rowOff>163830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4CE05F42-338C-4DFB-B01F-E07003D51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39.338743402775" createdVersion="7" refreshedVersion="7" minRefreshableVersion="3" recordCount="399" xr:uid="{26BBAD5F-7A73-4618-9361-4CE6D194492B}">
  <cacheSource type="worksheet">
    <worksheetSource ref="C1:C400" sheet="Arkusz1"/>
  </cacheSource>
  <cacheFields count="1">
    <cacheField name="Wzrost" numFmtId="0">
      <sharedItems containsSemiMixedTypes="0" containsString="0" containsNumber="1" containsInteger="1" minValue="126" maxValue="239" count="85">
        <n v="184"/>
        <n v="180"/>
        <n v="202"/>
        <n v="174"/>
        <n v="203"/>
        <n v="176"/>
        <n v="151"/>
        <n v="163"/>
        <n v="167"/>
        <n v="193"/>
        <n v="195"/>
        <n v="189"/>
        <n v="166"/>
        <n v="169"/>
        <n v="171"/>
        <n v="213"/>
        <n v="177"/>
        <n v="152"/>
        <n v="170"/>
        <n v="175"/>
        <n v="178"/>
        <n v="156"/>
        <n v="214"/>
        <n v="179"/>
        <n v="185"/>
        <n v="194"/>
        <n v="149"/>
        <n v="161"/>
        <n v="187"/>
        <n v="172"/>
        <n v="200"/>
        <n v="190"/>
        <n v="154"/>
        <n v="181"/>
        <n v="197"/>
        <n v="155"/>
        <n v="153"/>
        <n v="216"/>
        <n v="159"/>
        <n v="182"/>
        <n v="150"/>
        <n v="220"/>
        <n v="138"/>
        <n v="173"/>
        <n v="188"/>
        <n v="168"/>
        <n v="140"/>
        <n v="158"/>
        <n v="135"/>
        <n v="196"/>
        <n v="144"/>
        <n v="165"/>
        <n v="183"/>
        <n v="191"/>
        <n v="239"/>
        <n v="162"/>
        <n v="192"/>
        <n v="164"/>
        <n v="211"/>
        <n v="198"/>
        <n v="206"/>
        <n v="146"/>
        <n v="204"/>
        <n v="147"/>
        <n v="186"/>
        <n v="142"/>
        <n v="139"/>
        <n v="222"/>
        <n v="201"/>
        <n v="207"/>
        <n v="217"/>
        <n v="132"/>
        <n v="157"/>
        <n v="143"/>
        <n v="199"/>
        <n v="126"/>
        <n v="145"/>
        <n v="209"/>
        <n v="160"/>
        <n v="215"/>
        <n v="148"/>
        <n v="219"/>
        <n v="210"/>
        <n v="205"/>
        <n v="137"/>
      </sharedItems>
      <fieldGroup base="0">
        <rangePr autoStart="0" autoEnd="0" startNum="119.72222222222223" endNum="239" groupInterval="12.555555555555555"/>
        <groupItems count="12">
          <s v="&lt;119,722222222222"/>
          <s v="119,722222222222-132,277777777778"/>
          <s v="132,277777777778-144,833333333333"/>
          <s v="144,833333333333-157,388888888889"/>
          <s v="157,388888888889-169,944444444444"/>
          <s v="169,944444444444-182,5"/>
          <s v="182,5-195,055555555556"/>
          <s v="195,055555555556-207,611111111111"/>
          <s v="207,611111111111-220,166666666667"/>
          <s v="220,166666666667-232,722222222222"/>
          <s v="232,722222222222-245,277777777778"/>
          <s v="&gt;245,27777777777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3"/>
  </r>
  <r>
    <x v="11"/>
  </r>
  <r>
    <x v="12"/>
  </r>
  <r>
    <x v="13"/>
  </r>
  <r>
    <x v="1"/>
  </r>
  <r>
    <x v="14"/>
  </r>
  <r>
    <x v="15"/>
  </r>
  <r>
    <x v="16"/>
  </r>
  <r>
    <x v="13"/>
  </r>
  <r>
    <x v="5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14"/>
  </r>
  <r>
    <x v="11"/>
  </r>
  <r>
    <x v="26"/>
  </r>
  <r>
    <x v="27"/>
  </r>
  <r>
    <x v="28"/>
  </r>
  <r>
    <x v="29"/>
  </r>
  <r>
    <x v="0"/>
  </r>
  <r>
    <x v="30"/>
  </r>
  <r>
    <x v="5"/>
  </r>
  <r>
    <x v="31"/>
  </r>
  <r>
    <x v="16"/>
  </r>
  <r>
    <x v="11"/>
  </r>
  <r>
    <x v="32"/>
  </r>
  <r>
    <x v="33"/>
  </r>
  <r>
    <x v="34"/>
  </r>
  <r>
    <x v="19"/>
  </r>
  <r>
    <x v="29"/>
  </r>
  <r>
    <x v="19"/>
  </r>
  <r>
    <x v="3"/>
  </r>
  <r>
    <x v="35"/>
  </r>
  <r>
    <x v="1"/>
  </r>
  <r>
    <x v="36"/>
  </r>
  <r>
    <x v="20"/>
  </r>
  <r>
    <x v="9"/>
  </r>
  <r>
    <x v="37"/>
  </r>
  <r>
    <x v="38"/>
  </r>
  <r>
    <x v="32"/>
  </r>
  <r>
    <x v="39"/>
  </r>
  <r>
    <x v="12"/>
  </r>
  <r>
    <x v="34"/>
  </r>
  <r>
    <x v="38"/>
  </r>
  <r>
    <x v="20"/>
  </r>
  <r>
    <x v="40"/>
  </r>
  <r>
    <x v="20"/>
  </r>
  <r>
    <x v="3"/>
  </r>
  <r>
    <x v="10"/>
  </r>
  <r>
    <x v="36"/>
  </r>
  <r>
    <x v="41"/>
  </r>
  <r>
    <x v="10"/>
  </r>
  <r>
    <x v="42"/>
  </r>
  <r>
    <x v="43"/>
  </r>
  <r>
    <x v="6"/>
  </r>
  <r>
    <x v="3"/>
  </r>
  <r>
    <x v="20"/>
  </r>
  <r>
    <x v="44"/>
  </r>
  <r>
    <x v="28"/>
  </r>
  <r>
    <x v="32"/>
  </r>
  <r>
    <x v="20"/>
  </r>
  <r>
    <x v="45"/>
  </r>
  <r>
    <x v="46"/>
  </r>
  <r>
    <x v="14"/>
  </r>
  <r>
    <x v="47"/>
  </r>
  <r>
    <x v="44"/>
  </r>
  <r>
    <x v="48"/>
  </r>
  <r>
    <x v="49"/>
  </r>
  <r>
    <x v="50"/>
  </r>
  <r>
    <x v="0"/>
  </r>
  <r>
    <x v="12"/>
  </r>
  <r>
    <x v="30"/>
  </r>
  <r>
    <x v="51"/>
  </r>
  <r>
    <x v="52"/>
  </r>
  <r>
    <x v="18"/>
  </r>
  <r>
    <x v="51"/>
  </r>
  <r>
    <x v="28"/>
  </r>
  <r>
    <x v="27"/>
  </r>
  <r>
    <x v="33"/>
  </r>
  <r>
    <x v="23"/>
  </r>
  <r>
    <x v="51"/>
  </r>
  <r>
    <x v="36"/>
  </r>
  <r>
    <x v="27"/>
  </r>
  <r>
    <x v="35"/>
  </r>
  <r>
    <x v="52"/>
  </r>
  <r>
    <x v="53"/>
  </r>
  <r>
    <x v="43"/>
  </r>
  <r>
    <x v="18"/>
  </r>
  <r>
    <x v="19"/>
  </r>
  <r>
    <x v="52"/>
  </r>
  <r>
    <x v="54"/>
  </r>
  <r>
    <x v="48"/>
  </r>
  <r>
    <x v="11"/>
  </r>
  <r>
    <x v="26"/>
  </r>
  <r>
    <x v="28"/>
  </r>
  <r>
    <x v="51"/>
  </r>
  <r>
    <x v="55"/>
  </r>
  <r>
    <x v="34"/>
  </r>
  <r>
    <x v="33"/>
  </r>
  <r>
    <x v="39"/>
  </r>
  <r>
    <x v="29"/>
  </r>
  <r>
    <x v="39"/>
  </r>
  <r>
    <x v="56"/>
  </r>
  <r>
    <x v="57"/>
  </r>
  <r>
    <x v="57"/>
  </r>
  <r>
    <x v="35"/>
  </r>
  <r>
    <x v="53"/>
  </r>
  <r>
    <x v="19"/>
  </r>
  <r>
    <x v="26"/>
  </r>
  <r>
    <x v="20"/>
  </r>
  <r>
    <x v="11"/>
  </r>
  <r>
    <x v="58"/>
  </r>
  <r>
    <x v="59"/>
  </r>
  <r>
    <x v="60"/>
  </r>
  <r>
    <x v="44"/>
  </r>
  <r>
    <x v="5"/>
  </r>
  <r>
    <x v="52"/>
  </r>
  <r>
    <x v="56"/>
  </r>
  <r>
    <x v="57"/>
  </r>
  <r>
    <x v="61"/>
  </r>
  <r>
    <x v="11"/>
  </r>
  <r>
    <x v="52"/>
  </r>
  <r>
    <x v="62"/>
  </r>
  <r>
    <x v="5"/>
  </r>
  <r>
    <x v="45"/>
  </r>
  <r>
    <x v="52"/>
  </r>
  <r>
    <x v="2"/>
  </r>
  <r>
    <x v="13"/>
  </r>
  <r>
    <x v="53"/>
  </r>
  <r>
    <x v="30"/>
  </r>
  <r>
    <x v="43"/>
  </r>
  <r>
    <x v="47"/>
  </r>
  <r>
    <x v="27"/>
  </r>
  <r>
    <x v="63"/>
  </r>
  <r>
    <x v="2"/>
  </r>
  <r>
    <x v="31"/>
  </r>
  <r>
    <x v="35"/>
  </r>
  <r>
    <x v="31"/>
  </r>
  <r>
    <x v="25"/>
  </r>
  <r>
    <x v="24"/>
  </r>
  <r>
    <x v="28"/>
  </r>
  <r>
    <x v="20"/>
  </r>
  <r>
    <x v="51"/>
  </r>
  <r>
    <x v="39"/>
  </r>
  <r>
    <x v="13"/>
  </r>
  <r>
    <x v="28"/>
  </r>
  <r>
    <x v="36"/>
  </r>
  <r>
    <x v="14"/>
  </r>
  <r>
    <x v="43"/>
  </r>
  <r>
    <x v="8"/>
  </r>
  <r>
    <x v="8"/>
  </r>
  <r>
    <x v="64"/>
  </r>
  <r>
    <x v="36"/>
  </r>
  <r>
    <x v="65"/>
  </r>
  <r>
    <x v="45"/>
  </r>
  <r>
    <x v="32"/>
  </r>
  <r>
    <x v="24"/>
  </r>
  <r>
    <x v="3"/>
  </r>
  <r>
    <x v="5"/>
  </r>
  <r>
    <x v="14"/>
  </r>
  <r>
    <x v="24"/>
  </r>
  <r>
    <x v="44"/>
  </r>
  <r>
    <x v="32"/>
  </r>
  <r>
    <x v="57"/>
  </r>
  <r>
    <x v="19"/>
  </r>
  <r>
    <x v="66"/>
  </r>
  <r>
    <x v="9"/>
  </r>
  <r>
    <x v="55"/>
  </r>
  <r>
    <x v="20"/>
  </r>
  <r>
    <x v="40"/>
  </r>
  <r>
    <x v="67"/>
  </r>
  <r>
    <x v="14"/>
  </r>
  <r>
    <x v="52"/>
  </r>
  <r>
    <x v="45"/>
  </r>
  <r>
    <x v="35"/>
  </r>
  <r>
    <x v="52"/>
  </r>
  <r>
    <x v="19"/>
  </r>
  <r>
    <x v="2"/>
  </r>
  <r>
    <x v="31"/>
  </r>
  <r>
    <x v="57"/>
  </r>
  <r>
    <x v="38"/>
  </r>
  <r>
    <x v="4"/>
  </r>
  <r>
    <x v="11"/>
  </r>
  <r>
    <x v="11"/>
  </r>
  <r>
    <x v="55"/>
  </r>
  <r>
    <x v="43"/>
  </r>
  <r>
    <x v="28"/>
  </r>
  <r>
    <x v="64"/>
  </r>
  <r>
    <x v="64"/>
  </r>
  <r>
    <x v="9"/>
  </r>
  <r>
    <x v="36"/>
  </r>
  <r>
    <x v="5"/>
  </r>
  <r>
    <x v="11"/>
  </r>
  <r>
    <x v="51"/>
  </r>
  <r>
    <x v="1"/>
  </r>
  <r>
    <x v="28"/>
  </r>
  <r>
    <x v="49"/>
  </r>
  <r>
    <x v="3"/>
  </r>
  <r>
    <x v="68"/>
  </r>
  <r>
    <x v="64"/>
  </r>
  <r>
    <x v="11"/>
  </r>
  <r>
    <x v="3"/>
  </r>
  <r>
    <x v="40"/>
  </r>
  <r>
    <x v="12"/>
  </r>
  <r>
    <x v="27"/>
  </r>
  <r>
    <x v="14"/>
  </r>
  <r>
    <x v="64"/>
  </r>
  <r>
    <x v="57"/>
  </r>
  <r>
    <x v="19"/>
  </r>
  <r>
    <x v="6"/>
  </r>
  <r>
    <x v="47"/>
  </r>
  <r>
    <x v="55"/>
  </r>
  <r>
    <x v="6"/>
  </r>
  <r>
    <x v="29"/>
  </r>
  <r>
    <x v="56"/>
  </r>
  <r>
    <x v="5"/>
  </r>
  <r>
    <x v="21"/>
  </r>
  <r>
    <x v="28"/>
  </r>
  <r>
    <x v="27"/>
  </r>
  <r>
    <x v="27"/>
  </r>
  <r>
    <x v="64"/>
  </r>
  <r>
    <x v="53"/>
  </r>
  <r>
    <x v="8"/>
  </r>
  <r>
    <x v="32"/>
  </r>
  <r>
    <x v="18"/>
  </r>
  <r>
    <x v="24"/>
  </r>
  <r>
    <x v="31"/>
  </r>
  <r>
    <x v="11"/>
  </r>
  <r>
    <x v="25"/>
  </r>
  <r>
    <x v="69"/>
  </r>
  <r>
    <x v="44"/>
  </r>
  <r>
    <x v="49"/>
  </r>
  <r>
    <x v="23"/>
  </r>
  <r>
    <x v="14"/>
  </r>
  <r>
    <x v="55"/>
  </r>
  <r>
    <x v="52"/>
  </r>
  <r>
    <x v="11"/>
  </r>
  <r>
    <x v="52"/>
  </r>
  <r>
    <x v="51"/>
  </r>
  <r>
    <x v="16"/>
  </r>
  <r>
    <x v="25"/>
  </r>
  <r>
    <x v="44"/>
  </r>
  <r>
    <x v="52"/>
  </r>
  <r>
    <x v="55"/>
  </r>
  <r>
    <x v="18"/>
  </r>
  <r>
    <x v="43"/>
  </r>
  <r>
    <x v="38"/>
  </r>
  <r>
    <x v="20"/>
  </r>
  <r>
    <x v="51"/>
  </r>
  <r>
    <x v="16"/>
  </r>
  <r>
    <x v="45"/>
  </r>
  <r>
    <x v="29"/>
  </r>
  <r>
    <x v="64"/>
  </r>
  <r>
    <x v="70"/>
  </r>
  <r>
    <x v="52"/>
  </r>
  <r>
    <x v="0"/>
  </r>
  <r>
    <x v="62"/>
  </r>
  <r>
    <x v="31"/>
  </r>
  <r>
    <x v="24"/>
  </r>
  <r>
    <x v="55"/>
  </r>
  <r>
    <x v="34"/>
  </r>
  <r>
    <x v="71"/>
  </r>
  <r>
    <x v="72"/>
  </r>
  <r>
    <x v="7"/>
  </r>
  <r>
    <x v="60"/>
  </r>
  <r>
    <x v="19"/>
  </r>
  <r>
    <x v="18"/>
  </r>
  <r>
    <x v="16"/>
  </r>
  <r>
    <x v="27"/>
  </r>
  <r>
    <x v="19"/>
  </r>
  <r>
    <x v="73"/>
  </r>
  <r>
    <x v="24"/>
  </r>
  <r>
    <x v="12"/>
  </r>
  <r>
    <x v="74"/>
  </r>
  <r>
    <x v="0"/>
  </r>
  <r>
    <x v="26"/>
  </r>
  <r>
    <x v="7"/>
  </r>
  <r>
    <x v="3"/>
  </r>
  <r>
    <x v="45"/>
  </r>
  <r>
    <x v="4"/>
  </r>
  <r>
    <x v="28"/>
  </r>
  <r>
    <x v="28"/>
  </r>
  <r>
    <x v="56"/>
  </r>
  <r>
    <x v="7"/>
  </r>
  <r>
    <x v="28"/>
  </r>
  <r>
    <x v="38"/>
  </r>
  <r>
    <x v="5"/>
  </r>
  <r>
    <x v="38"/>
  </r>
  <r>
    <x v="33"/>
  </r>
  <r>
    <x v="24"/>
  </r>
  <r>
    <x v="9"/>
  </r>
  <r>
    <x v="24"/>
  </r>
  <r>
    <x v="38"/>
  </r>
  <r>
    <x v="23"/>
  </r>
  <r>
    <x v="24"/>
  </r>
  <r>
    <x v="44"/>
  </r>
  <r>
    <x v="14"/>
  </r>
  <r>
    <x v="31"/>
  </r>
  <r>
    <x v="3"/>
  </r>
  <r>
    <x v="51"/>
  </r>
  <r>
    <x v="30"/>
  </r>
  <r>
    <x v="72"/>
  </r>
  <r>
    <x v="19"/>
  </r>
  <r>
    <x v="47"/>
  </r>
  <r>
    <x v="64"/>
  </r>
  <r>
    <x v="24"/>
  </r>
  <r>
    <x v="43"/>
  </r>
  <r>
    <x v="5"/>
  </r>
  <r>
    <x v="18"/>
  </r>
  <r>
    <x v="75"/>
  </r>
  <r>
    <x v="28"/>
  </r>
  <r>
    <x v="52"/>
  </r>
  <r>
    <x v="1"/>
  </r>
  <r>
    <x v="76"/>
  </r>
  <r>
    <x v="27"/>
  </r>
  <r>
    <x v="19"/>
  </r>
  <r>
    <x v="52"/>
  </r>
  <r>
    <x v="36"/>
  </r>
  <r>
    <x v="5"/>
  </r>
  <r>
    <x v="74"/>
  </r>
  <r>
    <x v="43"/>
  </r>
  <r>
    <x v="77"/>
  </r>
  <r>
    <x v="11"/>
  </r>
  <r>
    <x v="72"/>
  </r>
  <r>
    <x v="19"/>
  </r>
  <r>
    <x v="64"/>
  </r>
  <r>
    <x v="45"/>
  </r>
  <r>
    <x v="62"/>
  </r>
  <r>
    <x v="3"/>
  </r>
  <r>
    <x v="57"/>
  </r>
  <r>
    <x v="78"/>
  </r>
  <r>
    <x v="68"/>
  </r>
  <r>
    <x v="45"/>
  </r>
  <r>
    <x v="51"/>
  </r>
  <r>
    <x v="33"/>
  </r>
  <r>
    <x v="24"/>
  </r>
  <r>
    <x v="21"/>
  </r>
  <r>
    <x v="0"/>
  </r>
  <r>
    <x v="55"/>
  </r>
  <r>
    <x v="79"/>
  </r>
  <r>
    <x v="80"/>
  </r>
  <r>
    <x v="30"/>
  </r>
  <r>
    <x v="68"/>
  </r>
  <r>
    <x v="81"/>
  </r>
  <r>
    <x v="29"/>
  </r>
  <r>
    <x v="56"/>
  </r>
  <r>
    <x v="43"/>
  </r>
  <r>
    <x v="0"/>
  </r>
  <r>
    <x v="62"/>
  </r>
  <r>
    <x v="52"/>
  </r>
  <r>
    <x v="14"/>
  </r>
  <r>
    <x v="29"/>
  </r>
  <r>
    <x v="24"/>
  </r>
  <r>
    <x v="19"/>
  </r>
  <r>
    <x v="28"/>
  </r>
  <r>
    <x v="51"/>
  </r>
  <r>
    <x v="3"/>
  </r>
  <r>
    <x v="11"/>
  </r>
  <r>
    <x v="49"/>
  </r>
  <r>
    <x v="6"/>
  </r>
  <r>
    <x v="7"/>
  </r>
  <r>
    <x v="11"/>
  </r>
  <r>
    <x v="17"/>
  </r>
  <r>
    <x v="11"/>
  </r>
  <r>
    <x v="31"/>
  </r>
  <r>
    <x v="24"/>
  </r>
  <r>
    <x v="12"/>
  </r>
  <r>
    <x v="24"/>
  </r>
  <r>
    <x v="53"/>
  </r>
  <r>
    <x v="39"/>
  </r>
  <r>
    <x v="12"/>
  </r>
  <r>
    <x v="49"/>
  </r>
  <r>
    <x v="38"/>
  </r>
  <r>
    <x v="24"/>
  </r>
  <r>
    <x v="65"/>
  </r>
  <r>
    <x v="19"/>
  </r>
  <r>
    <x v="35"/>
  </r>
  <r>
    <x v="82"/>
  </r>
  <r>
    <x v="83"/>
  </r>
  <r>
    <x v="28"/>
  </r>
  <r>
    <x v="5"/>
  </r>
  <r>
    <x v="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179AB6-DE13-49CD-8575-C80E7C7FF819}" name="Tabela przestawna1" cacheId="1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A3:B14" firstHeaderRow="1" firstDataRow="1" firstDataCol="1"/>
  <pivotFields count="1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0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a z Wzrost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8EF2-5DAC-44B1-8A6B-F578D1320728}">
  <sheetPr codeName="Arkusz1"/>
  <dimension ref="A1:Z400"/>
  <sheetViews>
    <sheetView topLeftCell="F1" workbookViewId="0">
      <selection activeCell="E13" sqref="E13"/>
    </sheetView>
  </sheetViews>
  <sheetFormatPr defaultRowHeight="14.4" x14ac:dyDescent="0.3"/>
  <cols>
    <col min="2" max="2" width="12" bestFit="1" customWidth="1"/>
    <col min="4" max="4" width="10.5546875" bestFit="1" customWidth="1"/>
    <col min="5" max="5" width="9.109375" bestFit="1" customWidth="1"/>
    <col min="7" max="7" width="12" bestFit="1" customWidth="1"/>
    <col min="12" max="12" width="9.109375" bestFit="1" customWidth="1"/>
    <col min="13" max="13" width="15.6640625" bestFit="1" customWidth="1"/>
    <col min="15" max="15" width="13.6640625" bestFit="1" customWidth="1"/>
    <col min="18" max="18" width="22.109375" bestFit="1" customWidth="1"/>
    <col min="22" max="22" width="17" customWidth="1"/>
    <col min="24" max="24" width="10" bestFit="1" customWidth="1"/>
    <col min="25" max="25" width="13.21875" bestFit="1" customWidth="1"/>
  </cols>
  <sheetData>
    <row r="1" spans="1:26" x14ac:dyDescent="0.3">
      <c r="A1" t="s">
        <v>0</v>
      </c>
      <c r="B1" t="s">
        <v>3</v>
      </c>
      <c r="C1" t="s">
        <v>7</v>
      </c>
      <c r="Q1" t="s">
        <v>16</v>
      </c>
      <c r="R1" t="s">
        <v>21</v>
      </c>
      <c r="S1" t="s">
        <v>22</v>
      </c>
      <c r="V1" t="s">
        <v>23</v>
      </c>
    </row>
    <row r="2" spans="1:26" x14ac:dyDescent="0.3">
      <c r="A2">
        <v>0.65163978427901248</v>
      </c>
      <c r="B2">
        <v>184.01552405603667</v>
      </c>
      <c r="C2">
        <f>INT(B2)</f>
        <v>184</v>
      </c>
      <c r="D2" t="s">
        <v>1</v>
      </c>
      <c r="E2">
        <v>177</v>
      </c>
      <c r="J2" t="s">
        <v>14</v>
      </c>
      <c r="K2" t="s">
        <v>15</v>
      </c>
      <c r="L2" t="s">
        <v>16</v>
      </c>
      <c r="M2" t="s">
        <v>17</v>
      </c>
      <c r="N2" t="s">
        <v>18</v>
      </c>
      <c r="O2" t="s">
        <v>20</v>
      </c>
      <c r="P2" t="s">
        <v>19</v>
      </c>
      <c r="Q2">
        <f>J3</f>
        <v>119.72222222222223</v>
      </c>
      <c r="R2">
        <f>0</f>
        <v>0</v>
      </c>
      <c r="S2">
        <f t="shared" ref="S2:S32" si="0">NORMDIST(Q2,_mi,_sigma,TRUE)</f>
        <v>7.3105974542971366E-4</v>
      </c>
      <c r="V2" t="s">
        <v>28</v>
      </c>
      <c r="W2" t="s">
        <v>24</v>
      </c>
      <c r="X2" t="s">
        <v>25</v>
      </c>
      <c r="Y2" t="s">
        <v>29</v>
      </c>
      <c r="Z2" t="s">
        <v>26</v>
      </c>
    </row>
    <row r="3" spans="1:26" x14ac:dyDescent="0.3">
      <c r="A3">
        <v>0.56894675964034302</v>
      </c>
      <c r="B3">
        <v>180.12647991745496</v>
      </c>
      <c r="C3">
        <f t="shared" ref="C3:C66" si="1">INT(B3)</f>
        <v>180</v>
      </c>
      <c r="D3" t="s">
        <v>2</v>
      </c>
      <c r="E3">
        <v>18</v>
      </c>
      <c r="I3">
        <v>1</v>
      </c>
      <c r="J3">
        <f>E9-(_h/2)</f>
        <v>119.72222222222223</v>
      </c>
      <c r="K3">
        <f>(J3+L3)/2</f>
        <v>126</v>
      </c>
      <c r="L3">
        <f t="shared" ref="L3:L32" si="2">J3+_h</f>
        <v>132.27777777777777</v>
      </c>
      <c r="M3">
        <f>COUNTIF(C:C,"&lt;="&amp;L3)</f>
        <v>2</v>
      </c>
      <c r="N3">
        <f>M3</f>
        <v>2</v>
      </c>
      <c r="O3">
        <f t="shared" ref="O3:O32" si="3">N3/_h/n</f>
        <v>3.9922815889280723E-4</v>
      </c>
      <c r="P3">
        <f t="shared" ref="P3:P32" si="4">NORMDIST(K3,_mi,_sigma,FALSE)</f>
        <v>4.003388758116235E-4</v>
      </c>
      <c r="Q3">
        <f>L3</f>
        <v>132.27777777777777</v>
      </c>
      <c r="R3">
        <f t="shared" ref="R3:R32" si="5">M3/n</f>
        <v>5.0125313283208017E-3</v>
      </c>
      <c r="S3">
        <f t="shared" si="0"/>
        <v>6.4854384428150048E-3</v>
      </c>
      <c r="U3">
        <v>1</v>
      </c>
      <c r="V3">
        <f>0.67</f>
        <v>0.67</v>
      </c>
      <c r="W3">
        <f>J3</f>
        <v>119.72222222222223</v>
      </c>
      <c r="X3" s="1" cm="1">
        <f t="array" ref="X3">GNorm(W3)</f>
        <v>1.4023561753597134E-4</v>
      </c>
      <c r="Y3" s="1">
        <f>0.5</f>
        <v>0.5</v>
      </c>
      <c r="Z3">
        <f t="shared" ref="Z3:Z34" si="6">_xlfn.NORM.DIST(W3,_mi,_sigma,TRUE)</f>
        <v>7.3105974542971366E-4</v>
      </c>
    </row>
    <row r="4" spans="1:26" x14ac:dyDescent="0.3">
      <c r="A4">
        <v>0.92084817808502051</v>
      </c>
      <c r="B4">
        <v>202.39439698973203</v>
      </c>
      <c r="C4">
        <f t="shared" si="1"/>
        <v>202</v>
      </c>
      <c r="I4">
        <v>2</v>
      </c>
      <c r="J4">
        <f>L3</f>
        <v>132.27777777777777</v>
      </c>
      <c r="K4">
        <f t="shared" ref="K4:K32" si="7">(J4+L4)/2</f>
        <v>138.55555555555554</v>
      </c>
      <c r="L4">
        <f t="shared" si="2"/>
        <v>144.83333333333331</v>
      </c>
      <c r="M4">
        <f t="shared" ref="M4:M32" si="8">COUNTIF(C:C,"&lt;="&amp;L4)</f>
        <v>12</v>
      </c>
      <c r="N4">
        <f>M4-M3</f>
        <v>10</v>
      </c>
      <c r="O4">
        <f t="shared" si="3"/>
        <v>1.9961407944640362E-3</v>
      </c>
      <c r="P4">
        <f t="shared" si="4"/>
        <v>2.2650999688032716E-3</v>
      </c>
      <c r="Q4">
        <f t="shared" ref="Q4:Q32" si="9">L4</f>
        <v>144.83333333333331</v>
      </c>
      <c r="R4">
        <f t="shared" si="5"/>
        <v>3.007518796992481E-2</v>
      </c>
      <c r="S4">
        <f t="shared" si="0"/>
        <v>3.6965751326744664E-2</v>
      </c>
      <c r="U4">
        <v>2</v>
      </c>
      <c r="V4">
        <f t="shared" ref="V4:V35" si="10">V3+_k/100</f>
        <v>0.77</v>
      </c>
      <c r="W4">
        <f ca="1">W3+$E$18</f>
        <v>120.97777777777779</v>
      </c>
      <c r="X4" s="1" cm="1">
        <f t="array" aca="1" ref="X4" ca="1">GNorm(W4)</f>
        <v>1.7466196092659004E-4</v>
      </c>
      <c r="Y4" s="1">
        <f t="shared" ref="Y4:Y35" si="11">Y3+(1+_k)/100</f>
        <v>0.61</v>
      </c>
      <c r="Z4">
        <f t="shared" ca="1" si="6"/>
        <v>9.2803512512897902E-4</v>
      </c>
    </row>
    <row r="5" spans="1:26" x14ac:dyDescent="0.3">
      <c r="A5">
        <v>0.43889356591876405</v>
      </c>
      <c r="B5">
        <v>174.23204966621296</v>
      </c>
      <c r="C5">
        <f t="shared" si="1"/>
        <v>174</v>
      </c>
      <c r="D5" t="s">
        <v>4</v>
      </c>
      <c r="E5">
        <f>AVERAGE(B:B)</f>
        <v>177.00521324353019</v>
      </c>
      <c r="G5" t="s">
        <v>8</v>
      </c>
      <c r="H5">
        <f>AVERAGE(C:C)</f>
        <v>176.51378446115288</v>
      </c>
      <c r="I5">
        <v>3</v>
      </c>
      <c r="J5">
        <f t="shared" ref="J5:J32" si="12">L4</f>
        <v>144.83333333333331</v>
      </c>
      <c r="K5">
        <f t="shared" si="7"/>
        <v>151.11111111111109</v>
      </c>
      <c r="L5">
        <f t="shared" si="2"/>
        <v>157.38888888888886</v>
      </c>
      <c r="M5">
        <f t="shared" si="8"/>
        <v>55</v>
      </c>
      <c r="N5">
        <f t="shared" ref="N5:N32" si="13">M5-M4</f>
        <v>43</v>
      </c>
      <c r="O5">
        <f t="shared" si="3"/>
        <v>8.5834054161953565E-3</v>
      </c>
      <c r="P5">
        <f t="shared" si="4"/>
        <v>7.8784594469081277E-3</v>
      </c>
      <c r="Q5">
        <f t="shared" si="9"/>
        <v>157.38888888888886</v>
      </c>
      <c r="R5">
        <f t="shared" si="5"/>
        <v>0.13784461152882205</v>
      </c>
      <c r="S5">
        <f t="shared" si="0"/>
        <v>0.13796536711634697</v>
      </c>
      <c r="U5">
        <v>3</v>
      </c>
      <c r="V5">
        <f t="shared" si="10"/>
        <v>0.87</v>
      </c>
      <c r="W5">
        <f t="shared" ref="W5:W68" ca="1" si="14">W4+$E$18</f>
        <v>122.23333333333335</v>
      </c>
      <c r="X5" s="1" cm="1">
        <f t="array" aca="1" ref="X5" ca="1">GNorm(W5)</f>
        <v>2.1648373651845994E-4</v>
      </c>
      <c r="Y5" s="1">
        <f t="shared" si="11"/>
        <v>0.72</v>
      </c>
      <c r="Z5">
        <f t="shared" ca="1" si="6"/>
        <v>1.17274822956241E-3</v>
      </c>
    </row>
    <row r="6" spans="1:26" x14ac:dyDescent="0.3">
      <c r="A6">
        <v>0.9328288959934693</v>
      </c>
      <c r="B6">
        <v>203.94953200458082</v>
      </c>
      <c r="C6">
        <f t="shared" si="1"/>
        <v>203</v>
      </c>
      <c r="D6" t="s">
        <v>5</v>
      </c>
      <c r="E6">
        <f>_xlfn.STDEV.S(B:B)</f>
        <v>16.996087733153754</v>
      </c>
      <c r="G6" t="s">
        <v>9</v>
      </c>
      <c r="H6">
        <f>_xlfn.STDEV.S(C:C)</f>
        <v>16.993619419314459</v>
      </c>
      <c r="I6">
        <v>4</v>
      </c>
      <c r="J6">
        <f t="shared" si="12"/>
        <v>157.38888888888886</v>
      </c>
      <c r="K6">
        <f t="shared" si="7"/>
        <v>163.66666666666663</v>
      </c>
      <c r="L6">
        <f t="shared" si="2"/>
        <v>169.9444444444444</v>
      </c>
      <c r="M6">
        <f t="shared" si="8"/>
        <v>131</v>
      </c>
      <c r="N6">
        <f t="shared" si="13"/>
        <v>76</v>
      </c>
      <c r="O6">
        <f t="shared" si="3"/>
        <v>1.5170670037926676E-2</v>
      </c>
      <c r="P6">
        <f t="shared" si="4"/>
        <v>1.6845719103572659E-2</v>
      </c>
      <c r="Q6">
        <f t="shared" si="9"/>
        <v>169.9444444444444</v>
      </c>
      <c r="R6">
        <f t="shared" si="5"/>
        <v>0.32832080200501251</v>
      </c>
      <c r="S6">
        <f t="shared" si="0"/>
        <v>0.34753822888771901</v>
      </c>
      <c r="U6">
        <v>4</v>
      </c>
      <c r="V6">
        <f t="shared" si="10"/>
        <v>0.97</v>
      </c>
      <c r="W6">
        <f t="shared" ca="1" si="14"/>
        <v>123.48888888888891</v>
      </c>
      <c r="X6" s="1" cm="1">
        <f t="array" aca="1" ref="X6" ca="1">GNorm(W6)</f>
        <v>2.6701715362749916E-4</v>
      </c>
      <c r="Y6" s="1">
        <f t="shared" si="11"/>
        <v>0.83</v>
      </c>
      <c r="Z6">
        <f t="shared" ca="1" si="6"/>
        <v>1.4752934557023282E-3</v>
      </c>
    </row>
    <row r="7" spans="1:26" x14ac:dyDescent="0.3">
      <c r="A7">
        <v>0.49928443754403817</v>
      </c>
      <c r="B7">
        <v>176.9677142991697</v>
      </c>
      <c r="C7">
        <f t="shared" si="1"/>
        <v>176</v>
      </c>
      <c r="D7" t="s">
        <v>6</v>
      </c>
      <c r="E7">
        <f>COUNT(B:B)</f>
        <v>399</v>
      </c>
      <c r="I7">
        <v>5</v>
      </c>
      <c r="J7">
        <f t="shared" si="12"/>
        <v>169.9444444444444</v>
      </c>
      <c r="K7">
        <f t="shared" si="7"/>
        <v>176.22222222222217</v>
      </c>
      <c r="L7">
        <f t="shared" si="2"/>
        <v>182.49999999999994</v>
      </c>
      <c r="M7">
        <f t="shared" si="8"/>
        <v>237</v>
      </c>
      <c r="N7">
        <f t="shared" si="13"/>
        <v>106</v>
      </c>
      <c r="O7">
        <f t="shared" si="3"/>
        <v>2.1159092421318783E-2</v>
      </c>
      <c r="P7" s="1">
        <f t="shared" si="4"/>
        <v>2.2142779051823217E-2</v>
      </c>
      <c r="Q7">
        <f t="shared" si="9"/>
        <v>182.49999999999994</v>
      </c>
      <c r="R7">
        <f t="shared" si="5"/>
        <v>0.59398496240601506</v>
      </c>
      <c r="S7">
        <f t="shared" si="0"/>
        <v>0.62002846779653009</v>
      </c>
      <c r="U7">
        <v>5</v>
      </c>
      <c r="V7">
        <f t="shared" si="10"/>
        <v>1.07</v>
      </c>
      <c r="W7">
        <f t="shared" ca="1" si="14"/>
        <v>124.74444444444447</v>
      </c>
      <c r="X7" s="1" cm="1">
        <f t="array" aca="1" ref="X7" ca="1">GNorm(W7)</f>
        <v>3.2774795613844016E-4</v>
      </c>
      <c r="Y7" s="1">
        <f t="shared" si="11"/>
        <v>0.94</v>
      </c>
      <c r="Z7">
        <f t="shared" ca="1" si="6"/>
        <v>1.8475232913876866E-3</v>
      </c>
    </row>
    <row r="8" spans="1:26" x14ac:dyDescent="0.3">
      <c r="A8">
        <v>8.1436673608385801E-2</v>
      </c>
      <c r="B8">
        <v>151.88149173254166</v>
      </c>
      <c r="C8">
        <f t="shared" si="1"/>
        <v>151</v>
      </c>
      <c r="I8">
        <v>6</v>
      </c>
      <c r="J8">
        <f t="shared" si="12"/>
        <v>182.49999999999994</v>
      </c>
      <c r="K8">
        <f t="shared" si="7"/>
        <v>188.77777777777771</v>
      </c>
      <c r="L8">
        <f t="shared" si="2"/>
        <v>195.05555555555549</v>
      </c>
      <c r="M8">
        <f t="shared" si="8"/>
        <v>352</v>
      </c>
      <c r="N8">
        <f t="shared" si="13"/>
        <v>115</v>
      </c>
      <c r="O8">
        <f t="shared" si="3"/>
        <v>2.2955619136336418E-2</v>
      </c>
      <c r="P8" s="1">
        <f t="shared" si="4"/>
        <v>1.7892417333409606E-2</v>
      </c>
      <c r="Q8">
        <f t="shared" si="9"/>
        <v>195.05555555555549</v>
      </c>
      <c r="R8">
        <f t="shared" si="5"/>
        <v>0.8822055137844611</v>
      </c>
      <c r="S8">
        <f t="shared" si="0"/>
        <v>0.84209041678922025</v>
      </c>
      <c r="U8">
        <v>6</v>
      </c>
      <c r="V8">
        <f t="shared" si="10"/>
        <v>1.1700000000000002</v>
      </c>
      <c r="W8">
        <f t="shared" ca="1" si="14"/>
        <v>126.00000000000003</v>
      </c>
      <c r="X8" s="1" cm="1">
        <f t="array" aca="1" ref="X8" ca="1">GNorm(W8)</f>
        <v>4.0033887581162567E-4</v>
      </c>
      <c r="Y8" s="1">
        <f t="shared" si="11"/>
        <v>1.05</v>
      </c>
      <c r="Z8">
        <f t="shared" ca="1" si="6"/>
        <v>2.3032661316958964E-3</v>
      </c>
    </row>
    <row r="9" spans="1:26" x14ac:dyDescent="0.3">
      <c r="A9">
        <v>0.23049805791580358</v>
      </c>
      <c r="B9">
        <v>163.73026330147846</v>
      </c>
      <c r="C9">
        <f t="shared" si="1"/>
        <v>163</v>
      </c>
      <c r="D9" t="s">
        <v>10</v>
      </c>
      <c r="E9">
        <f>MIN(C:C)</f>
        <v>126</v>
      </c>
      <c r="I9">
        <v>7</v>
      </c>
      <c r="J9">
        <f t="shared" si="12"/>
        <v>195.05555555555549</v>
      </c>
      <c r="K9">
        <f t="shared" si="7"/>
        <v>201.33333333333326</v>
      </c>
      <c r="L9">
        <f t="shared" si="2"/>
        <v>207.61111111111103</v>
      </c>
      <c r="M9">
        <f t="shared" si="8"/>
        <v>387</v>
      </c>
      <c r="N9">
        <f t="shared" si="13"/>
        <v>35</v>
      </c>
      <c r="O9">
        <f t="shared" si="3"/>
        <v>6.9864927806241274E-3</v>
      </c>
      <c r="P9" s="1">
        <f t="shared" si="4"/>
        <v>8.8879219714025053E-3</v>
      </c>
      <c r="Q9">
        <f t="shared" si="9"/>
        <v>207.61111111111103</v>
      </c>
      <c r="R9">
        <f t="shared" si="5"/>
        <v>0.96992481203007519</v>
      </c>
      <c r="S9">
        <f t="shared" si="0"/>
        <v>0.9554925617735105</v>
      </c>
      <c r="U9">
        <v>7</v>
      </c>
      <c r="V9">
        <f t="shared" si="10"/>
        <v>1.2700000000000002</v>
      </c>
      <c r="W9">
        <f t="shared" ca="1" si="14"/>
        <v>127.25555555555559</v>
      </c>
      <c r="X9" s="1" cm="1">
        <f t="array" aca="1" ref="X9" ca="1">GNorm(W9)</f>
        <v>4.8663403688892497E-4</v>
      </c>
      <c r="Y9" s="1">
        <f t="shared" si="11"/>
        <v>1.1600000000000001</v>
      </c>
      <c r="Z9">
        <f t="shared" ca="1" si="6"/>
        <v>2.8585516237363243E-3</v>
      </c>
    </row>
    <row r="10" spans="1:26" x14ac:dyDescent="0.3">
      <c r="A10">
        <v>0.30204958304521312</v>
      </c>
      <c r="B10">
        <v>167.66673435828534</v>
      </c>
      <c r="C10">
        <f t="shared" si="1"/>
        <v>167</v>
      </c>
      <c r="D10" t="s">
        <v>11</v>
      </c>
      <c r="E10">
        <f>MAX(C:C)</f>
        <v>239</v>
      </c>
      <c r="I10">
        <v>8</v>
      </c>
      <c r="J10">
        <f t="shared" si="12"/>
        <v>207.61111111111103</v>
      </c>
      <c r="K10">
        <f t="shared" si="7"/>
        <v>213.8888888888888</v>
      </c>
      <c r="L10">
        <f t="shared" si="2"/>
        <v>220.16666666666657</v>
      </c>
      <c r="M10">
        <f t="shared" si="8"/>
        <v>397</v>
      </c>
      <c r="N10">
        <f t="shared" si="13"/>
        <v>10</v>
      </c>
      <c r="O10">
        <f t="shared" si="3"/>
        <v>1.9961407944640362E-3</v>
      </c>
      <c r="P10" s="1">
        <f t="shared" si="4"/>
        <v>2.7140995189059206E-3</v>
      </c>
      <c r="Q10">
        <f t="shared" si="9"/>
        <v>220.16666666666657</v>
      </c>
      <c r="R10">
        <f t="shared" si="5"/>
        <v>0.9949874686716792</v>
      </c>
      <c r="S10">
        <f t="shared" si="0"/>
        <v>0.99176090045154441</v>
      </c>
      <c r="U10">
        <v>8</v>
      </c>
      <c r="V10">
        <f t="shared" si="10"/>
        <v>1.3700000000000003</v>
      </c>
      <c r="W10">
        <f t="shared" ca="1" si="14"/>
        <v>128.51111111111115</v>
      </c>
      <c r="X10" s="1" cm="1">
        <f t="array" aca="1" ref="X10" ca="1">GNorm(W10)</f>
        <v>5.8865947853751815E-4</v>
      </c>
      <c r="Y10" s="1">
        <f t="shared" si="11"/>
        <v>1.2700000000000002</v>
      </c>
      <c r="Z10">
        <f t="shared" ca="1" si="6"/>
        <v>3.5318391943573303E-3</v>
      </c>
    </row>
    <row r="11" spans="1:26" x14ac:dyDescent="0.3">
      <c r="A11">
        <v>0.82228379646069094</v>
      </c>
      <c r="B11">
        <v>193.6338638344732</v>
      </c>
      <c r="C11">
        <f t="shared" si="1"/>
        <v>193</v>
      </c>
      <c r="I11">
        <v>9</v>
      </c>
      <c r="J11">
        <f t="shared" si="12"/>
        <v>220.16666666666657</v>
      </c>
      <c r="K11">
        <f t="shared" si="7"/>
        <v>226.44444444444434</v>
      </c>
      <c r="L11">
        <f t="shared" si="2"/>
        <v>232.72222222222211</v>
      </c>
      <c r="M11">
        <f t="shared" si="8"/>
        <v>398</v>
      </c>
      <c r="N11">
        <f t="shared" si="13"/>
        <v>1</v>
      </c>
      <c r="O11">
        <f t="shared" si="3"/>
        <v>1.9961407944640362E-4</v>
      </c>
      <c r="P11" s="1">
        <f t="shared" si="4"/>
        <v>5.0950168416940861E-4</v>
      </c>
      <c r="Q11">
        <f t="shared" si="9"/>
        <v>232.72222222222211</v>
      </c>
      <c r="R11">
        <f t="shared" si="5"/>
        <v>0.99749373433583954</v>
      </c>
      <c r="S11">
        <f t="shared" si="0"/>
        <v>0.99901818598121883</v>
      </c>
      <c r="U11">
        <v>9</v>
      </c>
      <c r="V11">
        <f t="shared" si="10"/>
        <v>1.4700000000000004</v>
      </c>
      <c r="W11">
        <f t="shared" ca="1" si="14"/>
        <v>129.76666666666671</v>
      </c>
      <c r="X11" s="1" cm="1">
        <f t="array" aca="1" ref="X11" ca="1">GNorm(W11)</f>
        <v>7.0861892080669288E-4</v>
      </c>
      <c r="Y11" s="1">
        <f t="shared" si="11"/>
        <v>1.3800000000000003</v>
      </c>
      <c r="Z11">
        <f t="shared" ca="1" si="6"/>
        <v>4.3442443405369768E-3</v>
      </c>
    </row>
    <row r="12" spans="1:26" x14ac:dyDescent="0.3">
      <c r="A12">
        <v>0.8491218239957653</v>
      </c>
      <c r="B12">
        <v>195.5881371093775</v>
      </c>
      <c r="C12">
        <f t="shared" si="1"/>
        <v>195</v>
      </c>
      <c r="D12" t="s">
        <v>13</v>
      </c>
      <c r="E12">
        <v>10</v>
      </c>
      <c r="I12">
        <v>10</v>
      </c>
      <c r="J12">
        <f t="shared" si="12"/>
        <v>232.72222222222211</v>
      </c>
      <c r="K12">
        <f t="shared" si="7"/>
        <v>238.99999999999989</v>
      </c>
      <c r="L12">
        <f t="shared" si="2"/>
        <v>245.27777777777766</v>
      </c>
      <c r="M12">
        <f t="shared" si="8"/>
        <v>399</v>
      </c>
      <c r="N12">
        <f t="shared" si="13"/>
        <v>1</v>
      </c>
      <c r="O12">
        <f t="shared" si="3"/>
        <v>1.9961407944640362E-4</v>
      </c>
      <c r="P12" s="1">
        <f t="shared" si="4"/>
        <v>5.8797627263648981E-5</v>
      </c>
      <c r="Q12">
        <f t="shared" si="9"/>
        <v>245.27777777777766</v>
      </c>
      <c r="R12">
        <f t="shared" si="5"/>
        <v>1</v>
      </c>
      <c r="S12">
        <f t="shared" si="0"/>
        <v>0.99992564381971027</v>
      </c>
      <c r="U12">
        <v>10</v>
      </c>
      <c r="V12">
        <f t="shared" si="10"/>
        <v>1.5700000000000005</v>
      </c>
      <c r="W12">
        <f t="shared" ca="1" si="14"/>
        <v>131.02222222222227</v>
      </c>
      <c r="X12" s="1" cm="1">
        <f t="array" aca="1" ref="X12" ca="1">GNorm(W12)</f>
        <v>8.4888388729564043E-4</v>
      </c>
      <c r="Y12" s="1">
        <f t="shared" si="11"/>
        <v>1.4900000000000004</v>
      </c>
      <c r="Z12">
        <f t="shared" ca="1" si="6"/>
        <v>5.3197561533028436E-3</v>
      </c>
    </row>
    <row r="13" spans="1:26" x14ac:dyDescent="0.3">
      <c r="A13">
        <v>0.44240589049985057</v>
      </c>
      <c r="B13">
        <v>174.39230051328522</v>
      </c>
      <c r="C13">
        <f t="shared" si="1"/>
        <v>174</v>
      </c>
      <c r="D13" t="s">
        <v>12</v>
      </c>
      <c r="E13">
        <f>(E10-E9)/(E12-1)</f>
        <v>12.555555555555555</v>
      </c>
      <c r="I13">
        <v>11</v>
      </c>
      <c r="J13">
        <f t="shared" si="12"/>
        <v>245.27777777777766</v>
      </c>
      <c r="K13">
        <f t="shared" si="7"/>
        <v>251.55555555555543</v>
      </c>
      <c r="L13">
        <f t="shared" si="2"/>
        <v>257.8333333333332</v>
      </c>
      <c r="M13">
        <f t="shared" si="8"/>
        <v>399</v>
      </c>
      <c r="N13">
        <f t="shared" si="13"/>
        <v>0</v>
      </c>
      <c r="O13">
        <f t="shared" si="3"/>
        <v>0</v>
      </c>
      <c r="P13" s="1">
        <f t="shared" si="4"/>
        <v>4.1712699681557699E-6</v>
      </c>
      <c r="Q13">
        <f t="shared" si="9"/>
        <v>257.8333333333332</v>
      </c>
      <c r="R13">
        <f t="shared" si="5"/>
        <v>1</v>
      </c>
      <c r="S13">
        <f t="shared" si="0"/>
        <v>0.99999645120489777</v>
      </c>
      <c r="U13">
        <v>11</v>
      </c>
      <c r="V13">
        <f t="shared" si="10"/>
        <v>1.6700000000000006</v>
      </c>
      <c r="W13">
        <f t="shared" ca="1" si="14"/>
        <v>132.27777777777783</v>
      </c>
      <c r="X13" s="1" cm="1">
        <f t="array" aca="1" ref="X13" ca="1">GNorm(W13)</f>
        <v>1.0119773204167177E-3</v>
      </c>
      <c r="Y13" s="1">
        <f t="shared" si="11"/>
        <v>1.6000000000000005</v>
      </c>
      <c r="Z13">
        <f t="shared" ca="1" si="6"/>
        <v>6.4854384428150629E-3</v>
      </c>
    </row>
    <row r="14" spans="1:26" x14ac:dyDescent="0.3">
      <c r="A14">
        <v>0.76483057405166488</v>
      </c>
      <c r="B14">
        <v>189.99470088155704</v>
      </c>
      <c r="C14">
        <f t="shared" si="1"/>
        <v>189</v>
      </c>
      <c r="I14">
        <v>12</v>
      </c>
      <c r="J14">
        <f t="shared" si="12"/>
        <v>257.8333333333332</v>
      </c>
      <c r="K14">
        <f t="shared" si="7"/>
        <v>264.11111111111097</v>
      </c>
      <c r="L14">
        <f t="shared" si="2"/>
        <v>270.38888888888874</v>
      </c>
      <c r="M14">
        <f t="shared" si="8"/>
        <v>399</v>
      </c>
      <c r="N14">
        <f t="shared" si="13"/>
        <v>0</v>
      </c>
      <c r="O14">
        <f t="shared" si="3"/>
        <v>0</v>
      </c>
      <c r="P14" s="1">
        <f t="shared" si="4"/>
        <v>1.819160919214817E-7</v>
      </c>
      <c r="Q14">
        <f t="shared" si="9"/>
        <v>270.38888888888874</v>
      </c>
      <c r="R14">
        <f t="shared" si="5"/>
        <v>1</v>
      </c>
      <c r="S14">
        <f t="shared" si="0"/>
        <v>0.99999989387256172</v>
      </c>
      <c r="U14">
        <v>12</v>
      </c>
      <c r="V14">
        <f t="shared" si="10"/>
        <v>1.7700000000000007</v>
      </c>
      <c r="W14">
        <f t="shared" ca="1" si="14"/>
        <v>133.53333333333339</v>
      </c>
      <c r="X14" s="1" cm="1">
        <f t="array" aca="1" ref="X14" ca="1">GNorm(W14)</f>
        <v>1.2005498893478373E-3</v>
      </c>
      <c r="Y14" s="1">
        <f t="shared" si="11"/>
        <v>1.7100000000000006</v>
      </c>
      <c r="Z14">
        <f t="shared" ca="1" si="6"/>
        <v>7.8716057829579574E-3</v>
      </c>
    </row>
    <row r="15" spans="1:26" x14ac:dyDescent="0.3">
      <c r="A15">
        <v>0.28018999122442312</v>
      </c>
      <c r="B15">
        <v>166.51901045297114</v>
      </c>
      <c r="C15">
        <f t="shared" si="1"/>
        <v>166</v>
      </c>
      <c r="E15">
        <f ca="1">SUM(OFFSET($K$3,0,0,_k,1))</f>
        <v>1824.9999999999995</v>
      </c>
      <c r="I15">
        <v>13</v>
      </c>
      <c r="J15">
        <f t="shared" si="12"/>
        <v>270.38888888888874</v>
      </c>
      <c r="K15">
        <f t="shared" si="7"/>
        <v>276.66666666666652</v>
      </c>
      <c r="L15">
        <f t="shared" si="2"/>
        <v>282.94444444444429</v>
      </c>
      <c r="M15">
        <f t="shared" si="8"/>
        <v>399</v>
      </c>
      <c r="N15">
        <f t="shared" si="13"/>
        <v>0</v>
      </c>
      <c r="O15">
        <f t="shared" si="3"/>
        <v>0</v>
      </c>
      <c r="P15" s="1">
        <f t="shared" si="4"/>
        <v>4.8771740844896981E-9</v>
      </c>
      <c r="Q15">
        <f t="shared" si="9"/>
        <v>282.94444444444429</v>
      </c>
      <c r="R15">
        <f t="shared" si="5"/>
        <v>1</v>
      </c>
      <c r="S15">
        <f t="shared" si="0"/>
        <v>0.99999999801936401</v>
      </c>
      <c r="U15">
        <v>13</v>
      </c>
      <c r="V15">
        <f t="shared" si="10"/>
        <v>1.8700000000000008</v>
      </c>
      <c r="W15">
        <f t="shared" ca="1" si="14"/>
        <v>134.78888888888895</v>
      </c>
      <c r="X15" s="1" cm="1">
        <f t="array" aca="1" ref="X15" ca="1">GNorm(W15)</f>
        <v>1.4173483019804011E-3</v>
      </c>
      <c r="Y15" s="1">
        <f t="shared" si="11"/>
        <v>1.8200000000000007</v>
      </c>
      <c r="Z15">
        <f t="shared" ca="1" si="6"/>
        <v>9.5119648541120028E-3</v>
      </c>
    </row>
    <row r="16" spans="1:26" x14ac:dyDescent="0.3">
      <c r="A16">
        <v>0.32949998569069305</v>
      </c>
      <c r="B16">
        <v>169.05670307939684</v>
      </c>
      <c r="C16">
        <f t="shared" si="1"/>
        <v>169</v>
      </c>
      <c r="I16">
        <v>14</v>
      </c>
      <c r="J16">
        <f t="shared" si="12"/>
        <v>282.94444444444429</v>
      </c>
      <c r="K16">
        <f t="shared" si="7"/>
        <v>289.22222222222206</v>
      </c>
      <c r="L16">
        <f t="shared" si="2"/>
        <v>295.49999999999983</v>
      </c>
      <c r="M16">
        <f t="shared" si="8"/>
        <v>399</v>
      </c>
      <c r="N16">
        <f t="shared" si="13"/>
        <v>0</v>
      </c>
      <c r="O16">
        <f t="shared" si="3"/>
        <v>0</v>
      </c>
      <c r="P16" s="1">
        <f t="shared" si="4"/>
        <v>8.038216854134902E-11</v>
      </c>
      <c r="Q16">
        <f t="shared" si="9"/>
        <v>295.49999999999983</v>
      </c>
      <c r="R16">
        <f t="shared" si="5"/>
        <v>1</v>
      </c>
      <c r="S16">
        <f t="shared" si="0"/>
        <v>0.99999999997699918</v>
      </c>
      <c r="U16">
        <v>14</v>
      </c>
      <c r="V16">
        <f t="shared" si="10"/>
        <v>1.9700000000000009</v>
      </c>
      <c r="W16">
        <f t="shared" ca="1" si="14"/>
        <v>136.04444444444451</v>
      </c>
      <c r="X16" s="1" cm="1">
        <f t="array" aca="1" ref="X16" ca="1">GNorm(W16)</f>
        <v>1.665175094487341E-3</v>
      </c>
      <c r="Y16" s="1">
        <f t="shared" si="11"/>
        <v>1.9300000000000008</v>
      </c>
      <c r="Z16">
        <f t="shared" ca="1" si="6"/>
        <v>1.1443710694480198E-2</v>
      </c>
    </row>
    <row r="17" spans="1:26" x14ac:dyDescent="0.3">
      <c r="A17">
        <v>0.57962889527781125</v>
      </c>
      <c r="B17">
        <v>180.616995519049</v>
      </c>
      <c r="C17">
        <f t="shared" si="1"/>
        <v>180</v>
      </c>
      <c r="I17">
        <v>15</v>
      </c>
      <c r="J17">
        <f t="shared" si="12"/>
        <v>295.49999999999983</v>
      </c>
      <c r="K17">
        <f t="shared" si="7"/>
        <v>301.7777777777776</v>
      </c>
      <c r="L17">
        <f t="shared" si="2"/>
        <v>308.05555555555537</v>
      </c>
      <c r="M17">
        <f t="shared" si="8"/>
        <v>399</v>
      </c>
      <c r="N17">
        <f t="shared" si="13"/>
        <v>0</v>
      </c>
      <c r="O17">
        <f t="shared" si="3"/>
        <v>0</v>
      </c>
      <c r="P17" s="1">
        <f t="shared" si="4"/>
        <v>8.1441450553873144E-13</v>
      </c>
      <c r="Q17">
        <f t="shared" si="9"/>
        <v>308.05555555555537</v>
      </c>
      <c r="R17">
        <f t="shared" si="5"/>
        <v>1</v>
      </c>
      <c r="S17">
        <f t="shared" si="0"/>
        <v>0.99999999999983413</v>
      </c>
      <c r="U17">
        <v>15</v>
      </c>
      <c r="V17">
        <f t="shared" si="10"/>
        <v>2.0700000000000007</v>
      </c>
      <c r="W17">
        <f t="shared" ca="1" si="14"/>
        <v>137.30000000000007</v>
      </c>
      <c r="X17" s="1" cm="1">
        <f t="array" aca="1" ref="X17" ca="1">GNorm(W17)</f>
        <v>1.9468395877689912E-3</v>
      </c>
      <c r="Y17" s="1">
        <f t="shared" si="11"/>
        <v>2.0400000000000009</v>
      </c>
      <c r="Z17">
        <f t="shared" ca="1" si="6"/>
        <v>1.3707566939200192E-2</v>
      </c>
    </row>
    <row r="18" spans="1:26" x14ac:dyDescent="0.3">
      <c r="A18">
        <v>0.38668009025458638</v>
      </c>
      <c r="B18">
        <v>171.81631608304053</v>
      </c>
      <c r="C18">
        <f t="shared" si="1"/>
        <v>171</v>
      </c>
      <c r="D18" t="s">
        <v>27</v>
      </c>
      <c r="E18">
        <f ca="1">(OFFSET(L2,_k,0)-J3)/100</f>
        <v>1.2555555555555542</v>
      </c>
      <c r="I18">
        <v>16</v>
      </c>
      <c r="J18">
        <f t="shared" si="12"/>
        <v>308.05555555555537</v>
      </c>
      <c r="K18">
        <f t="shared" si="7"/>
        <v>314.33333333333314</v>
      </c>
      <c r="L18">
        <f t="shared" si="2"/>
        <v>320.61111111111092</v>
      </c>
      <c r="M18">
        <f t="shared" si="8"/>
        <v>399</v>
      </c>
      <c r="N18">
        <f t="shared" si="13"/>
        <v>0</v>
      </c>
      <c r="O18">
        <f t="shared" si="3"/>
        <v>0</v>
      </c>
      <c r="P18" s="1">
        <f t="shared" si="4"/>
        <v>5.0725414345350469E-15</v>
      </c>
      <c r="Q18">
        <f t="shared" si="9"/>
        <v>320.61111111111092</v>
      </c>
      <c r="R18">
        <f t="shared" si="5"/>
        <v>1</v>
      </c>
      <c r="S18">
        <f t="shared" si="0"/>
        <v>0.99999999999999922</v>
      </c>
      <c r="U18">
        <v>16</v>
      </c>
      <c r="V18">
        <f t="shared" si="10"/>
        <v>2.1700000000000008</v>
      </c>
      <c r="W18">
        <f t="shared" ca="1" si="14"/>
        <v>138.55555555555563</v>
      </c>
      <c r="X18" s="1" cm="1">
        <f t="array" aca="1" ref="X18" ca="1">GNorm(W18)</f>
        <v>2.2650999688032932E-3</v>
      </c>
      <c r="Y18" s="1">
        <f t="shared" si="11"/>
        <v>2.1500000000000008</v>
      </c>
      <c r="Z18">
        <f t="shared" ca="1" si="6"/>
        <v>1.6347758899585566E-2</v>
      </c>
    </row>
    <row r="19" spans="1:26" x14ac:dyDescent="0.3">
      <c r="A19">
        <v>0.97965644918858774</v>
      </c>
      <c r="B19">
        <v>213.84068201448443</v>
      </c>
      <c r="C19">
        <f t="shared" si="1"/>
        <v>213</v>
      </c>
      <c r="I19">
        <v>17</v>
      </c>
      <c r="J19">
        <f t="shared" si="12"/>
        <v>320.61111111111092</v>
      </c>
      <c r="K19">
        <f t="shared" si="7"/>
        <v>326.88888888888869</v>
      </c>
      <c r="L19">
        <f t="shared" si="2"/>
        <v>333.16666666666646</v>
      </c>
      <c r="M19">
        <f t="shared" si="8"/>
        <v>399</v>
      </c>
      <c r="N19">
        <f t="shared" si="13"/>
        <v>0</v>
      </c>
      <c r="O19">
        <f t="shared" si="3"/>
        <v>0</v>
      </c>
      <c r="P19" s="1">
        <f t="shared" si="4"/>
        <v>1.9422271786416884E-17</v>
      </c>
      <c r="Q19">
        <f t="shared" si="9"/>
        <v>333.16666666666646</v>
      </c>
      <c r="R19">
        <f t="shared" si="5"/>
        <v>1</v>
      </c>
      <c r="S19">
        <f t="shared" si="0"/>
        <v>1</v>
      </c>
      <c r="U19">
        <v>17</v>
      </c>
      <c r="V19">
        <f t="shared" si="10"/>
        <v>2.2700000000000009</v>
      </c>
      <c r="W19">
        <f t="shared" ca="1" si="14"/>
        <v>139.81111111111119</v>
      </c>
      <c r="X19" s="1" cm="1">
        <f t="array" aca="1" ref="X19" ca="1">GNorm(W19)</f>
        <v>2.6225967738248549E-3</v>
      </c>
      <c r="Y19" s="1">
        <f t="shared" si="11"/>
        <v>2.2600000000000007</v>
      </c>
      <c r="Z19">
        <f t="shared" ca="1" si="6"/>
        <v>1.9411908477352191E-2</v>
      </c>
    </row>
    <row r="20" spans="1:26" x14ac:dyDescent="0.3">
      <c r="A20">
        <v>0.51021407855734469</v>
      </c>
      <c r="B20">
        <v>177.46090252629892</v>
      </c>
      <c r="C20">
        <f t="shared" si="1"/>
        <v>177</v>
      </c>
      <c r="I20">
        <v>18</v>
      </c>
      <c r="J20">
        <f t="shared" si="12"/>
        <v>333.16666666666646</v>
      </c>
      <c r="K20">
        <f t="shared" si="7"/>
        <v>339.44444444444423</v>
      </c>
      <c r="L20">
        <f t="shared" si="2"/>
        <v>345.722222222222</v>
      </c>
      <c r="M20">
        <f t="shared" si="8"/>
        <v>399</v>
      </c>
      <c r="N20">
        <f t="shared" si="13"/>
        <v>0</v>
      </c>
      <c r="O20">
        <f t="shared" si="3"/>
        <v>0</v>
      </c>
      <c r="P20" s="1">
        <f t="shared" si="4"/>
        <v>4.5716057690707404E-20</v>
      </c>
      <c r="Q20">
        <f t="shared" si="9"/>
        <v>345.722222222222</v>
      </c>
      <c r="R20">
        <f t="shared" si="5"/>
        <v>1</v>
      </c>
      <c r="S20">
        <f t="shared" si="0"/>
        <v>1</v>
      </c>
      <c r="U20">
        <v>18</v>
      </c>
      <c r="V20">
        <f t="shared" si="10"/>
        <v>2.370000000000001</v>
      </c>
      <c r="W20">
        <f t="shared" ca="1" si="14"/>
        <v>141.06666666666675</v>
      </c>
      <c r="X20" s="1" cm="1">
        <f t="array" aca="1" ref="X20" ca="1">GNorm(W20)</f>
        <v>3.0217784131071055E-3</v>
      </c>
      <c r="Y20" s="1">
        <f t="shared" si="11"/>
        <v>2.3700000000000006</v>
      </c>
      <c r="Z20">
        <f t="shared" ca="1" si="6"/>
        <v>2.2950840480003159E-2</v>
      </c>
    </row>
    <row r="21" spans="1:26" x14ac:dyDescent="0.3">
      <c r="A21">
        <v>0.34176620759639875</v>
      </c>
      <c r="B21">
        <v>169.66234325967838</v>
      </c>
      <c r="C21">
        <f t="shared" si="1"/>
        <v>169</v>
      </c>
      <c r="I21">
        <v>19</v>
      </c>
      <c r="J21">
        <f t="shared" si="12"/>
        <v>345.722222222222</v>
      </c>
      <c r="K21">
        <f t="shared" si="7"/>
        <v>351.99999999999977</v>
      </c>
      <c r="L21">
        <f t="shared" si="2"/>
        <v>358.27777777777754</v>
      </c>
      <c r="M21">
        <f t="shared" si="8"/>
        <v>399</v>
      </c>
      <c r="N21">
        <f t="shared" si="13"/>
        <v>0</v>
      </c>
      <c r="O21">
        <f t="shared" si="3"/>
        <v>0</v>
      </c>
      <c r="P21" s="1">
        <f t="shared" si="4"/>
        <v>6.6150303037787863E-23</v>
      </c>
      <c r="Q21">
        <f t="shared" si="9"/>
        <v>358.27777777777754</v>
      </c>
      <c r="R21">
        <f t="shared" si="5"/>
        <v>1</v>
      </c>
      <c r="S21">
        <f t="shared" si="0"/>
        <v>1</v>
      </c>
      <c r="U21">
        <v>19</v>
      </c>
      <c r="V21">
        <f t="shared" si="10"/>
        <v>2.4700000000000011</v>
      </c>
      <c r="W21">
        <f t="shared" ca="1" si="14"/>
        <v>142.32222222222231</v>
      </c>
      <c r="X21" s="1" cm="1">
        <f t="array" aca="1" ref="X21" ca="1">GNorm(W21)</f>
        <v>3.4648197743710318E-3</v>
      </c>
      <c r="Y21" s="1">
        <f t="shared" si="11"/>
        <v>2.4800000000000004</v>
      </c>
      <c r="Z21">
        <f t="shared" ca="1" si="6"/>
        <v>2.7018290953217058E-2</v>
      </c>
    </row>
    <row r="22" spans="1:26" x14ac:dyDescent="0.3">
      <c r="A22">
        <v>0.48635047301725276</v>
      </c>
      <c r="B22">
        <v>176.38402257032303</v>
      </c>
      <c r="C22">
        <f t="shared" si="1"/>
        <v>176</v>
      </c>
      <c r="I22">
        <v>20</v>
      </c>
      <c r="J22">
        <f t="shared" si="12"/>
        <v>358.27777777777754</v>
      </c>
      <c r="K22">
        <f t="shared" si="7"/>
        <v>364.55555555555532</v>
      </c>
      <c r="L22">
        <f t="shared" si="2"/>
        <v>370.83333333333309</v>
      </c>
      <c r="M22">
        <f t="shared" si="8"/>
        <v>399</v>
      </c>
      <c r="N22">
        <f t="shared" si="13"/>
        <v>0</v>
      </c>
      <c r="O22">
        <f t="shared" si="3"/>
        <v>0</v>
      </c>
      <c r="P22" s="1">
        <f t="shared" si="4"/>
        <v>5.8842243790167327E-26</v>
      </c>
      <c r="Q22">
        <f t="shared" si="9"/>
        <v>370.83333333333309</v>
      </c>
      <c r="R22">
        <f t="shared" si="5"/>
        <v>1</v>
      </c>
      <c r="S22">
        <f t="shared" si="0"/>
        <v>1</v>
      </c>
      <c r="U22">
        <v>20</v>
      </c>
      <c r="V22">
        <f t="shared" si="10"/>
        <v>2.5700000000000012</v>
      </c>
      <c r="W22">
        <f t="shared" ca="1" si="14"/>
        <v>143.57777777777787</v>
      </c>
      <c r="X22" s="1" cm="1">
        <f t="array" aca="1" ref="X22" ca="1">GNorm(W22)</f>
        <v>3.9535353605354125E-3</v>
      </c>
      <c r="Y22" s="1">
        <f t="shared" si="11"/>
        <v>2.5900000000000003</v>
      </c>
      <c r="Z22">
        <f t="shared" ca="1" si="6"/>
        <v>3.1670509709513711E-2</v>
      </c>
    </row>
    <row r="23" spans="1:26" x14ac:dyDescent="0.3">
      <c r="A23">
        <v>8.4705942409867951E-2</v>
      </c>
      <c r="B23">
        <v>152.26627221595763</v>
      </c>
      <c r="C23">
        <f t="shared" si="1"/>
        <v>152</v>
      </c>
      <c r="I23">
        <v>21</v>
      </c>
      <c r="J23">
        <f t="shared" si="12"/>
        <v>370.83333333333309</v>
      </c>
      <c r="K23">
        <f t="shared" si="7"/>
        <v>377.11111111111086</v>
      </c>
      <c r="L23">
        <f t="shared" si="2"/>
        <v>383.38888888888863</v>
      </c>
      <c r="M23">
        <f t="shared" si="8"/>
        <v>399</v>
      </c>
      <c r="N23">
        <f t="shared" si="13"/>
        <v>0</v>
      </c>
      <c r="O23">
        <f t="shared" si="3"/>
        <v>0</v>
      </c>
      <c r="P23" s="1">
        <f t="shared" si="4"/>
        <v>3.2176657888935703E-29</v>
      </c>
      <c r="Q23">
        <f t="shared" si="9"/>
        <v>383.38888888888863</v>
      </c>
      <c r="R23">
        <f t="shared" si="5"/>
        <v>1</v>
      </c>
      <c r="S23">
        <f t="shared" si="0"/>
        <v>1</v>
      </c>
      <c r="U23">
        <v>21</v>
      </c>
      <c r="V23">
        <f t="shared" si="10"/>
        <v>2.6700000000000013</v>
      </c>
      <c r="W23">
        <f t="shared" ca="1" si="14"/>
        <v>144.83333333333343</v>
      </c>
      <c r="X23" s="1" cm="1">
        <f t="array" aca="1" ref="X23" ca="1">GNorm(W23)</f>
        <v>4.489288841474994E-3</v>
      </c>
      <c r="Y23" s="1">
        <f t="shared" si="11"/>
        <v>2.7</v>
      </c>
      <c r="Z23">
        <f t="shared" ca="1" si="6"/>
        <v>3.6965751326745171E-2</v>
      </c>
    </row>
    <row r="24" spans="1:26" x14ac:dyDescent="0.3">
      <c r="A24">
        <v>0.35962658735209196</v>
      </c>
      <c r="B24">
        <v>170.52977242495811</v>
      </c>
      <c r="C24">
        <f t="shared" si="1"/>
        <v>170</v>
      </c>
      <c r="I24">
        <v>22</v>
      </c>
      <c r="J24">
        <f t="shared" si="12"/>
        <v>383.38888888888863</v>
      </c>
      <c r="K24">
        <f t="shared" si="7"/>
        <v>389.6666666666664</v>
      </c>
      <c r="L24">
        <f t="shared" si="2"/>
        <v>395.94444444444417</v>
      </c>
      <c r="M24">
        <f t="shared" si="8"/>
        <v>399</v>
      </c>
      <c r="N24">
        <f t="shared" si="13"/>
        <v>0</v>
      </c>
      <c r="O24">
        <f t="shared" si="3"/>
        <v>0</v>
      </c>
      <c r="P24" s="1">
        <f t="shared" si="4"/>
        <v>1.081650516462289E-32</v>
      </c>
      <c r="Q24">
        <f t="shared" si="9"/>
        <v>395.94444444444417</v>
      </c>
      <c r="R24">
        <f t="shared" si="5"/>
        <v>1</v>
      </c>
      <c r="S24">
        <f t="shared" si="0"/>
        <v>1</v>
      </c>
      <c r="U24">
        <v>22</v>
      </c>
      <c r="V24">
        <f t="shared" si="10"/>
        <v>2.7700000000000014</v>
      </c>
      <c r="W24">
        <f t="shared" ca="1" si="14"/>
        <v>146.08888888888899</v>
      </c>
      <c r="X24" s="1" cm="1">
        <f t="array" aca="1" ref="X24" ca="1">GNorm(W24)</f>
        <v>5.0729013096659148E-3</v>
      </c>
      <c r="Y24" s="1">
        <f t="shared" si="11"/>
        <v>2.81</v>
      </c>
      <c r="Z24">
        <f t="shared" ca="1" si="6"/>
        <v>4.2963651510018089E-2</v>
      </c>
    </row>
    <row r="25" spans="1:26" x14ac:dyDescent="0.3">
      <c r="A25">
        <v>0.47664062302244925</v>
      </c>
      <c r="B25">
        <v>175.94543808242756</v>
      </c>
      <c r="C25">
        <f t="shared" si="1"/>
        <v>175</v>
      </c>
      <c r="I25">
        <v>23</v>
      </c>
      <c r="J25">
        <f t="shared" si="12"/>
        <v>395.94444444444417</v>
      </c>
      <c r="K25">
        <f t="shared" si="7"/>
        <v>402.22222222222194</v>
      </c>
      <c r="L25">
        <f t="shared" si="2"/>
        <v>408.49999999999972</v>
      </c>
      <c r="M25">
        <f t="shared" si="8"/>
        <v>399</v>
      </c>
      <c r="N25">
        <f t="shared" si="13"/>
        <v>0</v>
      </c>
      <c r="O25">
        <f t="shared" si="3"/>
        <v>0</v>
      </c>
      <c r="P25" s="1">
        <f t="shared" si="4"/>
        <v>2.2352562195968108E-36</v>
      </c>
      <c r="Q25">
        <f t="shared" si="9"/>
        <v>408.49999999999972</v>
      </c>
      <c r="R25">
        <f t="shared" si="5"/>
        <v>1</v>
      </c>
      <c r="S25">
        <f t="shared" si="0"/>
        <v>1</v>
      </c>
      <c r="U25">
        <v>23</v>
      </c>
      <c r="V25">
        <f t="shared" si="10"/>
        <v>2.8700000000000014</v>
      </c>
      <c r="W25">
        <f t="shared" ca="1" si="14"/>
        <v>147.34444444444455</v>
      </c>
      <c r="X25" s="1" cm="1">
        <f t="array" aca="1" ref="X25" ca="1">GNorm(W25)</f>
        <v>5.7045609049059202E-3</v>
      </c>
      <c r="Y25" s="1">
        <f t="shared" si="11"/>
        <v>2.92</v>
      </c>
      <c r="Z25">
        <f t="shared" ca="1" si="6"/>
        <v>4.9724488826146558E-2</v>
      </c>
    </row>
    <row r="26" spans="1:26" x14ac:dyDescent="0.3">
      <c r="A26">
        <v>0.53649305967325067</v>
      </c>
      <c r="B26">
        <v>178.64884464744162</v>
      </c>
      <c r="C26">
        <f t="shared" si="1"/>
        <v>178</v>
      </c>
      <c r="I26">
        <v>24</v>
      </c>
      <c r="J26">
        <f t="shared" si="12"/>
        <v>408.49999999999972</v>
      </c>
      <c r="K26">
        <f t="shared" si="7"/>
        <v>414.77777777777749</v>
      </c>
      <c r="L26">
        <f t="shared" si="2"/>
        <v>421.05555555555526</v>
      </c>
      <c r="M26">
        <f t="shared" si="8"/>
        <v>399</v>
      </c>
      <c r="N26">
        <f t="shared" si="13"/>
        <v>0</v>
      </c>
      <c r="O26">
        <f t="shared" si="3"/>
        <v>0</v>
      </c>
      <c r="P26" s="1">
        <f t="shared" si="4"/>
        <v>2.8396314858151139E-40</v>
      </c>
      <c r="Q26">
        <f t="shared" si="9"/>
        <v>421.05555555555526</v>
      </c>
      <c r="R26">
        <f t="shared" si="5"/>
        <v>1</v>
      </c>
      <c r="S26">
        <f t="shared" si="0"/>
        <v>1</v>
      </c>
      <c r="U26">
        <v>24</v>
      </c>
      <c r="V26">
        <f t="shared" si="10"/>
        <v>2.9700000000000015</v>
      </c>
      <c r="W26">
        <f t="shared" ca="1" si="14"/>
        <v>148.60000000000011</v>
      </c>
      <c r="X26" s="1" cm="1">
        <f t="array" aca="1" ref="X26" ca="1">GNorm(W26)</f>
        <v>6.3837367912490837E-3</v>
      </c>
      <c r="Y26" s="1">
        <f t="shared" si="11"/>
        <v>3.03</v>
      </c>
      <c r="Z26">
        <f t="shared" ca="1" si="6"/>
        <v>5.7308335372822483E-2</v>
      </c>
    </row>
    <row r="27" spans="1:26" x14ac:dyDescent="0.3">
      <c r="A27">
        <v>0.12784914001135594</v>
      </c>
      <c r="B27">
        <v>156.54088753586041</v>
      </c>
      <c r="C27">
        <f t="shared" si="1"/>
        <v>156</v>
      </c>
      <c r="I27">
        <v>25</v>
      </c>
      <c r="J27">
        <f t="shared" si="12"/>
        <v>421.05555555555526</v>
      </c>
      <c r="K27">
        <f t="shared" si="7"/>
        <v>427.33333333333303</v>
      </c>
      <c r="L27">
        <f t="shared" si="2"/>
        <v>433.6111111111108</v>
      </c>
      <c r="M27">
        <f t="shared" si="8"/>
        <v>399</v>
      </c>
      <c r="N27">
        <f t="shared" si="13"/>
        <v>0</v>
      </c>
      <c r="O27">
        <f t="shared" si="3"/>
        <v>0</v>
      </c>
      <c r="P27" s="1">
        <f t="shared" si="4"/>
        <v>2.2176396351170513E-44</v>
      </c>
      <c r="Q27">
        <f t="shared" si="9"/>
        <v>433.6111111111108</v>
      </c>
      <c r="R27">
        <f t="shared" si="5"/>
        <v>1</v>
      </c>
      <c r="S27">
        <f t="shared" si="0"/>
        <v>1</v>
      </c>
      <c r="U27">
        <v>25</v>
      </c>
      <c r="V27">
        <f t="shared" si="10"/>
        <v>3.0700000000000016</v>
      </c>
      <c r="W27">
        <f t="shared" ca="1" si="14"/>
        <v>149.85555555555567</v>
      </c>
      <c r="X27" s="1" cm="1">
        <f t="array" aca="1" ref="X27" ca="1">GNorm(W27)</f>
        <v>7.1091007072425971E-3</v>
      </c>
      <c r="Y27" s="1">
        <f t="shared" si="11"/>
        <v>3.1399999999999997</v>
      </c>
      <c r="Z27">
        <f t="shared" ca="1" si="6"/>
        <v>6.5774103849099333E-2</v>
      </c>
    </row>
    <row r="28" spans="1:26" x14ac:dyDescent="0.3">
      <c r="A28">
        <v>0.98113180497885244</v>
      </c>
      <c r="B28">
        <v>214.39871894698749</v>
      </c>
      <c r="C28">
        <f t="shared" si="1"/>
        <v>214</v>
      </c>
      <c r="I28">
        <v>26</v>
      </c>
      <c r="J28">
        <f t="shared" si="12"/>
        <v>433.6111111111108</v>
      </c>
      <c r="K28">
        <f t="shared" si="7"/>
        <v>439.88888888888857</v>
      </c>
      <c r="L28">
        <f t="shared" si="2"/>
        <v>446.16666666666634</v>
      </c>
      <c r="M28">
        <f t="shared" si="8"/>
        <v>399</v>
      </c>
      <c r="N28">
        <f t="shared" si="13"/>
        <v>0</v>
      </c>
      <c r="O28">
        <f t="shared" si="3"/>
        <v>0</v>
      </c>
      <c r="P28" s="1">
        <f t="shared" si="4"/>
        <v>1.0646682134086914E-48</v>
      </c>
      <c r="Q28">
        <f t="shared" si="9"/>
        <v>446.16666666666634</v>
      </c>
      <c r="R28">
        <f t="shared" si="5"/>
        <v>1</v>
      </c>
      <c r="S28">
        <f t="shared" si="0"/>
        <v>1</v>
      </c>
      <c r="U28">
        <v>26</v>
      </c>
      <c r="V28">
        <f t="shared" si="10"/>
        <v>3.1700000000000017</v>
      </c>
      <c r="W28">
        <f t="shared" ca="1" si="14"/>
        <v>151.11111111111123</v>
      </c>
      <c r="X28" s="1" cm="1">
        <f t="array" aca="1" ref="X28" ca="1">GNorm(W28)</f>
        <v>7.8784594469082196E-3</v>
      </c>
      <c r="Y28" s="1">
        <f t="shared" si="11"/>
        <v>3.2499999999999996</v>
      </c>
      <c r="Z28">
        <f t="shared" ca="1" si="6"/>
        <v>7.517850263533353E-2</v>
      </c>
    </row>
    <row r="29" spans="1:26" x14ac:dyDescent="0.3">
      <c r="A29">
        <v>0.55947970550754422</v>
      </c>
      <c r="B29">
        <v>179.69370385663757</v>
      </c>
      <c r="C29">
        <f t="shared" si="1"/>
        <v>179</v>
      </c>
      <c r="I29">
        <v>27</v>
      </c>
      <c r="J29">
        <f t="shared" si="12"/>
        <v>446.16666666666634</v>
      </c>
      <c r="K29">
        <f t="shared" si="7"/>
        <v>452.44444444444412</v>
      </c>
      <c r="L29">
        <f t="shared" si="2"/>
        <v>458.72222222222189</v>
      </c>
      <c r="M29">
        <f t="shared" si="8"/>
        <v>399</v>
      </c>
      <c r="N29">
        <f t="shared" si="13"/>
        <v>0</v>
      </c>
      <c r="O29">
        <f t="shared" si="3"/>
        <v>0</v>
      </c>
      <c r="P29" s="1">
        <f t="shared" si="4"/>
        <v>3.1421862370650772E-53</v>
      </c>
      <c r="Q29">
        <f t="shared" si="9"/>
        <v>458.72222222222189</v>
      </c>
      <c r="R29">
        <f t="shared" si="5"/>
        <v>1</v>
      </c>
      <c r="S29">
        <f t="shared" si="0"/>
        <v>1</v>
      </c>
      <c r="U29">
        <v>27</v>
      </c>
      <c r="V29">
        <f t="shared" si="10"/>
        <v>3.2700000000000018</v>
      </c>
      <c r="W29">
        <f t="shared" ca="1" si="14"/>
        <v>152.36666666666679</v>
      </c>
      <c r="X29" s="1" cm="1">
        <f t="array" aca="1" ref="X29" ca="1">GNorm(W29)</f>
        <v>8.6887016445011556E-3</v>
      </c>
      <c r="Y29" s="1">
        <f t="shared" si="11"/>
        <v>3.3599999999999994</v>
      </c>
      <c r="Z29">
        <f t="shared" ca="1" si="6"/>
        <v>8.5574914729494841E-2</v>
      </c>
    </row>
    <row r="30" spans="1:26" x14ac:dyDescent="0.3">
      <c r="A30">
        <v>0.6791433949322101</v>
      </c>
      <c r="B30">
        <v>185.37548609207914</v>
      </c>
      <c r="C30">
        <f t="shared" si="1"/>
        <v>185</v>
      </c>
      <c r="I30">
        <v>28</v>
      </c>
      <c r="J30">
        <f t="shared" si="12"/>
        <v>458.72222222222189</v>
      </c>
      <c r="K30">
        <f t="shared" si="7"/>
        <v>464.99999999999966</v>
      </c>
      <c r="L30">
        <f t="shared" si="2"/>
        <v>471.27777777777743</v>
      </c>
      <c r="M30">
        <f t="shared" si="8"/>
        <v>399</v>
      </c>
      <c r="N30">
        <f t="shared" si="13"/>
        <v>0</v>
      </c>
      <c r="O30">
        <f t="shared" si="3"/>
        <v>0</v>
      </c>
      <c r="P30" s="1">
        <f t="shared" si="4"/>
        <v>5.7009059599568024E-58</v>
      </c>
      <c r="Q30">
        <f t="shared" si="9"/>
        <v>471.27777777777743</v>
      </c>
      <c r="R30">
        <f t="shared" si="5"/>
        <v>1</v>
      </c>
      <c r="S30">
        <f t="shared" si="0"/>
        <v>1</v>
      </c>
      <c r="U30">
        <v>28</v>
      </c>
      <c r="V30">
        <f t="shared" si="10"/>
        <v>3.3700000000000019</v>
      </c>
      <c r="W30">
        <f t="shared" ca="1" si="14"/>
        <v>153.62222222222235</v>
      </c>
      <c r="X30" s="1" cm="1">
        <f t="array" aca="1" ref="X30" ca="1">GNorm(W30)</f>
        <v>9.5357621155364083E-3</v>
      </c>
      <c r="Y30" s="1">
        <f t="shared" si="11"/>
        <v>3.4699999999999993</v>
      </c>
      <c r="Z30">
        <f t="shared" ca="1" si="6"/>
        <v>9.7012220561004142E-2</v>
      </c>
    </row>
    <row r="31" spans="1:26" x14ac:dyDescent="0.3">
      <c r="A31">
        <v>0.83883285899799875</v>
      </c>
      <c r="B31">
        <v>194.81410274135285</v>
      </c>
      <c r="C31">
        <f t="shared" si="1"/>
        <v>194</v>
      </c>
      <c r="I31">
        <v>29</v>
      </c>
      <c r="J31">
        <f t="shared" si="12"/>
        <v>471.27777777777743</v>
      </c>
      <c r="K31">
        <f t="shared" si="7"/>
        <v>477.5555555555552</v>
      </c>
      <c r="L31">
        <f t="shared" si="2"/>
        <v>483.83333333333297</v>
      </c>
      <c r="M31">
        <f t="shared" si="8"/>
        <v>399</v>
      </c>
      <c r="N31">
        <f t="shared" si="13"/>
        <v>0</v>
      </c>
      <c r="O31">
        <f t="shared" si="3"/>
        <v>0</v>
      </c>
      <c r="P31" s="1">
        <f t="shared" si="4"/>
        <v>6.3584337869388129E-63</v>
      </c>
      <c r="Q31">
        <f t="shared" si="9"/>
        <v>483.83333333333297</v>
      </c>
      <c r="R31">
        <f t="shared" si="5"/>
        <v>1</v>
      </c>
      <c r="S31">
        <f t="shared" si="0"/>
        <v>1</v>
      </c>
      <c r="U31">
        <v>29</v>
      </c>
      <c r="V31">
        <f t="shared" si="10"/>
        <v>3.470000000000002</v>
      </c>
      <c r="W31">
        <f t="shared" ca="1" si="14"/>
        <v>154.87777777777791</v>
      </c>
      <c r="X31" s="1" cm="1">
        <f t="array" aca="1" ref="X31" ca="1">GNorm(W31)</f>
        <v>1.0414606739656197E-2</v>
      </c>
      <c r="Y31" s="1">
        <f t="shared" si="11"/>
        <v>3.5799999999999992</v>
      </c>
      <c r="Z31">
        <f t="shared" ca="1" si="6"/>
        <v>0.10953358863502628</v>
      </c>
    </row>
    <row r="32" spans="1:26" x14ac:dyDescent="0.3">
      <c r="A32">
        <v>0.38386130956209785</v>
      </c>
      <c r="B32">
        <v>171.68360796521384</v>
      </c>
      <c r="C32">
        <f t="shared" si="1"/>
        <v>171</v>
      </c>
      <c r="I32">
        <v>30</v>
      </c>
      <c r="J32">
        <f t="shared" si="12"/>
        <v>483.83333333333297</v>
      </c>
      <c r="K32">
        <f t="shared" si="7"/>
        <v>490.11111111111074</v>
      </c>
      <c r="L32">
        <f t="shared" si="2"/>
        <v>496.38888888888852</v>
      </c>
      <c r="M32">
        <f t="shared" si="8"/>
        <v>399</v>
      </c>
      <c r="N32">
        <f t="shared" si="13"/>
        <v>0</v>
      </c>
      <c r="O32">
        <f t="shared" si="3"/>
        <v>0</v>
      </c>
      <c r="P32" s="1">
        <f t="shared" si="4"/>
        <v>4.359641220754766E-68</v>
      </c>
      <c r="Q32">
        <f t="shared" si="9"/>
        <v>496.38888888888852</v>
      </c>
      <c r="R32">
        <f t="shared" si="5"/>
        <v>1</v>
      </c>
      <c r="S32">
        <f t="shared" si="0"/>
        <v>1</v>
      </c>
      <c r="U32">
        <v>30</v>
      </c>
      <c r="V32">
        <f t="shared" si="10"/>
        <v>3.5700000000000021</v>
      </c>
      <c r="W32">
        <f t="shared" ca="1" si="14"/>
        <v>156.13333333333347</v>
      </c>
      <c r="X32" s="1" cm="1">
        <f t="array" aca="1" ref="X32" ca="1">GNorm(W32)</f>
        <v>1.1319240453676721E-2</v>
      </c>
      <c r="Y32" s="1">
        <f t="shared" si="11"/>
        <v>3.6899999999999991</v>
      </c>
      <c r="Z32">
        <f t="shared" ca="1" si="6"/>
        <v>0.12317526146246942</v>
      </c>
    </row>
    <row r="33" spans="1:26" x14ac:dyDescent="0.3">
      <c r="A33">
        <v>0.7605052027301884</v>
      </c>
      <c r="B33">
        <v>189.74271490139375</v>
      </c>
      <c r="C33">
        <f t="shared" si="1"/>
        <v>189</v>
      </c>
      <c r="U33">
        <v>31</v>
      </c>
      <c r="V33">
        <f t="shared" si="10"/>
        <v>3.6700000000000021</v>
      </c>
      <c r="W33">
        <f t="shared" ca="1" si="14"/>
        <v>157.38888888888903</v>
      </c>
      <c r="X33" s="1" cm="1">
        <f t="array" aca="1" ref="X33" ca="1">GNorm(W33)</f>
        <v>1.2242740358863444E-2</v>
      </c>
      <c r="Y33" s="1">
        <f t="shared" si="11"/>
        <v>3.7999999999999989</v>
      </c>
      <c r="Z33">
        <f t="shared" ca="1" si="6"/>
        <v>0.13796536711634905</v>
      </c>
    </row>
    <row r="34" spans="1:26" x14ac:dyDescent="0.3">
      <c r="A34">
        <v>6.0317010096882839E-2</v>
      </c>
      <c r="B34">
        <v>149.06187813725433</v>
      </c>
      <c r="C34">
        <f t="shared" si="1"/>
        <v>149</v>
      </c>
      <c r="U34">
        <v>32</v>
      </c>
      <c r="V34">
        <f t="shared" si="10"/>
        <v>3.7700000000000022</v>
      </c>
      <c r="W34">
        <f t="shared" ca="1" si="14"/>
        <v>158.64444444444459</v>
      </c>
      <c r="X34" s="1" cm="1">
        <f t="array" aca="1" ref="X34" ca="1">GNorm(W34)</f>
        <v>1.3177315246193016E-2</v>
      </c>
      <c r="Y34" s="1">
        <f t="shared" si="11"/>
        <v>3.9099999999999988</v>
      </c>
      <c r="Z34">
        <f t="shared" ca="1" si="6"/>
        <v>0.15392278884512617</v>
      </c>
    </row>
    <row r="35" spans="1:26" x14ac:dyDescent="0.3">
      <c r="A35">
        <v>0.20054896559482671</v>
      </c>
      <c r="B35">
        <v>161.88608417172091</v>
      </c>
      <c r="C35">
        <f t="shared" si="1"/>
        <v>161</v>
      </c>
      <c r="U35">
        <v>33</v>
      </c>
      <c r="V35">
        <f t="shared" si="10"/>
        <v>3.8700000000000023</v>
      </c>
      <c r="W35">
        <f t="shared" ca="1" si="14"/>
        <v>159.90000000000015</v>
      </c>
      <c r="X35" s="1" cm="1">
        <f t="array" aca="1" ref="X35" ca="1">GNorm(W35)</f>
        <v>1.4114392026066166E-2</v>
      </c>
      <c r="Y35" s="1">
        <f t="shared" si="11"/>
        <v>4.0199999999999987</v>
      </c>
      <c r="Z35">
        <f t="shared" ref="Z35:Z66" ca="1" si="15">_xlfn.NORM.DIST(W35,_mi,_sigma,TRUE)</f>
        <v>0.17105612630848391</v>
      </c>
    </row>
    <row r="36" spans="1:26" x14ac:dyDescent="0.3">
      <c r="A36">
        <v>0.71277626741475453</v>
      </c>
      <c r="B36">
        <v>187.10724470839887</v>
      </c>
      <c r="C36">
        <f t="shared" si="1"/>
        <v>187</v>
      </c>
      <c r="U36">
        <v>34</v>
      </c>
      <c r="V36">
        <f t="shared" ref="V36:V67" si="16">V35+_k/100</f>
        <v>3.9700000000000024</v>
      </c>
      <c r="W36">
        <f t="shared" ca="1" si="14"/>
        <v>161.15555555555571</v>
      </c>
      <c r="X36" s="1" cm="1">
        <f t="array" aca="1" ref="X36" ca="1">GNorm(W36)</f>
        <v>1.5044728641281502E-2</v>
      </c>
      <c r="Y36" s="1">
        <f t="shared" ref="Y36:Y67" si="17">Y35+(1+_k)/100</f>
        <v>4.129999999999999</v>
      </c>
      <c r="Z36">
        <f t="shared" ca="1" si="15"/>
        <v>0.18936278204980561</v>
      </c>
    </row>
    <row r="37" spans="1:26" x14ac:dyDescent="0.3">
      <c r="A37">
        <v>0.40795966712682563</v>
      </c>
      <c r="B37">
        <v>172.80966076064215</v>
      </c>
      <c r="C37">
        <f t="shared" si="1"/>
        <v>172</v>
      </c>
      <c r="U37">
        <v>35</v>
      </c>
      <c r="V37">
        <f t="shared" si="16"/>
        <v>4.0700000000000021</v>
      </c>
      <c r="W37">
        <f t="shared" ca="1" si="14"/>
        <v>162.41111111111127</v>
      </c>
      <c r="X37" s="1" cm="1">
        <f t="array" aca="1" ref="X37" ca="1">GNorm(W37)</f>
        <v>1.5958552077558259E-2</v>
      </c>
      <c r="Y37" s="1">
        <f t="shared" si="17"/>
        <v>4.2399999999999993</v>
      </c>
      <c r="Z37">
        <f t="shared" ca="1" si="15"/>
        <v>0.20882820568928276</v>
      </c>
    </row>
    <row r="38" spans="1:26" x14ac:dyDescent="0.3">
      <c r="A38">
        <v>0.66779729579007086</v>
      </c>
      <c r="B38">
        <v>184.80910076802098</v>
      </c>
      <c r="C38">
        <f t="shared" si="1"/>
        <v>184</v>
      </c>
      <c r="U38">
        <v>36</v>
      </c>
      <c r="V38">
        <f t="shared" si="16"/>
        <v>4.1700000000000017</v>
      </c>
      <c r="W38">
        <f t="shared" ca="1" si="14"/>
        <v>163.66666666666683</v>
      </c>
      <c r="X38" s="1" cm="1">
        <f t="array" aca="1" ref="X38" ca="1">GNorm(W38)</f>
        <v>1.6845719103572791E-2</v>
      </c>
      <c r="Y38" s="1">
        <f t="shared" si="17"/>
        <v>4.3499999999999996</v>
      </c>
      <c r="Z38">
        <f t="shared" ca="1" si="15"/>
        <v>0.22942532596473633</v>
      </c>
    </row>
    <row r="39" spans="1:26" x14ac:dyDescent="0.3">
      <c r="A39">
        <v>0.90355395594834631</v>
      </c>
      <c r="B39">
        <v>200.43727944910478</v>
      </c>
      <c r="C39">
        <f t="shared" si="1"/>
        <v>200</v>
      </c>
      <c r="U39">
        <v>37</v>
      </c>
      <c r="V39">
        <f t="shared" si="16"/>
        <v>4.2700000000000014</v>
      </c>
      <c r="W39">
        <f t="shared" ca="1" si="14"/>
        <v>164.92222222222239</v>
      </c>
      <c r="X39" s="1" cm="1">
        <f t="array" aca="1" ref="X39" ca="1">GNorm(W39)</f>
        <v>1.769589641527701E-2</v>
      </c>
      <c r="Y39" s="1">
        <f t="shared" si="17"/>
        <v>4.46</v>
      </c>
      <c r="Z39">
        <f t="shared" ca="1" si="15"/>
        <v>0.25111419716817018</v>
      </c>
    </row>
    <row r="40" spans="1:26" x14ac:dyDescent="0.3">
      <c r="A40">
        <v>0.47803879688661632</v>
      </c>
      <c r="B40">
        <v>176.00862471191829</v>
      </c>
      <c r="C40">
        <f t="shared" si="1"/>
        <v>176</v>
      </c>
      <c r="U40">
        <v>38</v>
      </c>
      <c r="V40">
        <f t="shared" si="16"/>
        <v>4.370000000000001</v>
      </c>
      <c r="W40">
        <f t="shared" ca="1" si="14"/>
        <v>166.17777777777795</v>
      </c>
      <c r="X40" s="1" cm="1">
        <f t="array" aca="1" ref="X40" ca="1">GNorm(W40)</f>
        <v>1.8498755971909742E-2</v>
      </c>
      <c r="Y40" s="1">
        <f t="shared" si="17"/>
        <v>4.57</v>
      </c>
      <c r="Z40">
        <f t="shared" ca="1" si="15"/>
        <v>0.27384188178434954</v>
      </c>
    </row>
    <row r="41" spans="1:26" x14ac:dyDescent="0.3">
      <c r="A41">
        <v>0.7704839255772703</v>
      </c>
      <c r="B41">
        <v>190.32794689649867</v>
      </c>
      <c r="C41">
        <f t="shared" si="1"/>
        <v>190</v>
      </c>
      <c r="U41">
        <v>39</v>
      </c>
      <c r="V41">
        <f t="shared" si="16"/>
        <v>4.4700000000000006</v>
      </c>
      <c r="W41">
        <f t="shared" ca="1" si="14"/>
        <v>167.43333333333351</v>
      </c>
      <c r="X41" s="1" cm="1">
        <f t="array" aca="1" ref="X41" ca="1">GNorm(W41)</f>
        <v>1.9244180537763594E-2</v>
      </c>
      <c r="Y41" s="1">
        <f t="shared" si="17"/>
        <v>4.6800000000000006</v>
      </c>
      <c r="Z41">
        <f t="shared" ca="1" si="15"/>
        <v>0.29754258534890243</v>
      </c>
    </row>
    <row r="42" spans="1:26" x14ac:dyDescent="0.3">
      <c r="A42">
        <v>0.51644783305149466</v>
      </c>
      <c r="B42">
        <v>177.74232522692969</v>
      </c>
      <c r="C42">
        <f t="shared" si="1"/>
        <v>177</v>
      </c>
      <c r="U42">
        <v>40</v>
      </c>
      <c r="V42">
        <f t="shared" si="16"/>
        <v>4.57</v>
      </c>
      <c r="W42">
        <f t="shared" ca="1" si="14"/>
        <v>168.68888888888907</v>
      </c>
      <c r="X42" s="1" cm="1">
        <f t="array" aca="1" ref="X42" ca="1">GNorm(W42)</f>
        <v>1.9922473825605559E-2</v>
      </c>
      <c r="Y42" s="1">
        <f t="shared" si="17"/>
        <v>4.7900000000000009</v>
      </c>
      <c r="Z42">
        <f t="shared" ca="1" si="15"/>
        <v>0.32213805287701547</v>
      </c>
    </row>
    <row r="43" spans="1:26" x14ac:dyDescent="0.3">
      <c r="A43">
        <v>0.75042936317427611</v>
      </c>
      <c r="B43">
        <v>189.16514726346068</v>
      </c>
      <c r="C43">
        <f t="shared" si="1"/>
        <v>189</v>
      </c>
      <c r="U43">
        <v>41</v>
      </c>
      <c r="V43">
        <f t="shared" si="16"/>
        <v>4.67</v>
      </c>
      <c r="W43">
        <f t="shared" ca="1" si="14"/>
        <v>169.94444444444463</v>
      </c>
      <c r="X43" s="1" cm="1">
        <f t="array" aca="1" ref="X43" ca="1">GNorm(W43)</f>
        <v>2.0524569210433819E-2</v>
      </c>
      <c r="Y43" s="1">
        <f t="shared" si="17"/>
        <v>4.9000000000000012</v>
      </c>
      <c r="Z43">
        <f t="shared" ca="1" si="15"/>
        <v>0.34753822888772368</v>
      </c>
    </row>
    <row r="44" spans="1:26" x14ac:dyDescent="0.3">
      <c r="A44">
        <v>0.10630438377213569</v>
      </c>
      <c r="B44">
        <v>154.56436764659435</v>
      </c>
      <c r="C44">
        <f t="shared" si="1"/>
        <v>154</v>
      </c>
      <c r="U44">
        <v>42</v>
      </c>
      <c r="V44">
        <f t="shared" si="16"/>
        <v>4.7699999999999996</v>
      </c>
      <c r="W44">
        <f t="shared" ca="1" si="14"/>
        <v>171.20000000000019</v>
      </c>
      <c r="X44" s="1" cm="1">
        <f t="array" aca="1" ref="X44" ca="1">GNorm(W44)</f>
        <v>2.1042230774104064E-2</v>
      </c>
      <c r="Y44" s="1">
        <f t="shared" si="17"/>
        <v>5.0100000000000016</v>
      </c>
      <c r="Z44">
        <f t="shared" ca="1" si="15"/>
        <v>0.37364217532137362</v>
      </c>
    </row>
    <row r="45" spans="1:26" x14ac:dyDescent="0.3">
      <c r="A45">
        <v>0.60899169291098898</v>
      </c>
      <c r="B45">
        <v>181.98045602439473</v>
      </c>
      <c r="C45">
        <f t="shared" si="1"/>
        <v>181</v>
      </c>
      <c r="U45">
        <v>43</v>
      </c>
      <c r="V45">
        <f t="shared" si="16"/>
        <v>4.8699999999999992</v>
      </c>
      <c r="W45">
        <f t="shared" ca="1" si="14"/>
        <v>172.45555555555575</v>
      </c>
      <c r="X45" s="1" cm="1">
        <f t="array" aca="1" ref="X45" ca="1">GNorm(W45)</f>
        <v>2.1468240470861572E-2</v>
      </c>
      <c r="Y45" s="1">
        <f t="shared" si="17"/>
        <v>5.1200000000000019</v>
      </c>
      <c r="Z45">
        <f t="shared" ca="1" si="15"/>
        <v>0.40033923380688197</v>
      </c>
    </row>
    <row r="46" spans="1:26" x14ac:dyDescent="0.3">
      <c r="A46">
        <v>0.86678116312865827</v>
      </c>
      <c r="B46">
        <v>197.00346549466192</v>
      </c>
      <c r="C46">
        <f t="shared" si="1"/>
        <v>197</v>
      </c>
      <c r="U46">
        <v>44</v>
      </c>
      <c r="V46">
        <f t="shared" si="16"/>
        <v>4.9699999999999989</v>
      </c>
      <c r="W46">
        <f t="shared" ca="1" si="14"/>
        <v>173.71111111111131</v>
      </c>
      <c r="X46" s="1" cm="1">
        <f t="array" aca="1" ref="X46" ca="1">GNorm(W46)</f>
        <v>2.1796565478605777E-2</v>
      </c>
      <c r="Y46" s="1">
        <f t="shared" si="17"/>
        <v>5.2300000000000022</v>
      </c>
      <c r="Z46">
        <f t="shared" ca="1" si="15"/>
        <v>0.42751041108528187</v>
      </c>
    </row>
    <row r="47" spans="1:26" x14ac:dyDescent="0.3">
      <c r="A47">
        <v>0.47023905592126569</v>
      </c>
      <c r="B47">
        <v>175.65595887394954</v>
      </c>
      <c r="C47">
        <f t="shared" si="1"/>
        <v>175</v>
      </c>
      <c r="U47">
        <v>45</v>
      </c>
      <c r="V47">
        <f t="shared" si="16"/>
        <v>5.0699999999999985</v>
      </c>
      <c r="W47">
        <f t="shared" ca="1" si="14"/>
        <v>174.96666666666687</v>
      </c>
      <c r="X47" s="1" cm="1">
        <f t="array" aca="1" ref="X47" ca="1">GNorm(W47)</f>
        <v>2.2022500316657156E-2</v>
      </c>
      <c r="Y47" s="1">
        <f t="shared" si="17"/>
        <v>5.3400000000000025</v>
      </c>
      <c r="Z47">
        <f t="shared" ca="1" si="15"/>
        <v>0.45502995924339379</v>
      </c>
    </row>
    <row r="48" spans="1:26" x14ac:dyDescent="0.3">
      <c r="A48">
        <v>0.40543730573092007</v>
      </c>
      <c r="B48">
        <v>172.69263821301638</v>
      </c>
      <c r="C48">
        <f t="shared" si="1"/>
        <v>172</v>
      </c>
      <c r="U48">
        <v>46</v>
      </c>
      <c r="V48">
        <f t="shared" si="16"/>
        <v>5.1699999999999982</v>
      </c>
      <c r="W48">
        <f t="shared" ca="1" si="14"/>
        <v>176.22222222222243</v>
      </c>
      <c r="X48" s="1" cm="1">
        <f t="array" aca="1" ref="X48" ca="1">GNorm(W48)</f>
        <v>2.2142779051823231E-2</v>
      </c>
      <c r="Y48" s="1">
        <f t="shared" si="17"/>
        <v>5.4500000000000028</v>
      </c>
      <c r="Z48">
        <f t="shared" ca="1" si="15"/>
        <v>0.48276711605018696</v>
      </c>
    </row>
    <row r="49" spans="1:26" x14ac:dyDescent="0.3">
      <c r="A49">
        <v>0.46225363619099991</v>
      </c>
      <c r="B49">
        <v>175.29436108824427</v>
      </c>
      <c r="C49">
        <f t="shared" si="1"/>
        <v>175</v>
      </c>
      <c r="U49">
        <v>47</v>
      </c>
      <c r="V49">
        <f t="shared" si="16"/>
        <v>5.2699999999999978</v>
      </c>
      <c r="W49">
        <f t="shared" ca="1" si="14"/>
        <v>177.47777777777799</v>
      </c>
      <c r="X49" s="1" cm="1">
        <f t="array" aca="1" ref="X49" ca="1">GNorm(W49)</f>
        <v>2.2155653853205219E-2</v>
      </c>
      <c r="Y49" s="1">
        <f t="shared" si="17"/>
        <v>5.5600000000000032</v>
      </c>
      <c r="Z49">
        <f t="shared" ca="1" si="15"/>
        <v>0.51058796538502893</v>
      </c>
    </row>
    <row r="50" spans="1:26" x14ac:dyDescent="0.3">
      <c r="A50">
        <v>0.45243867128210213</v>
      </c>
      <c r="B50">
        <v>174.8489568869322</v>
      </c>
      <c r="C50">
        <f t="shared" si="1"/>
        <v>174</v>
      </c>
      <c r="U50">
        <v>48</v>
      </c>
      <c r="V50">
        <f t="shared" si="16"/>
        <v>5.3699999999999974</v>
      </c>
      <c r="W50">
        <f t="shared" ca="1" si="14"/>
        <v>178.73333333333355</v>
      </c>
      <c r="X50" s="1" cm="1">
        <f t="array" aca="1" ref="X50" ca="1">GNorm(W50)</f>
        <v>2.2060937254799275E-2</v>
      </c>
      <c r="Y50" s="1">
        <f t="shared" si="17"/>
        <v>5.6700000000000035</v>
      </c>
      <c r="Z50">
        <f t="shared" ca="1" si="15"/>
        <v>0.5383573737270102</v>
      </c>
    </row>
    <row r="51" spans="1:26" x14ac:dyDescent="0.3">
      <c r="A51">
        <v>0.11654321094572018</v>
      </c>
      <c r="B51">
        <v>155.53597243011703</v>
      </c>
      <c r="C51">
        <f t="shared" si="1"/>
        <v>155</v>
      </c>
      <c r="U51">
        <v>49</v>
      </c>
      <c r="V51">
        <f t="shared" si="16"/>
        <v>5.4699999999999971</v>
      </c>
      <c r="W51">
        <f t="shared" ca="1" si="14"/>
        <v>179.98888888888911</v>
      </c>
      <c r="X51" s="1" cm="1">
        <f t="array" aca="1" ref="X51" ca="1">GNorm(W51)</f>
        <v>2.1860006697527169E-2</v>
      </c>
      <c r="Y51" s="1">
        <f t="shared" si="17"/>
        <v>5.7800000000000038</v>
      </c>
      <c r="Z51">
        <f t="shared" ca="1" si="15"/>
        <v>0.56594095611061424</v>
      </c>
    </row>
    <row r="52" spans="1:26" x14ac:dyDescent="0.3">
      <c r="A52">
        <v>0.57958794472879682</v>
      </c>
      <c r="B52">
        <v>180.61511019636296</v>
      </c>
      <c r="C52">
        <f t="shared" si="1"/>
        <v>180</v>
      </c>
      <c r="U52">
        <v>50</v>
      </c>
      <c r="V52">
        <f t="shared" si="16"/>
        <v>5.5699999999999967</v>
      </c>
      <c r="W52">
        <f t="shared" ca="1" si="14"/>
        <v>181.24444444444467</v>
      </c>
      <c r="X52" s="1" cm="1">
        <f t="array" aca="1" ref="X52" ca="1">GNorm(W52)</f>
        <v>2.155577119687974E-2</v>
      </c>
      <c r="Y52" s="1">
        <f t="shared" si="17"/>
        <v>5.8900000000000041</v>
      </c>
      <c r="Z52">
        <f t="shared" ca="1" si="15"/>
        <v>0.59320702395611646</v>
      </c>
    </row>
    <row r="53" spans="1:26" x14ac:dyDescent="0.3">
      <c r="A53">
        <v>9.2824618862364816E-2</v>
      </c>
      <c r="B53">
        <v>153.17592111732233</v>
      </c>
      <c r="C53">
        <f t="shared" si="1"/>
        <v>153</v>
      </c>
      <c r="U53">
        <v>51</v>
      </c>
      <c r="V53">
        <f t="shared" si="16"/>
        <v>5.6699999999999964</v>
      </c>
      <c r="W53">
        <f t="shared" ca="1" si="14"/>
        <v>182.50000000000023</v>
      </c>
      <c r="X53" s="1" cm="1">
        <f t="array" aca="1" ref="X53" ca="1">GNorm(W53)</f>
        <v>2.115260126359178E-2</v>
      </c>
      <c r="Y53" s="1">
        <f t="shared" si="17"/>
        <v>6.0000000000000044</v>
      </c>
      <c r="Z53">
        <f t="shared" ca="1" si="15"/>
        <v>0.62002846779653609</v>
      </c>
    </row>
    <row r="54" spans="1:26" x14ac:dyDescent="0.3">
      <c r="A54">
        <v>0.52470263893786762</v>
      </c>
      <c r="B54">
        <v>178.11527918670296</v>
      </c>
      <c r="C54">
        <f t="shared" si="1"/>
        <v>178</v>
      </c>
      <c r="U54">
        <v>52</v>
      </c>
      <c r="V54">
        <f t="shared" si="16"/>
        <v>5.769999999999996</v>
      </c>
      <c r="W54">
        <f t="shared" ca="1" si="14"/>
        <v>183.75555555555579</v>
      </c>
      <c r="X54" s="1" cm="1">
        <f t="array" aca="1" ref="X54" ca="1">GNorm(W54)</f>
        <v>2.0656224437052513E-2</v>
      </c>
      <c r="Y54" s="1">
        <f t="shared" si="17"/>
        <v>6.1100000000000048</v>
      </c>
      <c r="Z54">
        <f t="shared" ca="1" si="15"/>
        <v>0.6462845301200757</v>
      </c>
    </row>
    <row r="55" spans="1:26" x14ac:dyDescent="0.3">
      <c r="A55">
        <v>0.81990095854566647</v>
      </c>
      <c r="B55">
        <v>193.46977875265173</v>
      </c>
      <c r="C55">
        <f t="shared" si="1"/>
        <v>193</v>
      </c>
      <c r="U55">
        <v>53</v>
      </c>
      <c r="V55">
        <f t="shared" si="16"/>
        <v>5.8699999999999957</v>
      </c>
      <c r="W55">
        <f t="shared" ca="1" si="14"/>
        <v>185.01111111111135</v>
      </c>
      <c r="X55" s="1" cm="1">
        <f t="array" aca="1" ref="X55" ca="1">GNorm(W55)</f>
        <v>2.0073589921449579E-2</v>
      </c>
      <c r="Y55" s="1">
        <f t="shared" si="17"/>
        <v>6.2200000000000051</v>
      </c>
      <c r="Z55">
        <f t="shared" ca="1" si="15"/>
        <v>0.67186242723258838</v>
      </c>
    </row>
    <row r="56" spans="1:26" x14ac:dyDescent="0.3">
      <c r="A56">
        <v>0.98662974974853446</v>
      </c>
      <c r="B56">
        <v>216.87513216812454</v>
      </c>
      <c r="C56">
        <f t="shared" si="1"/>
        <v>216</v>
      </c>
      <c r="U56">
        <v>54</v>
      </c>
      <c r="V56">
        <f t="shared" si="16"/>
        <v>5.9699999999999953</v>
      </c>
      <c r="W56">
        <f t="shared" ca="1" si="14"/>
        <v>186.26666666666691</v>
      </c>
      <c r="X56" s="1" cm="1">
        <f t="array" aca="1" ref="X56" ca="1">GNorm(W56)</f>
        <v>1.9412706795282911E-2</v>
      </c>
      <c r="Y56" s="1">
        <f t="shared" si="17"/>
        <v>6.3300000000000054</v>
      </c>
      <c r="Z56">
        <f t="shared" ca="1" si="15"/>
        <v>0.69665878406003812</v>
      </c>
    </row>
    <row r="57" spans="1:26" x14ac:dyDescent="0.3">
      <c r="A57">
        <v>0.16621975436707248</v>
      </c>
      <c r="B57">
        <v>159.55418702078723</v>
      </c>
      <c r="C57">
        <f t="shared" si="1"/>
        <v>159</v>
      </c>
      <c r="U57">
        <v>55</v>
      </c>
      <c r="V57">
        <f t="shared" si="16"/>
        <v>6.069999999999995</v>
      </c>
      <c r="W57">
        <f t="shared" ca="1" si="14"/>
        <v>187.52222222222247</v>
      </c>
      <c r="X57" s="1" cm="1">
        <f t="array" aca="1" ref="X57" ca="1">GNorm(W57)</f>
        <v>1.8682461056034733E-2</v>
      </c>
      <c r="Y57" s="1">
        <f t="shared" si="17"/>
        <v>6.4400000000000057</v>
      </c>
      <c r="Z57">
        <f t="shared" ca="1" si="15"/>
        <v>0.7205808519423168</v>
      </c>
    </row>
    <row r="58" spans="1:26" x14ac:dyDescent="0.3">
      <c r="A58">
        <v>0.1010678308976205</v>
      </c>
      <c r="B58">
        <v>154.04116984289121</v>
      </c>
      <c r="C58">
        <f t="shared" si="1"/>
        <v>154</v>
      </c>
      <c r="U58">
        <v>56</v>
      </c>
      <c r="V58">
        <f t="shared" si="16"/>
        <v>6.1699999999999946</v>
      </c>
      <c r="W58">
        <f t="shared" ca="1" si="14"/>
        <v>188.77777777777803</v>
      </c>
      <c r="X58" s="1" cm="1">
        <f t="array" aca="1" ref="X58" ca="1">GNorm(W58)</f>
        <v>1.7892417333409402E-2</v>
      </c>
      <c r="Y58" s="1">
        <f t="shared" si="17"/>
        <v>6.550000000000006</v>
      </c>
      <c r="Z58">
        <f t="shared" ca="1" si="15"/>
        <v>0.74354748645927926</v>
      </c>
    </row>
    <row r="59" spans="1:26" x14ac:dyDescent="0.3">
      <c r="A59">
        <v>0.62487618534141076</v>
      </c>
      <c r="B59">
        <v>182.72963150514008</v>
      </c>
      <c r="C59">
        <f t="shared" si="1"/>
        <v>182</v>
      </c>
      <c r="U59">
        <v>57</v>
      </c>
      <c r="V59">
        <f t="shared" si="16"/>
        <v>6.2699999999999942</v>
      </c>
      <c r="W59">
        <f t="shared" ca="1" si="14"/>
        <v>190.03333333333359</v>
      </c>
      <c r="X59" s="1" cm="1">
        <f t="array" aca="1" ref="X59" ca="1">GNorm(W59)</f>
        <v>1.7052611437794046E-2</v>
      </c>
      <c r="Y59" s="1">
        <f t="shared" si="17"/>
        <v>6.6600000000000064</v>
      </c>
      <c r="Z59">
        <f t="shared" ca="1" si="15"/>
        <v>0.76548986988877388</v>
      </c>
    </row>
    <row r="60" spans="1:26" x14ac:dyDescent="0.3">
      <c r="A60">
        <v>0.28781460064792164</v>
      </c>
      <c r="B60">
        <v>166.92395193131773</v>
      </c>
      <c r="C60">
        <f t="shared" si="1"/>
        <v>166</v>
      </c>
      <c r="U60">
        <v>58</v>
      </c>
      <c r="V60">
        <f t="shared" si="16"/>
        <v>6.3699999999999939</v>
      </c>
      <c r="W60">
        <f t="shared" ca="1" si="14"/>
        <v>191.28888888888915</v>
      </c>
      <c r="X60" s="1" cm="1">
        <f t="array" aca="1" ref="X60" ca="1">GNorm(W60)</f>
        <v>1.6173339998441425E-2</v>
      </c>
      <c r="Y60" s="1">
        <f t="shared" si="17"/>
        <v>6.7700000000000067</v>
      </c>
      <c r="Z60">
        <f t="shared" ca="1" si="15"/>
        <v>0.78635197071981189</v>
      </c>
    </row>
    <row r="61" spans="1:26" x14ac:dyDescent="0.3">
      <c r="A61">
        <v>0.86832182884957754</v>
      </c>
      <c r="B61">
        <v>197.13288041857112</v>
      </c>
      <c r="C61">
        <f t="shared" si="1"/>
        <v>197</v>
      </c>
      <c r="U61">
        <v>59</v>
      </c>
      <c r="V61">
        <f t="shared" si="16"/>
        <v>6.4699999999999935</v>
      </c>
      <c r="W61">
        <f t="shared" ca="1" si="14"/>
        <v>192.54444444444471</v>
      </c>
      <c r="X61" s="1" cm="1">
        <f t="array" aca="1" ref="X61" ca="1">GNorm(W61)</f>
        <v>1.5264953293213411E-2</v>
      </c>
      <c r="Y61" s="1">
        <f t="shared" si="17"/>
        <v>6.880000000000007</v>
      </c>
      <c r="Z61">
        <f t="shared" ca="1" si="15"/>
        <v>0.80609074042558138</v>
      </c>
    </row>
    <row r="62" spans="1:26" x14ac:dyDescent="0.3">
      <c r="A62">
        <v>0.16861163321263306</v>
      </c>
      <c r="B62">
        <v>159.72600935863352</v>
      </c>
      <c r="C62">
        <f t="shared" si="1"/>
        <v>159</v>
      </c>
      <c r="U62">
        <v>60</v>
      </c>
      <c r="V62">
        <f t="shared" si="16"/>
        <v>6.5699999999999932</v>
      </c>
      <c r="W62">
        <f t="shared" ca="1" si="14"/>
        <v>193.80000000000027</v>
      </c>
      <c r="X62" s="1" cm="1">
        <f t="array" aca="1" ref="X62" ca="1">GNorm(W62)</f>
        <v>1.4337656994624115E-2</v>
      </c>
      <c r="Y62" s="1">
        <f t="shared" si="17"/>
        <v>6.9900000000000073</v>
      </c>
      <c r="Z62">
        <f t="shared" ca="1" si="15"/>
        <v>0.82467605514777442</v>
      </c>
    </row>
    <row r="63" spans="1:26" x14ac:dyDescent="0.3">
      <c r="A63">
        <v>0.52568905856814152</v>
      </c>
      <c r="B63">
        <v>178.15987474028336</v>
      </c>
      <c r="C63">
        <f t="shared" si="1"/>
        <v>178</v>
      </c>
      <c r="U63">
        <v>61</v>
      </c>
      <c r="V63">
        <f t="shared" si="16"/>
        <v>6.6699999999999928</v>
      </c>
      <c r="W63">
        <f t="shared" ca="1" si="14"/>
        <v>195.05555555555583</v>
      </c>
      <c r="X63" s="1" cm="1">
        <f t="array" aca="1" ref="X63" ca="1">GNorm(W63)</f>
        <v>1.3401327981382856E-2</v>
      </c>
      <c r="Y63" s="1">
        <f t="shared" si="17"/>
        <v>7.1000000000000076</v>
      </c>
      <c r="Z63">
        <f t="shared" ca="1" si="15"/>
        <v>0.84209041678922469</v>
      </c>
    </row>
    <row r="64" spans="1:26" x14ac:dyDescent="0.3">
      <c r="A64">
        <v>6.879084434932059E-2</v>
      </c>
      <c r="B64">
        <v>150.27257263492734</v>
      </c>
      <c r="C64">
        <f t="shared" si="1"/>
        <v>150</v>
      </c>
      <c r="U64">
        <v>62</v>
      </c>
      <c r="V64">
        <f t="shared" si="16"/>
        <v>6.7699999999999925</v>
      </c>
      <c r="W64">
        <f t="shared" ca="1" si="14"/>
        <v>196.31111111111139</v>
      </c>
      <c r="X64" s="1" cm="1">
        <f t="array" aca="1" ref="X64" ca="1">GNorm(W64)</f>
        <v>1.2465348624788155E-2</v>
      </c>
      <c r="Y64" s="1">
        <f t="shared" si="17"/>
        <v>7.210000000000008</v>
      </c>
      <c r="Z64">
        <f t="shared" ca="1" si="15"/>
        <v>0.85832843402768866</v>
      </c>
    </row>
    <row r="65" spans="1:26" x14ac:dyDescent="0.3">
      <c r="A65">
        <v>0.54354649289741364</v>
      </c>
      <c r="B65">
        <v>178.96870569198285</v>
      </c>
      <c r="C65">
        <f t="shared" si="1"/>
        <v>178</v>
      </c>
      <c r="U65">
        <v>63</v>
      </c>
      <c r="V65">
        <f t="shared" si="16"/>
        <v>6.8699999999999921</v>
      </c>
      <c r="W65">
        <f t="shared" ca="1" si="14"/>
        <v>197.56666666666695</v>
      </c>
      <c r="X65" s="1" cm="1">
        <f t="array" aca="1" ref="X65" ca="1">GNorm(W65)</f>
        <v>1.1538463095263549E-2</v>
      </c>
      <c r="Y65" s="1">
        <f t="shared" si="17"/>
        <v>7.3200000000000083</v>
      </c>
      <c r="Z65">
        <f t="shared" ca="1" si="15"/>
        <v>0.87339610876810037</v>
      </c>
    </row>
    <row r="66" spans="1:26" x14ac:dyDescent="0.3">
      <c r="A66">
        <v>0.43701022296797343</v>
      </c>
      <c r="B66">
        <v>174.14603195302556</v>
      </c>
      <c r="C66">
        <f t="shared" si="1"/>
        <v>174</v>
      </c>
      <c r="U66">
        <v>64</v>
      </c>
      <c r="V66">
        <f t="shared" si="16"/>
        <v>6.9699999999999918</v>
      </c>
      <c r="W66">
        <f t="shared" ca="1" si="14"/>
        <v>198.82222222222251</v>
      </c>
      <c r="X66" s="1" cm="1">
        <f t="array" aca="1" ref="X66" ca="1">GNorm(W66)</f>
        <v>1.0628658289731654E-2</v>
      </c>
      <c r="Y66" s="1">
        <f t="shared" si="17"/>
        <v>7.4300000000000086</v>
      </c>
      <c r="Z66">
        <f t="shared" ca="1" si="15"/>
        <v>0.8873099574150336</v>
      </c>
    </row>
    <row r="67" spans="1:26" x14ac:dyDescent="0.3">
      <c r="A67">
        <v>0.84155597438551877</v>
      </c>
      <c r="B67">
        <v>195.01571996235828</v>
      </c>
      <c r="C67">
        <f t="shared" ref="C67:C130" si="18">INT(B67)</f>
        <v>195</v>
      </c>
      <c r="U67">
        <v>65</v>
      </c>
      <c r="V67">
        <f t="shared" si="16"/>
        <v>7.0699999999999914</v>
      </c>
      <c r="W67">
        <f t="shared" ca="1" si="14"/>
        <v>200.07777777777807</v>
      </c>
      <c r="X67" s="1" cm="1">
        <f t="array" aca="1" ref="X67" ca="1">GNorm(W67)</f>
        <v>9.7430710001967478E-3</v>
      </c>
      <c r="Y67" s="1">
        <f t="shared" si="17"/>
        <v>7.5400000000000089</v>
      </c>
      <c r="Z67">
        <f t="shared" ref="Z67:Z103" ca="1" si="19">_xlfn.NORM.DIST(W67,_mi,_sigma,TRUE)</f>
        <v>0.90009599899840398</v>
      </c>
    </row>
    <row r="68" spans="1:26" x14ac:dyDescent="0.3">
      <c r="A68">
        <v>9.3485293481286869E-2</v>
      </c>
      <c r="B68">
        <v>153.24730691005328</v>
      </c>
      <c r="C68">
        <f t="shared" si="18"/>
        <v>153</v>
      </c>
      <c r="U68">
        <v>66</v>
      </c>
      <c r="V68">
        <f t="shared" ref="V68:V103" si="20">V67+_k/100</f>
        <v>7.169999999999991</v>
      </c>
      <c r="W68">
        <f t="shared" ca="1" si="14"/>
        <v>201.33333333333363</v>
      </c>
      <c r="X68" s="1" cm="1">
        <f t="array" aca="1" ref="X68" ca="1">GNorm(W68)</f>
        <v>8.8879219714022607E-3</v>
      </c>
      <c r="Y68" s="1">
        <f t="shared" ref="Y68:Y103" si="21">Y67+(1+_k)/100</f>
        <v>7.6500000000000092</v>
      </c>
      <c r="Z68">
        <f t="shared" ca="1" si="19"/>
        <v>0.91178864360639233</v>
      </c>
    </row>
    <row r="69" spans="1:26" x14ac:dyDescent="0.3">
      <c r="A69">
        <v>0.99254176292188945</v>
      </c>
      <c r="B69">
        <v>220.81921167762772</v>
      </c>
      <c r="C69">
        <f t="shared" si="18"/>
        <v>220</v>
      </c>
      <c r="U69">
        <v>67</v>
      </c>
      <c r="V69">
        <f t="shared" si="20"/>
        <v>7.2699999999999907</v>
      </c>
      <c r="W69">
        <f t="shared" ref="W69:W103" ca="1" si="22">W68+$E$18</f>
        <v>202.58888888888919</v>
      </c>
      <c r="X69" s="1" cm="1">
        <f t="array" aca="1" ref="X69" ca="1">GNorm(W69)</f>
        <v>8.0684765709084783E-3</v>
      </c>
      <c r="Y69" s="1">
        <f t="shared" si="21"/>
        <v>7.7600000000000096</v>
      </c>
      <c r="Z69">
        <f t="shared" ca="1" si="19"/>
        <v>0.92242951480564483</v>
      </c>
    </row>
    <row r="70" spans="1:26" x14ac:dyDescent="0.3">
      <c r="A70">
        <v>0.85114251998357171</v>
      </c>
      <c r="B70">
        <v>195.7442293488933</v>
      </c>
      <c r="C70">
        <f t="shared" si="18"/>
        <v>195</v>
      </c>
      <c r="U70">
        <v>68</v>
      </c>
      <c r="V70">
        <f t="shared" si="20"/>
        <v>7.3699999999999903</v>
      </c>
      <c r="W70">
        <f t="shared" ca="1" si="22"/>
        <v>203.84444444444475</v>
      </c>
      <c r="X70" s="1" cm="1">
        <f t="array" aca="1" ref="X70" ca="1">GNorm(W70)</f>
        <v>7.2890309533548622E-3</v>
      </c>
      <c r="Y70" s="1">
        <f t="shared" si="21"/>
        <v>7.8700000000000099</v>
      </c>
      <c r="Z70">
        <f t="shared" ca="1" si="19"/>
        <v>0.93206623884282402</v>
      </c>
    </row>
    <row r="71" spans="1:26" x14ac:dyDescent="0.3">
      <c r="A71">
        <v>1.675988749659052E-2</v>
      </c>
      <c r="B71">
        <v>138.73556952258335</v>
      </c>
      <c r="C71">
        <f t="shared" si="18"/>
        <v>138</v>
      </c>
      <c r="U71">
        <v>69</v>
      </c>
      <c r="V71">
        <f t="shared" si="20"/>
        <v>7.46999999999999</v>
      </c>
      <c r="W71">
        <f t="shared" ca="1" si="22"/>
        <v>205.10000000000031</v>
      </c>
      <c r="X71" s="1" cm="1">
        <f t="array" aca="1" ref="X71" ca="1">GNorm(W71)</f>
        <v>6.5529218704008033E-3</v>
      </c>
      <c r="Y71" s="1">
        <f t="shared" si="21"/>
        <v>7.9800000000000102</v>
      </c>
      <c r="Z71">
        <f t="shared" ca="1" si="19"/>
        <v>0.94075123154624285</v>
      </c>
    </row>
    <row r="72" spans="1:26" x14ac:dyDescent="0.3">
      <c r="A72">
        <v>0.42168816060680547</v>
      </c>
      <c r="B72">
        <v>173.44362066712532</v>
      </c>
      <c r="C72">
        <f t="shared" si="18"/>
        <v>173</v>
      </c>
      <c r="U72">
        <v>70</v>
      </c>
      <c r="V72">
        <f t="shared" si="20"/>
        <v>7.5699999999999896</v>
      </c>
      <c r="W72">
        <f t="shared" ca="1" si="22"/>
        <v>206.35555555555587</v>
      </c>
      <c r="X72" s="1" cm="1">
        <f t="array" aca="1" ref="X72" ca="1">GNorm(W72)</f>
        <v>5.8625576797497244E-3</v>
      </c>
      <c r="Y72" s="1">
        <f t="shared" si="21"/>
        <v>8.0900000000000105</v>
      </c>
      <c r="Z72">
        <f t="shared" ca="1" si="19"/>
        <v>0.94854051113528337</v>
      </c>
    </row>
    <row r="73" spans="1:26" x14ac:dyDescent="0.3">
      <c r="A73">
        <v>7.792441632910041E-2</v>
      </c>
      <c r="B73">
        <v>151.4549012621703</v>
      </c>
      <c r="C73">
        <f t="shared" si="18"/>
        <v>151</v>
      </c>
      <c r="U73">
        <v>71</v>
      </c>
      <c r="V73">
        <f t="shared" si="20"/>
        <v>7.6699999999999893</v>
      </c>
      <c r="W73">
        <f t="shared" ca="1" si="22"/>
        <v>207.61111111111143</v>
      </c>
      <c r="X73" s="1" cm="1">
        <f t="array" aca="1" ref="X73" ca="1">GNorm(W73)</f>
        <v>5.2194676537066107E-3</v>
      </c>
      <c r="Y73" s="1">
        <f t="shared" si="21"/>
        <v>8.2000000000000099</v>
      </c>
      <c r="Z73">
        <f t="shared" ca="1" si="19"/>
        <v>0.95549256177351261</v>
      </c>
    </row>
    <row r="74" spans="1:26" x14ac:dyDescent="0.3">
      <c r="A74">
        <v>0.43605246164942635</v>
      </c>
      <c r="B74">
        <v>174.10226333784541</v>
      </c>
      <c r="C74">
        <f t="shared" si="18"/>
        <v>174</v>
      </c>
      <c r="U74">
        <v>72</v>
      </c>
      <c r="V74">
        <f t="shared" si="20"/>
        <v>7.7699999999999889</v>
      </c>
      <c r="W74">
        <f t="shared" ca="1" si="22"/>
        <v>208.86666666666699</v>
      </c>
      <c r="X74" s="1" cm="1">
        <f t="array" aca="1" ref="X74" ca="1">GNorm(W74)</f>
        <v>4.6243663849866697E-3</v>
      </c>
      <c r="Y74" s="1">
        <f t="shared" si="21"/>
        <v>8.3100000000000094</v>
      </c>
      <c r="Z74">
        <f t="shared" ca="1" si="19"/>
        <v>0.96166726885507914</v>
      </c>
    </row>
    <row r="75" spans="1:26" x14ac:dyDescent="0.3">
      <c r="A75">
        <v>0.53542321434915741</v>
      </c>
      <c r="B75">
        <v>178.6003769395939</v>
      </c>
      <c r="C75">
        <f t="shared" si="18"/>
        <v>178</v>
      </c>
      <c r="U75">
        <v>73</v>
      </c>
      <c r="V75">
        <f t="shared" si="20"/>
        <v>7.8699999999999886</v>
      </c>
      <c r="W75">
        <f t="shared" ca="1" si="22"/>
        <v>210.12222222222255</v>
      </c>
      <c r="X75" s="1" cm="1">
        <f t="array" aca="1" ref="X75" ca="1">GNorm(W75)</f>
        <v>4.0772299326882807E-3</v>
      </c>
      <c r="Y75" s="1">
        <f t="shared" si="21"/>
        <v>8.4200000000000088</v>
      </c>
      <c r="Z75">
        <f t="shared" ca="1" si="19"/>
        <v>0.96712494288101802</v>
      </c>
    </row>
    <row r="76" spans="1:26" x14ac:dyDescent="0.3">
      <c r="A76">
        <v>0.73000634047726276</v>
      </c>
      <c r="B76">
        <v>188.03097900934938</v>
      </c>
      <c r="C76">
        <f t="shared" si="18"/>
        <v>188</v>
      </c>
      <c r="U76">
        <v>74</v>
      </c>
      <c r="V76">
        <f t="shared" si="20"/>
        <v>7.9699999999999882</v>
      </c>
      <c r="W76">
        <f t="shared" ca="1" si="22"/>
        <v>211.37777777777811</v>
      </c>
      <c r="X76" s="1" cm="1">
        <f t="array" aca="1" ref="X76" ca="1">GNorm(W76)</f>
        <v>3.5773803356321668E-3</v>
      </c>
      <c r="Y76" s="1">
        <f t="shared" si="21"/>
        <v>8.5300000000000082</v>
      </c>
      <c r="Z76">
        <f t="shared" ca="1" si="19"/>
        <v>0.97192544454331886</v>
      </c>
    </row>
    <row r="77" spans="1:26" x14ac:dyDescent="0.3">
      <c r="A77">
        <v>0.71704595607324051</v>
      </c>
      <c r="B77">
        <v>187.33358840115883</v>
      </c>
      <c r="C77">
        <f t="shared" si="18"/>
        <v>187</v>
      </c>
      <c r="U77">
        <v>75</v>
      </c>
      <c r="V77">
        <f t="shared" si="20"/>
        <v>8.0699999999999878</v>
      </c>
      <c r="W77">
        <f t="shared" ca="1" si="22"/>
        <v>212.63333333333367</v>
      </c>
      <c r="X77" s="1" cm="1">
        <f t="array" aca="1" ref="X77" ca="1">GNorm(W77)</f>
        <v>3.1235752293914303E-3</v>
      </c>
      <c r="Y77" s="1">
        <f t="shared" si="21"/>
        <v>8.6400000000000077</v>
      </c>
      <c r="Z77">
        <f t="shared" ca="1" si="19"/>
        <v>0.97612741945621817</v>
      </c>
    </row>
    <row r="78" spans="1:26" x14ac:dyDescent="0.3">
      <c r="A78">
        <v>0.10871785155382518</v>
      </c>
      <c r="B78">
        <v>154.79924108523667</v>
      </c>
      <c r="C78">
        <f t="shared" si="18"/>
        <v>154</v>
      </c>
      <c r="U78">
        <v>76</v>
      </c>
      <c r="V78">
        <f t="shared" si="20"/>
        <v>8.1699999999999875</v>
      </c>
      <c r="W78">
        <f t="shared" ca="1" si="22"/>
        <v>213.88888888888923</v>
      </c>
      <c r="X78" s="1" cm="1">
        <f t="array" aca="1" ref="X78" ca="1">GNorm(W78)</f>
        <v>2.7140995189057879E-3</v>
      </c>
      <c r="Y78" s="1">
        <f t="shared" si="21"/>
        <v>8.7500000000000071</v>
      </c>
      <c r="Z78">
        <f t="shared" ca="1" si="19"/>
        <v>0.97978764700170584</v>
      </c>
    </row>
    <row r="79" spans="1:26" x14ac:dyDescent="0.3">
      <c r="A79">
        <v>0.52965214747853928</v>
      </c>
      <c r="B79">
        <v>178.33911864527272</v>
      </c>
      <c r="C79">
        <f t="shared" si="18"/>
        <v>178</v>
      </c>
      <c r="U79">
        <v>77</v>
      </c>
      <c r="V79">
        <f t="shared" si="20"/>
        <v>8.2699999999999871</v>
      </c>
      <c r="W79">
        <f t="shared" ca="1" si="22"/>
        <v>215.14444444444479</v>
      </c>
      <c r="X79" s="1" cm="1">
        <f t="array" aca="1" ref="X79" ca="1">GNorm(W79)</f>
        <v>2.3468563594505601E-3</v>
      </c>
      <c r="Y79" s="1">
        <f t="shared" si="21"/>
        <v>8.8600000000000065</v>
      </c>
      <c r="Z79">
        <f t="shared" ca="1" si="19"/>
        <v>0.98296050411029456</v>
      </c>
    </row>
    <row r="80" spans="1:26" x14ac:dyDescent="0.3">
      <c r="A80">
        <v>0.3185609445336649</v>
      </c>
      <c r="B80">
        <v>168.50891971222467</v>
      </c>
      <c r="C80">
        <f t="shared" si="18"/>
        <v>168</v>
      </c>
      <c r="U80">
        <v>78</v>
      </c>
      <c r="V80">
        <f t="shared" si="20"/>
        <v>8.3699999999999868</v>
      </c>
      <c r="W80">
        <f t="shared" ca="1" si="22"/>
        <v>216.40000000000035</v>
      </c>
      <c r="X80" s="1" cm="1">
        <f t="array" aca="1" ref="X80" ca="1">GNorm(W80)</f>
        <v>2.0194550624028306E-3</v>
      </c>
      <c r="Y80" s="1">
        <f t="shared" si="21"/>
        <v>8.970000000000006</v>
      </c>
      <c r="Z80">
        <f t="shared" ca="1" si="19"/>
        <v>0.9856975415717274</v>
      </c>
    </row>
    <row r="81" spans="1:26" x14ac:dyDescent="0.3">
      <c r="A81">
        <v>2.2015767704410494E-2</v>
      </c>
      <c r="B81">
        <v>140.75177131794487</v>
      </c>
      <c r="C81">
        <f t="shared" si="18"/>
        <v>140</v>
      </c>
      <c r="U81">
        <v>79</v>
      </c>
      <c r="V81">
        <f t="shared" si="20"/>
        <v>8.4699999999999864</v>
      </c>
      <c r="W81">
        <f t="shared" ca="1" si="22"/>
        <v>217.65555555555591</v>
      </c>
      <c r="X81" s="1" cm="1">
        <f t="array" aca="1" ref="X81" ca="1">GNorm(W81)</f>
        <v>1.7292939461090702E-3</v>
      </c>
      <c r="Y81" s="1">
        <f t="shared" si="21"/>
        <v>9.0800000000000054</v>
      </c>
      <c r="Z81">
        <f t="shared" ca="1" si="19"/>
        <v>0.98804716772809686</v>
      </c>
    </row>
    <row r="82" spans="1:26" x14ac:dyDescent="0.3">
      <c r="A82">
        <v>0.37569504655400321</v>
      </c>
      <c r="B82">
        <v>171.2974749661434</v>
      </c>
      <c r="C82">
        <f t="shared" si="18"/>
        <v>171</v>
      </c>
      <c r="U82">
        <v>80</v>
      </c>
      <c r="V82">
        <f t="shared" si="20"/>
        <v>8.5699999999999861</v>
      </c>
      <c r="W82">
        <f t="shared" ca="1" si="22"/>
        <v>218.91111111111147</v>
      </c>
      <c r="X82" s="1" cm="1">
        <f t="array" aca="1" ref="X82" ca="1">GNorm(W82)</f>
        <v>1.4736365746485082E-3</v>
      </c>
      <c r="Y82" s="1">
        <f t="shared" si="21"/>
        <v>9.1900000000000048</v>
      </c>
      <c r="Z82">
        <f t="shared" ca="1" si="19"/>
        <v>0.99005443218058531</v>
      </c>
    </row>
    <row r="83" spans="1:26" x14ac:dyDescent="0.3">
      <c r="A83">
        <v>0.15308023911790913</v>
      </c>
      <c r="B83">
        <v>158.58038881570985</v>
      </c>
      <c r="C83">
        <f t="shared" si="18"/>
        <v>158</v>
      </c>
      <c r="U83">
        <v>81</v>
      </c>
      <c r="V83">
        <f t="shared" si="20"/>
        <v>8.6699999999999857</v>
      </c>
      <c r="W83">
        <f t="shared" ca="1" si="22"/>
        <v>220.16666666666703</v>
      </c>
      <c r="X83" s="1" cm="1">
        <f t="array" aca="1" ref="X83" ca="1">GNorm(W83)</f>
        <v>1.2496802488206086E-3</v>
      </c>
      <c r="Y83" s="1">
        <f t="shared" si="21"/>
        <v>9.3000000000000043</v>
      </c>
      <c r="Z83">
        <f t="shared" ca="1" si="19"/>
        <v>0.99176090045154497</v>
      </c>
    </row>
    <row r="84" spans="1:26" x14ac:dyDescent="0.3">
      <c r="A84">
        <v>0.73079042781734649</v>
      </c>
      <c r="B84">
        <v>188.07369550155346</v>
      </c>
      <c r="C84">
        <f t="shared" si="18"/>
        <v>188</v>
      </c>
      <c r="U84">
        <v>82</v>
      </c>
      <c r="V84">
        <f t="shared" si="20"/>
        <v>8.7699999999999854</v>
      </c>
      <c r="W84">
        <f t="shared" ca="1" si="22"/>
        <v>221.42222222222259</v>
      </c>
      <c r="X84" s="1" cm="1">
        <f t="array" aca="1" ref="X84" ca="1">GNorm(W84)</f>
        <v>1.0546160173612641E-3</v>
      </c>
      <c r="Y84" s="1">
        <f t="shared" si="21"/>
        <v>9.4100000000000037</v>
      </c>
      <c r="Z84">
        <f t="shared" ca="1" si="19"/>
        <v>0.99320460937381061</v>
      </c>
    </row>
    <row r="85" spans="1:26" x14ac:dyDescent="0.3">
      <c r="A85">
        <v>1.0598729182688449E-2</v>
      </c>
      <c r="B85">
        <v>135.5199200125225</v>
      </c>
      <c r="C85">
        <f t="shared" si="18"/>
        <v>135</v>
      </c>
      <c r="U85">
        <v>83</v>
      </c>
      <c r="V85">
        <f t="shared" si="20"/>
        <v>8.869999999999985</v>
      </c>
      <c r="W85">
        <f t="shared" ca="1" si="22"/>
        <v>222.67777777777815</v>
      </c>
      <c r="X85" s="1" cm="1">
        <f t="array" aca="1" ref="X85" ca="1">GNorm(W85)</f>
        <v>8.8567984845885092E-4</v>
      </c>
      <c r="Y85" s="1">
        <f t="shared" si="21"/>
        <v>9.5200000000000031</v>
      </c>
      <c r="Z85">
        <f t="shared" ca="1" si="19"/>
        <v>0.99442009229756567</v>
      </c>
    </row>
    <row r="86" spans="1:26" x14ac:dyDescent="0.3">
      <c r="A86">
        <v>0.86593246117669875</v>
      </c>
      <c r="B86">
        <v>196.93261473949326</v>
      </c>
      <c r="C86">
        <f t="shared" si="18"/>
        <v>196</v>
      </c>
      <c r="U86">
        <v>84</v>
      </c>
      <c r="V86">
        <f t="shared" si="20"/>
        <v>8.9699999999999847</v>
      </c>
      <c r="W86">
        <f t="shared" ca="1" si="22"/>
        <v>223.93333333333371</v>
      </c>
      <c r="X86" s="1" cm="1">
        <f t="array" aca="1" ref="X86" ca="1">GNorm(W86)</f>
        <v>7.4019493172717914E-4</v>
      </c>
      <c r="Y86" s="1">
        <f t="shared" si="21"/>
        <v>9.6300000000000026</v>
      </c>
      <c r="Z86">
        <f t="shared" ca="1" si="19"/>
        <v>0.99543846296521654</v>
      </c>
    </row>
    <row r="87" spans="1:26" x14ac:dyDescent="0.3">
      <c r="A87">
        <v>3.537691630722406E-2</v>
      </c>
      <c r="B87">
        <v>144.47302484254817</v>
      </c>
      <c r="C87">
        <f t="shared" si="18"/>
        <v>144</v>
      </c>
      <c r="U87">
        <v>85</v>
      </c>
      <c r="V87">
        <f t="shared" si="20"/>
        <v>9.0699999999999843</v>
      </c>
      <c r="W87">
        <f t="shared" ca="1" si="22"/>
        <v>225.18888888888927</v>
      </c>
      <c r="X87" s="1" cm="1">
        <f t="array" aca="1" ref="X87" ca="1">GNorm(W87)</f>
        <v>6.1560536192656898E-4</v>
      </c>
      <c r="Y87" s="1">
        <f t="shared" si="21"/>
        <v>9.740000000000002</v>
      </c>
      <c r="Z87">
        <f t="shared" ca="1" si="19"/>
        <v>0.99628754704912237</v>
      </c>
    </row>
    <row r="88" spans="1:26" x14ac:dyDescent="0.3">
      <c r="A88">
        <v>0.66220081856546265</v>
      </c>
      <c r="B88">
        <v>184.53258689664844</v>
      </c>
      <c r="C88">
        <f t="shared" si="18"/>
        <v>184</v>
      </c>
      <c r="U88">
        <v>86</v>
      </c>
      <c r="V88">
        <f t="shared" si="20"/>
        <v>9.1699999999999839</v>
      </c>
      <c r="W88">
        <f t="shared" ca="1" si="22"/>
        <v>226.44444444444483</v>
      </c>
      <c r="X88" s="1" cm="1">
        <f t="array" aca="1" ref="X88" ca="1">GNorm(W88)</f>
        <v>5.0950168416937132E-4</v>
      </c>
      <c r="Y88" s="1">
        <f t="shared" si="21"/>
        <v>9.8500000000000014</v>
      </c>
      <c r="Z88">
        <f t="shared" ca="1" si="19"/>
        <v>0.99699205081156517</v>
      </c>
    </row>
    <row r="89" spans="1:26" x14ac:dyDescent="0.3">
      <c r="A89">
        <v>0.27812943704426141</v>
      </c>
      <c r="B89">
        <v>166.40866685792759</v>
      </c>
      <c r="C89">
        <f t="shared" si="18"/>
        <v>166</v>
      </c>
      <c r="U89">
        <v>87</v>
      </c>
      <c r="V89">
        <f t="shared" si="20"/>
        <v>9.2699999999999836</v>
      </c>
      <c r="W89">
        <f t="shared" ca="1" si="22"/>
        <v>227.70000000000039</v>
      </c>
      <c r="X89" s="1" cm="1">
        <f t="array" aca="1" ref="X89" ca="1">GNorm(W89)</f>
        <v>4.1963895528424543E-4</v>
      </c>
      <c r="Y89" s="1">
        <f t="shared" si="21"/>
        <v>9.9600000000000009</v>
      </c>
      <c r="Z89">
        <f t="shared" ca="1" si="19"/>
        <v>0.99757375706404872</v>
      </c>
    </row>
    <row r="90" spans="1:26" x14ac:dyDescent="0.3">
      <c r="A90">
        <v>0.90728954965073583</v>
      </c>
      <c r="B90">
        <v>200.83645280212258</v>
      </c>
      <c r="C90">
        <f t="shared" si="18"/>
        <v>200</v>
      </c>
      <c r="U90">
        <v>88</v>
      </c>
      <c r="V90">
        <f t="shared" si="20"/>
        <v>9.3699999999999832</v>
      </c>
      <c r="W90">
        <f t="shared" ca="1" si="22"/>
        <v>228.95555555555595</v>
      </c>
      <c r="X90" s="1" cm="1">
        <f t="array" aca="1" ref="X90" ca="1">GNorm(W90)</f>
        <v>3.439480991269238E-4</v>
      </c>
      <c r="Y90" s="1">
        <f t="shared" si="21"/>
        <v>10.07</v>
      </c>
      <c r="Z90">
        <f t="shared" ca="1" si="19"/>
        <v>0.99805173950755288</v>
      </c>
    </row>
    <row r="91" spans="1:26" x14ac:dyDescent="0.3">
      <c r="A91">
        <v>0.25745552939434435</v>
      </c>
      <c r="B91">
        <v>165.27822342510058</v>
      </c>
      <c r="C91">
        <f t="shared" si="18"/>
        <v>165</v>
      </c>
      <c r="U91">
        <v>89</v>
      </c>
      <c r="V91">
        <f t="shared" si="20"/>
        <v>9.4699999999999829</v>
      </c>
      <c r="W91">
        <f t="shared" ca="1" si="22"/>
        <v>230.21111111111151</v>
      </c>
      <c r="X91" s="1" cm="1">
        <f t="array" aca="1" ref="X91" ca="1">GNorm(W91)</f>
        <v>2.8054140861026448E-4</v>
      </c>
      <c r="Y91" s="1">
        <f t="shared" si="21"/>
        <v>10.18</v>
      </c>
      <c r="Z91">
        <f t="shared" ca="1" si="19"/>
        <v>0.99844258756378235</v>
      </c>
    </row>
    <row r="92" spans="1:26" x14ac:dyDescent="0.3">
      <c r="A92">
        <v>0.64956494971912249</v>
      </c>
      <c r="B92">
        <v>183.91463136403829</v>
      </c>
      <c r="C92">
        <f t="shared" si="18"/>
        <v>183</v>
      </c>
      <c r="U92">
        <v>90</v>
      </c>
      <c r="V92">
        <f t="shared" si="20"/>
        <v>9.5699999999999825</v>
      </c>
      <c r="W92">
        <f t="shared" ca="1" si="22"/>
        <v>231.46666666666707</v>
      </c>
      <c r="X92" s="1" cm="1">
        <f t="array" aca="1" ref="X92" ca="1">GNorm(W92)</f>
        <v>2.277130792810898E-4</v>
      </c>
      <c r="Y92" s="1">
        <f t="shared" si="21"/>
        <v>10.29</v>
      </c>
      <c r="Z92">
        <f t="shared" ca="1" si="19"/>
        <v>0.99876063490245937</v>
      </c>
    </row>
    <row r="93" spans="1:26" x14ac:dyDescent="0.3">
      <c r="A93">
        <v>0.35284916448085502</v>
      </c>
      <c r="B93">
        <v>170.20248686506798</v>
      </c>
      <c r="C93">
        <f t="shared" si="18"/>
        <v>170</v>
      </c>
      <c r="U93">
        <v>91</v>
      </c>
      <c r="V93">
        <f t="shared" si="20"/>
        <v>9.6699999999999822</v>
      </c>
      <c r="W93">
        <f t="shared" ca="1" si="22"/>
        <v>232.72222222222263</v>
      </c>
      <c r="X93" s="1" cm="1">
        <f t="array" aca="1" ref="X93" ca="1">GNorm(W93)</f>
        <v>1.8393565458840031E-4</v>
      </c>
      <c r="Y93" s="1">
        <f t="shared" si="21"/>
        <v>10.399999999999999</v>
      </c>
      <c r="Z93">
        <f t="shared" ca="1" si="19"/>
        <v>0.99901818598121894</v>
      </c>
    </row>
    <row r="94" spans="1:26" x14ac:dyDescent="0.3">
      <c r="A94">
        <v>0.25936329977101247</v>
      </c>
      <c r="B94">
        <v>165.38442794405512</v>
      </c>
      <c r="C94">
        <f t="shared" si="18"/>
        <v>165</v>
      </c>
      <c r="U94">
        <v>92</v>
      </c>
      <c r="V94">
        <f t="shared" si="20"/>
        <v>9.7699999999999818</v>
      </c>
      <c r="W94">
        <f t="shared" ca="1" si="22"/>
        <v>233.97777777777819</v>
      </c>
      <c r="X94" s="1" cm="1">
        <f t="array" aca="1" ref="X94" ca="1">GNorm(W94)</f>
        <v>1.4785322828345828E-4</v>
      </c>
      <c r="Y94" s="1">
        <f t="shared" si="21"/>
        <v>10.509999999999998</v>
      </c>
      <c r="Z94">
        <f t="shared" ca="1" si="19"/>
        <v>0.99922573600073084</v>
      </c>
    </row>
    <row r="95" spans="1:26" x14ac:dyDescent="0.3">
      <c r="A95">
        <v>0.72756278282992581</v>
      </c>
      <c r="B95">
        <v>187.89825182919438</v>
      </c>
      <c r="C95">
        <f t="shared" si="18"/>
        <v>187</v>
      </c>
      <c r="U95">
        <v>93</v>
      </c>
      <c r="V95">
        <f t="shared" si="20"/>
        <v>9.8699999999999815</v>
      </c>
      <c r="W95">
        <f t="shared" ca="1" si="22"/>
        <v>235.23333333333375</v>
      </c>
      <c r="X95" s="1" cm="1">
        <f t="array" aca="1" ref="X95" ca="1">GNorm(W95)</f>
        <v>1.1827219149001531E-4</v>
      </c>
      <c r="Y95" s="1">
        <f t="shared" si="21"/>
        <v>10.619999999999997</v>
      </c>
      <c r="Z95">
        <f t="shared" ca="1" si="19"/>
        <v>0.99939218070489622</v>
      </c>
    </row>
    <row r="96" spans="1:26" x14ac:dyDescent="0.3">
      <c r="A96">
        <v>0.197592718739804</v>
      </c>
      <c r="B96">
        <v>161.69547826821986</v>
      </c>
      <c r="C96">
        <f t="shared" si="18"/>
        <v>161</v>
      </c>
      <c r="U96">
        <v>94</v>
      </c>
      <c r="V96">
        <f t="shared" si="20"/>
        <v>9.9699999999999811</v>
      </c>
      <c r="W96">
        <f t="shared" ca="1" si="22"/>
        <v>236.48888888888931</v>
      </c>
      <c r="X96" s="1" cm="1">
        <f t="array" aca="1" ref="X96" ca="1">GNorm(W96)</f>
        <v>9.4150237465493502E-5</v>
      </c>
      <c r="Y96" s="1">
        <f t="shared" si="21"/>
        <v>10.729999999999997</v>
      </c>
      <c r="Z96">
        <f t="shared" ca="1" si="19"/>
        <v>0.99952501339939348</v>
      </c>
    </row>
    <row r="97" spans="1:26" x14ac:dyDescent="0.3">
      <c r="A97">
        <v>0.59013595999068635</v>
      </c>
      <c r="B97">
        <v>181.10210513460504</v>
      </c>
      <c r="C97">
        <f t="shared" si="18"/>
        <v>181</v>
      </c>
      <c r="U97">
        <v>95</v>
      </c>
      <c r="V97">
        <f t="shared" si="20"/>
        <v>10.069999999999981</v>
      </c>
      <c r="W97">
        <f t="shared" ca="1" si="22"/>
        <v>237.74444444444487</v>
      </c>
      <c r="X97" s="1" cm="1">
        <f t="array" aca="1" ref="X97" ca="1">GNorm(W97)</f>
        <v>7.4584252012728343E-5</v>
      </c>
      <c r="Y97" s="1">
        <f t="shared" si="21"/>
        <v>10.839999999999996</v>
      </c>
      <c r="Z97">
        <f t="shared" ca="1" si="19"/>
        <v>0.99963050740449222</v>
      </c>
    </row>
    <row r="98" spans="1:26" x14ac:dyDescent="0.3">
      <c r="A98">
        <v>0.5520800986940525</v>
      </c>
      <c r="B98">
        <v>179.35653247999747</v>
      </c>
      <c r="C98">
        <f t="shared" si="18"/>
        <v>179</v>
      </c>
      <c r="U98">
        <v>96</v>
      </c>
      <c r="V98">
        <f t="shared" si="20"/>
        <v>10.16999999999998</v>
      </c>
      <c r="W98">
        <f t="shared" ca="1" si="22"/>
        <v>239.00000000000043</v>
      </c>
      <c r="X98" s="1" cm="1">
        <f t="array" aca="1" ref="X98" ca="1">GNorm(W98)</f>
        <v>5.8797627263642882E-5</v>
      </c>
      <c r="Y98" s="1">
        <f t="shared" si="21"/>
        <v>10.949999999999996</v>
      </c>
      <c r="Z98">
        <f t="shared" ca="1" si="19"/>
        <v>0.99971388289013052</v>
      </c>
    </row>
    <row r="99" spans="1:26" x14ac:dyDescent="0.3">
      <c r="A99">
        <v>0.25404263894782719</v>
      </c>
      <c r="B99">
        <v>165.08720323837164</v>
      </c>
      <c r="C99">
        <f t="shared" si="18"/>
        <v>165</v>
      </c>
      <c r="U99">
        <v>97</v>
      </c>
      <c r="V99">
        <f t="shared" si="20"/>
        <v>10.26999999999998</v>
      </c>
      <c r="W99">
        <f t="shared" ca="1" si="22"/>
        <v>240.25555555555599</v>
      </c>
      <c r="X99" s="1" cm="1">
        <f t="array" aca="1" ref="X99" ca="1">GNorm(W99)</f>
        <v>4.6127445683214374E-5</v>
      </c>
      <c r="Y99" s="1">
        <f t="shared" si="21"/>
        <v>11.059999999999995</v>
      </c>
      <c r="Z99">
        <f t="shared" ca="1" si="19"/>
        <v>0.9997794576592014</v>
      </c>
    </row>
    <row r="100" spans="1:26" x14ac:dyDescent="0.3">
      <c r="A100">
        <v>9.9457957885107695E-2</v>
      </c>
      <c r="B100">
        <v>153.87636682166803</v>
      </c>
      <c r="C100">
        <f t="shared" si="18"/>
        <v>153</v>
      </c>
      <c r="U100">
        <v>98</v>
      </c>
      <c r="V100">
        <f t="shared" si="20"/>
        <v>10.36999999999998</v>
      </c>
      <c r="W100">
        <f t="shared" ca="1" si="22"/>
        <v>241.51111111111155</v>
      </c>
      <c r="X100" s="1" cm="1">
        <f t="array" aca="1" ref="X100" ca="1">GNorm(W100)</f>
        <v>3.6011893298478812E-5</v>
      </c>
      <c r="Y100" s="1">
        <f t="shared" si="21"/>
        <v>11.169999999999995</v>
      </c>
      <c r="Z100">
        <f t="shared" ca="1" si="19"/>
        <v>0.99983078195040753</v>
      </c>
    </row>
    <row r="101" spans="1:26" x14ac:dyDescent="0.3">
      <c r="A101">
        <v>0.19681226245407069</v>
      </c>
      <c r="B101">
        <v>161.64487108010186</v>
      </c>
      <c r="C101">
        <f t="shared" si="18"/>
        <v>161</v>
      </c>
      <c r="U101">
        <v>99</v>
      </c>
      <c r="V101">
        <f t="shared" si="20"/>
        <v>10.469999999999979</v>
      </c>
      <c r="W101">
        <f t="shared" ca="1" si="22"/>
        <v>242.76666666666711</v>
      </c>
      <c r="X101" s="1" cm="1">
        <f t="array" aca="1" ref="X101" ca="1">GNorm(W101)</f>
        <v>2.7978179131957449E-5</v>
      </c>
      <c r="Y101" s="1">
        <f t="shared" si="21"/>
        <v>11.279999999999994</v>
      </c>
      <c r="Z101">
        <f t="shared" ca="1" si="19"/>
        <v>0.99987075773057765</v>
      </c>
    </row>
    <row r="102" spans="1:26" x14ac:dyDescent="0.3">
      <c r="A102">
        <v>0.11157406335207498</v>
      </c>
      <c r="B102">
        <v>155.07240696622634</v>
      </c>
      <c r="C102">
        <f t="shared" si="18"/>
        <v>155</v>
      </c>
      <c r="U102">
        <v>100</v>
      </c>
      <c r="V102">
        <f t="shared" si="20"/>
        <v>10.569999999999979</v>
      </c>
      <c r="W102">
        <f t="shared" ca="1" si="22"/>
        <v>244.02222222222267</v>
      </c>
      <c r="X102" s="1" cm="1">
        <f t="array" aca="1" ref="X102" ca="1">GNorm(W102)</f>
        <v>2.1631163572590934E-5</v>
      </c>
      <c r="Y102" s="1">
        <f t="shared" si="21"/>
        <v>11.389999999999993</v>
      </c>
      <c r="Z102">
        <f t="shared" ca="1" si="19"/>
        <v>0.99990174324659864</v>
      </c>
    </row>
    <row r="103" spans="1:26" x14ac:dyDescent="0.3">
      <c r="A103">
        <v>0.63808051740385019</v>
      </c>
      <c r="B103">
        <v>183.35999023816368</v>
      </c>
      <c r="C103">
        <f t="shared" si="18"/>
        <v>183</v>
      </c>
      <c r="U103">
        <v>101</v>
      </c>
      <c r="V103">
        <f t="shared" si="20"/>
        <v>10.669999999999979</v>
      </c>
      <c r="W103">
        <f t="shared" ca="1" si="22"/>
        <v>245.27777777777823</v>
      </c>
      <c r="X103" s="1" cm="1">
        <f t="array" aca="1" ref="X103" ca="1">GNorm(W103)</f>
        <v>1.6642833163187168E-5</v>
      </c>
      <c r="Y103" s="1">
        <f t="shared" si="21"/>
        <v>11.499999999999993</v>
      </c>
      <c r="Z103">
        <f t="shared" ca="1" si="19"/>
        <v>0.99992564381971027</v>
      </c>
    </row>
    <row r="104" spans="1:26" x14ac:dyDescent="0.3">
      <c r="A104">
        <v>0.79562979063970862</v>
      </c>
      <c r="B104">
        <v>191.87002051851584</v>
      </c>
      <c r="C104">
        <f t="shared" si="18"/>
        <v>191</v>
      </c>
    </row>
    <row r="105" spans="1:26" x14ac:dyDescent="0.3">
      <c r="A105">
        <v>0.42563067445112335</v>
      </c>
      <c r="B105">
        <v>173.62483297282952</v>
      </c>
      <c r="C105">
        <f t="shared" si="18"/>
        <v>173</v>
      </c>
    </row>
    <row r="106" spans="1:26" x14ac:dyDescent="0.3">
      <c r="A106">
        <v>0.36583639708721172</v>
      </c>
      <c r="B106">
        <v>170.82777852451619</v>
      </c>
      <c r="C106">
        <f t="shared" si="18"/>
        <v>170</v>
      </c>
    </row>
    <row r="107" spans="1:26" x14ac:dyDescent="0.3">
      <c r="A107">
        <v>0.46957431082359069</v>
      </c>
      <c r="B107">
        <v>175.62588041562486</v>
      </c>
      <c r="C107">
        <f t="shared" si="18"/>
        <v>175</v>
      </c>
    </row>
    <row r="108" spans="1:26" x14ac:dyDescent="0.3">
      <c r="A108">
        <v>0.6476481670975347</v>
      </c>
      <c r="B108">
        <v>183.8216169698585</v>
      </c>
      <c r="C108">
        <f t="shared" si="18"/>
        <v>183</v>
      </c>
    </row>
    <row r="109" spans="1:26" x14ac:dyDescent="0.3">
      <c r="A109">
        <v>0.9997652396293959</v>
      </c>
      <c r="B109">
        <v>239.95622664039263</v>
      </c>
      <c r="C109">
        <f t="shared" si="18"/>
        <v>239</v>
      </c>
    </row>
    <row r="110" spans="1:26" x14ac:dyDescent="0.3">
      <c r="A110">
        <v>1.1301420364261072E-2</v>
      </c>
      <c r="B110">
        <v>135.9585285984123</v>
      </c>
      <c r="C110">
        <f t="shared" si="18"/>
        <v>135</v>
      </c>
    </row>
    <row r="111" spans="1:26" x14ac:dyDescent="0.3">
      <c r="A111">
        <v>0.752747007245813</v>
      </c>
      <c r="B111">
        <v>189.29687315522403</v>
      </c>
      <c r="C111">
        <f t="shared" si="18"/>
        <v>189</v>
      </c>
    </row>
    <row r="112" spans="1:26" x14ac:dyDescent="0.3">
      <c r="A112">
        <v>6.1739665355221129E-2</v>
      </c>
      <c r="B112">
        <v>149.27401537684</v>
      </c>
      <c r="C112">
        <f t="shared" si="18"/>
        <v>149</v>
      </c>
    </row>
    <row r="113" spans="1:3" x14ac:dyDescent="0.3">
      <c r="A113">
        <v>0.72355616530616895</v>
      </c>
      <c r="B113">
        <v>187.68189462120654</v>
      </c>
      <c r="C113">
        <f t="shared" si="18"/>
        <v>187</v>
      </c>
    </row>
    <row r="114" spans="1:3" x14ac:dyDescent="0.3">
      <c r="A114">
        <v>0.2586656436777407</v>
      </c>
      <c r="B114">
        <v>165.34563689456704</v>
      </c>
      <c r="C114">
        <f t="shared" si="18"/>
        <v>165</v>
      </c>
    </row>
    <row r="115" spans="1:3" x14ac:dyDescent="0.3">
      <c r="A115">
        <v>0.20232998092900023</v>
      </c>
      <c r="B115">
        <v>162.00010215713078</v>
      </c>
      <c r="C115">
        <f t="shared" si="18"/>
        <v>162</v>
      </c>
    </row>
    <row r="116" spans="1:3" x14ac:dyDescent="0.3">
      <c r="A116">
        <v>0.87349811048087211</v>
      </c>
      <c r="B116">
        <v>197.57550929551951</v>
      </c>
      <c r="C116">
        <f t="shared" si="18"/>
        <v>197</v>
      </c>
    </row>
    <row r="117" spans="1:3" x14ac:dyDescent="0.3">
      <c r="A117">
        <v>0.58935455348392651</v>
      </c>
      <c r="B117">
        <v>181.06592934199796</v>
      </c>
      <c r="C117">
        <f t="shared" si="18"/>
        <v>181</v>
      </c>
    </row>
    <row r="118" spans="1:3" x14ac:dyDescent="0.3">
      <c r="A118">
        <v>0.61962368213319141</v>
      </c>
      <c r="B118">
        <v>182.48086665549963</v>
      </c>
      <c r="C118">
        <f t="shared" si="18"/>
        <v>182</v>
      </c>
    </row>
    <row r="119" spans="1:3" x14ac:dyDescent="0.3">
      <c r="A119">
        <v>0.40665119343135303</v>
      </c>
      <c r="B119">
        <v>172.74897779393626</v>
      </c>
      <c r="C119">
        <f t="shared" si="18"/>
        <v>172</v>
      </c>
    </row>
    <row r="120" spans="1:3" x14ac:dyDescent="0.3">
      <c r="A120">
        <v>0.62897676314144901</v>
      </c>
      <c r="B120">
        <v>182.92460091749064</v>
      </c>
      <c r="C120">
        <f t="shared" si="18"/>
        <v>182</v>
      </c>
    </row>
    <row r="121" spans="1:3" x14ac:dyDescent="0.3">
      <c r="A121">
        <v>0.79872006149691444</v>
      </c>
      <c r="B121">
        <v>192.06704688331402</v>
      </c>
      <c r="C121">
        <f t="shared" si="18"/>
        <v>192</v>
      </c>
    </row>
    <row r="122" spans="1:3" x14ac:dyDescent="0.3">
      <c r="A122">
        <v>0.24075620382320873</v>
      </c>
      <c r="B122">
        <v>164.33030161818257</v>
      </c>
      <c r="C122">
        <f t="shared" si="18"/>
        <v>164</v>
      </c>
    </row>
    <row r="123" spans="1:3" x14ac:dyDescent="0.3">
      <c r="A123">
        <v>0.25081511160536285</v>
      </c>
      <c r="B123">
        <v>164.90531548539414</v>
      </c>
      <c r="C123">
        <f t="shared" si="18"/>
        <v>164</v>
      </c>
    </row>
    <row r="124" spans="1:3" x14ac:dyDescent="0.3">
      <c r="A124">
        <v>0.11090297976987473</v>
      </c>
      <c r="B124">
        <v>155.00867975669613</v>
      </c>
      <c r="C124">
        <f t="shared" si="18"/>
        <v>155</v>
      </c>
    </row>
    <row r="125" spans="1:3" x14ac:dyDescent="0.3">
      <c r="A125">
        <v>0.7830170697475255</v>
      </c>
      <c r="B125">
        <v>191.08361892529615</v>
      </c>
      <c r="C125">
        <f t="shared" si="18"/>
        <v>191</v>
      </c>
    </row>
    <row r="126" spans="1:3" x14ac:dyDescent="0.3">
      <c r="A126">
        <v>0.46789868962773373</v>
      </c>
      <c r="B126">
        <v>175.55004450655551</v>
      </c>
      <c r="C126">
        <f t="shared" si="18"/>
        <v>175</v>
      </c>
    </row>
    <row r="127" spans="1:3" x14ac:dyDescent="0.3">
      <c r="A127">
        <v>6.4491012077896093E-2</v>
      </c>
      <c r="B127">
        <v>149.67368817172144</v>
      </c>
      <c r="C127">
        <f t="shared" si="18"/>
        <v>149</v>
      </c>
    </row>
    <row r="128" spans="1:3" x14ac:dyDescent="0.3">
      <c r="A128">
        <v>0.53588921610428797</v>
      </c>
      <c r="B128">
        <v>178.6214869901381</v>
      </c>
      <c r="C128">
        <f t="shared" si="18"/>
        <v>178</v>
      </c>
    </row>
    <row r="129" spans="1:3" x14ac:dyDescent="0.3">
      <c r="A129">
        <v>0.75294551170245072</v>
      </c>
      <c r="B129">
        <v>189.30818595529007</v>
      </c>
      <c r="C129">
        <f t="shared" si="18"/>
        <v>189</v>
      </c>
    </row>
    <row r="130" spans="1:3" x14ac:dyDescent="0.3">
      <c r="A130">
        <v>0.97075509116774916</v>
      </c>
      <c r="B130">
        <v>211.05615713843395</v>
      </c>
      <c r="C130">
        <f t="shared" si="18"/>
        <v>211</v>
      </c>
    </row>
    <row r="131" spans="1:3" x14ac:dyDescent="0.3">
      <c r="A131">
        <v>0.88248712655553718</v>
      </c>
      <c r="B131">
        <v>198.37521505031214</v>
      </c>
      <c r="C131">
        <f t="shared" ref="C131:C194" si="23">INT(B131)</f>
        <v>198</v>
      </c>
    </row>
    <row r="132" spans="1:3" x14ac:dyDescent="0.3">
      <c r="A132">
        <v>0.94787323502929721</v>
      </c>
      <c r="B132">
        <v>206.24231772623273</v>
      </c>
      <c r="C132">
        <f t="shared" si="23"/>
        <v>206</v>
      </c>
    </row>
    <row r="133" spans="1:3" x14ac:dyDescent="0.3">
      <c r="A133">
        <v>0.74656361158272644</v>
      </c>
      <c r="B133">
        <v>188.94686888143693</v>
      </c>
      <c r="C133">
        <f t="shared" si="23"/>
        <v>188</v>
      </c>
    </row>
    <row r="134" spans="1:3" x14ac:dyDescent="0.3">
      <c r="A134">
        <v>0.49960238589560857</v>
      </c>
      <c r="B134">
        <v>176.9820599234136</v>
      </c>
      <c r="C134">
        <f t="shared" si="23"/>
        <v>176</v>
      </c>
    </row>
    <row r="135" spans="1:3" x14ac:dyDescent="0.3">
      <c r="A135">
        <v>0.63375985549446212</v>
      </c>
      <c r="B135">
        <v>183.15290513675473</v>
      </c>
      <c r="C135">
        <f t="shared" si="23"/>
        <v>183</v>
      </c>
    </row>
    <row r="136" spans="1:3" x14ac:dyDescent="0.3">
      <c r="A136">
        <v>0.80033959889509299</v>
      </c>
      <c r="B136">
        <v>192.17102768959865</v>
      </c>
      <c r="C136">
        <f t="shared" si="23"/>
        <v>192</v>
      </c>
    </row>
    <row r="137" spans="1:3" x14ac:dyDescent="0.3">
      <c r="A137">
        <v>0.24083650779074639</v>
      </c>
      <c r="B137">
        <v>164.33494294971143</v>
      </c>
      <c r="C137">
        <f t="shared" si="23"/>
        <v>164</v>
      </c>
    </row>
    <row r="138" spans="1:3" x14ac:dyDescent="0.3">
      <c r="A138">
        <v>4.4897723346407514E-2</v>
      </c>
      <c r="B138">
        <v>146.46340110006173</v>
      </c>
      <c r="C138">
        <f t="shared" si="23"/>
        <v>146</v>
      </c>
    </row>
    <row r="139" spans="1:3" x14ac:dyDescent="0.3">
      <c r="A139">
        <v>0.75076437256941697</v>
      </c>
      <c r="B139">
        <v>189.18414749809384</v>
      </c>
      <c r="C139">
        <f t="shared" si="23"/>
        <v>189</v>
      </c>
    </row>
    <row r="140" spans="1:3" x14ac:dyDescent="0.3">
      <c r="A140">
        <v>0.64502441388437282</v>
      </c>
      <c r="B140">
        <v>183.69459001402981</v>
      </c>
      <c r="C140">
        <f t="shared" si="23"/>
        <v>183</v>
      </c>
    </row>
    <row r="141" spans="1:3" x14ac:dyDescent="0.3">
      <c r="A141">
        <v>0.93859607201991879</v>
      </c>
      <c r="B141">
        <v>204.77570048465867</v>
      </c>
      <c r="C141">
        <f t="shared" si="23"/>
        <v>204</v>
      </c>
    </row>
    <row r="142" spans="1:3" x14ac:dyDescent="0.3">
      <c r="A142">
        <v>0.49107408795900853</v>
      </c>
      <c r="B142">
        <v>176.59723541039105</v>
      </c>
      <c r="C142">
        <f t="shared" si="23"/>
        <v>176</v>
      </c>
    </row>
    <row r="143" spans="1:3" x14ac:dyDescent="0.3">
      <c r="A143">
        <v>0.31409107184470342</v>
      </c>
      <c r="B143">
        <v>168.28283255441062</v>
      </c>
      <c r="C143">
        <f t="shared" si="23"/>
        <v>168</v>
      </c>
    </row>
    <row r="144" spans="1:3" x14ac:dyDescent="0.3">
      <c r="A144">
        <v>0.6435045053194911</v>
      </c>
      <c r="B144">
        <v>183.62115745883898</v>
      </c>
      <c r="C144">
        <f t="shared" si="23"/>
        <v>183</v>
      </c>
    </row>
    <row r="145" spans="1:3" x14ac:dyDescent="0.3">
      <c r="A145">
        <v>0.92079602524943616</v>
      </c>
      <c r="B145">
        <v>202.38803295695473</v>
      </c>
      <c r="C145">
        <f t="shared" si="23"/>
        <v>202</v>
      </c>
    </row>
    <row r="146" spans="1:3" x14ac:dyDescent="0.3">
      <c r="A146">
        <v>0.34215453462156364</v>
      </c>
      <c r="B146">
        <v>169.68137819063077</v>
      </c>
      <c r="C146">
        <f t="shared" si="23"/>
        <v>169</v>
      </c>
    </row>
    <row r="147" spans="1:3" x14ac:dyDescent="0.3">
      <c r="A147">
        <v>0.782280212921317</v>
      </c>
      <c r="B147">
        <v>191.03851080787766</v>
      </c>
      <c r="C147">
        <f t="shared" si="23"/>
        <v>191</v>
      </c>
    </row>
    <row r="148" spans="1:3" x14ac:dyDescent="0.3">
      <c r="A148">
        <v>0.89999507000898871</v>
      </c>
      <c r="B148">
        <v>200.06742254399458</v>
      </c>
      <c r="C148">
        <f t="shared" si="23"/>
        <v>200</v>
      </c>
    </row>
    <row r="149" spans="1:3" x14ac:dyDescent="0.3">
      <c r="A149">
        <v>0.41422331067995599</v>
      </c>
      <c r="B149">
        <v>173.099503314819</v>
      </c>
      <c r="C149">
        <f t="shared" si="23"/>
        <v>173</v>
      </c>
    </row>
    <row r="150" spans="1:3" x14ac:dyDescent="0.3">
      <c r="A150">
        <v>0.14625135037700421</v>
      </c>
      <c r="B150">
        <v>158.05234979818408</v>
      </c>
      <c r="C150">
        <f t="shared" si="23"/>
        <v>158</v>
      </c>
    </row>
    <row r="151" spans="1:3" x14ac:dyDescent="0.3">
      <c r="A151">
        <v>0.18836485620113885</v>
      </c>
      <c r="B151">
        <v>161.08911699371527</v>
      </c>
      <c r="C151">
        <f t="shared" si="23"/>
        <v>161</v>
      </c>
    </row>
    <row r="152" spans="1:3" x14ac:dyDescent="0.3">
      <c r="A152">
        <v>5.3324477925410396E-2</v>
      </c>
      <c r="B152">
        <v>147.95808058665804</v>
      </c>
      <c r="C152">
        <f t="shared" si="23"/>
        <v>147</v>
      </c>
    </row>
    <row r="153" spans="1:3" x14ac:dyDescent="0.3">
      <c r="A153">
        <v>0.92502411606329371</v>
      </c>
      <c r="B153">
        <v>202.91463341966315</v>
      </c>
      <c r="C153">
        <f t="shared" si="23"/>
        <v>202</v>
      </c>
    </row>
    <row r="154" spans="1:3" x14ac:dyDescent="0.3">
      <c r="A154">
        <v>0.77401757166726692</v>
      </c>
      <c r="B154">
        <v>190.53858030738951</v>
      </c>
      <c r="C154">
        <f t="shared" si="23"/>
        <v>190</v>
      </c>
    </row>
    <row r="155" spans="1:3" x14ac:dyDescent="0.3">
      <c r="A155">
        <v>0.11085294473176832</v>
      </c>
      <c r="B155">
        <v>155.00391729595745</v>
      </c>
      <c r="C155">
        <f t="shared" si="23"/>
        <v>155</v>
      </c>
    </row>
    <row r="156" spans="1:3" x14ac:dyDescent="0.3">
      <c r="A156">
        <v>0.77663236147928372</v>
      </c>
      <c r="B156">
        <v>190.69564317970068</v>
      </c>
      <c r="C156">
        <f t="shared" si="23"/>
        <v>190</v>
      </c>
    </row>
    <row r="157" spans="1:3" x14ac:dyDescent="0.3">
      <c r="A157">
        <v>0.83030452386418563</v>
      </c>
      <c r="B157">
        <v>194.19664815315053</v>
      </c>
      <c r="C157">
        <f t="shared" si="23"/>
        <v>194</v>
      </c>
    </row>
    <row r="158" spans="1:3" x14ac:dyDescent="0.3">
      <c r="A158">
        <v>0.68892106871618231</v>
      </c>
      <c r="B158">
        <v>185.87029933801492</v>
      </c>
      <c r="C158">
        <f t="shared" si="23"/>
        <v>185</v>
      </c>
    </row>
    <row r="159" spans="1:3" x14ac:dyDescent="0.3">
      <c r="A159">
        <v>0.71515050953091452</v>
      </c>
      <c r="B159">
        <v>187.23290784975077</v>
      </c>
      <c r="C159">
        <f t="shared" si="23"/>
        <v>187</v>
      </c>
    </row>
    <row r="160" spans="1:3" x14ac:dyDescent="0.3">
      <c r="A160">
        <v>0.53933916226724665</v>
      </c>
      <c r="B160">
        <v>178.77784216006316</v>
      </c>
      <c r="C160">
        <f t="shared" si="23"/>
        <v>178</v>
      </c>
    </row>
    <row r="161" spans="1:3" x14ac:dyDescent="0.3">
      <c r="A161">
        <v>0.26975804817408144</v>
      </c>
      <c r="B161">
        <v>165.9561915993072</v>
      </c>
      <c r="C161">
        <f t="shared" si="23"/>
        <v>165</v>
      </c>
    </row>
    <row r="162" spans="1:3" x14ac:dyDescent="0.3">
      <c r="A162">
        <v>0.62794397527256973</v>
      </c>
      <c r="B162">
        <v>182.87543051803982</v>
      </c>
      <c r="C162">
        <f t="shared" si="23"/>
        <v>182</v>
      </c>
    </row>
    <row r="163" spans="1:3" x14ac:dyDescent="0.3">
      <c r="A163">
        <v>0.32852481560199442</v>
      </c>
      <c r="B163">
        <v>169.00817545321138</v>
      </c>
      <c r="C163">
        <f t="shared" si="23"/>
        <v>169</v>
      </c>
    </row>
    <row r="164" spans="1:3" x14ac:dyDescent="0.3">
      <c r="A164">
        <v>0.72782061040689683</v>
      </c>
      <c r="B164">
        <v>187.91222824293692</v>
      </c>
      <c r="C164">
        <f t="shared" si="23"/>
        <v>187</v>
      </c>
    </row>
    <row r="165" spans="1:3" x14ac:dyDescent="0.3">
      <c r="A165">
        <v>9.8315818937894539E-2</v>
      </c>
      <c r="B165">
        <v>153.75825995009438</v>
      </c>
      <c r="C165">
        <f t="shared" si="23"/>
        <v>153</v>
      </c>
    </row>
    <row r="166" spans="1:3" x14ac:dyDescent="0.3">
      <c r="A166">
        <v>0.38418390508578038</v>
      </c>
      <c r="B166">
        <v>171.69881026951714</v>
      </c>
      <c r="C166">
        <f t="shared" si="23"/>
        <v>171</v>
      </c>
    </row>
    <row r="167" spans="1:3" x14ac:dyDescent="0.3">
      <c r="A167">
        <v>0.42681629314831626</v>
      </c>
      <c r="B167">
        <v>173.6792606567931</v>
      </c>
      <c r="C167">
        <f t="shared" si="23"/>
        <v>173</v>
      </c>
    </row>
    <row r="168" spans="1:3" x14ac:dyDescent="0.3">
      <c r="A168">
        <v>0.29561066004764402</v>
      </c>
      <c r="B168">
        <v>167.33279362283244</v>
      </c>
      <c r="C168">
        <f t="shared" si="23"/>
        <v>167</v>
      </c>
    </row>
    <row r="169" spans="1:3" x14ac:dyDescent="0.3">
      <c r="A169">
        <v>0.29640152695327271</v>
      </c>
      <c r="B169">
        <v>167.37398757503655</v>
      </c>
      <c r="C169">
        <f t="shared" si="23"/>
        <v>167</v>
      </c>
    </row>
    <row r="170" spans="1:3" x14ac:dyDescent="0.3">
      <c r="A170">
        <v>0.70156791646709149</v>
      </c>
      <c r="B170">
        <v>186.52047645729695</v>
      </c>
      <c r="C170">
        <f t="shared" si="23"/>
        <v>186</v>
      </c>
    </row>
    <row r="171" spans="1:3" x14ac:dyDescent="0.3">
      <c r="A171">
        <v>9.5346284012617022E-2</v>
      </c>
      <c r="B171">
        <v>153.446404876602</v>
      </c>
      <c r="C171">
        <f t="shared" si="23"/>
        <v>153</v>
      </c>
    </row>
    <row r="172" spans="1:3" x14ac:dyDescent="0.3">
      <c r="A172">
        <v>2.8847190633066844E-2</v>
      </c>
      <c r="B172">
        <v>142.83576760146559</v>
      </c>
      <c r="C172">
        <f t="shared" si="23"/>
        <v>142</v>
      </c>
    </row>
    <row r="173" spans="1:3" x14ac:dyDescent="0.3">
      <c r="A173">
        <v>0.3225320737291828</v>
      </c>
      <c r="B173">
        <v>168.7086615847621</v>
      </c>
      <c r="C173">
        <f t="shared" si="23"/>
        <v>168</v>
      </c>
    </row>
    <row r="174" spans="1:3" x14ac:dyDescent="0.3">
      <c r="A174">
        <v>0.10779994445849039</v>
      </c>
      <c r="B174">
        <v>154.71035937491422</v>
      </c>
      <c r="C174">
        <f t="shared" si="23"/>
        <v>154</v>
      </c>
    </row>
    <row r="175" spans="1:3" x14ac:dyDescent="0.3">
      <c r="A175">
        <v>0.67257614195316484</v>
      </c>
      <c r="B175">
        <v>185.04668168379155</v>
      </c>
      <c r="C175">
        <f t="shared" si="23"/>
        <v>185</v>
      </c>
    </row>
    <row r="176" spans="1:3" x14ac:dyDescent="0.3">
      <c r="A176">
        <v>0.44836427407389368</v>
      </c>
      <c r="B176">
        <v>174.663688390956</v>
      </c>
      <c r="C176">
        <f t="shared" si="23"/>
        <v>174</v>
      </c>
    </row>
    <row r="177" spans="1:3" x14ac:dyDescent="0.3">
      <c r="A177">
        <v>0.4967074595747426</v>
      </c>
      <c r="B177">
        <v>176.85144116481163</v>
      </c>
      <c r="C177">
        <f t="shared" si="23"/>
        <v>176</v>
      </c>
    </row>
    <row r="178" spans="1:3" x14ac:dyDescent="0.3">
      <c r="A178">
        <v>0.38030227902116798</v>
      </c>
      <c r="B178">
        <v>171.5156341514645</v>
      </c>
      <c r="C178">
        <f t="shared" si="23"/>
        <v>171</v>
      </c>
    </row>
    <row r="179" spans="1:3" x14ac:dyDescent="0.3">
      <c r="A179">
        <v>0.6883323601468524</v>
      </c>
      <c r="B179">
        <v>185.84032026694055</v>
      </c>
      <c r="C179">
        <f t="shared" si="23"/>
        <v>185</v>
      </c>
    </row>
    <row r="180" spans="1:3" x14ac:dyDescent="0.3">
      <c r="A180">
        <v>0.74301928841902221</v>
      </c>
      <c r="B180">
        <v>188.74827281705458</v>
      </c>
      <c r="C180">
        <f t="shared" si="23"/>
        <v>188</v>
      </c>
    </row>
    <row r="181" spans="1:3" x14ac:dyDescent="0.3">
      <c r="A181">
        <v>0.10995932714640244</v>
      </c>
      <c r="B181">
        <v>154.91859984994869</v>
      </c>
      <c r="C181">
        <f t="shared" si="23"/>
        <v>154</v>
      </c>
    </row>
    <row r="182" spans="1:3" x14ac:dyDescent="0.3">
      <c r="A182">
        <v>0.24464579787032048</v>
      </c>
      <c r="B182">
        <v>164.5541522452767</v>
      </c>
      <c r="C182">
        <f t="shared" si="23"/>
        <v>164</v>
      </c>
    </row>
    <row r="183" spans="1:3" x14ac:dyDescent="0.3">
      <c r="A183">
        <v>0.47542729350323421</v>
      </c>
      <c r="B183">
        <v>175.89059447988294</v>
      </c>
      <c r="C183">
        <f t="shared" si="23"/>
        <v>175</v>
      </c>
    </row>
    <row r="184" spans="1:3" x14ac:dyDescent="0.3">
      <c r="A184">
        <v>1.9064442410262061E-2</v>
      </c>
      <c r="B184">
        <v>139.67760283441083</v>
      </c>
      <c r="C184">
        <f t="shared" si="23"/>
        <v>139</v>
      </c>
    </row>
    <row r="185" spans="1:3" x14ac:dyDescent="0.3">
      <c r="A185">
        <v>0.82606883656919372</v>
      </c>
      <c r="B185">
        <v>193.89738744362515</v>
      </c>
      <c r="C185">
        <f t="shared" si="23"/>
        <v>193</v>
      </c>
    </row>
    <row r="186" spans="1:3" x14ac:dyDescent="0.3">
      <c r="A186">
        <v>0.20690989665697801</v>
      </c>
      <c r="B186">
        <v>162.29057801368361</v>
      </c>
      <c r="C186">
        <f t="shared" si="23"/>
        <v>162</v>
      </c>
    </row>
    <row r="187" spans="1:3" x14ac:dyDescent="0.3">
      <c r="A187">
        <v>0.53894636688042474</v>
      </c>
      <c r="B187">
        <v>178.76003371464392</v>
      </c>
      <c r="C187">
        <f t="shared" si="23"/>
        <v>178</v>
      </c>
    </row>
    <row r="188" spans="1:3" x14ac:dyDescent="0.3">
      <c r="A188">
        <v>7.4158005538085603E-2</v>
      </c>
      <c r="B188">
        <v>150.98090496452926</v>
      </c>
      <c r="C188">
        <f t="shared" si="23"/>
        <v>150</v>
      </c>
    </row>
    <row r="189" spans="1:3" x14ac:dyDescent="0.3">
      <c r="A189">
        <v>0.99443127594048664</v>
      </c>
      <c r="B189">
        <v>222.69041621614602</v>
      </c>
      <c r="C189">
        <f t="shared" si="23"/>
        <v>222</v>
      </c>
    </row>
    <row r="190" spans="1:3" x14ac:dyDescent="0.3">
      <c r="A190">
        <v>0.37432694387255339</v>
      </c>
      <c r="B190">
        <v>171.23253312597083</v>
      </c>
      <c r="C190">
        <f t="shared" si="23"/>
        <v>171</v>
      </c>
    </row>
    <row r="191" spans="1:3" x14ac:dyDescent="0.3">
      <c r="A191">
        <v>0.63113918140829417</v>
      </c>
      <c r="B191">
        <v>183.02769617702015</v>
      </c>
      <c r="C191">
        <f t="shared" si="23"/>
        <v>183</v>
      </c>
    </row>
    <row r="192" spans="1:3" x14ac:dyDescent="0.3">
      <c r="A192">
        <v>0.31705933598421088</v>
      </c>
      <c r="B192">
        <v>168.43311910777507</v>
      </c>
      <c r="C192">
        <f t="shared" si="23"/>
        <v>168</v>
      </c>
    </row>
    <row r="193" spans="1:3" x14ac:dyDescent="0.3">
      <c r="A193">
        <v>0.11261996625119963</v>
      </c>
      <c r="B193">
        <v>155.17118316373796</v>
      </c>
      <c r="C193">
        <f t="shared" si="23"/>
        <v>155</v>
      </c>
    </row>
    <row r="194" spans="1:3" x14ac:dyDescent="0.3">
      <c r="A194">
        <v>0.64968059491712093</v>
      </c>
      <c r="B194">
        <v>183.92024908458711</v>
      </c>
      <c r="C194">
        <f t="shared" si="23"/>
        <v>183</v>
      </c>
    </row>
    <row r="195" spans="1:3" x14ac:dyDescent="0.3">
      <c r="A195">
        <v>0.46616670916995606</v>
      </c>
      <c r="B195">
        <v>175.47163079278269</v>
      </c>
      <c r="C195">
        <f t="shared" ref="C195:C258" si="24">INT(B195)</f>
        <v>175</v>
      </c>
    </row>
    <row r="196" spans="1:3" x14ac:dyDescent="0.3">
      <c r="A196">
        <v>0.91904454657325207</v>
      </c>
      <c r="B196">
        <v>202.17612345221829</v>
      </c>
      <c r="C196">
        <f t="shared" si="24"/>
        <v>202</v>
      </c>
    </row>
    <row r="197" spans="1:3" x14ac:dyDescent="0.3">
      <c r="A197">
        <v>0.77307158948343191</v>
      </c>
      <c r="B197">
        <v>190.48201147965912</v>
      </c>
      <c r="C197">
        <f t="shared" si="24"/>
        <v>190</v>
      </c>
    </row>
    <row r="198" spans="1:3" x14ac:dyDescent="0.3">
      <c r="A198">
        <v>0.24337911901579845</v>
      </c>
      <c r="B198">
        <v>164.48146623089204</v>
      </c>
      <c r="C198">
        <f t="shared" si="24"/>
        <v>164</v>
      </c>
    </row>
    <row r="199" spans="1:3" x14ac:dyDescent="0.3">
      <c r="A199">
        <v>0.16980859627366685</v>
      </c>
      <c r="B199">
        <v>159.81140575141882</v>
      </c>
      <c r="C199">
        <f t="shared" si="24"/>
        <v>159</v>
      </c>
    </row>
    <row r="200" spans="1:3" x14ac:dyDescent="0.3">
      <c r="A200">
        <v>0.92975414103803156</v>
      </c>
      <c r="B200">
        <v>203.53132301129801</v>
      </c>
      <c r="C200">
        <f t="shared" si="24"/>
        <v>203</v>
      </c>
    </row>
    <row r="201" spans="1:3" x14ac:dyDescent="0.3">
      <c r="A201">
        <v>0.75733495444778542</v>
      </c>
      <c r="B201">
        <v>189.55959962717441</v>
      </c>
      <c r="C201">
        <f t="shared" si="24"/>
        <v>189</v>
      </c>
    </row>
    <row r="202" spans="1:3" x14ac:dyDescent="0.3">
      <c r="A202">
        <v>0.74752663027837707</v>
      </c>
      <c r="B202">
        <v>189.00108007484968</v>
      </c>
      <c r="C202">
        <f t="shared" si="24"/>
        <v>189</v>
      </c>
    </row>
    <row r="203" spans="1:3" x14ac:dyDescent="0.3">
      <c r="A203">
        <v>0.20282226910799273</v>
      </c>
      <c r="B203">
        <v>162.0315116488878</v>
      </c>
      <c r="C203">
        <f t="shared" si="24"/>
        <v>162</v>
      </c>
    </row>
    <row r="204" spans="1:3" x14ac:dyDescent="0.3">
      <c r="A204">
        <v>0.42791976708750068</v>
      </c>
      <c r="B204">
        <v>173.72989008166613</v>
      </c>
      <c r="C204">
        <f t="shared" si="24"/>
        <v>173</v>
      </c>
    </row>
    <row r="205" spans="1:3" x14ac:dyDescent="0.3">
      <c r="A205">
        <v>0.7287519671772783</v>
      </c>
      <c r="B205">
        <v>187.96277051839976</v>
      </c>
      <c r="C205">
        <f t="shared" si="24"/>
        <v>187</v>
      </c>
    </row>
    <row r="206" spans="1:3" x14ac:dyDescent="0.3">
      <c r="A206">
        <v>0.7013505902273528</v>
      </c>
      <c r="B206">
        <v>186.50920059040422</v>
      </c>
      <c r="C206">
        <f t="shared" si="24"/>
        <v>186</v>
      </c>
    </row>
    <row r="207" spans="1:3" x14ac:dyDescent="0.3">
      <c r="A207">
        <v>0.69287839929797845</v>
      </c>
      <c r="B207">
        <v>186.07246556723209</v>
      </c>
      <c r="C207">
        <f t="shared" si="24"/>
        <v>186</v>
      </c>
    </row>
    <row r="208" spans="1:3" x14ac:dyDescent="0.3">
      <c r="A208">
        <v>0.81787103543568873</v>
      </c>
      <c r="B208">
        <v>193.33106787051</v>
      </c>
      <c r="C208">
        <f t="shared" si="24"/>
        <v>193</v>
      </c>
    </row>
    <row r="209" spans="1:3" x14ac:dyDescent="0.3">
      <c r="A209">
        <v>9.1459239536651027E-2</v>
      </c>
      <c r="B209">
        <v>153.02719261974596</v>
      </c>
      <c r="C209">
        <f t="shared" si="24"/>
        <v>153</v>
      </c>
    </row>
    <row r="210" spans="1:3" x14ac:dyDescent="0.3">
      <c r="A210">
        <v>0.47929273593628319</v>
      </c>
      <c r="B210">
        <v>176.06528263295019</v>
      </c>
      <c r="C210">
        <f t="shared" si="24"/>
        <v>176</v>
      </c>
    </row>
    <row r="211" spans="1:3" x14ac:dyDescent="0.3">
      <c r="A211">
        <v>0.75271814880715415</v>
      </c>
      <c r="B211">
        <v>189.29522891271802</v>
      </c>
      <c r="C211">
        <f t="shared" si="24"/>
        <v>189</v>
      </c>
    </row>
    <row r="212" spans="1:3" x14ac:dyDescent="0.3">
      <c r="A212">
        <v>0.26494734812321719</v>
      </c>
      <c r="B212">
        <v>165.69299813504955</v>
      </c>
      <c r="C212">
        <f t="shared" si="24"/>
        <v>165</v>
      </c>
    </row>
    <row r="213" spans="1:3" x14ac:dyDescent="0.3">
      <c r="A213">
        <v>0.58460699422837037</v>
      </c>
      <c r="B213">
        <v>180.84648459191425</v>
      </c>
      <c r="C213">
        <f t="shared" si="24"/>
        <v>180</v>
      </c>
    </row>
    <row r="214" spans="1:3" x14ac:dyDescent="0.3">
      <c r="A214">
        <v>0.72905870176971921</v>
      </c>
      <c r="B214">
        <v>187.9794351148324</v>
      </c>
      <c r="C214">
        <f t="shared" si="24"/>
        <v>187</v>
      </c>
    </row>
    <row r="215" spans="1:3" x14ac:dyDescent="0.3">
      <c r="A215">
        <v>0.86372176616070817</v>
      </c>
      <c r="B215">
        <v>196.74949726281847</v>
      </c>
      <c r="C215">
        <f t="shared" si="24"/>
        <v>196</v>
      </c>
    </row>
    <row r="216" spans="1:3" x14ac:dyDescent="0.3">
      <c r="A216">
        <v>0.43823607361750039</v>
      </c>
      <c r="B216">
        <v>174.20202737497203</v>
      </c>
      <c r="C216">
        <f t="shared" si="24"/>
        <v>174</v>
      </c>
    </row>
    <row r="217" spans="1:3" x14ac:dyDescent="0.3">
      <c r="A217">
        <v>0.91338447348615404</v>
      </c>
      <c r="B217">
        <v>201.51410836575278</v>
      </c>
      <c r="C217">
        <f t="shared" si="24"/>
        <v>201</v>
      </c>
    </row>
    <row r="218" spans="1:3" x14ac:dyDescent="0.3">
      <c r="A218">
        <v>0.69967725134070824</v>
      </c>
      <c r="B218">
        <v>186.42250463694131</v>
      </c>
      <c r="C218">
        <f t="shared" si="24"/>
        <v>186</v>
      </c>
    </row>
    <row r="219" spans="1:3" x14ac:dyDescent="0.3">
      <c r="A219">
        <v>0.75108464166265854</v>
      </c>
      <c r="B219">
        <v>189.20232443027078</v>
      </c>
      <c r="C219">
        <f t="shared" si="24"/>
        <v>189</v>
      </c>
    </row>
    <row r="220" spans="1:3" x14ac:dyDescent="0.3">
      <c r="A220">
        <v>0.43743664099323498</v>
      </c>
      <c r="B220">
        <v>174.16551333425213</v>
      </c>
      <c r="C220">
        <f t="shared" si="24"/>
        <v>174</v>
      </c>
    </row>
    <row r="221" spans="1:3" x14ac:dyDescent="0.3">
      <c r="A221">
        <v>6.6927219549459571E-2</v>
      </c>
      <c r="B221">
        <v>150.01666823203669</v>
      </c>
      <c r="C221">
        <f t="shared" si="24"/>
        <v>150</v>
      </c>
    </row>
    <row r="222" spans="1:3" x14ac:dyDescent="0.3">
      <c r="A222">
        <v>0.28056801310316615</v>
      </c>
      <c r="B222">
        <v>166.53921088347843</v>
      </c>
      <c r="C222">
        <f t="shared" si="24"/>
        <v>166</v>
      </c>
    </row>
    <row r="223" spans="1:3" x14ac:dyDescent="0.3">
      <c r="A223">
        <v>0.19404363040927963</v>
      </c>
      <c r="B223">
        <v>161.46435626866577</v>
      </c>
      <c r="C223">
        <f t="shared" si="24"/>
        <v>161</v>
      </c>
    </row>
    <row r="224" spans="1:3" x14ac:dyDescent="0.3">
      <c r="A224">
        <v>0.37396795777325431</v>
      </c>
      <c r="B224">
        <v>171.21548017214297</v>
      </c>
      <c r="C224">
        <f t="shared" si="24"/>
        <v>171</v>
      </c>
    </row>
    <row r="225" spans="1:3" x14ac:dyDescent="0.3">
      <c r="A225">
        <v>0.69895525905921829</v>
      </c>
      <c r="B225">
        <v>186.38516561650027</v>
      </c>
      <c r="C225">
        <f t="shared" si="24"/>
        <v>186</v>
      </c>
    </row>
    <row r="226" spans="1:3" x14ac:dyDescent="0.3">
      <c r="A226">
        <v>0.23576840786849207</v>
      </c>
      <c r="B226">
        <v>164.04034555931639</v>
      </c>
      <c r="C226">
        <f t="shared" si="24"/>
        <v>164</v>
      </c>
    </row>
    <row r="227" spans="1:3" x14ac:dyDescent="0.3">
      <c r="A227">
        <v>0.46906998953821355</v>
      </c>
      <c r="B227">
        <v>175.60305827585719</v>
      </c>
      <c r="C227">
        <f t="shared" si="24"/>
        <v>175</v>
      </c>
    </row>
    <row r="228" spans="1:3" x14ac:dyDescent="0.3">
      <c r="A228">
        <v>7.9778160520742936E-2</v>
      </c>
      <c r="B228">
        <v>151.68182413942137</v>
      </c>
      <c r="C228">
        <f t="shared" si="24"/>
        <v>151</v>
      </c>
    </row>
    <row r="229" spans="1:3" x14ac:dyDescent="0.3">
      <c r="A229">
        <v>0.15509463064114859</v>
      </c>
      <c r="B229">
        <v>158.73315025923944</v>
      </c>
      <c r="C229">
        <f t="shared" si="24"/>
        <v>158</v>
      </c>
    </row>
    <row r="230" spans="1:3" x14ac:dyDescent="0.3">
      <c r="A230">
        <v>0.21370613707175545</v>
      </c>
      <c r="B230">
        <v>162.71470363985873</v>
      </c>
      <c r="C230">
        <f t="shared" si="24"/>
        <v>162</v>
      </c>
    </row>
    <row r="231" spans="1:3" x14ac:dyDescent="0.3">
      <c r="A231">
        <v>8.2407372295865033E-2</v>
      </c>
      <c r="B231">
        <v>151.9969341375284</v>
      </c>
      <c r="C231">
        <f t="shared" si="24"/>
        <v>151</v>
      </c>
    </row>
    <row r="232" spans="1:3" x14ac:dyDescent="0.3">
      <c r="A232">
        <v>0.39085310266906736</v>
      </c>
      <c r="B232">
        <v>172.01226759708493</v>
      </c>
      <c r="C232">
        <f t="shared" si="24"/>
        <v>172</v>
      </c>
    </row>
    <row r="233" spans="1:3" x14ac:dyDescent="0.3">
      <c r="A233">
        <v>0.80512199644559335</v>
      </c>
      <c r="B233">
        <v>192.48107876099846</v>
      </c>
      <c r="C233">
        <f t="shared" si="24"/>
        <v>192</v>
      </c>
    </row>
    <row r="234" spans="1:3" x14ac:dyDescent="0.3">
      <c r="A234">
        <v>0.47908737613109975</v>
      </c>
      <c r="B234">
        <v>176.05600431453536</v>
      </c>
      <c r="C234">
        <f t="shared" si="24"/>
        <v>176</v>
      </c>
    </row>
    <row r="235" spans="1:3" x14ac:dyDescent="0.3">
      <c r="A235">
        <v>0.12676654993592762</v>
      </c>
      <c r="B235">
        <v>156.44742411695296</v>
      </c>
      <c r="C235">
        <f t="shared" si="24"/>
        <v>156</v>
      </c>
    </row>
    <row r="236" spans="1:3" x14ac:dyDescent="0.3">
      <c r="A236">
        <v>0.72647794828368562</v>
      </c>
      <c r="B236">
        <v>187.83951649343936</v>
      </c>
      <c r="C236">
        <f t="shared" si="24"/>
        <v>187</v>
      </c>
    </row>
    <row r="237" spans="1:3" x14ac:dyDescent="0.3">
      <c r="A237">
        <v>0.19574147008131926</v>
      </c>
      <c r="B237">
        <v>161.57523942741355</v>
      </c>
      <c r="C237">
        <f t="shared" si="24"/>
        <v>161</v>
      </c>
    </row>
    <row r="238" spans="1:3" x14ac:dyDescent="0.3">
      <c r="A238">
        <v>0.19356883824293125</v>
      </c>
      <c r="B238">
        <v>161.43324276795173</v>
      </c>
      <c r="C238">
        <f t="shared" si="24"/>
        <v>161</v>
      </c>
    </row>
    <row r="239" spans="1:3" x14ac:dyDescent="0.3">
      <c r="A239">
        <v>0.70017288186037796</v>
      </c>
      <c r="B239">
        <v>186.44816046688513</v>
      </c>
      <c r="C239">
        <f t="shared" si="24"/>
        <v>186</v>
      </c>
    </row>
    <row r="240" spans="1:3" x14ac:dyDescent="0.3">
      <c r="A240">
        <v>0.78627680978309655</v>
      </c>
      <c r="B240">
        <v>191.28424215317915</v>
      </c>
      <c r="C240">
        <f t="shared" si="24"/>
        <v>191</v>
      </c>
    </row>
    <row r="241" spans="1:3" x14ac:dyDescent="0.3">
      <c r="A241">
        <v>0.29660442176253499</v>
      </c>
      <c r="B241">
        <v>167.38454764458953</v>
      </c>
      <c r="C241">
        <f t="shared" si="24"/>
        <v>167</v>
      </c>
    </row>
    <row r="242" spans="1:3" x14ac:dyDescent="0.3">
      <c r="A242">
        <v>0.10337966432512291</v>
      </c>
      <c r="B242">
        <v>154.27451958469362</v>
      </c>
      <c r="C242">
        <f t="shared" si="24"/>
        <v>154</v>
      </c>
    </row>
    <row r="243" spans="1:3" x14ac:dyDescent="0.3">
      <c r="A243">
        <v>0.36487885100902107</v>
      </c>
      <c r="B243">
        <v>170.78193852114171</v>
      </c>
      <c r="C243">
        <f t="shared" si="24"/>
        <v>170</v>
      </c>
    </row>
    <row r="244" spans="1:3" x14ac:dyDescent="0.3">
      <c r="A244">
        <v>0.68859629170676717</v>
      </c>
      <c r="B244">
        <v>185.85375753498235</v>
      </c>
      <c r="C244">
        <f t="shared" si="24"/>
        <v>185</v>
      </c>
    </row>
    <row r="245" spans="1:3" x14ac:dyDescent="0.3">
      <c r="A245">
        <v>0.7738139499807879</v>
      </c>
      <c r="B245">
        <v>190.52639264639049</v>
      </c>
      <c r="C245">
        <f t="shared" si="24"/>
        <v>190</v>
      </c>
    </row>
    <row r="246" spans="1:3" x14ac:dyDescent="0.3">
      <c r="A246">
        <v>0.7608599742487383</v>
      </c>
      <c r="B246">
        <v>189.7632886352435</v>
      </c>
      <c r="C246">
        <f t="shared" si="24"/>
        <v>189</v>
      </c>
    </row>
    <row r="247" spans="1:3" x14ac:dyDescent="0.3">
      <c r="A247">
        <v>0.83168678713731159</v>
      </c>
      <c r="B247">
        <v>194.29534182075469</v>
      </c>
      <c r="C247">
        <f t="shared" si="24"/>
        <v>194</v>
      </c>
    </row>
    <row r="248" spans="1:3" x14ac:dyDescent="0.3">
      <c r="A248">
        <v>0.95646665538805831</v>
      </c>
      <c r="B248">
        <v>207.79940649550849</v>
      </c>
      <c r="C248">
        <f t="shared" si="24"/>
        <v>207</v>
      </c>
    </row>
    <row r="249" spans="1:3" x14ac:dyDescent="0.3">
      <c r="A249">
        <v>0.73469718846371135</v>
      </c>
      <c r="B249">
        <v>188.28747222151375</v>
      </c>
      <c r="C249">
        <f t="shared" si="24"/>
        <v>188</v>
      </c>
    </row>
    <row r="250" spans="1:3" x14ac:dyDescent="0.3">
      <c r="A250">
        <v>0.86022306931516757</v>
      </c>
      <c r="B250">
        <v>196.46379774817012</v>
      </c>
      <c r="C250">
        <f t="shared" si="24"/>
        <v>196</v>
      </c>
    </row>
    <row r="251" spans="1:3" x14ac:dyDescent="0.3">
      <c r="A251">
        <v>0.55147941849145909</v>
      </c>
      <c r="B251">
        <v>179.32919965112089</v>
      </c>
      <c r="C251">
        <f t="shared" si="24"/>
        <v>179</v>
      </c>
    </row>
    <row r="252" spans="1:3" x14ac:dyDescent="0.3">
      <c r="A252">
        <v>0.38117812152807229</v>
      </c>
      <c r="B252">
        <v>171.55701462092983</v>
      </c>
      <c r="C252">
        <f t="shared" si="24"/>
        <v>171</v>
      </c>
    </row>
    <row r="253" spans="1:3" x14ac:dyDescent="0.3">
      <c r="A253">
        <v>0.20553469316759987</v>
      </c>
      <c r="B253">
        <v>162.20376246335718</v>
      </c>
      <c r="C253">
        <f t="shared" si="24"/>
        <v>162</v>
      </c>
    </row>
    <row r="254" spans="1:3" x14ac:dyDescent="0.3">
      <c r="A254">
        <v>0.64153630652491378</v>
      </c>
      <c r="B254">
        <v>183.52622957177942</v>
      </c>
      <c r="C254">
        <f t="shared" si="24"/>
        <v>183</v>
      </c>
    </row>
    <row r="255" spans="1:3" x14ac:dyDescent="0.3">
      <c r="A255">
        <v>0.7553283413435532</v>
      </c>
      <c r="B255">
        <v>189.44436589749427</v>
      </c>
      <c r="C255">
        <f t="shared" si="24"/>
        <v>189</v>
      </c>
    </row>
    <row r="256" spans="1:3" x14ac:dyDescent="0.3">
      <c r="A256">
        <v>0.63102454444472877</v>
      </c>
      <c r="B256">
        <v>183.02222581897868</v>
      </c>
      <c r="C256">
        <f t="shared" si="24"/>
        <v>183</v>
      </c>
    </row>
    <row r="257" spans="1:3" x14ac:dyDescent="0.3">
      <c r="A257">
        <v>0.26095414212777523</v>
      </c>
      <c r="B257">
        <v>165.47268095365425</v>
      </c>
      <c r="C257">
        <f t="shared" si="24"/>
        <v>165</v>
      </c>
    </row>
    <row r="258" spans="1:3" x14ac:dyDescent="0.3">
      <c r="A258">
        <v>0.5014018545539306</v>
      </c>
      <c r="B258">
        <v>177.06325083887972</v>
      </c>
      <c r="C258">
        <f t="shared" si="24"/>
        <v>177</v>
      </c>
    </row>
    <row r="259" spans="1:3" x14ac:dyDescent="0.3">
      <c r="A259">
        <v>0.83017812379317923</v>
      </c>
      <c r="B259">
        <v>194.18764897229795</v>
      </c>
      <c r="C259">
        <f t="shared" ref="C259:C322" si="25">INT(B259)</f>
        <v>194</v>
      </c>
    </row>
    <row r="260" spans="1:3" x14ac:dyDescent="0.3">
      <c r="A260">
        <v>0.73580489022411777</v>
      </c>
      <c r="B260">
        <v>188.34837483193451</v>
      </c>
      <c r="C260">
        <f t="shared" si="25"/>
        <v>188</v>
      </c>
    </row>
    <row r="261" spans="1:3" x14ac:dyDescent="0.3">
      <c r="A261">
        <v>0.63429344075520322</v>
      </c>
      <c r="B261">
        <v>183.17843476912989</v>
      </c>
      <c r="C261">
        <f t="shared" si="25"/>
        <v>183</v>
      </c>
    </row>
    <row r="262" spans="1:3" x14ac:dyDescent="0.3">
      <c r="A262">
        <v>0.21560217959218908</v>
      </c>
      <c r="B262">
        <v>162.83161663733725</v>
      </c>
      <c r="C262">
        <f t="shared" si="25"/>
        <v>162</v>
      </c>
    </row>
    <row r="263" spans="1:3" x14ac:dyDescent="0.3">
      <c r="A263">
        <v>0.3574224495507714</v>
      </c>
      <c r="B263">
        <v>170.42357313690076</v>
      </c>
      <c r="C263">
        <f t="shared" si="25"/>
        <v>170</v>
      </c>
    </row>
    <row r="264" spans="1:3" x14ac:dyDescent="0.3">
      <c r="A264">
        <v>0.41671279769196312</v>
      </c>
      <c r="B264">
        <v>173.21441687328289</v>
      </c>
      <c r="C264">
        <f t="shared" si="25"/>
        <v>173</v>
      </c>
    </row>
    <row r="265" spans="1:3" x14ac:dyDescent="0.3">
      <c r="A265">
        <v>0.15933412853732443</v>
      </c>
      <c r="B265">
        <v>159.05043026995651</v>
      </c>
      <c r="C265">
        <f t="shared" si="25"/>
        <v>159</v>
      </c>
    </row>
    <row r="266" spans="1:3" x14ac:dyDescent="0.3">
      <c r="A266">
        <v>0.53558352129119269</v>
      </c>
      <c r="B266">
        <v>178.60763865307524</v>
      </c>
      <c r="C266">
        <f t="shared" si="25"/>
        <v>178</v>
      </c>
    </row>
    <row r="267" spans="1:3" x14ac:dyDescent="0.3">
      <c r="A267">
        <v>0.26977237696948642</v>
      </c>
      <c r="B267">
        <v>165.95697198388575</v>
      </c>
      <c r="C267">
        <f t="shared" si="25"/>
        <v>165</v>
      </c>
    </row>
    <row r="268" spans="1:3" x14ac:dyDescent="0.3">
      <c r="A268">
        <v>0.51360821342035501</v>
      </c>
      <c r="B268">
        <v>177.61411230181105</v>
      </c>
      <c r="C268">
        <f t="shared" si="25"/>
        <v>177</v>
      </c>
    </row>
    <row r="269" spans="1:3" x14ac:dyDescent="0.3">
      <c r="A269">
        <v>0.31343638701761745</v>
      </c>
      <c r="B269">
        <v>168.24960353790948</v>
      </c>
      <c r="C269">
        <f t="shared" si="25"/>
        <v>168</v>
      </c>
    </row>
    <row r="270" spans="1:3" x14ac:dyDescent="0.3">
      <c r="A270">
        <v>0.41137711268126764</v>
      </c>
      <c r="B270">
        <v>172.96792880021457</v>
      </c>
      <c r="C270">
        <f t="shared" si="25"/>
        <v>172</v>
      </c>
    </row>
    <row r="271" spans="1:3" x14ac:dyDescent="0.3">
      <c r="A271">
        <v>0.70017149105807819</v>
      </c>
      <c r="B271">
        <v>186.44808844652434</v>
      </c>
      <c r="C271">
        <f t="shared" si="25"/>
        <v>186</v>
      </c>
    </row>
    <row r="272" spans="1:3" x14ac:dyDescent="0.3">
      <c r="A272">
        <v>0.98697833031189863</v>
      </c>
      <c r="B272">
        <v>217.06016822287017</v>
      </c>
      <c r="C272">
        <f t="shared" si="25"/>
        <v>217</v>
      </c>
    </row>
    <row r="273" spans="1:3" x14ac:dyDescent="0.3">
      <c r="A273">
        <v>0.63677163446964613</v>
      </c>
      <c r="B273">
        <v>183.29716909046837</v>
      </c>
      <c r="C273">
        <f t="shared" si="25"/>
        <v>183</v>
      </c>
    </row>
    <row r="274" spans="1:3" x14ac:dyDescent="0.3">
      <c r="A274">
        <v>0.65593671041866775</v>
      </c>
      <c r="B274">
        <v>184.22517726500595</v>
      </c>
      <c r="C274">
        <f t="shared" si="25"/>
        <v>184</v>
      </c>
    </row>
    <row r="275" spans="1:3" x14ac:dyDescent="0.3">
      <c r="A275">
        <v>0.93577488811866572</v>
      </c>
      <c r="B275">
        <v>204.36435179989124</v>
      </c>
      <c r="C275">
        <f t="shared" si="25"/>
        <v>204</v>
      </c>
    </row>
    <row r="276" spans="1:3" x14ac:dyDescent="0.3">
      <c r="A276">
        <v>0.78100743631665903</v>
      </c>
      <c r="B276">
        <v>190.96080222532044</v>
      </c>
      <c r="C276">
        <f t="shared" si="25"/>
        <v>190</v>
      </c>
    </row>
    <row r="277" spans="1:3" x14ac:dyDescent="0.3">
      <c r="A277">
        <v>0.67265531688987235</v>
      </c>
      <c r="B277">
        <v>185.05062958961065</v>
      </c>
      <c r="C277">
        <f t="shared" si="25"/>
        <v>185</v>
      </c>
    </row>
    <row r="278" spans="1:3" x14ac:dyDescent="0.3">
      <c r="A278">
        <v>0.20912362860769473</v>
      </c>
      <c r="B278">
        <v>162.42961529078443</v>
      </c>
      <c r="C278">
        <f t="shared" si="25"/>
        <v>162</v>
      </c>
    </row>
    <row r="279" spans="1:3" x14ac:dyDescent="0.3">
      <c r="A279">
        <v>0.87746217940416704</v>
      </c>
      <c r="B279">
        <v>197.92308393887663</v>
      </c>
      <c r="C279">
        <f t="shared" si="25"/>
        <v>197</v>
      </c>
    </row>
    <row r="280" spans="1:3" x14ac:dyDescent="0.3">
      <c r="A280">
        <v>6.9594447168773721E-3</v>
      </c>
      <c r="B280">
        <v>132.7317021214302</v>
      </c>
      <c r="C280">
        <f t="shared" si="25"/>
        <v>132</v>
      </c>
    </row>
    <row r="281" spans="1:3" x14ac:dyDescent="0.3">
      <c r="A281">
        <v>0.13368418374632074</v>
      </c>
      <c r="B281">
        <v>157.03542057727691</v>
      </c>
      <c r="C281">
        <f t="shared" si="25"/>
        <v>157</v>
      </c>
    </row>
    <row r="282" spans="1:3" x14ac:dyDescent="0.3">
      <c r="A282">
        <v>0.23202838008078808</v>
      </c>
      <c r="B282">
        <v>163.82070249365174</v>
      </c>
      <c r="C282">
        <f t="shared" si="25"/>
        <v>163</v>
      </c>
    </row>
    <row r="283" spans="1:3" x14ac:dyDescent="0.3">
      <c r="A283">
        <v>0.94758199603789295</v>
      </c>
      <c r="B283">
        <v>206.1932547536768</v>
      </c>
      <c r="C283">
        <f t="shared" si="25"/>
        <v>206</v>
      </c>
    </row>
    <row r="284" spans="1:3" x14ac:dyDescent="0.3">
      <c r="A284">
        <v>0.45592674212903317</v>
      </c>
      <c r="B284">
        <v>175.00738271017835</v>
      </c>
      <c r="C284">
        <f t="shared" si="25"/>
        <v>175</v>
      </c>
    </row>
    <row r="285" spans="1:3" x14ac:dyDescent="0.3">
      <c r="A285">
        <v>0.36224980252929229</v>
      </c>
      <c r="B285">
        <v>170.65587107756411</v>
      </c>
      <c r="C285">
        <f t="shared" si="25"/>
        <v>170</v>
      </c>
    </row>
    <row r="286" spans="1:3" x14ac:dyDescent="0.3">
      <c r="A286">
        <v>0.50433810975599314</v>
      </c>
      <c r="B286">
        <v>177.19573637185263</v>
      </c>
      <c r="C286">
        <f t="shared" si="25"/>
        <v>177</v>
      </c>
    </row>
    <row r="287" spans="1:3" x14ac:dyDescent="0.3">
      <c r="A287">
        <v>0.18952734532602966</v>
      </c>
      <c r="B287">
        <v>161.16649089993433</v>
      </c>
      <c r="C287">
        <f t="shared" si="25"/>
        <v>161</v>
      </c>
    </row>
    <row r="288" spans="1:3" x14ac:dyDescent="0.3">
      <c r="A288">
        <v>0.47546066183198621</v>
      </c>
      <c r="B288">
        <v>175.89210289422238</v>
      </c>
      <c r="C288">
        <f t="shared" si="25"/>
        <v>175</v>
      </c>
    </row>
    <row r="289" spans="1:3" x14ac:dyDescent="0.3">
      <c r="A289">
        <v>3.1494881467975078E-2</v>
      </c>
      <c r="B289">
        <v>143.53325255065508</v>
      </c>
      <c r="C289">
        <f t="shared" si="25"/>
        <v>143</v>
      </c>
    </row>
    <row r="290" spans="1:3" x14ac:dyDescent="0.3">
      <c r="A290">
        <v>0.67394650212600093</v>
      </c>
      <c r="B290">
        <v>185.11506690919154</v>
      </c>
      <c r="C290">
        <f t="shared" si="25"/>
        <v>185</v>
      </c>
    </row>
    <row r="291" spans="1:3" x14ac:dyDescent="0.3">
      <c r="A291">
        <v>0.28352354816760772</v>
      </c>
      <c r="B291">
        <v>166.69669583720821</v>
      </c>
      <c r="C291">
        <f t="shared" si="25"/>
        <v>166</v>
      </c>
    </row>
    <row r="292" spans="1:3" x14ac:dyDescent="0.3">
      <c r="A292">
        <v>0.89400905526908592</v>
      </c>
      <c r="B292">
        <v>199.46641688901389</v>
      </c>
      <c r="C292">
        <f t="shared" si="25"/>
        <v>199</v>
      </c>
    </row>
    <row r="293" spans="1:3" x14ac:dyDescent="0.3">
      <c r="A293">
        <v>0.65520940318801824</v>
      </c>
      <c r="B293">
        <v>184.18962269618996</v>
      </c>
      <c r="C293">
        <f t="shared" si="25"/>
        <v>184</v>
      </c>
    </row>
    <row r="294" spans="1:3" x14ac:dyDescent="0.3">
      <c r="A294">
        <v>6.3149772815823235E-2</v>
      </c>
      <c r="B294">
        <v>149.48054841095038</v>
      </c>
      <c r="C294">
        <f t="shared" si="25"/>
        <v>149</v>
      </c>
    </row>
    <row r="295" spans="1:3" x14ac:dyDescent="0.3">
      <c r="A295">
        <v>0.22686681366999195</v>
      </c>
      <c r="B295">
        <v>163.51430914414951</v>
      </c>
      <c r="C295">
        <f t="shared" si="25"/>
        <v>163</v>
      </c>
    </row>
    <row r="296" spans="1:3" x14ac:dyDescent="0.3">
      <c r="A296">
        <v>0.44442631902884155</v>
      </c>
      <c r="B296">
        <v>174.48438879081255</v>
      </c>
      <c r="C296">
        <f t="shared" si="25"/>
        <v>174</v>
      </c>
    </row>
    <row r="297" spans="1:3" x14ac:dyDescent="0.3">
      <c r="A297">
        <v>0.32391483386008513</v>
      </c>
      <c r="B297">
        <v>168.77797214915509</v>
      </c>
      <c r="C297">
        <f t="shared" si="25"/>
        <v>168</v>
      </c>
    </row>
    <row r="298" spans="1:3" x14ac:dyDescent="0.3">
      <c r="A298">
        <v>0.93293602903862194</v>
      </c>
      <c r="B298">
        <v>203.96436778416793</v>
      </c>
      <c r="C298">
        <f t="shared" si="25"/>
        <v>203</v>
      </c>
    </row>
    <row r="299" spans="1:3" x14ac:dyDescent="0.3">
      <c r="A299">
        <v>0.72204045673421935</v>
      </c>
      <c r="B299">
        <v>187.6004487589617</v>
      </c>
      <c r="C299">
        <f t="shared" si="25"/>
        <v>187</v>
      </c>
    </row>
    <row r="300" spans="1:3" x14ac:dyDescent="0.3">
      <c r="A300">
        <v>0.71224012327679231</v>
      </c>
      <c r="B300">
        <v>187.07893610845591</v>
      </c>
      <c r="C300">
        <f t="shared" si="25"/>
        <v>187</v>
      </c>
    </row>
    <row r="301" spans="1:3" x14ac:dyDescent="0.3">
      <c r="A301">
        <v>0.79986798843552742</v>
      </c>
      <c r="B301">
        <v>192.14069627570098</v>
      </c>
      <c r="C301">
        <f t="shared" si="25"/>
        <v>192</v>
      </c>
    </row>
    <row r="302" spans="1:3" x14ac:dyDescent="0.3">
      <c r="A302">
        <v>0.21919469887470155</v>
      </c>
      <c r="B302">
        <v>163.05151506783736</v>
      </c>
      <c r="C302">
        <f t="shared" si="25"/>
        <v>163</v>
      </c>
    </row>
    <row r="303" spans="1:3" x14ac:dyDescent="0.3">
      <c r="A303">
        <v>0.71578255848729411</v>
      </c>
      <c r="B303">
        <v>187.26644471236284</v>
      </c>
      <c r="C303">
        <f t="shared" si="25"/>
        <v>187</v>
      </c>
    </row>
    <row r="304" spans="1:3" x14ac:dyDescent="0.3">
      <c r="A304">
        <v>0.16175699797409848</v>
      </c>
      <c r="B304">
        <v>159.22927597938877</v>
      </c>
      <c r="C304">
        <f t="shared" si="25"/>
        <v>159</v>
      </c>
    </row>
    <row r="305" spans="1:3" x14ac:dyDescent="0.3">
      <c r="A305">
        <v>0.48068611455658183</v>
      </c>
      <c r="B305">
        <v>176.12823014805451</v>
      </c>
      <c r="C305">
        <f t="shared" si="25"/>
        <v>176</v>
      </c>
    </row>
    <row r="306" spans="1:3" x14ac:dyDescent="0.3">
      <c r="A306">
        <v>0.17104527828266558</v>
      </c>
      <c r="B306">
        <v>159.89923140537513</v>
      </c>
      <c r="C306">
        <f t="shared" si="25"/>
        <v>159</v>
      </c>
    </row>
    <row r="307" spans="1:3" x14ac:dyDescent="0.3">
      <c r="A307">
        <v>0.60296791316768017</v>
      </c>
      <c r="B307">
        <v>181.69866134554658</v>
      </c>
      <c r="C307">
        <f t="shared" si="25"/>
        <v>181</v>
      </c>
    </row>
    <row r="308" spans="1:3" x14ac:dyDescent="0.3">
      <c r="A308">
        <v>0.67675644049930461</v>
      </c>
      <c r="B308">
        <v>185.25566004979149</v>
      </c>
      <c r="C308">
        <f t="shared" si="25"/>
        <v>185</v>
      </c>
    </row>
    <row r="309" spans="1:3" x14ac:dyDescent="0.3">
      <c r="A309">
        <v>0.8160679412598858</v>
      </c>
      <c r="B309">
        <v>193.20866526207078</v>
      </c>
      <c r="C309">
        <f t="shared" si="25"/>
        <v>193</v>
      </c>
    </row>
    <row r="310" spans="1:3" x14ac:dyDescent="0.3">
      <c r="A310">
        <v>0.68325849435235064</v>
      </c>
      <c r="B310">
        <v>185.58294429586459</v>
      </c>
      <c r="C310">
        <f t="shared" si="25"/>
        <v>185</v>
      </c>
    </row>
    <row r="311" spans="1:3" x14ac:dyDescent="0.3">
      <c r="A311">
        <v>0.15897597103303218</v>
      </c>
      <c r="B311">
        <v>159.02384208704925</v>
      </c>
      <c r="C311">
        <f t="shared" si="25"/>
        <v>159</v>
      </c>
    </row>
    <row r="312" spans="1:3" x14ac:dyDescent="0.3">
      <c r="A312">
        <v>0.54630007883295306</v>
      </c>
      <c r="B312">
        <v>179.09373940317053</v>
      </c>
      <c r="C312">
        <f t="shared" si="25"/>
        <v>179</v>
      </c>
    </row>
    <row r="313" spans="1:3" x14ac:dyDescent="0.3">
      <c r="A313">
        <v>0.67816962046351958</v>
      </c>
      <c r="B313">
        <v>185.32655770371997</v>
      </c>
      <c r="C313">
        <f t="shared" si="25"/>
        <v>185</v>
      </c>
    </row>
    <row r="314" spans="1:3" x14ac:dyDescent="0.3">
      <c r="A314">
        <v>0.73395498612703391</v>
      </c>
      <c r="B314">
        <v>188.24673737495488</v>
      </c>
      <c r="C314">
        <f t="shared" si="25"/>
        <v>188</v>
      </c>
    </row>
    <row r="315" spans="1:3" x14ac:dyDescent="0.3">
      <c r="A315">
        <v>0.37493718367428097</v>
      </c>
      <c r="B315">
        <v>171.26150954490211</v>
      </c>
      <c r="C315">
        <f t="shared" si="25"/>
        <v>171</v>
      </c>
    </row>
    <row r="316" spans="1:3" x14ac:dyDescent="0.3">
      <c r="A316">
        <v>0.77145346986789431</v>
      </c>
      <c r="B316">
        <v>190.38555679230345</v>
      </c>
      <c r="C316">
        <f t="shared" si="25"/>
        <v>190</v>
      </c>
    </row>
    <row r="317" spans="1:3" x14ac:dyDescent="0.3">
      <c r="A317">
        <v>0.4391383846403466</v>
      </c>
      <c r="B317">
        <v>174.24322656160908</v>
      </c>
      <c r="C317">
        <f t="shared" si="25"/>
        <v>174</v>
      </c>
    </row>
    <row r="318" spans="1:3" x14ac:dyDescent="0.3">
      <c r="A318">
        <v>0.26372123282490467</v>
      </c>
      <c r="B318">
        <v>165.62553122484215</v>
      </c>
      <c r="C318">
        <f t="shared" si="25"/>
        <v>165</v>
      </c>
    </row>
    <row r="319" spans="1:3" x14ac:dyDescent="0.3">
      <c r="A319">
        <v>0.90657561011471266</v>
      </c>
      <c r="B319">
        <v>200.75925808746734</v>
      </c>
      <c r="C319">
        <f t="shared" si="25"/>
        <v>200</v>
      </c>
    </row>
    <row r="320" spans="1:3" x14ac:dyDescent="0.3">
      <c r="A320">
        <v>0.1424724963366758</v>
      </c>
      <c r="B320">
        <v>157.75301885136966</v>
      </c>
      <c r="C320">
        <f t="shared" si="25"/>
        <v>157</v>
      </c>
    </row>
    <row r="321" spans="1:3" x14ac:dyDescent="0.3">
      <c r="A321">
        <v>0.46792995955992045</v>
      </c>
      <c r="B321">
        <v>175.5514599646896</v>
      </c>
      <c r="C321">
        <f t="shared" si="25"/>
        <v>175</v>
      </c>
    </row>
    <row r="322" spans="1:3" x14ac:dyDescent="0.3">
      <c r="A322">
        <v>0.15257978521389315</v>
      </c>
      <c r="B322">
        <v>158.54223067324673</v>
      </c>
      <c r="C322">
        <f t="shared" si="25"/>
        <v>158</v>
      </c>
    </row>
    <row r="323" spans="1:3" x14ac:dyDescent="0.3">
      <c r="A323">
        <v>0.69851076739567086</v>
      </c>
      <c r="B323">
        <v>186.36219807674979</v>
      </c>
      <c r="C323">
        <f t="shared" ref="C323:C386" si="26">INT(B323)</f>
        <v>186</v>
      </c>
    </row>
    <row r="324" spans="1:3" x14ac:dyDescent="0.3">
      <c r="A324">
        <v>0.67344776552209007</v>
      </c>
      <c r="B324">
        <v>185.09016489746676</v>
      </c>
      <c r="C324">
        <f t="shared" si="26"/>
        <v>185</v>
      </c>
    </row>
    <row r="325" spans="1:3" x14ac:dyDescent="0.3">
      <c r="A325">
        <v>0.41342705984935146</v>
      </c>
      <c r="B325">
        <v>173.06271539269039</v>
      </c>
      <c r="C325">
        <f t="shared" si="26"/>
        <v>173</v>
      </c>
    </row>
    <row r="326" spans="1:3" x14ac:dyDescent="0.3">
      <c r="A326">
        <v>0.48924061472225988</v>
      </c>
      <c r="B326">
        <v>176.5144851056819</v>
      </c>
      <c r="C326">
        <f t="shared" si="26"/>
        <v>176</v>
      </c>
    </row>
    <row r="327" spans="1:3" x14ac:dyDescent="0.3">
      <c r="A327">
        <v>0.36349143360457081</v>
      </c>
      <c r="B327">
        <v>170.71544784864099</v>
      </c>
      <c r="C327">
        <f t="shared" si="26"/>
        <v>170</v>
      </c>
    </row>
    <row r="328" spans="1:3" x14ac:dyDescent="0.3">
      <c r="A328">
        <v>2.6181987282977159E-3</v>
      </c>
      <c r="B328">
        <v>126.7418446703653</v>
      </c>
      <c r="C328">
        <f t="shared" si="26"/>
        <v>126</v>
      </c>
    </row>
    <row r="329" spans="1:3" x14ac:dyDescent="0.3">
      <c r="A329">
        <v>0.71873394441333083</v>
      </c>
      <c r="B329">
        <v>187.42352225263141</v>
      </c>
      <c r="C329">
        <f t="shared" si="26"/>
        <v>187</v>
      </c>
    </row>
    <row r="330" spans="1:3" x14ac:dyDescent="0.3">
      <c r="A330">
        <v>0.6484341811453348</v>
      </c>
      <c r="B330">
        <v>183.85973716245394</v>
      </c>
      <c r="C330">
        <f t="shared" si="26"/>
        <v>183</v>
      </c>
    </row>
    <row r="331" spans="1:3" x14ac:dyDescent="0.3">
      <c r="A331">
        <v>0.57465705771067133</v>
      </c>
      <c r="B331">
        <v>180.3883804585771</v>
      </c>
      <c r="C331">
        <f t="shared" si="26"/>
        <v>180</v>
      </c>
    </row>
    <row r="332" spans="1:3" x14ac:dyDescent="0.3">
      <c r="A332">
        <v>4.2453889229807973E-2</v>
      </c>
      <c r="B332">
        <v>145.98791624867658</v>
      </c>
      <c r="C332">
        <f t="shared" si="26"/>
        <v>145</v>
      </c>
    </row>
    <row r="333" spans="1:3" x14ac:dyDescent="0.3">
      <c r="A333">
        <v>0.18811158336169376</v>
      </c>
      <c r="B333">
        <v>161.07222042654487</v>
      </c>
      <c r="C333">
        <f t="shared" si="26"/>
        <v>161</v>
      </c>
    </row>
    <row r="334" spans="1:3" x14ac:dyDescent="0.3">
      <c r="A334">
        <v>0.47553297077051238</v>
      </c>
      <c r="B334">
        <v>175.89537159102122</v>
      </c>
      <c r="C334">
        <f t="shared" si="26"/>
        <v>175</v>
      </c>
    </row>
    <row r="335" spans="1:3" x14ac:dyDescent="0.3">
      <c r="A335">
        <v>0.64800772529865447</v>
      </c>
      <c r="B335">
        <v>183.83905105469466</v>
      </c>
      <c r="C335">
        <f t="shared" si="26"/>
        <v>183</v>
      </c>
    </row>
    <row r="336" spans="1:3" x14ac:dyDescent="0.3">
      <c r="A336">
        <v>9.30212592724311E-2</v>
      </c>
      <c r="B336">
        <v>153.19720722702641</v>
      </c>
      <c r="C336">
        <f t="shared" si="26"/>
        <v>153</v>
      </c>
    </row>
    <row r="337" spans="1:3" x14ac:dyDescent="0.3">
      <c r="A337">
        <v>0.47803141891207623</v>
      </c>
      <c r="B337">
        <v>176.00829131735784</v>
      </c>
      <c r="C337">
        <f t="shared" si="26"/>
        <v>176</v>
      </c>
    </row>
    <row r="338" spans="1:3" x14ac:dyDescent="0.3">
      <c r="A338">
        <v>0.89040835812166264</v>
      </c>
      <c r="B338">
        <v>199.11664906895805</v>
      </c>
      <c r="C338">
        <f t="shared" si="26"/>
        <v>199</v>
      </c>
    </row>
    <row r="339" spans="1:3" x14ac:dyDescent="0.3">
      <c r="A339">
        <v>0.41370524394464525</v>
      </c>
      <c r="B339">
        <v>173.07556975539467</v>
      </c>
      <c r="C339">
        <f t="shared" si="26"/>
        <v>173</v>
      </c>
    </row>
    <row r="340" spans="1:3" x14ac:dyDescent="0.3">
      <c r="A340">
        <v>0.96290321065033202</v>
      </c>
      <c r="B340">
        <v>209.1375198275407</v>
      </c>
      <c r="C340">
        <f t="shared" si="26"/>
        <v>209</v>
      </c>
    </row>
    <row r="341" spans="1:3" x14ac:dyDescent="0.3">
      <c r="A341">
        <v>0.76302894082135786</v>
      </c>
      <c r="B341">
        <v>189.88943516364549</v>
      </c>
      <c r="C341">
        <f t="shared" si="26"/>
        <v>189</v>
      </c>
    </row>
    <row r="342" spans="1:3" x14ac:dyDescent="0.3">
      <c r="A342">
        <v>0.13341710416031871</v>
      </c>
      <c r="B342">
        <v>157.01311384408743</v>
      </c>
      <c r="C342">
        <f t="shared" si="26"/>
        <v>157</v>
      </c>
    </row>
    <row r="343" spans="1:3" x14ac:dyDescent="0.3">
      <c r="A343">
        <v>0.47566436702617132</v>
      </c>
      <c r="B343">
        <v>175.90131121332288</v>
      </c>
      <c r="C343">
        <f t="shared" si="26"/>
        <v>175</v>
      </c>
    </row>
    <row r="344" spans="1:3" x14ac:dyDescent="0.3">
      <c r="A344">
        <v>0.70369498329444768</v>
      </c>
      <c r="B344">
        <v>186.63103665824036</v>
      </c>
      <c r="C344">
        <f t="shared" si="26"/>
        <v>186</v>
      </c>
    </row>
    <row r="345" spans="1:3" x14ac:dyDescent="0.3">
      <c r="A345">
        <v>0.326437680721407</v>
      </c>
      <c r="B345">
        <v>168.90411678345978</v>
      </c>
      <c r="C345">
        <f t="shared" si="26"/>
        <v>168</v>
      </c>
    </row>
    <row r="346" spans="1:3" x14ac:dyDescent="0.3">
      <c r="A346">
        <v>0.93886173282692242</v>
      </c>
      <c r="B346">
        <v>204.81519013485484</v>
      </c>
      <c r="C346">
        <f t="shared" si="26"/>
        <v>204</v>
      </c>
    </row>
    <row r="347" spans="1:3" x14ac:dyDescent="0.3">
      <c r="A347">
        <v>0.4477331161096848</v>
      </c>
      <c r="B347">
        <v>174.63496710438477</v>
      </c>
      <c r="C347">
        <f t="shared" si="26"/>
        <v>174</v>
      </c>
    </row>
    <row r="348" spans="1:3" x14ac:dyDescent="0.3">
      <c r="A348">
        <v>0.23817519651702157</v>
      </c>
      <c r="B348">
        <v>164.1806749059707</v>
      </c>
      <c r="C348">
        <f t="shared" si="26"/>
        <v>164</v>
      </c>
    </row>
    <row r="349" spans="1:3" x14ac:dyDescent="0.3">
      <c r="A349">
        <v>0.1776782187890642</v>
      </c>
      <c r="B349">
        <v>160.36350930111158</v>
      </c>
      <c r="C349">
        <f t="shared" si="26"/>
        <v>160</v>
      </c>
    </row>
    <row r="350" spans="1:3" x14ac:dyDescent="0.3">
      <c r="A350">
        <v>0.91655412870763897</v>
      </c>
      <c r="B350">
        <v>201.88068824273648</v>
      </c>
      <c r="C350">
        <f t="shared" si="26"/>
        <v>201</v>
      </c>
    </row>
    <row r="351" spans="1:3" x14ac:dyDescent="0.3">
      <c r="A351">
        <v>0.3155093948326021</v>
      </c>
      <c r="B351">
        <v>168.35471901336598</v>
      </c>
      <c r="C351">
        <f t="shared" si="26"/>
        <v>168</v>
      </c>
    </row>
    <row r="352" spans="1:3" x14ac:dyDescent="0.3">
      <c r="A352">
        <v>0.26754711781068374</v>
      </c>
      <c r="B352">
        <v>165.83552810766207</v>
      </c>
      <c r="C352">
        <f t="shared" si="26"/>
        <v>165</v>
      </c>
    </row>
    <row r="353" spans="1:3" x14ac:dyDescent="0.3">
      <c r="A353">
        <v>0.59200332175835768</v>
      </c>
      <c r="B353">
        <v>181.18862347388543</v>
      </c>
      <c r="C353">
        <f t="shared" si="26"/>
        <v>181</v>
      </c>
    </row>
    <row r="354" spans="1:3" x14ac:dyDescent="0.3">
      <c r="A354">
        <v>0.67905212726106789</v>
      </c>
      <c r="B354">
        <v>185.37089762216556</v>
      </c>
      <c r="C354">
        <f t="shared" si="26"/>
        <v>185</v>
      </c>
    </row>
    <row r="355" spans="1:3" x14ac:dyDescent="0.3">
      <c r="A355">
        <v>0.12869766987050524</v>
      </c>
      <c r="B355">
        <v>156.61376000162377</v>
      </c>
      <c r="C355">
        <f t="shared" si="26"/>
        <v>156</v>
      </c>
    </row>
    <row r="356" spans="1:3" x14ac:dyDescent="0.3">
      <c r="A356">
        <v>0.67113890444120028</v>
      </c>
      <c r="B356">
        <v>184.97508362091938</v>
      </c>
      <c r="C356">
        <f t="shared" si="26"/>
        <v>184</v>
      </c>
    </row>
    <row r="357" spans="1:3" x14ac:dyDescent="0.3">
      <c r="A357">
        <v>0.21029342341936474</v>
      </c>
      <c r="B357">
        <v>162.50273619339015</v>
      </c>
      <c r="C357">
        <f t="shared" si="26"/>
        <v>162</v>
      </c>
    </row>
    <row r="358" spans="1:3" x14ac:dyDescent="0.3">
      <c r="A358">
        <v>0.98409857849057569</v>
      </c>
      <c r="B358">
        <v>215.6438384664599</v>
      </c>
      <c r="C358">
        <f t="shared" si="26"/>
        <v>215</v>
      </c>
    </row>
    <row r="359" spans="1:3" x14ac:dyDescent="0.3">
      <c r="A359">
        <v>5.8447236698202842E-2</v>
      </c>
      <c r="B359">
        <v>148.7770289312198</v>
      </c>
      <c r="C359">
        <f t="shared" si="26"/>
        <v>148</v>
      </c>
    </row>
    <row r="360" spans="1:3" x14ac:dyDescent="0.3">
      <c r="A360">
        <v>0.90783109482781432</v>
      </c>
      <c r="B360">
        <v>200.8953010920865</v>
      </c>
      <c r="C360">
        <f t="shared" si="26"/>
        <v>200</v>
      </c>
    </row>
    <row r="361" spans="1:3" x14ac:dyDescent="0.3">
      <c r="A361">
        <v>0.91314427087156502</v>
      </c>
      <c r="B361">
        <v>201.48674017177675</v>
      </c>
      <c r="C361">
        <f t="shared" si="26"/>
        <v>201</v>
      </c>
    </row>
    <row r="362" spans="1:3" x14ac:dyDescent="0.3">
      <c r="A362">
        <v>0.99087190979938278</v>
      </c>
      <c r="B362">
        <v>219.48685583085557</v>
      </c>
      <c r="C362">
        <f t="shared" si="26"/>
        <v>219</v>
      </c>
    </row>
    <row r="363" spans="1:3" x14ac:dyDescent="0.3">
      <c r="A363">
        <v>0.40790446220789767</v>
      </c>
      <c r="B363">
        <v>172.80710149397422</v>
      </c>
      <c r="C363">
        <f t="shared" si="26"/>
        <v>172</v>
      </c>
    </row>
    <row r="364" spans="1:3" x14ac:dyDescent="0.3">
      <c r="A364">
        <v>0.81094379399504168</v>
      </c>
      <c r="B364">
        <v>192.86483224763069</v>
      </c>
      <c r="C364">
        <f t="shared" si="26"/>
        <v>192</v>
      </c>
    </row>
    <row r="365" spans="1:3" x14ac:dyDescent="0.3">
      <c r="A365">
        <v>0.42323663418935287</v>
      </c>
      <c r="B365">
        <v>173.51483612857493</v>
      </c>
      <c r="C365">
        <f t="shared" si="26"/>
        <v>173</v>
      </c>
    </row>
    <row r="366" spans="1:3" x14ac:dyDescent="0.3">
      <c r="A366">
        <v>0.65956963488408837</v>
      </c>
      <c r="B366">
        <v>184.40319964963683</v>
      </c>
      <c r="C366">
        <f t="shared" si="26"/>
        <v>184</v>
      </c>
    </row>
    <row r="367" spans="1:3" x14ac:dyDescent="0.3">
      <c r="A367">
        <v>0.93824192776441329</v>
      </c>
      <c r="B367">
        <v>204.72326504915594</v>
      </c>
      <c r="C367">
        <f t="shared" si="26"/>
        <v>204</v>
      </c>
    </row>
    <row r="368" spans="1:3" x14ac:dyDescent="0.3">
      <c r="A368">
        <v>0.64815958335085488</v>
      </c>
      <c r="B368">
        <v>183.84641620131151</v>
      </c>
      <c r="C368">
        <f t="shared" si="26"/>
        <v>183</v>
      </c>
    </row>
    <row r="369" spans="1:3" x14ac:dyDescent="0.3">
      <c r="A369">
        <v>0.37101048158758299</v>
      </c>
      <c r="B369">
        <v>171.07479153614582</v>
      </c>
      <c r="C369">
        <f t="shared" si="26"/>
        <v>171</v>
      </c>
    </row>
    <row r="370" spans="1:3" x14ac:dyDescent="0.3">
      <c r="A370">
        <v>0.40831553819007271</v>
      </c>
      <c r="B370">
        <v>172.82615669743424</v>
      </c>
      <c r="C370">
        <f t="shared" si="26"/>
        <v>172</v>
      </c>
    </row>
    <row r="371" spans="1:3" x14ac:dyDescent="0.3">
      <c r="A371">
        <v>0.68539904527663198</v>
      </c>
      <c r="B371">
        <v>185.69130852818537</v>
      </c>
      <c r="C371">
        <f t="shared" si="26"/>
        <v>185</v>
      </c>
    </row>
    <row r="372" spans="1:3" x14ac:dyDescent="0.3">
      <c r="A372">
        <v>0.45823101368904684</v>
      </c>
      <c r="B372">
        <v>175.11195580373715</v>
      </c>
      <c r="C372">
        <f t="shared" si="26"/>
        <v>175</v>
      </c>
    </row>
    <row r="373" spans="1:3" x14ac:dyDescent="0.3">
      <c r="A373">
        <v>0.7120742822332109</v>
      </c>
      <c r="B373">
        <v>187.0701846917776</v>
      </c>
      <c r="C373">
        <f t="shared" si="26"/>
        <v>187</v>
      </c>
    </row>
    <row r="374" spans="1:3" x14ac:dyDescent="0.3">
      <c r="A374">
        <v>0.26943176895895427</v>
      </c>
      <c r="B374">
        <v>165.93841593602676</v>
      </c>
      <c r="C374">
        <f t="shared" si="26"/>
        <v>165</v>
      </c>
    </row>
    <row r="375" spans="1:3" x14ac:dyDescent="0.3">
      <c r="A375">
        <v>0.45150818782487512</v>
      </c>
      <c r="B375">
        <v>174.80666729431843</v>
      </c>
      <c r="C375">
        <f t="shared" si="26"/>
        <v>174</v>
      </c>
    </row>
    <row r="376" spans="1:3" x14ac:dyDescent="0.3">
      <c r="A376">
        <v>0.76212795941022948</v>
      </c>
      <c r="B376">
        <v>189.83695778825529</v>
      </c>
      <c r="C376">
        <f t="shared" si="26"/>
        <v>189</v>
      </c>
    </row>
    <row r="377" spans="1:3" x14ac:dyDescent="0.3">
      <c r="A377">
        <v>0.85647242704459825</v>
      </c>
      <c r="B377">
        <v>196.16287291605164</v>
      </c>
      <c r="C377">
        <f t="shared" si="26"/>
        <v>196</v>
      </c>
    </row>
    <row r="378" spans="1:3" x14ac:dyDescent="0.3">
      <c r="A378">
        <v>7.888914315063511E-2</v>
      </c>
      <c r="B378">
        <v>151.57350085188463</v>
      </c>
      <c r="C378">
        <f t="shared" si="26"/>
        <v>151</v>
      </c>
    </row>
    <row r="379" spans="1:3" x14ac:dyDescent="0.3">
      <c r="A379">
        <v>0.2298937245150221</v>
      </c>
      <c r="B379">
        <v>163.69445597953563</v>
      </c>
      <c r="C379">
        <f t="shared" si="26"/>
        <v>163</v>
      </c>
    </row>
    <row r="380" spans="1:3" x14ac:dyDescent="0.3">
      <c r="A380">
        <v>0.75610354833364835</v>
      </c>
      <c r="B380">
        <v>189.4888229981029</v>
      </c>
      <c r="C380">
        <f t="shared" si="26"/>
        <v>189</v>
      </c>
    </row>
    <row r="381" spans="1:3" x14ac:dyDescent="0.3">
      <c r="A381">
        <v>9.0200723259241444E-2</v>
      </c>
      <c r="B381">
        <v>152.88863991950538</v>
      </c>
      <c r="C381">
        <f t="shared" si="26"/>
        <v>152</v>
      </c>
    </row>
    <row r="382" spans="1:3" x14ac:dyDescent="0.3">
      <c r="A382">
        <v>0.7502250635654254</v>
      </c>
      <c r="B382">
        <v>189.15356695469561</v>
      </c>
      <c r="C382">
        <f t="shared" si="26"/>
        <v>189</v>
      </c>
    </row>
    <row r="383" spans="1:3" x14ac:dyDescent="0.3">
      <c r="A383">
        <v>0.76891146693668733</v>
      </c>
      <c r="B383">
        <v>190.23480113889289</v>
      </c>
      <c r="C383">
        <f t="shared" si="26"/>
        <v>190</v>
      </c>
    </row>
    <row r="384" spans="1:3" x14ac:dyDescent="0.3">
      <c r="A384">
        <v>0.68223644872396949</v>
      </c>
      <c r="B384">
        <v>185.53131354736632</v>
      </c>
      <c r="C384">
        <f t="shared" si="26"/>
        <v>185</v>
      </c>
    </row>
    <row r="385" spans="1:3" x14ac:dyDescent="0.3">
      <c r="A385">
        <v>0.27748327813909379</v>
      </c>
      <c r="B385">
        <v>166.37398282049685</v>
      </c>
      <c r="C385">
        <f t="shared" si="26"/>
        <v>166</v>
      </c>
    </row>
    <row r="386" spans="1:3" x14ac:dyDescent="0.3">
      <c r="A386">
        <v>0.67501100116521895</v>
      </c>
      <c r="B386">
        <v>185.16826961570527</v>
      </c>
      <c r="C386">
        <f t="shared" si="26"/>
        <v>185</v>
      </c>
    </row>
    <row r="387" spans="1:3" x14ac:dyDescent="0.3">
      <c r="A387">
        <v>0.79285462845331534</v>
      </c>
      <c r="B387">
        <v>191.69459094209685</v>
      </c>
      <c r="C387">
        <f t="shared" ref="C387:C400" si="27">INT(B387)</f>
        <v>191</v>
      </c>
    </row>
    <row r="388" spans="1:3" x14ac:dyDescent="0.3">
      <c r="A388">
        <v>0.61917658659476116</v>
      </c>
      <c r="B388">
        <v>182.45974060873152</v>
      </c>
      <c r="C388">
        <f t="shared" si="27"/>
        <v>182</v>
      </c>
    </row>
    <row r="389" spans="1:3" x14ac:dyDescent="0.3">
      <c r="A389">
        <v>0.27868630903452241</v>
      </c>
      <c r="B389">
        <v>166.43852669716952</v>
      </c>
      <c r="C389">
        <f t="shared" si="27"/>
        <v>166</v>
      </c>
    </row>
    <row r="390" spans="1:3" x14ac:dyDescent="0.3">
      <c r="A390">
        <v>0.85779953566053257</v>
      </c>
      <c r="B390">
        <v>196.26873514289952</v>
      </c>
      <c r="C390">
        <f t="shared" si="27"/>
        <v>196</v>
      </c>
    </row>
    <row r="391" spans="1:3" x14ac:dyDescent="0.3">
      <c r="A391">
        <v>0.16970223598988687</v>
      </c>
      <c r="B391">
        <v>159.80383323028158</v>
      </c>
      <c r="C391">
        <f t="shared" si="27"/>
        <v>159</v>
      </c>
    </row>
    <row r="392" spans="1:3" x14ac:dyDescent="0.3">
      <c r="A392">
        <v>0.67297504936912067</v>
      </c>
      <c r="B392">
        <v>185.06657637715821</v>
      </c>
      <c r="C392">
        <f t="shared" si="27"/>
        <v>185</v>
      </c>
    </row>
    <row r="393" spans="1:3" x14ac:dyDescent="0.3">
      <c r="A393">
        <v>2.6897793751229249E-2</v>
      </c>
      <c r="B393">
        <v>142.28737997870653</v>
      </c>
      <c r="C393">
        <f t="shared" si="27"/>
        <v>142</v>
      </c>
    </row>
    <row r="394" spans="1:3" x14ac:dyDescent="0.3">
      <c r="A394">
        <v>0.46534757293525553</v>
      </c>
      <c r="B394">
        <v>175.43453519041407</v>
      </c>
      <c r="C394">
        <f t="shared" si="27"/>
        <v>175</v>
      </c>
    </row>
    <row r="395" spans="1:3" x14ac:dyDescent="0.3">
      <c r="A395">
        <v>0.11745720960330108</v>
      </c>
      <c r="B395">
        <v>155.61970070841716</v>
      </c>
      <c r="C395">
        <f t="shared" si="27"/>
        <v>155</v>
      </c>
    </row>
    <row r="396" spans="1:3" x14ac:dyDescent="0.3">
      <c r="A396">
        <v>0.97052349830477613</v>
      </c>
      <c r="B396">
        <v>210.99378574738179</v>
      </c>
      <c r="C396">
        <f t="shared" si="27"/>
        <v>210</v>
      </c>
    </row>
    <row r="397" spans="1:3" x14ac:dyDescent="0.3">
      <c r="A397">
        <v>0.94458762007669295</v>
      </c>
      <c r="B397">
        <v>205.70094618431131</v>
      </c>
      <c r="C397">
        <f t="shared" si="27"/>
        <v>205</v>
      </c>
    </row>
    <row r="398" spans="1:3" x14ac:dyDescent="0.3">
      <c r="A398">
        <v>0.72043541184594118</v>
      </c>
      <c r="B398">
        <v>187.51443835914145</v>
      </c>
      <c r="C398">
        <f t="shared" si="27"/>
        <v>187</v>
      </c>
    </row>
    <row r="399" spans="1:3" x14ac:dyDescent="0.3">
      <c r="A399">
        <v>0.48936526626838039</v>
      </c>
      <c r="B399">
        <v>176.52011131997568</v>
      </c>
      <c r="C399">
        <f t="shared" si="27"/>
        <v>176</v>
      </c>
    </row>
    <row r="400" spans="1:3" x14ac:dyDescent="0.3">
      <c r="A400">
        <v>1.3434410311151113E-2</v>
      </c>
      <c r="B400">
        <v>137.15847072203471</v>
      </c>
      <c r="C400">
        <f t="shared" si="27"/>
        <v>137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1F901-7B40-47B7-ABDC-F3E941615285}">
  <sheetPr codeName="Arkusz2"/>
  <dimension ref="A3:B14"/>
  <sheetViews>
    <sheetView topLeftCell="A4" workbookViewId="0">
      <selection activeCell="D9" sqref="D9"/>
    </sheetView>
  </sheetViews>
  <sheetFormatPr defaultRowHeight="14.4" x14ac:dyDescent="0.3"/>
  <cols>
    <col min="1" max="1" width="33.109375" bestFit="1" customWidth="1"/>
    <col min="2" max="2" width="13.33203125" bestFit="1" customWidth="1"/>
  </cols>
  <sheetData>
    <row r="3" spans="1:2" x14ac:dyDescent="0.3">
      <c r="A3" s="2" t="s">
        <v>30</v>
      </c>
      <c r="B3" t="s">
        <v>32</v>
      </c>
    </row>
    <row r="4" spans="1:2" x14ac:dyDescent="0.3">
      <c r="A4" s="3" t="s">
        <v>37</v>
      </c>
      <c r="B4" s="4">
        <v>258</v>
      </c>
    </row>
    <row r="5" spans="1:2" x14ac:dyDescent="0.3">
      <c r="A5" s="3" t="s">
        <v>38</v>
      </c>
      <c r="B5" s="4">
        <v>1395</v>
      </c>
    </row>
    <row r="6" spans="1:2" x14ac:dyDescent="0.3">
      <c r="A6" s="3" t="s">
        <v>39</v>
      </c>
      <c r="B6" s="4">
        <v>6555</v>
      </c>
    </row>
    <row r="7" spans="1:2" x14ac:dyDescent="0.3">
      <c r="A7" s="3" t="s">
        <v>40</v>
      </c>
      <c r="B7" s="4">
        <v>12437</v>
      </c>
    </row>
    <row r="8" spans="1:2" x14ac:dyDescent="0.3">
      <c r="A8" s="3" t="s">
        <v>41</v>
      </c>
      <c r="B8" s="4">
        <v>18582</v>
      </c>
    </row>
    <row r="9" spans="1:2" x14ac:dyDescent="0.3">
      <c r="A9" s="3" t="s">
        <v>42</v>
      </c>
      <c r="B9" s="4">
        <v>21573</v>
      </c>
    </row>
    <row r="10" spans="1:2" x14ac:dyDescent="0.3">
      <c r="A10" s="3" t="s">
        <v>43</v>
      </c>
      <c r="B10" s="4">
        <v>7024</v>
      </c>
    </row>
    <row r="11" spans="1:2" x14ac:dyDescent="0.3">
      <c r="A11" s="3" t="s">
        <v>44</v>
      </c>
      <c r="B11" s="4">
        <v>2144</v>
      </c>
    </row>
    <row r="12" spans="1:2" x14ac:dyDescent="0.3">
      <c r="A12" s="3" t="s">
        <v>45</v>
      </c>
      <c r="B12" s="4">
        <v>222</v>
      </c>
    </row>
    <row r="13" spans="1:2" x14ac:dyDescent="0.3">
      <c r="A13" s="3" t="s">
        <v>46</v>
      </c>
      <c r="B13" s="4">
        <v>239</v>
      </c>
    </row>
    <row r="14" spans="1:2" x14ac:dyDescent="0.3">
      <c r="A14" s="3" t="s">
        <v>31</v>
      </c>
      <c r="B14" s="4">
        <v>70429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1FFA7-AF06-4360-8022-9DAA1E906F42}">
  <sheetPr codeName="Arkusz3"/>
  <dimension ref="A1:N83"/>
  <sheetViews>
    <sheetView tabSelected="1" topLeftCell="D14" workbookViewId="0">
      <selection activeCell="R17" sqref="R17"/>
    </sheetView>
  </sheetViews>
  <sheetFormatPr defaultRowHeight="14.4" x14ac:dyDescent="0.3"/>
  <cols>
    <col min="5" max="5" width="10.44140625" bestFit="1" customWidth="1"/>
    <col min="6" max="6" width="10.33203125" customWidth="1"/>
    <col min="7" max="7" width="10.6640625" customWidth="1"/>
    <col min="13" max="13" width="18.5546875" bestFit="1" customWidth="1"/>
    <col min="14" max="14" width="9.109375" bestFit="1" customWidth="1"/>
  </cols>
  <sheetData>
    <row r="1" spans="1:14" x14ac:dyDescent="0.3">
      <c r="B1" t="s">
        <v>33</v>
      </c>
      <c r="D1">
        <f>AVERAGE(B:B)</f>
        <v>178.85</v>
      </c>
      <c r="E1" t="s">
        <v>4</v>
      </c>
      <c r="F1" t="s">
        <v>34</v>
      </c>
      <c r="H1" t="s">
        <v>35</v>
      </c>
      <c r="I1" t="s">
        <v>36</v>
      </c>
      <c r="K1" t="s">
        <v>48</v>
      </c>
      <c r="L1" t="s">
        <v>49</v>
      </c>
      <c r="M1" t="s">
        <v>50</v>
      </c>
      <c r="N1" t="s">
        <v>51</v>
      </c>
    </row>
    <row r="2" spans="1:14" x14ac:dyDescent="0.3">
      <c r="A2">
        <v>1</v>
      </c>
      <c r="B2">
        <f>Arkusz1!C2</f>
        <v>184</v>
      </c>
      <c r="D2">
        <f>_xlfn.STDEV.S(B:B)</f>
        <v>15.580313021443244</v>
      </c>
      <c r="E2" t="s">
        <v>47</v>
      </c>
      <c r="F2">
        <v>0</v>
      </c>
      <c r="G2">
        <f>145</f>
        <v>145</v>
      </c>
      <c r="H2">
        <f>COUNTIF(B:B,"&lt;="&amp;G2)/$D$7</f>
        <v>0</v>
      </c>
      <c r="I2">
        <f>_xlfn.NORM.DIST(G2,[0]!_mi,[0]!_sigma,TRUE)</f>
        <v>3.7720179813400243E-2</v>
      </c>
      <c r="K2">
        <f>_xlfn.RANK.AVG(G2, G:G, 1)</f>
        <v>1</v>
      </c>
      <c r="L2">
        <f>(K2 - 0.5)/COUNT($G$2:$G$83)</f>
        <v>6.0975609756097563E-3</v>
      </c>
      <c r="M2">
        <f>_xlfn.NORM.S.INV(L2)</f>
        <v>-2.5064473464808872</v>
      </c>
      <c r="N2">
        <f t="shared" ref="N2:N33" si="0">STANDARDIZE(G2,_mi,_sigma)</f>
        <v>-1.7777777777777777</v>
      </c>
    </row>
    <row r="3" spans="1:14" x14ac:dyDescent="0.3">
      <c r="A3">
        <v>2</v>
      </c>
      <c r="B3">
        <f>Arkusz1!C3</f>
        <v>180</v>
      </c>
      <c r="F3">
        <v>1</v>
      </c>
      <c r="G3">
        <f>SMALL(B:B,(F3+1)/2)</f>
        <v>149</v>
      </c>
      <c r="H3">
        <f>COUNTIF(B:B,"&lt;"&amp;G3)/$D$7</f>
        <v>0</v>
      </c>
      <c r="I3">
        <f>_xlfn.NORM.DIST(G3,[0]!_mi,[0]!_sigma,TRUE)</f>
        <v>5.9906907102771828E-2</v>
      </c>
      <c r="K3">
        <f>_xlfn.RANK.AVG(G3, G:G, 1)</f>
        <v>2.5</v>
      </c>
      <c r="L3">
        <f t="shared" ref="L3:L66" si="1">(K3 - 0.5)/COUNT($G$2:$G$83)</f>
        <v>2.4390243902439025E-2</v>
      </c>
      <c r="M3">
        <f t="shared" ref="M3:M66" si="2">_xlfn.NORM.S.INV(L3)</f>
        <v>-1.9705053031703286</v>
      </c>
      <c r="N3">
        <f t="shared" si="0"/>
        <v>-1.5555555555555556</v>
      </c>
    </row>
    <row r="4" spans="1:14" x14ac:dyDescent="0.3">
      <c r="A4">
        <v>3</v>
      </c>
      <c r="B4">
        <f>Arkusz1!C4</f>
        <v>202</v>
      </c>
      <c r="D4">
        <f>MIN(B:B)</f>
        <v>149</v>
      </c>
      <c r="E4" t="s">
        <v>10</v>
      </c>
      <c r="F4">
        <v>2</v>
      </c>
      <c r="G4">
        <f t="shared" ref="G4:G67" si="3">SMALL(B:B,(F4+1)/2)</f>
        <v>149</v>
      </c>
      <c r="H4">
        <f t="shared" ref="H4:H66" si="4">COUNTIF(B:B,"&lt;="&amp;G4)/$D$7</f>
        <v>2.5000000000000001E-2</v>
      </c>
      <c r="I4">
        <f>_xlfn.NORM.DIST(G4,[0]!_mi,[0]!_sigma,TRUE)</f>
        <v>5.9906907102771828E-2</v>
      </c>
      <c r="K4">
        <f t="shared" ref="K4:K67" si="5">_xlfn.RANK.AVG(G4, G:G, 1)</f>
        <v>2.5</v>
      </c>
      <c r="L4">
        <f t="shared" si="1"/>
        <v>2.4390243902439025E-2</v>
      </c>
      <c r="M4">
        <f t="shared" si="2"/>
        <v>-1.9705053031703286</v>
      </c>
      <c r="N4">
        <f t="shared" si="0"/>
        <v>-1.5555555555555556</v>
      </c>
    </row>
    <row r="5" spans="1:14" x14ac:dyDescent="0.3">
      <c r="A5">
        <v>4</v>
      </c>
      <c r="B5">
        <f>Arkusz1!C5</f>
        <v>174</v>
      </c>
      <c r="D5">
        <f>MAX(B:B)</f>
        <v>214</v>
      </c>
      <c r="E5" t="s">
        <v>11</v>
      </c>
      <c r="F5">
        <v>3</v>
      </c>
      <c r="G5">
        <f t="shared" si="3"/>
        <v>151</v>
      </c>
      <c r="H5">
        <f t="shared" ref="H5" si="6">COUNTIF(B:B,"&lt;"&amp;G5)/$D$7</f>
        <v>2.5000000000000001E-2</v>
      </c>
      <c r="I5">
        <f>_xlfn.NORM.DIST(G5,[0]!_mi,[0]!_sigma,TRUE)</f>
        <v>7.4306998227605878E-2</v>
      </c>
      <c r="K5">
        <f t="shared" si="5"/>
        <v>4.5</v>
      </c>
      <c r="L5">
        <f t="shared" si="1"/>
        <v>4.878048780487805E-2</v>
      </c>
      <c r="M5">
        <f t="shared" si="2"/>
        <v>-1.6567947658159807</v>
      </c>
      <c r="N5">
        <f t="shared" si="0"/>
        <v>-1.4444444444444444</v>
      </c>
    </row>
    <row r="6" spans="1:14" x14ac:dyDescent="0.3">
      <c r="A6">
        <v>5</v>
      </c>
      <c r="B6">
        <f>Arkusz1!C6</f>
        <v>203</v>
      </c>
      <c r="F6">
        <v>4</v>
      </c>
      <c r="G6">
        <f t="shared" si="3"/>
        <v>151</v>
      </c>
      <c r="H6">
        <f t="shared" si="4"/>
        <v>0.05</v>
      </c>
      <c r="I6">
        <f>_xlfn.NORM.DIST(G6,[0]!_mi,[0]!_sigma,TRUE)</f>
        <v>7.4306998227605878E-2</v>
      </c>
      <c r="K6">
        <f t="shared" si="5"/>
        <v>4.5</v>
      </c>
      <c r="L6">
        <f t="shared" si="1"/>
        <v>4.878048780487805E-2</v>
      </c>
      <c r="M6">
        <f t="shared" si="2"/>
        <v>-1.6567947658159807</v>
      </c>
      <c r="N6">
        <f t="shared" si="0"/>
        <v>-1.4444444444444444</v>
      </c>
    </row>
    <row r="7" spans="1:14" x14ac:dyDescent="0.3">
      <c r="A7">
        <v>6</v>
      </c>
      <c r="B7">
        <f>Arkusz1!C7</f>
        <v>176</v>
      </c>
      <c r="D7">
        <f>COUNT(B:B)</f>
        <v>40</v>
      </c>
      <c r="E7" t="s">
        <v>6</v>
      </c>
      <c r="F7">
        <v>5</v>
      </c>
      <c r="G7">
        <f t="shared" si="3"/>
        <v>152</v>
      </c>
      <c r="H7">
        <f t="shared" ref="H7" si="7">COUNTIF(B:B,"&lt;"&amp;G7)/$D$7</f>
        <v>0.05</v>
      </c>
      <c r="I7">
        <f>_xlfn.NORM.DIST(G7,[0]!_mi,[0]!_sigma,TRUE)</f>
        <v>8.2433269873954537E-2</v>
      </c>
      <c r="K7">
        <f t="shared" si="5"/>
        <v>6.5</v>
      </c>
      <c r="L7">
        <f t="shared" si="1"/>
        <v>7.3170731707317069E-2</v>
      </c>
      <c r="M7">
        <f t="shared" si="2"/>
        <v>-1.4525761808120043</v>
      </c>
      <c r="N7">
        <f t="shared" si="0"/>
        <v>-1.3888888888888888</v>
      </c>
    </row>
    <row r="8" spans="1:14" x14ac:dyDescent="0.3">
      <c r="A8">
        <v>7</v>
      </c>
      <c r="B8">
        <f>Arkusz1!C8</f>
        <v>151</v>
      </c>
      <c r="F8">
        <v>6</v>
      </c>
      <c r="G8">
        <f t="shared" si="3"/>
        <v>152</v>
      </c>
      <c r="H8">
        <f t="shared" si="4"/>
        <v>7.4999999999999997E-2</v>
      </c>
      <c r="I8">
        <f>_xlfn.NORM.DIST(G8,[0]!_mi,[0]!_sigma,TRUE)</f>
        <v>8.2433269873954537E-2</v>
      </c>
      <c r="K8">
        <f t="shared" si="5"/>
        <v>6.5</v>
      </c>
      <c r="L8">
        <f t="shared" si="1"/>
        <v>7.3170731707317069E-2</v>
      </c>
      <c r="M8">
        <f t="shared" si="2"/>
        <v>-1.4525761808120043</v>
      </c>
      <c r="N8">
        <f t="shared" si="0"/>
        <v>-1.3888888888888888</v>
      </c>
    </row>
    <row r="9" spans="1:14" x14ac:dyDescent="0.3">
      <c r="A9">
        <v>8</v>
      </c>
      <c r="B9">
        <f>Arkusz1!C9</f>
        <v>163</v>
      </c>
      <c r="F9">
        <v>7</v>
      </c>
      <c r="G9">
        <f t="shared" si="3"/>
        <v>156</v>
      </c>
      <c r="H9">
        <f t="shared" ref="H9" si="8">COUNTIF(B:B,"&lt;"&amp;G9)/$D$7</f>
        <v>7.4999999999999997E-2</v>
      </c>
      <c r="I9">
        <f>_xlfn.NORM.DIST(G9,[0]!_mi,[0]!_sigma,TRUE)</f>
        <v>0.12167250457438125</v>
      </c>
      <c r="K9">
        <f t="shared" si="5"/>
        <v>8.5</v>
      </c>
      <c r="L9">
        <f t="shared" si="1"/>
        <v>9.7560975609756101E-2</v>
      </c>
      <c r="M9">
        <f t="shared" si="2"/>
        <v>-1.2955749870976874</v>
      </c>
      <c r="N9">
        <f t="shared" si="0"/>
        <v>-1.1666666666666667</v>
      </c>
    </row>
    <row r="10" spans="1:14" x14ac:dyDescent="0.3">
      <c r="A10">
        <v>9</v>
      </c>
      <c r="B10">
        <f>Arkusz1!C10</f>
        <v>167</v>
      </c>
      <c r="F10">
        <v>8</v>
      </c>
      <c r="G10">
        <f t="shared" si="3"/>
        <v>156</v>
      </c>
      <c r="H10">
        <f t="shared" si="4"/>
        <v>0.1</v>
      </c>
      <c r="I10">
        <f>_xlfn.NORM.DIST(G10,[0]!_mi,[0]!_sigma,TRUE)</f>
        <v>0.12167250457438125</v>
      </c>
      <c r="K10">
        <f t="shared" si="5"/>
        <v>8.5</v>
      </c>
      <c r="L10">
        <f t="shared" si="1"/>
        <v>9.7560975609756101E-2</v>
      </c>
      <c r="M10">
        <f t="shared" si="2"/>
        <v>-1.2955749870976874</v>
      </c>
      <c r="N10">
        <f t="shared" si="0"/>
        <v>-1.1666666666666667</v>
      </c>
    </row>
    <row r="11" spans="1:14" x14ac:dyDescent="0.3">
      <c r="A11">
        <v>10</v>
      </c>
      <c r="B11">
        <f>Arkusz1!C11</f>
        <v>193</v>
      </c>
      <c r="F11">
        <v>9</v>
      </c>
      <c r="G11">
        <f t="shared" si="3"/>
        <v>161</v>
      </c>
      <c r="H11">
        <f t="shared" ref="H11" si="9">COUNTIF(B:B,"&lt;"&amp;G11)/$D$7</f>
        <v>0.1</v>
      </c>
      <c r="I11">
        <f>_xlfn.NORM.DIST(G11,[0]!_mi,[0]!_sigma,TRUE)</f>
        <v>0.18703139874544125</v>
      </c>
      <c r="K11">
        <f t="shared" si="5"/>
        <v>10.5</v>
      </c>
      <c r="L11">
        <f t="shared" si="1"/>
        <v>0.12195121951219512</v>
      </c>
      <c r="M11">
        <f t="shared" si="2"/>
        <v>-1.1652879896966826</v>
      </c>
      <c r="N11">
        <f t="shared" si="0"/>
        <v>-0.88888888888888884</v>
      </c>
    </row>
    <row r="12" spans="1:14" x14ac:dyDescent="0.3">
      <c r="A12">
        <v>11</v>
      </c>
      <c r="B12">
        <f>Arkusz1!C12</f>
        <v>195</v>
      </c>
      <c r="F12">
        <v>10</v>
      </c>
      <c r="G12">
        <f t="shared" si="3"/>
        <v>161</v>
      </c>
      <c r="H12">
        <f t="shared" si="4"/>
        <v>0.125</v>
      </c>
      <c r="I12">
        <f>_xlfn.NORM.DIST(G12,[0]!_mi,[0]!_sigma,TRUE)</f>
        <v>0.18703139874544125</v>
      </c>
      <c r="K12">
        <f t="shared" si="5"/>
        <v>10.5</v>
      </c>
      <c r="L12">
        <f t="shared" si="1"/>
        <v>0.12195121951219512</v>
      </c>
      <c r="M12">
        <f t="shared" si="2"/>
        <v>-1.1652879896966826</v>
      </c>
      <c r="N12">
        <f t="shared" si="0"/>
        <v>-0.88888888888888884</v>
      </c>
    </row>
    <row r="13" spans="1:14" x14ac:dyDescent="0.3">
      <c r="A13">
        <v>12</v>
      </c>
      <c r="B13">
        <f>Arkusz1!C13</f>
        <v>174</v>
      </c>
      <c r="F13">
        <v>11</v>
      </c>
      <c r="G13">
        <f t="shared" si="3"/>
        <v>163</v>
      </c>
      <c r="H13">
        <f t="shared" ref="H13" si="10">COUNTIF(B:B,"&lt;"&amp;G13)/$D$7</f>
        <v>0.125</v>
      </c>
      <c r="I13">
        <f>_xlfn.NORM.DIST(G13,[0]!_mi,[0]!_sigma,TRUE)</f>
        <v>0.21835001536137882</v>
      </c>
      <c r="K13">
        <f t="shared" si="5"/>
        <v>12.5</v>
      </c>
      <c r="L13">
        <f t="shared" si="1"/>
        <v>0.14634146341463414</v>
      </c>
      <c r="M13">
        <f t="shared" si="2"/>
        <v>-1.0522542255562288</v>
      </c>
      <c r="N13">
        <f t="shared" si="0"/>
        <v>-0.77777777777777779</v>
      </c>
    </row>
    <row r="14" spans="1:14" x14ac:dyDescent="0.3">
      <c r="A14">
        <v>13</v>
      </c>
      <c r="B14">
        <f>Arkusz1!C14</f>
        <v>189</v>
      </c>
      <c r="F14">
        <v>12</v>
      </c>
      <c r="G14">
        <f t="shared" si="3"/>
        <v>163</v>
      </c>
      <c r="H14">
        <f t="shared" si="4"/>
        <v>0.15</v>
      </c>
      <c r="I14">
        <f>_xlfn.NORM.DIST(G14,[0]!_mi,[0]!_sigma,TRUE)</f>
        <v>0.21835001536137882</v>
      </c>
      <c r="K14">
        <f t="shared" si="5"/>
        <v>12.5</v>
      </c>
      <c r="L14">
        <f t="shared" si="1"/>
        <v>0.14634146341463414</v>
      </c>
      <c r="M14">
        <f t="shared" si="2"/>
        <v>-1.0522542255562288</v>
      </c>
      <c r="N14">
        <f t="shared" si="0"/>
        <v>-0.77777777777777779</v>
      </c>
    </row>
    <row r="15" spans="1:14" x14ac:dyDescent="0.3">
      <c r="A15">
        <v>14</v>
      </c>
      <c r="B15">
        <f>Arkusz1!C15</f>
        <v>166</v>
      </c>
      <c r="F15">
        <v>13</v>
      </c>
      <c r="G15">
        <f t="shared" si="3"/>
        <v>166</v>
      </c>
      <c r="H15">
        <f t="shared" ref="H15" si="11">COUNTIF(B:B,"&lt;"&amp;G15)/$D$7</f>
        <v>0.15</v>
      </c>
      <c r="I15">
        <f>_xlfn.NORM.DIST(G15,[0]!_mi,[0]!_sigma,TRUE)</f>
        <v>0.27056301223583412</v>
      </c>
      <c r="K15">
        <f t="shared" si="5"/>
        <v>14.5</v>
      </c>
      <c r="L15">
        <f t="shared" si="1"/>
        <v>0.17073170731707318</v>
      </c>
      <c r="M15">
        <f t="shared" si="2"/>
        <v>-0.95127771872909239</v>
      </c>
      <c r="N15">
        <f t="shared" si="0"/>
        <v>-0.61111111111111116</v>
      </c>
    </row>
    <row r="16" spans="1:14" x14ac:dyDescent="0.3">
      <c r="A16">
        <v>15</v>
      </c>
      <c r="B16">
        <f>Arkusz1!C16</f>
        <v>169</v>
      </c>
      <c r="F16">
        <v>14</v>
      </c>
      <c r="G16">
        <f t="shared" si="3"/>
        <v>166</v>
      </c>
      <c r="H16">
        <f t="shared" si="4"/>
        <v>0.17499999999999999</v>
      </c>
      <c r="I16">
        <f>_xlfn.NORM.DIST(G16,[0]!_mi,[0]!_sigma,TRUE)</f>
        <v>0.27056301223583412</v>
      </c>
      <c r="K16">
        <f t="shared" si="5"/>
        <v>14.5</v>
      </c>
      <c r="L16">
        <f t="shared" si="1"/>
        <v>0.17073170731707318</v>
      </c>
      <c r="M16">
        <f t="shared" si="2"/>
        <v>-0.95127771872909239</v>
      </c>
      <c r="N16">
        <f t="shared" si="0"/>
        <v>-0.61111111111111116</v>
      </c>
    </row>
    <row r="17" spans="1:14" x14ac:dyDescent="0.3">
      <c r="A17">
        <v>16</v>
      </c>
      <c r="B17">
        <f>Arkusz1!C17</f>
        <v>180</v>
      </c>
      <c r="F17">
        <v>15</v>
      </c>
      <c r="G17">
        <f t="shared" si="3"/>
        <v>167</v>
      </c>
      <c r="H17">
        <f t="shared" ref="H17" si="12">COUNTIF(B:B,"&lt;"&amp;G17)/$D$7</f>
        <v>0.17499999999999999</v>
      </c>
      <c r="I17">
        <f>_xlfn.NORM.DIST(G17,[0]!_mi,[0]!_sigma,TRUE)</f>
        <v>0.28925736075397196</v>
      </c>
      <c r="K17">
        <f t="shared" si="5"/>
        <v>16.5</v>
      </c>
      <c r="L17">
        <f t="shared" si="1"/>
        <v>0.1951219512195122</v>
      </c>
      <c r="M17">
        <f t="shared" si="2"/>
        <v>-0.85917512959584974</v>
      </c>
      <c r="N17">
        <f t="shared" si="0"/>
        <v>-0.55555555555555558</v>
      </c>
    </row>
    <row r="18" spans="1:14" x14ac:dyDescent="0.3">
      <c r="A18">
        <v>17</v>
      </c>
      <c r="B18">
        <f>Arkusz1!C18</f>
        <v>171</v>
      </c>
      <c r="F18">
        <v>16</v>
      </c>
      <c r="G18">
        <f t="shared" si="3"/>
        <v>167</v>
      </c>
      <c r="H18">
        <f t="shared" si="4"/>
        <v>0.2</v>
      </c>
      <c r="I18">
        <f>_xlfn.NORM.DIST(G18,[0]!_mi,[0]!_sigma,TRUE)</f>
        <v>0.28925736075397196</v>
      </c>
      <c r="K18">
        <f t="shared" si="5"/>
        <v>16.5</v>
      </c>
      <c r="L18">
        <f t="shared" si="1"/>
        <v>0.1951219512195122</v>
      </c>
      <c r="M18">
        <f t="shared" si="2"/>
        <v>-0.85917512959584974</v>
      </c>
      <c r="N18">
        <f t="shared" si="0"/>
        <v>-0.55555555555555558</v>
      </c>
    </row>
    <row r="19" spans="1:14" x14ac:dyDescent="0.3">
      <c r="A19">
        <v>18</v>
      </c>
      <c r="B19">
        <f>Arkusz1!C19</f>
        <v>213</v>
      </c>
      <c r="F19">
        <v>17</v>
      </c>
      <c r="G19">
        <f t="shared" si="3"/>
        <v>169</v>
      </c>
      <c r="H19">
        <f t="shared" ref="H19" si="13">COUNTIF(B:B,"&lt;"&amp;G19)/$D$7</f>
        <v>0.2</v>
      </c>
      <c r="I19">
        <f>_xlfn.NORM.DIST(G19,[0]!_mi,[0]!_sigma,TRUE)</f>
        <v>0.32836064328188519</v>
      </c>
      <c r="K19">
        <f t="shared" si="5"/>
        <v>19.5</v>
      </c>
      <c r="L19">
        <f t="shared" si="1"/>
        <v>0.23170731707317074</v>
      </c>
      <c r="M19">
        <f t="shared" si="2"/>
        <v>-0.73323578318551175</v>
      </c>
      <c r="N19">
        <f t="shared" si="0"/>
        <v>-0.44444444444444442</v>
      </c>
    </row>
    <row r="20" spans="1:14" x14ac:dyDescent="0.3">
      <c r="A20">
        <v>19</v>
      </c>
      <c r="B20">
        <f>Arkusz1!C20</f>
        <v>177</v>
      </c>
      <c r="F20">
        <v>18</v>
      </c>
      <c r="G20">
        <f t="shared" si="3"/>
        <v>169</v>
      </c>
      <c r="H20">
        <f t="shared" si="4"/>
        <v>0.25</v>
      </c>
      <c r="I20">
        <f>_xlfn.NORM.DIST(G20,[0]!_mi,[0]!_sigma,TRUE)</f>
        <v>0.32836064328188519</v>
      </c>
      <c r="K20">
        <f t="shared" si="5"/>
        <v>19.5</v>
      </c>
      <c r="L20">
        <f t="shared" si="1"/>
        <v>0.23170731707317074</v>
      </c>
      <c r="M20">
        <f t="shared" si="2"/>
        <v>-0.73323578318551175</v>
      </c>
      <c r="N20">
        <f t="shared" si="0"/>
        <v>-0.44444444444444442</v>
      </c>
    </row>
    <row r="21" spans="1:14" x14ac:dyDescent="0.3">
      <c r="A21">
        <v>20</v>
      </c>
      <c r="B21">
        <f>Arkusz1!C21</f>
        <v>169</v>
      </c>
      <c r="F21">
        <v>19</v>
      </c>
      <c r="G21">
        <f t="shared" si="3"/>
        <v>169</v>
      </c>
      <c r="H21">
        <f t="shared" ref="H21" si="14">COUNTIF(B:B,"&lt;"&amp;G21)/$D$7</f>
        <v>0.2</v>
      </c>
      <c r="I21">
        <f>_xlfn.NORM.DIST(G21,[0]!_mi,[0]!_sigma,TRUE)</f>
        <v>0.32836064328188519</v>
      </c>
      <c r="K21">
        <f t="shared" si="5"/>
        <v>19.5</v>
      </c>
      <c r="L21">
        <f t="shared" si="1"/>
        <v>0.23170731707317074</v>
      </c>
      <c r="M21">
        <f t="shared" si="2"/>
        <v>-0.73323578318551175</v>
      </c>
      <c r="N21">
        <f t="shared" si="0"/>
        <v>-0.44444444444444442</v>
      </c>
    </row>
    <row r="22" spans="1:14" x14ac:dyDescent="0.3">
      <c r="A22">
        <v>21</v>
      </c>
      <c r="B22">
        <f>Arkusz1!C22</f>
        <v>176</v>
      </c>
      <c r="F22">
        <v>20</v>
      </c>
      <c r="G22">
        <f t="shared" si="3"/>
        <v>169</v>
      </c>
      <c r="H22">
        <f t="shared" si="4"/>
        <v>0.25</v>
      </c>
      <c r="I22">
        <f>_xlfn.NORM.DIST(G22,[0]!_mi,[0]!_sigma,TRUE)</f>
        <v>0.32836064328188519</v>
      </c>
      <c r="K22">
        <f t="shared" si="5"/>
        <v>19.5</v>
      </c>
      <c r="L22">
        <f t="shared" si="1"/>
        <v>0.23170731707317074</v>
      </c>
      <c r="M22">
        <f t="shared" si="2"/>
        <v>-0.73323578318551175</v>
      </c>
      <c r="N22">
        <f t="shared" si="0"/>
        <v>-0.44444444444444442</v>
      </c>
    </row>
    <row r="23" spans="1:14" x14ac:dyDescent="0.3">
      <c r="A23">
        <v>22</v>
      </c>
      <c r="B23">
        <f>Arkusz1!C23</f>
        <v>152</v>
      </c>
      <c r="F23">
        <v>21</v>
      </c>
      <c r="G23">
        <f t="shared" si="3"/>
        <v>170</v>
      </c>
      <c r="H23">
        <f t="shared" ref="H23" si="15">COUNTIF(B:B,"&lt;"&amp;G23)/$D$7</f>
        <v>0.25</v>
      </c>
      <c r="I23">
        <f>_xlfn.NORM.DIST(G23,[0]!_mi,[0]!_sigma,TRUE)</f>
        <v>0.3486791709387379</v>
      </c>
      <c r="K23">
        <f t="shared" si="5"/>
        <v>22.5</v>
      </c>
      <c r="L23">
        <f t="shared" si="1"/>
        <v>0.26829268292682928</v>
      </c>
      <c r="M23">
        <f t="shared" si="2"/>
        <v>-0.6179847884685038</v>
      </c>
      <c r="N23">
        <f t="shared" si="0"/>
        <v>-0.3888888888888889</v>
      </c>
    </row>
    <row r="24" spans="1:14" x14ac:dyDescent="0.3">
      <c r="A24">
        <v>23</v>
      </c>
      <c r="B24">
        <f>Arkusz1!C24</f>
        <v>170</v>
      </c>
      <c r="F24">
        <v>22</v>
      </c>
      <c r="G24">
        <f t="shared" si="3"/>
        <v>170</v>
      </c>
      <c r="H24">
        <f t="shared" si="4"/>
        <v>0.27500000000000002</v>
      </c>
      <c r="I24">
        <f>_xlfn.NORM.DIST(G24,[0]!_mi,[0]!_sigma,TRUE)</f>
        <v>0.3486791709387379</v>
      </c>
      <c r="K24">
        <f t="shared" si="5"/>
        <v>22.5</v>
      </c>
      <c r="L24">
        <f t="shared" si="1"/>
        <v>0.26829268292682928</v>
      </c>
      <c r="M24">
        <f t="shared" si="2"/>
        <v>-0.6179847884685038</v>
      </c>
      <c r="N24">
        <f t="shared" si="0"/>
        <v>-0.3888888888888889</v>
      </c>
    </row>
    <row r="25" spans="1:14" x14ac:dyDescent="0.3">
      <c r="A25">
        <v>24</v>
      </c>
      <c r="B25">
        <f>Arkusz1!C25</f>
        <v>175</v>
      </c>
      <c r="F25">
        <v>23</v>
      </c>
      <c r="G25">
        <f t="shared" si="3"/>
        <v>171</v>
      </c>
      <c r="H25">
        <f t="shared" ref="H25" si="16">COUNTIF(B:B,"&lt;"&amp;G25)/$D$7</f>
        <v>0.27500000000000002</v>
      </c>
      <c r="I25">
        <f>_xlfn.NORM.DIST(G25,[0]!_mi,[0]!_sigma,TRUE)</f>
        <v>0.36944134018176361</v>
      </c>
      <c r="K25">
        <f t="shared" si="5"/>
        <v>25.5</v>
      </c>
      <c r="L25">
        <f t="shared" si="1"/>
        <v>0.3048780487804878</v>
      </c>
      <c r="M25">
        <f t="shared" si="2"/>
        <v>-0.51042164266321888</v>
      </c>
      <c r="N25">
        <f t="shared" si="0"/>
        <v>-0.33333333333333331</v>
      </c>
    </row>
    <row r="26" spans="1:14" x14ac:dyDescent="0.3">
      <c r="A26">
        <v>25</v>
      </c>
      <c r="B26">
        <f>Arkusz1!C26</f>
        <v>178</v>
      </c>
      <c r="F26">
        <v>24</v>
      </c>
      <c r="G26">
        <f t="shared" si="3"/>
        <v>171</v>
      </c>
      <c r="H26">
        <f t="shared" si="4"/>
        <v>0.32500000000000001</v>
      </c>
      <c r="I26">
        <f>_xlfn.NORM.DIST(G26,[0]!_mi,[0]!_sigma,TRUE)</f>
        <v>0.36944134018176361</v>
      </c>
      <c r="K26">
        <f t="shared" si="5"/>
        <v>25.5</v>
      </c>
      <c r="L26">
        <f t="shared" si="1"/>
        <v>0.3048780487804878</v>
      </c>
      <c r="M26">
        <f t="shared" si="2"/>
        <v>-0.51042164266321888</v>
      </c>
      <c r="N26">
        <f t="shared" si="0"/>
        <v>-0.33333333333333331</v>
      </c>
    </row>
    <row r="27" spans="1:14" x14ac:dyDescent="0.3">
      <c r="A27">
        <v>26</v>
      </c>
      <c r="B27">
        <f>Arkusz1!C27</f>
        <v>156</v>
      </c>
      <c r="F27">
        <v>25</v>
      </c>
      <c r="G27">
        <f t="shared" si="3"/>
        <v>171</v>
      </c>
      <c r="H27">
        <f t="shared" ref="H27" si="17">COUNTIF(B:B,"&lt;"&amp;G27)/$D$7</f>
        <v>0.27500000000000002</v>
      </c>
      <c r="I27">
        <f>_xlfn.NORM.DIST(G27,[0]!_mi,[0]!_sigma,TRUE)</f>
        <v>0.36944134018176361</v>
      </c>
      <c r="K27">
        <f t="shared" si="5"/>
        <v>25.5</v>
      </c>
      <c r="L27">
        <f t="shared" si="1"/>
        <v>0.3048780487804878</v>
      </c>
      <c r="M27">
        <f t="shared" si="2"/>
        <v>-0.51042164266321888</v>
      </c>
      <c r="N27">
        <f t="shared" si="0"/>
        <v>-0.33333333333333331</v>
      </c>
    </row>
    <row r="28" spans="1:14" x14ac:dyDescent="0.3">
      <c r="A28">
        <v>27</v>
      </c>
      <c r="B28">
        <f>Arkusz1!C28</f>
        <v>214</v>
      </c>
      <c r="F28">
        <v>26</v>
      </c>
      <c r="G28">
        <f t="shared" si="3"/>
        <v>171</v>
      </c>
      <c r="H28">
        <f t="shared" si="4"/>
        <v>0.32500000000000001</v>
      </c>
      <c r="I28">
        <f>_xlfn.NORM.DIST(G28,[0]!_mi,[0]!_sigma,TRUE)</f>
        <v>0.36944134018176361</v>
      </c>
      <c r="K28">
        <f t="shared" si="5"/>
        <v>25.5</v>
      </c>
      <c r="L28">
        <f t="shared" si="1"/>
        <v>0.3048780487804878</v>
      </c>
      <c r="M28">
        <f t="shared" si="2"/>
        <v>-0.51042164266321888</v>
      </c>
      <c r="N28">
        <f t="shared" si="0"/>
        <v>-0.33333333333333331</v>
      </c>
    </row>
    <row r="29" spans="1:14" x14ac:dyDescent="0.3">
      <c r="A29">
        <v>28</v>
      </c>
      <c r="B29">
        <f>Arkusz1!C29</f>
        <v>179</v>
      </c>
      <c r="F29">
        <v>27</v>
      </c>
      <c r="G29">
        <f t="shared" si="3"/>
        <v>172</v>
      </c>
      <c r="H29">
        <f t="shared" ref="H29" si="18">COUNTIF(B:B,"&lt;"&amp;G29)/$D$7</f>
        <v>0.32500000000000001</v>
      </c>
      <c r="I29">
        <f>_xlfn.NORM.DIST(G29,[0]!_mi,[0]!_sigma,TRUE)</f>
        <v>0.39059147543357498</v>
      </c>
      <c r="K29">
        <f t="shared" si="5"/>
        <v>28.5</v>
      </c>
      <c r="L29">
        <f t="shared" si="1"/>
        <v>0.34146341463414637</v>
      </c>
      <c r="M29">
        <f t="shared" si="2"/>
        <v>-0.40847248197412372</v>
      </c>
      <c r="N29">
        <f t="shared" si="0"/>
        <v>-0.27777777777777779</v>
      </c>
    </row>
    <row r="30" spans="1:14" x14ac:dyDescent="0.3">
      <c r="A30">
        <v>29</v>
      </c>
      <c r="B30">
        <f>Arkusz1!C30</f>
        <v>185</v>
      </c>
      <c r="F30">
        <v>28</v>
      </c>
      <c r="G30">
        <f t="shared" si="3"/>
        <v>172</v>
      </c>
      <c r="H30">
        <f t="shared" si="4"/>
        <v>0.35</v>
      </c>
      <c r="I30">
        <f>_xlfn.NORM.DIST(G30,[0]!_mi,[0]!_sigma,TRUE)</f>
        <v>0.39059147543357498</v>
      </c>
      <c r="K30">
        <f t="shared" si="5"/>
        <v>28.5</v>
      </c>
      <c r="L30">
        <f t="shared" si="1"/>
        <v>0.34146341463414637</v>
      </c>
      <c r="M30">
        <f t="shared" si="2"/>
        <v>-0.40847248197412372</v>
      </c>
      <c r="N30">
        <f t="shared" si="0"/>
        <v>-0.27777777777777779</v>
      </c>
    </row>
    <row r="31" spans="1:14" x14ac:dyDescent="0.3">
      <c r="A31">
        <v>30</v>
      </c>
      <c r="B31">
        <f>Arkusz1!C31</f>
        <v>194</v>
      </c>
      <c r="F31">
        <v>29</v>
      </c>
      <c r="G31">
        <f t="shared" si="3"/>
        <v>174</v>
      </c>
      <c r="H31">
        <f t="shared" ref="H31" si="19">COUNTIF(B:B,"&lt;"&amp;G31)/$D$7</f>
        <v>0.35</v>
      </c>
      <c r="I31">
        <f>_xlfn.NORM.DIST(G31,[0]!_mi,[0]!_sigma,TRUE)</f>
        <v>0.43381616738909634</v>
      </c>
      <c r="K31">
        <f t="shared" si="5"/>
        <v>31.5</v>
      </c>
      <c r="L31">
        <f t="shared" si="1"/>
        <v>0.37804878048780488</v>
      </c>
      <c r="M31">
        <f t="shared" si="2"/>
        <v>-0.31060942538225567</v>
      </c>
      <c r="N31">
        <f t="shared" si="0"/>
        <v>-0.16666666666666666</v>
      </c>
    </row>
    <row r="32" spans="1:14" x14ac:dyDescent="0.3">
      <c r="A32">
        <v>31</v>
      </c>
      <c r="B32">
        <f>Arkusz1!C32</f>
        <v>171</v>
      </c>
      <c r="F32">
        <v>30</v>
      </c>
      <c r="G32">
        <f t="shared" si="3"/>
        <v>174</v>
      </c>
      <c r="H32">
        <f t="shared" si="4"/>
        <v>0.4</v>
      </c>
      <c r="I32">
        <f>_xlfn.NORM.DIST(G32,[0]!_mi,[0]!_sigma,TRUE)</f>
        <v>0.43381616738909634</v>
      </c>
      <c r="K32">
        <f t="shared" si="5"/>
        <v>31.5</v>
      </c>
      <c r="L32">
        <f t="shared" si="1"/>
        <v>0.37804878048780488</v>
      </c>
      <c r="M32">
        <f t="shared" si="2"/>
        <v>-0.31060942538225567</v>
      </c>
      <c r="N32">
        <f t="shared" si="0"/>
        <v>-0.16666666666666666</v>
      </c>
    </row>
    <row r="33" spans="1:14" x14ac:dyDescent="0.3">
      <c r="A33">
        <v>32</v>
      </c>
      <c r="B33">
        <f>Arkusz1!C33</f>
        <v>189</v>
      </c>
      <c r="F33">
        <v>31</v>
      </c>
      <c r="G33">
        <f t="shared" si="3"/>
        <v>174</v>
      </c>
      <c r="H33">
        <f t="shared" ref="H33" si="20">COUNTIF(B:B,"&lt;"&amp;G33)/$D$7</f>
        <v>0.35</v>
      </c>
      <c r="I33">
        <f>_xlfn.NORM.DIST(G33,[0]!_mi,[0]!_sigma,TRUE)</f>
        <v>0.43381616738909634</v>
      </c>
      <c r="K33">
        <f t="shared" si="5"/>
        <v>31.5</v>
      </c>
      <c r="L33">
        <f t="shared" si="1"/>
        <v>0.37804878048780488</v>
      </c>
      <c r="M33">
        <f t="shared" si="2"/>
        <v>-0.31060942538225567</v>
      </c>
      <c r="N33">
        <f t="shared" si="0"/>
        <v>-0.16666666666666666</v>
      </c>
    </row>
    <row r="34" spans="1:14" x14ac:dyDescent="0.3">
      <c r="A34">
        <v>33</v>
      </c>
      <c r="B34">
        <f>Arkusz1!C34</f>
        <v>149</v>
      </c>
      <c r="F34">
        <v>32</v>
      </c>
      <c r="G34">
        <f t="shared" si="3"/>
        <v>174</v>
      </c>
      <c r="H34">
        <f t="shared" si="4"/>
        <v>0.4</v>
      </c>
      <c r="I34">
        <f>_xlfn.NORM.DIST(G34,[0]!_mi,[0]!_sigma,TRUE)</f>
        <v>0.43381616738909634</v>
      </c>
      <c r="K34">
        <f t="shared" si="5"/>
        <v>31.5</v>
      </c>
      <c r="L34">
        <f t="shared" si="1"/>
        <v>0.37804878048780488</v>
      </c>
      <c r="M34">
        <f t="shared" si="2"/>
        <v>-0.31060942538225567</v>
      </c>
      <c r="N34">
        <f t="shared" ref="N34:N65" si="21">STANDARDIZE(G34,_mi,_sigma)</f>
        <v>-0.16666666666666666</v>
      </c>
    </row>
    <row r="35" spans="1:14" x14ac:dyDescent="0.3">
      <c r="A35">
        <v>34</v>
      </c>
      <c r="B35">
        <f>Arkusz1!C35</f>
        <v>161</v>
      </c>
      <c r="F35">
        <v>33</v>
      </c>
      <c r="G35">
        <f t="shared" si="3"/>
        <v>175</v>
      </c>
      <c r="H35">
        <f t="shared" ref="H35" si="22">COUNTIF(B:B,"&lt;"&amp;G35)/$D$7</f>
        <v>0.4</v>
      </c>
      <c r="I35">
        <f>_xlfn.NORM.DIST(G35,[0]!_mi,[0]!_sigma,TRUE)</f>
        <v>0.4557641189546886</v>
      </c>
      <c r="K35">
        <f t="shared" si="5"/>
        <v>34.5</v>
      </c>
      <c r="L35">
        <f t="shared" si="1"/>
        <v>0.41463414634146339</v>
      </c>
      <c r="M35">
        <f t="shared" si="2"/>
        <v>-0.21564010401258188</v>
      </c>
      <c r="N35">
        <f t="shared" si="21"/>
        <v>-0.1111111111111111</v>
      </c>
    </row>
    <row r="36" spans="1:14" x14ac:dyDescent="0.3">
      <c r="A36">
        <v>35</v>
      </c>
      <c r="B36">
        <f>Arkusz1!C36</f>
        <v>187</v>
      </c>
      <c r="F36">
        <v>34</v>
      </c>
      <c r="G36">
        <f t="shared" si="3"/>
        <v>175</v>
      </c>
      <c r="H36">
        <f t="shared" si="4"/>
        <v>0.42499999999999999</v>
      </c>
      <c r="I36">
        <f>_xlfn.NORM.DIST(G36,[0]!_mi,[0]!_sigma,TRUE)</f>
        <v>0.4557641189546886</v>
      </c>
      <c r="K36">
        <f t="shared" si="5"/>
        <v>34.5</v>
      </c>
      <c r="L36">
        <f t="shared" si="1"/>
        <v>0.41463414634146339</v>
      </c>
      <c r="M36">
        <f t="shared" si="2"/>
        <v>-0.21564010401258188</v>
      </c>
      <c r="N36">
        <f t="shared" si="21"/>
        <v>-0.1111111111111111</v>
      </c>
    </row>
    <row r="37" spans="1:14" x14ac:dyDescent="0.3">
      <c r="A37">
        <v>36</v>
      </c>
      <c r="B37">
        <f>Arkusz1!C37</f>
        <v>172</v>
      </c>
      <c r="F37">
        <v>35</v>
      </c>
      <c r="G37">
        <f t="shared" si="3"/>
        <v>176</v>
      </c>
      <c r="H37">
        <f t="shared" ref="H37" si="23">COUNTIF(B:B,"&lt;"&amp;G37)/$D$7</f>
        <v>0.42499999999999999</v>
      </c>
      <c r="I37">
        <f>_xlfn.NORM.DIST(G37,[0]!_mi,[0]!_sigma,TRUE)</f>
        <v>0.47784793565821782</v>
      </c>
      <c r="K37">
        <f t="shared" si="5"/>
        <v>38.5</v>
      </c>
      <c r="L37">
        <f t="shared" si="1"/>
        <v>0.46341463414634149</v>
      </c>
      <c r="M37">
        <f t="shared" si="2"/>
        <v>-9.1834832954222234E-2</v>
      </c>
      <c r="N37">
        <f t="shared" si="21"/>
        <v>-5.5555555555555552E-2</v>
      </c>
    </row>
    <row r="38" spans="1:14" x14ac:dyDescent="0.3">
      <c r="A38">
        <v>37</v>
      </c>
      <c r="B38">
        <f>Arkusz1!C38</f>
        <v>184</v>
      </c>
      <c r="F38">
        <v>36</v>
      </c>
      <c r="G38">
        <f t="shared" si="3"/>
        <v>176</v>
      </c>
      <c r="H38">
        <f t="shared" si="4"/>
        <v>0.5</v>
      </c>
      <c r="I38">
        <f>_xlfn.NORM.DIST(G38,[0]!_mi,[0]!_sigma,TRUE)</f>
        <v>0.47784793565821782</v>
      </c>
      <c r="K38">
        <f t="shared" si="5"/>
        <v>38.5</v>
      </c>
      <c r="L38">
        <f t="shared" si="1"/>
        <v>0.46341463414634149</v>
      </c>
      <c r="M38">
        <f t="shared" si="2"/>
        <v>-9.1834832954222234E-2</v>
      </c>
      <c r="N38">
        <f t="shared" si="21"/>
        <v>-5.5555555555555552E-2</v>
      </c>
    </row>
    <row r="39" spans="1:14" x14ac:dyDescent="0.3">
      <c r="A39">
        <v>38</v>
      </c>
      <c r="B39">
        <f>Arkusz1!C39</f>
        <v>200</v>
      </c>
      <c r="F39">
        <v>37</v>
      </c>
      <c r="G39">
        <f t="shared" si="3"/>
        <v>176</v>
      </c>
      <c r="H39">
        <f t="shared" ref="H39" si="24">COUNTIF(B:B,"&lt;"&amp;G39)/$D$7</f>
        <v>0.42499999999999999</v>
      </c>
      <c r="I39">
        <f>_xlfn.NORM.DIST(G39,[0]!_mi,[0]!_sigma,TRUE)</f>
        <v>0.47784793565821782</v>
      </c>
      <c r="K39">
        <f t="shared" si="5"/>
        <v>38.5</v>
      </c>
      <c r="L39">
        <f t="shared" si="1"/>
        <v>0.46341463414634149</v>
      </c>
      <c r="M39">
        <f t="shared" si="2"/>
        <v>-9.1834832954222234E-2</v>
      </c>
      <c r="N39">
        <f t="shared" si="21"/>
        <v>-5.5555555555555552E-2</v>
      </c>
    </row>
    <row r="40" spans="1:14" x14ac:dyDescent="0.3">
      <c r="A40">
        <v>39</v>
      </c>
      <c r="B40">
        <f>Arkusz1!C40</f>
        <v>176</v>
      </c>
      <c r="F40">
        <v>38</v>
      </c>
      <c r="G40">
        <f t="shared" si="3"/>
        <v>176</v>
      </c>
      <c r="H40">
        <f t="shared" si="4"/>
        <v>0.5</v>
      </c>
      <c r="I40">
        <f>_xlfn.NORM.DIST(G40,[0]!_mi,[0]!_sigma,TRUE)</f>
        <v>0.47784793565821782</v>
      </c>
      <c r="K40">
        <f t="shared" si="5"/>
        <v>38.5</v>
      </c>
      <c r="L40">
        <f t="shared" si="1"/>
        <v>0.46341463414634149</v>
      </c>
      <c r="M40">
        <f t="shared" si="2"/>
        <v>-9.1834832954222234E-2</v>
      </c>
      <c r="N40">
        <f t="shared" si="21"/>
        <v>-5.5555555555555552E-2</v>
      </c>
    </row>
    <row r="41" spans="1:14" x14ac:dyDescent="0.3">
      <c r="A41">
        <v>40</v>
      </c>
      <c r="B41">
        <f>Arkusz1!C41</f>
        <v>190</v>
      </c>
      <c r="F41">
        <v>39</v>
      </c>
      <c r="G41">
        <f t="shared" si="3"/>
        <v>176</v>
      </c>
      <c r="H41">
        <f t="shared" ref="H41" si="25">COUNTIF(B:B,"&lt;"&amp;G41)/$D$7</f>
        <v>0.42499999999999999</v>
      </c>
      <c r="I41">
        <f>_xlfn.NORM.DIST(G41,[0]!_mi,[0]!_sigma,TRUE)</f>
        <v>0.47784793565821782</v>
      </c>
      <c r="K41">
        <f t="shared" si="5"/>
        <v>38.5</v>
      </c>
      <c r="L41">
        <f t="shared" si="1"/>
        <v>0.46341463414634149</v>
      </c>
      <c r="M41">
        <f t="shared" si="2"/>
        <v>-9.1834832954222234E-2</v>
      </c>
      <c r="N41">
        <f t="shared" si="21"/>
        <v>-5.5555555555555552E-2</v>
      </c>
    </row>
    <row r="42" spans="1:14" x14ac:dyDescent="0.3">
      <c r="F42">
        <v>40</v>
      </c>
      <c r="G42">
        <f t="shared" si="3"/>
        <v>176</v>
      </c>
      <c r="H42">
        <f t="shared" si="4"/>
        <v>0.5</v>
      </c>
      <c r="I42">
        <f>_xlfn.NORM.DIST(G42,[0]!_mi,[0]!_sigma,TRUE)</f>
        <v>0.47784793565821782</v>
      </c>
      <c r="K42">
        <f t="shared" si="5"/>
        <v>38.5</v>
      </c>
      <c r="L42">
        <f t="shared" si="1"/>
        <v>0.46341463414634149</v>
      </c>
      <c r="M42">
        <f t="shared" si="2"/>
        <v>-9.1834832954222234E-2</v>
      </c>
      <c r="N42">
        <f t="shared" si="21"/>
        <v>-5.5555555555555552E-2</v>
      </c>
    </row>
    <row r="43" spans="1:14" x14ac:dyDescent="0.3">
      <c r="F43">
        <v>41</v>
      </c>
      <c r="G43">
        <f t="shared" si="3"/>
        <v>177</v>
      </c>
      <c r="H43">
        <f t="shared" ref="H43" si="26">COUNTIF(B:B,"&lt;"&amp;G43)/$D$7</f>
        <v>0.5</v>
      </c>
      <c r="I43">
        <f>_xlfn.NORM.DIST(G43,[0]!_mi,[0]!_sigma,TRUE)</f>
        <v>0.5</v>
      </c>
      <c r="K43">
        <f t="shared" si="5"/>
        <v>42.5</v>
      </c>
      <c r="L43">
        <f t="shared" si="1"/>
        <v>0.51219512195121952</v>
      </c>
      <c r="M43">
        <f t="shared" si="2"/>
        <v>3.0573399820906299E-2</v>
      </c>
      <c r="N43">
        <f t="shared" si="21"/>
        <v>0</v>
      </c>
    </row>
    <row r="44" spans="1:14" x14ac:dyDescent="0.3">
      <c r="F44">
        <v>42</v>
      </c>
      <c r="G44">
        <f t="shared" si="3"/>
        <v>177</v>
      </c>
      <c r="H44">
        <f t="shared" si="4"/>
        <v>0.52500000000000002</v>
      </c>
      <c r="I44">
        <f>_xlfn.NORM.DIST(G44,[0]!_mi,[0]!_sigma,TRUE)</f>
        <v>0.5</v>
      </c>
      <c r="K44">
        <f t="shared" si="5"/>
        <v>42.5</v>
      </c>
      <c r="L44">
        <f t="shared" si="1"/>
        <v>0.51219512195121952</v>
      </c>
      <c r="M44">
        <f t="shared" si="2"/>
        <v>3.0573399820906299E-2</v>
      </c>
      <c r="N44">
        <f t="shared" si="21"/>
        <v>0</v>
      </c>
    </row>
    <row r="45" spans="1:14" x14ac:dyDescent="0.3">
      <c r="F45">
        <v>43</v>
      </c>
      <c r="G45">
        <f t="shared" si="3"/>
        <v>178</v>
      </c>
      <c r="H45">
        <f t="shared" ref="H45" si="27">COUNTIF(B:B,"&lt;"&amp;G45)/$D$7</f>
        <v>0.52500000000000002</v>
      </c>
      <c r="I45">
        <f>_xlfn.NORM.DIST(G45,[0]!_mi,[0]!_sigma,TRUE)</f>
        <v>0.52215206434178218</v>
      </c>
      <c r="K45">
        <f t="shared" si="5"/>
        <v>44.5</v>
      </c>
      <c r="L45">
        <f t="shared" si="1"/>
        <v>0.53658536585365857</v>
      </c>
      <c r="M45">
        <f t="shared" si="2"/>
        <v>9.1834832954222387E-2</v>
      </c>
      <c r="N45">
        <f t="shared" si="21"/>
        <v>5.5555555555555552E-2</v>
      </c>
    </row>
    <row r="46" spans="1:14" x14ac:dyDescent="0.3">
      <c r="F46">
        <v>44</v>
      </c>
      <c r="G46">
        <f t="shared" si="3"/>
        <v>178</v>
      </c>
      <c r="H46">
        <f t="shared" si="4"/>
        <v>0.55000000000000004</v>
      </c>
      <c r="I46">
        <f>_xlfn.NORM.DIST(G46,[0]!_mi,[0]!_sigma,TRUE)</f>
        <v>0.52215206434178218</v>
      </c>
      <c r="K46">
        <f t="shared" si="5"/>
        <v>44.5</v>
      </c>
      <c r="L46">
        <f t="shared" si="1"/>
        <v>0.53658536585365857</v>
      </c>
      <c r="M46">
        <f t="shared" si="2"/>
        <v>9.1834832954222387E-2</v>
      </c>
      <c r="N46">
        <f t="shared" si="21"/>
        <v>5.5555555555555552E-2</v>
      </c>
    </row>
    <row r="47" spans="1:14" x14ac:dyDescent="0.3">
      <c r="F47">
        <v>45</v>
      </c>
      <c r="G47">
        <f t="shared" si="3"/>
        <v>179</v>
      </c>
      <c r="H47">
        <f t="shared" ref="H47" si="28">COUNTIF(B:B,"&lt;"&amp;G47)/$D$7</f>
        <v>0.55000000000000004</v>
      </c>
      <c r="I47">
        <f>_xlfn.NORM.DIST(G47,[0]!_mi,[0]!_sigma,TRUE)</f>
        <v>0.5442358810453114</v>
      </c>
      <c r="K47">
        <f t="shared" si="5"/>
        <v>46.5</v>
      </c>
      <c r="L47">
        <f t="shared" si="1"/>
        <v>0.56097560975609762</v>
      </c>
      <c r="M47">
        <f t="shared" si="2"/>
        <v>0.15344319882333449</v>
      </c>
      <c r="N47">
        <f t="shared" si="21"/>
        <v>0.1111111111111111</v>
      </c>
    </row>
    <row r="48" spans="1:14" x14ac:dyDescent="0.3">
      <c r="F48">
        <v>46</v>
      </c>
      <c r="G48">
        <f t="shared" si="3"/>
        <v>179</v>
      </c>
      <c r="H48">
        <f t="shared" si="4"/>
        <v>0.57499999999999996</v>
      </c>
      <c r="I48">
        <f>_xlfn.NORM.DIST(G48,[0]!_mi,[0]!_sigma,TRUE)</f>
        <v>0.5442358810453114</v>
      </c>
      <c r="K48">
        <f t="shared" si="5"/>
        <v>46.5</v>
      </c>
      <c r="L48">
        <f t="shared" si="1"/>
        <v>0.56097560975609762</v>
      </c>
      <c r="M48">
        <f t="shared" si="2"/>
        <v>0.15344319882333449</v>
      </c>
      <c r="N48">
        <f t="shared" si="21"/>
        <v>0.1111111111111111</v>
      </c>
    </row>
    <row r="49" spans="6:14" x14ac:dyDescent="0.3">
      <c r="F49">
        <v>47</v>
      </c>
      <c r="G49">
        <f t="shared" si="3"/>
        <v>180</v>
      </c>
      <c r="H49">
        <f t="shared" ref="H49" si="29">COUNTIF(B:B,"&lt;"&amp;G49)/$D$7</f>
        <v>0.57499999999999996</v>
      </c>
      <c r="I49">
        <f>_xlfn.NORM.DIST(G49,[0]!_mi,[0]!_sigma,TRUE)</f>
        <v>0.56618383261090366</v>
      </c>
      <c r="K49">
        <f t="shared" si="5"/>
        <v>49.5</v>
      </c>
      <c r="L49">
        <f t="shared" si="1"/>
        <v>0.59756097560975607</v>
      </c>
      <c r="M49">
        <f t="shared" si="2"/>
        <v>0.2470389907389772</v>
      </c>
      <c r="N49">
        <f t="shared" si="21"/>
        <v>0.16666666666666666</v>
      </c>
    </row>
    <row r="50" spans="6:14" x14ac:dyDescent="0.3">
      <c r="F50">
        <v>48</v>
      </c>
      <c r="G50">
        <f t="shared" si="3"/>
        <v>180</v>
      </c>
      <c r="H50">
        <f t="shared" si="4"/>
        <v>0.625</v>
      </c>
      <c r="I50">
        <f>_xlfn.NORM.DIST(G50,[0]!_mi,[0]!_sigma,TRUE)</f>
        <v>0.56618383261090366</v>
      </c>
      <c r="K50">
        <f t="shared" si="5"/>
        <v>49.5</v>
      </c>
      <c r="L50">
        <f t="shared" si="1"/>
        <v>0.59756097560975607</v>
      </c>
      <c r="M50">
        <f t="shared" si="2"/>
        <v>0.2470389907389772</v>
      </c>
      <c r="N50">
        <f t="shared" si="21"/>
        <v>0.16666666666666666</v>
      </c>
    </row>
    <row r="51" spans="6:14" x14ac:dyDescent="0.3">
      <c r="F51">
        <v>49</v>
      </c>
      <c r="G51">
        <f t="shared" si="3"/>
        <v>180</v>
      </c>
      <c r="H51">
        <f t="shared" ref="H51" si="30">COUNTIF(B:B,"&lt;"&amp;G51)/$D$7</f>
        <v>0.57499999999999996</v>
      </c>
      <c r="I51">
        <f>_xlfn.NORM.DIST(G51,[0]!_mi,[0]!_sigma,TRUE)</f>
        <v>0.56618383261090366</v>
      </c>
      <c r="K51">
        <f t="shared" si="5"/>
        <v>49.5</v>
      </c>
      <c r="L51">
        <f t="shared" si="1"/>
        <v>0.59756097560975607</v>
      </c>
      <c r="M51">
        <f t="shared" si="2"/>
        <v>0.2470389907389772</v>
      </c>
      <c r="N51">
        <f t="shared" si="21"/>
        <v>0.16666666666666666</v>
      </c>
    </row>
    <row r="52" spans="6:14" x14ac:dyDescent="0.3">
      <c r="F52">
        <v>50</v>
      </c>
      <c r="G52">
        <f t="shared" si="3"/>
        <v>180</v>
      </c>
      <c r="H52">
        <f t="shared" si="4"/>
        <v>0.625</v>
      </c>
      <c r="I52">
        <f>_xlfn.NORM.DIST(G52,[0]!_mi,[0]!_sigma,TRUE)</f>
        <v>0.56618383261090366</v>
      </c>
      <c r="K52">
        <f t="shared" si="5"/>
        <v>49.5</v>
      </c>
      <c r="L52">
        <f t="shared" si="1"/>
        <v>0.59756097560975607</v>
      </c>
      <c r="M52">
        <f t="shared" si="2"/>
        <v>0.2470389907389772</v>
      </c>
      <c r="N52">
        <f t="shared" si="21"/>
        <v>0.16666666666666666</v>
      </c>
    </row>
    <row r="53" spans="6:14" x14ac:dyDescent="0.3">
      <c r="F53">
        <v>51</v>
      </c>
      <c r="G53">
        <f t="shared" si="3"/>
        <v>184</v>
      </c>
      <c r="H53">
        <f t="shared" ref="H53" si="31">COUNTIF(B:B,"&lt;"&amp;G53)/$D$7</f>
        <v>0.625</v>
      </c>
      <c r="I53">
        <f>_xlfn.NORM.DIST(G53,[0]!_mi,[0]!_sigma,TRUE)</f>
        <v>0.6513208290612621</v>
      </c>
      <c r="K53">
        <f t="shared" si="5"/>
        <v>53.5</v>
      </c>
      <c r="L53">
        <f t="shared" si="1"/>
        <v>0.64634146341463417</v>
      </c>
      <c r="M53">
        <f t="shared" si="2"/>
        <v>0.37546177023551847</v>
      </c>
      <c r="N53">
        <f t="shared" si="21"/>
        <v>0.3888888888888889</v>
      </c>
    </row>
    <row r="54" spans="6:14" x14ac:dyDescent="0.3">
      <c r="F54">
        <v>52</v>
      </c>
      <c r="G54">
        <f t="shared" si="3"/>
        <v>184</v>
      </c>
      <c r="H54">
        <f t="shared" si="4"/>
        <v>0.67500000000000004</v>
      </c>
      <c r="I54">
        <f>_xlfn.NORM.DIST(G54,[0]!_mi,[0]!_sigma,TRUE)</f>
        <v>0.6513208290612621</v>
      </c>
      <c r="K54">
        <f t="shared" si="5"/>
        <v>53.5</v>
      </c>
      <c r="L54">
        <f t="shared" si="1"/>
        <v>0.64634146341463417</v>
      </c>
      <c r="M54">
        <f t="shared" si="2"/>
        <v>0.37546177023551847</v>
      </c>
      <c r="N54">
        <f t="shared" si="21"/>
        <v>0.3888888888888889</v>
      </c>
    </row>
    <row r="55" spans="6:14" x14ac:dyDescent="0.3">
      <c r="F55">
        <v>53</v>
      </c>
      <c r="G55">
        <f t="shared" si="3"/>
        <v>184</v>
      </c>
      <c r="H55">
        <f t="shared" ref="H55" si="32">COUNTIF(B:B,"&lt;"&amp;G55)/$D$7</f>
        <v>0.625</v>
      </c>
      <c r="I55">
        <f>_xlfn.NORM.DIST(G55,[0]!_mi,[0]!_sigma,TRUE)</f>
        <v>0.6513208290612621</v>
      </c>
      <c r="K55">
        <f t="shared" si="5"/>
        <v>53.5</v>
      </c>
      <c r="L55">
        <f t="shared" si="1"/>
        <v>0.64634146341463417</v>
      </c>
      <c r="M55">
        <f t="shared" si="2"/>
        <v>0.37546177023551847</v>
      </c>
      <c r="N55">
        <f t="shared" si="21"/>
        <v>0.3888888888888889</v>
      </c>
    </row>
    <row r="56" spans="6:14" x14ac:dyDescent="0.3">
      <c r="F56">
        <v>54</v>
      </c>
      <c r="G56">
        <f t="shared" si="3"/>
        <v>184</v>
      </c>
      <c r="H56">
        <f t="shared" si="4"/>
        <v>0.67500000000000004</v>
      </c>
      <c r="I56">
        <f>_xlfn.NORM.DIST(G56,[0]!_mi,[0]!_sigma,TRUE)</f>
        <v>0.6513208290612621</v>
      </c>
      <c r="K56">
        <f t="shared" si="5"/>
        <v>53.5</v>
      </c>
      <c r="L56">
        <f t="shared" si="1"/>
        <v>0.64634146341463417</v>
      </c>
      <c r="M56">
        <f t="shared" si="2"/>
        <v>0.37546177023551847</v>
      </c>
      <c r="N56">
        <f t="shared" si="21"/>
        <v>0.3888888888888889</v>
      </c>
    </row>
    <row r="57" spans="6:14" x14ac:dyDescent="0.3">
      <c r="F57">
        <v>55</v>
      </c>
      <c r="G57">
        <f t="shared" si="3"/>
        <v>185</v>
      </c>
      <c r="H57">
        <f t="shared" ref="H57" si="33">COUNTIF(B:B,"&lt;"&amp;G57)/$D$7</f>
        <v>0.67500000000000004</v>
      </c>
      <c r="I57">
        <f>_xlfn.NORM.DIST(G57,[0]!_mi,[0]!_sigma,TRUE)</f>
        <v>0.67163935671811481</v>
      </c>
      <c r="K57">
        <f t="shared" si="5"/>
        <v>56.5</v>
      </c>
      <c r="L57">
        <f t="shared" si="1"/>
        <v>0.68292682926829273</v>
      </c>
      <c r="M57">
        <f t="shared" si="2"/>
        <v>0.47589899043667905</v>
      </c>
      <c r="N57">
        <f t="shared" si="21"/>
        <v>0.44444444444444442</v>
      </c>
    </row>
    <row r="58" spans="6:14" x14ac:dyDescent="0.3">
      <c r="F58">
        <v>56</v>
      </c>
      <c r="G58">
        <f t="shared" si="3"/>
        <v>185</v>
      </c>
      <c r="H58">
        <f t="shared" si="4"/>
        <v>0.7</v>
      </c>
      <c r="I58">
        <f>_xlfn.NORM.DIST(G58,[0]!_mi,[0]!_sigma,TRUE)</f>
        <v>0.67163935671811481</v>
      </c>
      <c r="K58">
        <f t="shared" si="5"/>
        <v>56.5</v>
      </c>
      <c r="L58">
        <f t="shared" si="1"/>
        <v>0.68292682926829273</v>
      </c>
      <c r="M58">
        <f t="shared" si="2"/>
        <v>0.47589899043667905</v>
      </c>
      <c r="N58">
        <f t="shared" si="21"/>
        <v>0.44444444444444442</v>
      </c>
    </row>
    <row r="59" spans="6:14" x14ac:dyDescent="0.3">
      <c r="F59">
        <v>57</v>
      </c>
      <c r="G59">
        <f t="shared" si="3"/>
        <v>187</v>
      </c>
      <c r="H59">
        <f t="shared" ref="H59" si="34">COUNTIF(B:B,"&lt;"&amp;G59)/$D$7</f>
        <v>0.7</v>
      </c>
      <c r="I59">
        <f>_xlfn.NORM.DIST(G59,[0]!_mi,[0]!_sigma,TRUE)</f>
        <v>0.7107426392460281</v>
      </c>
      <c r="K59">
        <f t="shared" si="5"/>
        <v>58.5</v>
      </c>
      <c r="L59">
        <f t="shared" si="1"/>
        <v>0.70731707317073167</v>
      </c>
      <c r="M59">
        <f t="shared" si="2"/>
        <v>0.54556374182259537</v>
      </c>
      <c r="N59">
        <f t="shared" si="21"/>
        <v>0.55555555555555558</v>
      </c>
    </row>
    <row r="60" spans="6:14" x14ac:dyDescent="0.3">
      <c r="F60">
        <v>58</v>
      </c>
      <c r="G60">
        <f t="shared" si="3"/>
        <v>187</v>
      </c>
      <c r="H60">
        <f t="shared" si="4"/>
        <v>0.72499999999999998</v>
      </c>
      <c r="I60">
        <f>_xlfn.NORM.DIST(G60,[0]!_mi,[0]!_sigma,TRUE)</f>
        <v>0.7107426392460281</v>
      </c>
      <c r="K60">
        <f t="shared" si="5"/>
        <v>58.5</v>
      </c>
      <c r="L60">
        <f t="shared" si="1"/>
        <v>0.70731707317073167</v>
      </c>
      <c r="M60">
        <f t="shared" si="2"/>
        <v>0.54556374182259537</v>
      </c>
      <c r="N60">
        <f t="shared" si="21"/>
        <v>0.55555555555555558</v>
      </c>
    </row>
    <row r="61" spans="6:14" x14ac:dyDescent="0.3">
      <c r="F61">
        <v>59</v>
      </c>
      <c r="G61">
        <f t="shared" si="3"/>
        <v>189</v>
      </c>
      <c r="H61">
        <f t="shared" ref="H61" si="35">COUNTIF(B:B,"&lt;"&amp;G61)/$D$7</f>
        <v>0.72499999999999998</v>
      </c>
      <c r="I61">
        <f>_xlfn.NORM.DIST(G61,[0]!_mi,[0]!_sigma,TRUE)</f>
        <v>0.74750746245307709</v>
      </c>
      <c r="K61">
        <f t="shared" si="5"/>
        <v>61.5</v>
      </c>
      <c r="L61">
        <f t="shared" si="1"/>
        <v>0.74390243902439024</v>
      </c>
      <c r="M61">
        <f t="shared" si="2"/>
        <v>0.65542350523442661</v>
      </c>
      <c r="N61">
        <f t="shared" si="21"/>
        <v>0.66666666666666663</v>
      </c>
    </row>
    <row r="62" spans="6:14" x14ac:dyDescent="0.3">
      <c r="F62">
        <v>60</v>
      </c>
      <c r="G62">
        <f t="shared" si="3"/>
        <v>189</v>
      </c>
      <c r="H62">
        <f t="shared" si="4"/>
        <v>0.77500000000000002</v>
      </c>
      <c r="I62">
        <f>_xlfn.NORM.DIST(G62,[0]!_mi,[0]!_sigma,TRUE)</f>
        <v>0.74750746245307709</v>
      </c>
      <c r="K62">
        <f t="shared" si="5"/>
        <v>61.5</v>
      </c>
      <c r="L62">
        <f t="shared" si="1"/>
        <v>0.74390243902439024</v>
      </c>
      <c r="M62">
        <f t="shared" si="2"/>
        <v>0.65542350523442661</v>
      </c>
      <c r="N62">
        <f t="shared" si="21"/>
        <v>0.66666666666666663</v>
      </c>
    </row>
    <row r="63" spans="6:14" x14ac:dyDescent="0.3">
      <c r="F63">
        <v>61</v>
      </c>
      <c r="G63">
        <f t="shared" si="3"/>
        <v>189</v>
      </c>
      <c r="H63">
        <f t="shared" ref="H63" si="36">COUNTIF(B:B,"&lt;"&amp;G63)/$D$7</f>
        <v>0.72499999999999998</v>
      </c>
      <c r="I63">
        <f>_xlfn.NORM.DIST(G63,[0]!_mi,[0]!_sigma,TRUE)</f>
        <v>0.74750746245307709</v>
      </c>
      <c r="K63">
        <f t="shared" si="5"/>
        <v>61.5</v>
      </c>
      <c r="L63">
        <f t="shared" si="1"/>
        <v>0.74390243902439024</v>
      </c>
      <c r="M63">
        <f t="shared" si="2"/>
        <v>0.65542350523442661</v>
      </c>
      <c r="N63">
        <f t="shared" si="21"/>
        <v>0.66666666666666663</v>
      </c>
    </row>
    <row r="64" spans="6:14" x14ac:dyDescent="0.3">
      <c r="F64">
        <v>62</v>
      </c>
      <c r="G64">
        <f t="shared" si="3"/>
        <v>189</v>
      </c>
      <c r="H64">
        <f t="shared" si="4"/>
        <v>0.77500000000000002</v>
      </c>
      <c r="I64">
        <f>_xlfn.NORM.DIST(G64,[0]!_mi,[0]!_sigma,TRUE)</f>
        <v>0.74750746245307709</v>
      </c>
      <c r="K64">
        <f t="shared" si="5"/>
        <v>61.5</v>
      </c>
      <c r="L64">
        <f t="shared" si="1"/>
        <v>0.74390243902439024</v>
      </c>
      <c r="M64">
        <f t="shared" si="2"/>
        <v>0.65542350523442661</v>
      </c>
      <c r="N64">
        <f t="shared" si="21"/>
        <v>0.66666666666666663</v>
      </c>
    </row>
    <row r="65" spans="6:14" x14ac:dyDescent="0.3">
      <c r="F65">
        <v>63</v>
      </c>
      <c r="G65">
        <f t="shared" si="3"/>
        <v>190</v>
      </c>
      <c r="H65">
        <f t="shared" ref="H65" si="37">COUNTIF(B:B,"&lt;"&amp;G65)/$D$7</f>
        <v>0.77500000000000002</v>
      </c>
      <c r="I65">
        <f>_xlfn.NORM.DIST(G65,[0]!_mi,[0]!_sigma,TRUE)</f>
        <v>0.76492106857116515</v>
      </c>
      <c r="K65">
        <f t="shared" si="5"/>
        <v>64.5</v>
      </c>
      <c r="L65">
        <f t="shared" si="1"/>
        <v>0.78048780487804881</v>
      </c>
      <c r="M65">
        <f t="shared" si="2"/>
        <v>0.77384173233725317</v>
      </c>
      <c r="N65">
        <f t="shared" si="21"/>
        <v>0.72222222222222221</v>
      </c>
    </row>
    <row r="66" spans="6:14" x14ac:dyDescent="0.3">
      <c r="F66">
        <v>64</v>
      </c>
      <c r="G66">
        <f t="shared" si="3"/>
        <v>190</v>
      </c>
      <c r="H66">
        <f t="shared" si="4"/>
        <v>0.8</v>
      </c>
      <c r="I66">
        <f>_xlfn.NORM.DIST(G66,[0]!_mi,[0]!_sigma,TRUE)</f>
        <v>0.76492106857116515</v>
      </c>
      <c r="K66">
        <f t="shared" si="5"/>
        <v>64.5</v>
      </c>
      <c r="L66">
        <f t="shared" si="1"/>
        <v>0.78048780487804881</v>
      </c>
      <c r="M66">
        <f t="shared" si="2"/>
        <v>0.77384173233725317</v>
      </c>
      <c r="N66">
        <f t="shared" ref="N66:N83" si="38">STANDARDIZE(G66,_mi,_sigma)</f>
        <v>0.72222222222222221</v>
      </c>
    </row>
    <row r="67" spans="6:14" x14ac:dyDescent="0.3">
      <c r="F67">
        <v>65</v>
      </c>
      <c r="G67">
        <f t="shared" si="3"/>
        <v>193</v>
      </c>
      <c r="H67">
        <f t="shared" ref="H67" si="39">COUNTIF(B:B,"&lt;"&amp;G67)/$D$7</f>
        <v>0.8</v>
      </c>
      <c r="I67">
        <f>_xlfn.NORM.DIST(G67,[0]!_mi,[0]!_sigma,TRUE)</f>
        <v>0.81296860125455872</v>
      </c>
      <c r="K67">
        <f t="shared" si="5"/>
        <v>66.5</v>
      </c>
      <c r="L67">
        <f t="shared" ref="L67:L83" si="40">(K67 - 0.5)/COUNT($G$2:$G$83)</f>
        <v>0.80487804878048785</v>
      </c>
      <c r="M67">
        <f t="shared" ref="M67:M83" si="41">_xlfn.NORM.S.INV(L67)</f>
        <v>0.85917512959585085</v>
      </c>
      <c r="N67">
        <f t="shared" si="38"/>
        <v>0.88888888888888884</v>
      </c>
    </row>
    <row r="68" spans="6:14" x14ac:dyDescent="0.3">
      <c r="F68">
        <v>66</v>
      </c>
      <c r="G68">
        <f t="shared" ref="G68:G81" si="42">SMALL(B:B,(F68+1)/2)</f>
        <v>193</v>
      </c>
      <c r="H68">
        <f t="shared" ref="H68:H82" si="43">COUNTIF(B:B,"&lt;="&amp;G68)/$D$7</f>
        <v>0.82499999999999996</v>
      </c>
      <c r="I68">
        <f>_xlfn.NORM.DIST(G68,[0]!_mi,[0]!_sigma,TRUE)</f>
        <v>0.81296860125455872</v>
      </c>
      <c r="K68">
        <f t="shared" ref="K68:K82" si="44">_xlfn.RANK.AVG(G68, G:G, 1)</f>
        <v>66.5</v>
      </c>
      <c r="L68">
        <f t="shared" si="40"/>
        <v>0.80487804878048785</v>
      </c>
      <c r="M68">
        <f t="shared" si="41"/>
        <v>0.85917512959585085</v>
      </c>
      <c r="N68">
        <f t="shared" si="38"/>
        <v>0.88888888888888884</v>
      </c>
    </row>
    <row r="69" spans="6:14" x14ac:dyDescent="0.3">
      <c r="F69">
        <v>67</v>
      </c>
      <c r="G69">
        <f t="shared" si="42"/>
        <v>194</v>
      </c>
      <c r="H69">
        <f t="shared" ref="H69" si="45">COUNTIF(B:B,"&lt;"&amp;G69)/$D$7</f>
        <v>0.82499999999999996</v>
      </c>
      <c r="I69">
        <f>_xlfn.NORM.DIST(G69,[0]!_mi,[0]!_sigma,TRUE)</f>
        <v>0.82752871058569177</v>
      </c>
      <c r="K69">
        <f t="shared" si="44"/>
        <v>68.5</v>
      </c>
      <c r="L69">
        <f t="shared" si="40"/>
        <v>0.82926829268292679</v>
      </c>
      <c r="M69">
        <f t="shared" si="41"/>
        <v>0.95127771872909239</v>
      </c>
      <c r="N69">
        <f t="shared" si="38"/>
        <v>0.94444444444444442</v>
      </c>
    </row>
    <row r="70" spans="6:14" x14ac:dyDescent="0.3">
      <c r="F70">
        <v>68</v>
      </c>
      <c r="G70">
        <f t="shared" si="42"/>
        <v>194</v>
      </c>
      <c r="H70">
        <f t="shared" si="43"/>
        <v>0.85</v>
      </c>
      <c r="I70">
        <f>_xlfn.NORM.DIST(G70,[0]!_mi,[0]!_sigma,TRUE)</f>
        <v>0.82752871058569177</v>
      </c>
      <c r="K70">
        <f t="shared" si="44"/>
        <v>68.5</v>
      </c>
      <c r="L70">
        <f t="shared" si="40"/>
        <v>0.82926829268292679</v>
      </c>
      <c r="M70">
        <f t="shared" si="41"/>
        <v>0.95127771872909239</v>
      </c>
      <c r="N70">
        <f t="shared" si="38"/>
        <v>0.94444444444444442</v>
      </c>
    </row>
    <row r="71" spans="6:14" x14ac:dyDescent="0.3">
      <c r="F71">
        <v>69</v>
      </c>
      <c r="G71">
        <f t="shared" si="42"/>
        <v>195</v>
      </c>
      <c r="H71">
        <f t="shared" ref="H71" si="46">COUNTIF(B:B,"&lt;"&amp;G71)/$D$7</f>
        <v>0.85</v>
      </c>
      <c r="I71">
        <f>_xlfn.NORM.DIST(G71,[0]!_mi,[0]!_sigma,TRUE)</f>
        <v>0.84134474606854304</v>
      </c>
      <c r="K71">
        <f t="shared" si="44"/>
        <v>70.5</v>
      </c>
      <c r="L71">
        <f t="shared" si="40"/>
        <v>0.85365853658536583</v>
      </c>
      <c r="M71">
        <f t="shared" si="41"/>
        <v>1.0522542255562288</v>
      </c>
      <c r="N71">
        <f t="shared" si="38"/>
        <v>1</v>
      </c>
    </row>
    <row r="72" spans="6:14" x14ac:dyDescent="0.3">
      <c r="F72">
        <v>70</v>
      </c>
      <c r="G72">
        <f t="shared" si="42"/>
        <v>195</v>
      </c>
      <c r="H72">
        <f t="shared" si="43"/>
        <v>0.875</v>
      </c>
      <c r="I72">
        <f>_xlfn.NORM.DIST(G72,[0]!_mi,[0]!_sigma,TRUE)</f>
        <v>0.84134474606854304</v>
      </c>
      <c r="K72">
        <f t="shared" si="44"/>
        <v>70.5</v>
      </c>
      <c r="L72">
        <f t="shared" si="40"/>
        <v>0.85365853658536583</v>
      </c>
      <c r="M72">
        <f t="shared" si="41"/>
        <v>1.0522542255562288</v>
      </c>
      <c r="N72">
        <f t="shared" si="38"/>
        <v>1</v>
      </c>
    </row>
    <row r="73" spans="6:14" x14ac:dyDescent="0.3">
      <c r="F73">
        <v>71</v>
      </c>
      <c r="G73">
        <f t="shared" si="42"/>
        <v>200</v>
      </c>
      <c r="H73">
        <f t="shared" ref="H73" si="47">COUNTIF(B:B,"&lt;"&amp;G73)/$D$7</f>
        <v>0.875</v>
      </c>
      <c r="I73">
        <f>_xlfn.NORM.DIST(G73,[0]!_mi,[0]!_sigma,TRUE)</f>
        <v>0.89933610400849928</v>
      </c>
      <c r="K73">
        <f t="shared" si="44"/>
        <v>72.5</v>
      </c>
      <c r="L73">
        <f t="shared" si="40"/>
        <v>0.87804878048780488</v>
      </c>
      <c r="M73">
        <f t="shared" si="41"/>
        <v>1.1652879896966826</v>
      </c>
      <c r="N73">
        <f t="shared" si="38"/>
        <v>1.2777777777777777</v>
      </c>
    </row>
    <row r="74" spans="6:14" x14ac:dyDescent="0.3">
      <c r="F74">
        <v>72</v>
      </c>
      <c r="G74">
        <f t="shared" si="42"/>
        <v>200</v>
      </c>
      <c r="H74">
        <f t="shared" si="43"/>
        <v>0.9</v>
      </c>
      <c r="I74">
        <f>_xlfn.NORM.DIST(G74,[0]!_mi,[0]!_sigma,TRUE)</f>
        <v>0.89933610400849928</v>
      </c>
      <c r="K74">
        <f t="shared" si="44"/>
        <v>72.5</v>
      </c>
      <c r="L74">
        <f t="shared" si="40"/>
        <v>0.87804878048780488</v>
      </c>
      <c r="M74">
        <f t="shared" si="41"/>
        <v>1.1652879896966826</v>
      </c>
      <c r="N74">
        <f t="shared" si="38"/>
        <v>1.2777777777777777</v>
      </c>
    </row>
    <row r="75" spans="6:14" x14ac:dyDescent="0.3">
      <c r="F75">
        <v>73</v>
      </c>
      <c r="G75">
        <f t="shared" si="42"/>
        <v>202</v>
      </c>
      <c r="H75">
        <f t="shared" ref="H75" si="48">COUNTIF(B:B,"&lt;"&amp;G75)/$D$7</f>
        <v>0.9</v>
      </c>
      <c r="I75">
        <f>_xlfn.NORM.DIST(G75,[0]!_mi,[0]!_sigma,TRUE)</f>
        <v>0.9175667301260455</v>
      </c>
      <c r="K75">
        <f t="shared" si="44"/>
        <v>74.5</v>
      </c>
      <c r="L75">
        <f t="shared" si="40"/>
        <v>0.90243902439024393</v>
      </c>
      <c r="M75">
        <f t="shared" si="41"/>
        <v>1.2955749870976874</v>
      </c>
      <c r="N75">
        <f t="shared" si="38"/>
        <v>1.3888888888888888</v>
      </c>
    </row>
    <row r="76" spans="6:14" x14ac:dyDescent="0.3">
      <c r="F76">
        <v>74</v>
      </c>
      <c r="G76">
        <f t="shared" si="42"/>
        <v>202</v>
      </c>
      <c r="H76">
        <f t="shared" si="43"/>
        <v>0.92500000000000004</v>
      </c>
      <c r="I76">
        <f>_xlfn.NORM.DIST(G76,[0]!_mi,[0]!_sigma,TRUE)</f>
        <v>0.9175667301260455</v>
      </c>
      <c r="K76">
        <f t="shared" si="44"/>
        <v>74.5</v>
      </c>
      <c r="L76">
        <f t="shared" si="40"/>
        <v>0.90243902439024393</v>
      </c>
      <c r="M76">
        <f t="shared" si="41"/>
        <v>1.2955749870976874</v>
      </c>
      <c r="N76">
        <f t="shared" si="38"/>
        <v>1.3888888888888888</v>
      </c>
    </row>
    <row r="77" spans="6:14" x14ac:dyDescent="0.3">
      <c r="F77">
        <v>75</v>
      </c>
      <c r="G77">
        <f t="shared" si="42"/>
        <v>203</v>
      </c>
      <c r="H77">
        <f t="shared" ref="H77" si="49">COUNTIF(B:B,"&lt;"&amp;G77)/$D$7</f>
        <v>0.92500000000000004</v>
      </c>
      <c r="I77">
        <f>_xlfn.NORM.DIST(G77,[0]!_mi,[0]!_sigma,TRUE)</f>
        <v>0.92569300177239411</v>
      </c>
      <c r="K77">
        <f t="shared" si="44"/>
        <v>76.5</v>
      </c>
      <c r="L77">
        <f t="shared" si="40"/>
        <v>0.92682926829268297</v>
      </c>
      <c r="M77">
        <f t="shared" si="41"/>
        <v>1.4525761808120046</v>
      </c>
      <c r="N77">
        <f t="shared" si="38"/>
        <v>1.4444444444444444</v>
      </c>
    </row>
    <row r="78" spans="6:14" x14ac:dyDescent="0.3">
      <c r="F78">
        <v>76</v>
      </c>
      <c r="G78">
        <f t="shared" si="42"/>
        <v>203</v>
      </c>
      <c r="H78">
        <f t="shared" si="43"/>
        <v>0.95</v>
      </c>
      <c r="I78">
        <f>_xlfn.NORM.DIST(G78,[0]!_mi,[0]!_sigma,TRUE)</f>
        <v>0.92569300177239411</v>
      </c>
      <c r="K78">
        <f t="shared" si="44"/>
        <v>76.5</v>
      </c>
      <c r="L78">
        <f t="shared" si="40"/>
        <v>0.92682926829268297</v>
      </c>
      <c r="M78">
        <f t="shared" si="41"/>
        <v>1.4525761808120046</v>
      </c>
      <c r="N78">
        <f t="shared" si="38"/>
        <v>1.4444444444444444</v>
      </c>
    </row>
    <row r="79" spans="6:14" x14ac:dyDescent="0.3">
      <c r="F79">
        <v>77</v>
      </c>
      <c r="G79">
        <f t="shared" si="42"/>
        <v>213</v>
      </c>
      <c r="H79">
        <f t="shared" ref="H79" si="50">COUNTIF(B:B,"&lt;"&amp;G79)/$D$7</f>
        <v>0.95</v>
      </c>
      <c r="I79">
        <f>_xlfn.NORM.DIST(G79,[0]!_mi,[0]!_sigma,TRUE)</f>
        <v>0.97724986805182079</v>
      </c>
      <c r="K79">
        <f t="shared" si="44"/>
        <v>78.5</v>
      </c>
      <c r="L79">
        <f t="shared" si="40"/>
        <v>0.95121951219512191</v>
      </c>
      <c r="M79">
        <f t="shared" si="41"/>
        <v>1.6567947658159803</v>
      </c>
      <c r="N79">
        <f t="shared" si="38"/>
        <v>2</v>
      </c>
    </row>
    <row r="80" spans="6:14" x14ac:dyDescent="0.3">
      <c r="F80">
        <v>78</v>
      </c>
      <c r="G80">
        <f t="shared" si="42"/>
        <v>213</v>
      </c>
      <c r="H80">
        <f t="shared" si="43"/>
        <v>0.97499999999999998</v>
      </c>
      <c r="I80">
        <f>_xlfn.NORM.DIST(G80,[0]!_mi,[0]!_sigma,TRUE)</f>
        <v>0.97724986805182079</v>
      </c>
      <c r="K80">
        <f t="shared" si="44"/>
        <v>78.5</v>
      </c>
      <c r="L80">
        <f t="shared" si="40"/>
        <v>0.95121951219512191</v>
      </c>
      <c r="M80">
        <f t="shared" si="41"/>
        <v>1.6567947658159803</v>
      </c>
      <c r="N80">
        <f t="shared" si="38"/>
        <v>2</v>
      </c>
    </row>
    <row r="81" spans="6:14" x14ac:dyDescent="0.3">
      <c r="F81">
        <v>79</v>
      </c>
      <c r="G81">
        <f t="shared" si="42"/>
        <v>214</v>
      </c>
      <c r="H81">
        <f t="shared" ref="H81" si="51">COUNTIF(B:B,"&lt;"&amp;G81)/$D$7</f>
        <v>0.97499999999999998</v>
      </c>
      <c r="I81">
        <f>_xlfn.NORM.DIST(G81,[0]!_mi,[0]!_sigma,TRUE)</f>
        <v>0.98008731225022472</v>
      </c>
      <c r="K81">
        <f t="shared" si="44"/>
        <v>80.5</v>
      </c>
      <c r="L81">
        <f t="shared" si="40"/>
        <v>0.97560975609756095</v>
      </c>
      <c r="M81">
        <f t="shared" si="41"/>
        <v>1.9705053031703283</v>
      </c>
      <c r="N81">
        <f t="shared" si="38"/>
        <v>2.0555555555555554</v>
      </c>
    </row>
    <row r="82" spans="6:14" x14ac:dyDescent="0.3">
      <c r="F82">
        <v>80</v>
      </c>
      <c r="G82">
        <f>G81</f>
        <v>214</v>
      </c>
      <c r="H82">
        <f t="shared" si="43"/>
        <v>1</v>
      </c>
      <c r="I82">
        <f>_xlfn.NORM.DIST(G82,[0]!_mi,[0]!_sigma,TRUE)</f>
        <v>0.98008731225022472</v>
      </c>
      <c r="K82">
        <f t="shared" si="44"/>
        <v>80.5</v>
      </c>
      <c r="L82">
        <f t="shared" si="40"/>
        <v>0.97560975609756095</v>
      </c>
      <c r="M82">
        <f t="shared" si="41"/>
        <v>1.9705053031703283</v>
      </c>
      <c r="N82">
        <f t="shared" si="38"/>
        <v>2.0555555555555554</v>
      </c>
    </row>
    <row r="83" spans="6:14" x14ac:dyDescent="0.3">
      <c r="F83">
        <v>81</v>
      </c>
      <c r="G83">
        <f>220</f>
        <v>220</v>
      </c>
      <c r="H83">
        <f t="shared" ref="H83" si="52">COUNTIF(B:B,"&lt;"&amp;G83)/$D$7</f>
        <v>1</v>
      </c>
      <c r="I83">
        <f>_xlfn.NORM.DIST(G83,[0]!_mi,[0]!_sigma,TRUE)</f>
        <v>0.99155029378774917</v>
      </c>
      <c r="K83">
        <f>_xlfn.RANK.AVG(G83, G:G, 1)</f>
        <v>82</v>
      </c>
      <c r="L83">
        <f t="shared" si="40"/>
        <v>0.99390243902439024</v>
      </c>
      <c r="M83">
        <f t="shared" si="41"/>
        <v>2.5064473464808863</v>
      </c>
      <c r="N83">
        <f t="shared" si="38"/>
        <v>2.3888888888888888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5</vt:i4>
      </vt:variant>
    </vt:vector>
  </HeadingPairs>
  <TitlesOfParts>
    <vt:vector size="8" baseType="lpstr">
      <vt:lpstr>Arkusz1</vt:lpstr>
      <vt:lpstr>Arkusz2</vt:lpstr>
      <vt:lpstr>Arkusz3</vt:lpstr>
      <vt:lpstr>_h</vt:lpstr>
      <vt:lpstr>_k</vt:lpstr>
      <vt:lpstr>_mi</vt:lpstr>
      <vt:lpstr>_sigma</vt:lpstr>
      <vt:lpstr>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2022-03-17T18:35:39Z</dcterms:created>
  <dcterms:modified xsi:type="dcterms:W3CDTF">2022-03-23T22:35:11Z</dcterms:modified>
</cp:coreProperties>
</file>