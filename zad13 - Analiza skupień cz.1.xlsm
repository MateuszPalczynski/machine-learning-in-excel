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PAD\"/>
    </mc:Choice>
  </mc:AlternateContent>
  <xr:revisionPtr revIDLastSave="0" documentId="13_ncr:1_{3D1F63AF-2471-4689-9B84-545ACDF85A5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AnalizaSkupień(k=2)" sheetId="1" r:id="rId1"/>
    <sheet name="AnalizaSkupień(k=4)" sheetId="2" r:id="rId2"/>
  </sheets>
  <definedNames>
    <definedName name="_l1" localSheetId="1">OFFSET('AnalizaSkupień(k=4)'!$R$2,0,0,'AnalizaSkupień(k=4)'!$P$6,1)</definedName>
    <definedName name="_l2">OFFSET('AnalizaSkupień(k=4)'!$R$2,'AnalizaSkupień(k=4)'!$P$6,0,'AnalizaSkupień(k=4)'!$P$7,1)</definedName>
    <definedName name="_l3">OFFSET('AnalizaSkupień(k=4)'!$R$2,'AnalizaSkupień(k=4)'!$P$6+'AnalizaSkupień(k=4)'!$P$7,0,'AnalizaSkupień(k=4)'!$P$8,1)</definedName>
    <definedName name="_l4">OFFSET('AnalizaSkupień(k=4)'!$R$2,'AnalizaSkupień(k=4)'!$P$6+'AnalizaSkupień(k=4)'!$P$7+'AnalizaSkupień(k=4)'!$P$8,0,'AnalizaSkupień(k=4)'!$P$9,1)</definedName>
    <definedName name="_pl1">OFFSET('AnalizaSkupień(k=2)'!$Q$2,0,0,'AnalizaSkupień(k=2)'!$O$6)</definedName>
    <definedName name="_pl2">OFFSET('AnalizaSkupień(k=2)'!$Q$2,'AnalizaSkupień(k=2)'!$O$6,0,'AnalizaSkupień(k=2)'!$O$7)</definedName>
    <definedName name="_pw1">OFFSET('AnalizaSkupień(k=2)'!$R$2,0,0,'AnalizaSkupień(k=2)'!$O$6)</definedName>
    <definedName name="_pw2">OFFSET('AnalizaSkupień(k=2)'!$R$2,'AnalizaSkupień(k=2)'!$O$6,0,'AnalizaSkupień(k=2)'!$O$7)</definedName>
    <definedName name="_w1">OFFSET('AnalizaSkupień(k=4)'!$S$2,0,0,'AnalizaSkupień(k=4)'!$P$6,1)</definedName>
    <definedName name="_w2">OFFSET('AnalizaSkupień(k=4)'!$S$2,'AnalizaSkupień(k=4)'!$P$6,0,'AnalizaSkupień(k=4)'!$P$7,1)</definedName>
    <definedName name="_w3">OFFSET('AnalizaSkupień(k=4)'!$S$2,'AnalizaSkupień(k=4)'!$P$6+'AnalizaSkupień(k=4)'!$P$7,0,'AnalizaSkupień(k=4)'!$P$8,1)</definedName>
    <definedName name="_w4">OFFSET('AnalizaSkupień(k=4)'!$S$2,'AnalizaSkupień(k=4)'!$P$6+'AnalizaSkupień(k=4)'!$P$7+'AnalizaSkupień(k=4)'!$P$8,0,'AnalizaSkupień(k=4)'!$P$9,1)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51" i="2" l="1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O12" i="1"/>
  <c r="O13" i="1"/>
  <c r="N12" i="1"/>
  <c r="N3" i="2"/>
  <c r="M3" i="2"/>
  <c r="N2" i="2"/>
  <c r="M2" i="2"/>
  <c r="M3" i="1"/>
  <c r="L3" i="1"/>
  <c r="M2" i="1"/>
  <c r="F11" i="1" s="1"/>
  <c r="L2" i="1"/>
  <c r="E59" i="1" s="1"/>
  <c r="E100" i="2" l="1"/>
  <c r="D77" i="2"/>
  <c r="D91" i="2"/>
  <c r="E105" i="2"/>
  <c r="D19" i="2"/>
  <c r="D3" i="2"/>
  <c r="D23" i="2"/>
  <c r="D15" i="2"/>
  <c r="D6" i="2"/>
  <c r="D27" i="2"/>
  <c r="D31" i="2"/>
  <c r="D4" i="2"/>
  <c r="D35" i="2"/>
  <c r="D5" i="2"/>
  <c r="D39" i="2"/>
  <c r="D2" i="2"/>
  <c r="D14" i="2"/>
  <c r="D75" i="2"/>
  <c r="E3" i="2"/>
  <c r="E5" i="2"/>
  <c r="D13" i="2"/>
  <c r="D17" i="2"/>
  <c r="D56" i="2"/>
  <c r="E69" i="2"/>
  <c r="E84" i="2"/>
  <c r="E4" i="2"/>
  <c r="E8" i="2"/>
  <c r="D10" i="2"/>
  <c r="D12" i="2"/>
  <c r="E13" i="2"/>
  <c r="D20" i="2"/>
  <c r="D24" i="2"/>
  <c r="D28" i="2"/>
  <c r="D32" i="2"/>
  <c r="D36" i="2"/>
  <c r="E40" i="2"/>
  <c r="E93" i="2"/>
  <c r="D41" i="2"/>
  <c r="D64" i="2"/>
  <c r="D71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6" i="2"/>
  <c r="D92" i="2"/>
  <c r="D88" i="2"/>
  <c r="D84" i="2"/>
  <c r="D78" i="2"/>
  <c r="D70" i="2"/>
  <c r="D81" i="2"/>
  <c r="D73" i="2"/>
  <c r="D94" i="2"/>
  <c r="D90" i="2"/>
  <c r="D86" i="2"/>
  <c r="D82" i="2"/>
  <c r="D74" i="2"/>
  <c r="D80" i="2"/>
  <c r="D69" i="2"/>
  <c r="D67" i="2"/>
  <c r="D59" i="2"/>
  <c r="D50" i="2"/>
  <c r="D46" i="2"/>
  <c r="D42" i="2"/>
  <c r="D76" i="2"/>
  <c r="D62" i="2"/>
  <c r="D54" i="2"/>
  <c r="D65" i="2"/>
  <c r="D57" i="2"/>
  <c r="D51" i="2"/>
  <c r="D47" i="2"/>
  <c r="D43" i="2"/>
  <c r="D83" i="2"/>
  <c r="D72" i="2"/>
  <c r="D60" i="2"/>
  <c r="D87" i="2"/>
  <c r="D85" i="2"/>
  <c r="D79" i="2"/>
  <c r="D68" i="2"/>
  <c r="D63" i="2"/>
  <c r="D55" i="2"/>
  <c r="D52" i="2"/>
  <c r="D48" i="2"/>
  <c r="D44" i="2"/>
  <c r="D95" i="2"/>
  <c r="D93" i="2"/>
  <c r="D61" i="2"/>
  <c r="D53" i="2"/>
  <c r="D49" i="2"/>
  <c r="D45" i="2"/>
  <c r="D40" i="2"/>
  <c r="D9" i="2"/>
  <c r="D8" i="2"/>
  <c r="D7" i="2"/>
  <c r="D18" i="2"/>
  <c r="D21" i="2"/>
  <c r="D25" i="2"/>
  <c r="D29" i="2"/>
  <c r="D33" i="2"/>
  <c r="D37" i="2"/>
  <c r="D58" i="2"/>
  <c r="E95" i="2"/>
  <c r="E136" i="2"/>
  <c r="E128" i="2"/>
  <c r="E120" i="2"/>
  <c r="E112" i="2"/>
  <c r="E151" i="2"/>
  <c r="E149" i="2"/>
  <c r="E147" i="2"/>
  <c r="E145" i="2"/>
  <c r="E143" i="2"/>
  <c r="E141" i="2"/>
  <c r="E139" i="2"/>
  <c r="E134" i="2"/>
  <c r="E126" i="2"/>
  <c r="E118" i="2"/>
  <c r="E110" i="2"/>
  <c r="E102" i="2"/>
  <c r="E79" i="2"/>
  <c r="E71" i="2"/>
  <c r="E137" i="2"/>
  <c r="E129" i="2"/>
  <c r="E121" i="2"/>
  <c r="E113" i="2"/>
  <c r="E135" i="2"/>
  <c r="E127" i="2"/>
  <c r="E119" i="2"/>
  <c r="E111" i="2"/>
  <c r="E103" i="2"/>
  <c r="E94" i="2"/>
  <c r="E90" i="2"/>
  <c r="E86" i="2"/>
  <c r="E82" i="2"/>
  <c r="E74" i="2"/>
  <c r="E150" i="2"/>
  <c r="E148" i="2"/>
  <c r="E146" i="2"/>
  <c r="E144" i="2"/>
  <c r="E142" i="2"/>
  <c r="E140" i="2"/>
  <c r="E138" i="2"/>
  <c r="E130" i="2"/>
  <c r="E122" i="2"/>
  <c r="E114" i="2"/>
  <c r="E106" i="2"/>
  <c r="E98" i="2"/>
  <c r="E75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117" i="2"/>
  <c r="E109" i="2"/>
  <c r="E104" i="2"/>
  <c r="E99" i="2"/>
  <c r="E88" i="2"/>
  <c r="E78" i="2"/>
  <c r="E76" i="2"/>
  <c r="E125" i="2"/>
  <c r="E101" i="2"/>
  <c r="E92" i="2"/>
  <c r="E133" i="2"/>
  <c r="E116" i="2"/>
  <c r="E96" i="2"/>
  <c r="E83" i="2"/>
  <c r="E72" i="2"/>
  <c r="E124" i="2"/>
  <c r="E87" i="2"/>
  <c r="E85" i="2"/>
  <c r="E81" i="2"/>
  <c r="E70" i="2"/>
  <c r="E68" i="2"/>
  <c r="E132" i="2"/>
  <c r="E115" i="2"/>
  <c r="E108" i="2"/>
  <c r="E91" i="2"/>
  <c r="E89" i="2"/>
  <c r="E77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2" i="2"/>
  <c r="E11" i="2"/>
  <c r="E10" i="2"/>
  <c r="E131" i="2"/>
  <c r="E97" i="2"/>
  <c r="E73" i="2"/>
  <c r="E41" i="2"/>
  <c r="E7" i="2"/>
  <c r="E80" i="2"/>
  <c r="D97" i="2"/>
  <c r="E107" i="2"/>
  <c r="E2" i="2"/>
  <c r="E6" i="2"/>
  <c r="E9" i="2"/>
  <c r="D11" i="2"/>
  <c r="D16" i="2"/>
  <c r="D22" i="2"/>
  <c r="D26" i="2"/>
  <c r="D30" i="2"/>
  <c r="D34" i="2"/>
  <c r="D38" i="2"/>
  <c r="D66" i="2"/>
  <c r="D89" i="2"/>
  <c r="E123" i="2"/>
  <c r="N9" i="1"/>
  <c r="E99" i="1"/>
  <c r="E67" i="1"/>
  <c r="E151" i="1"/>
  <c r="E119" i="1"/>
  <c r="E87" i="1"/>
  <c r="E55" i="1"/>
  <c r="E147" i="1"/>
  <c r="E115" i="1"/>
  <c r="E83" i="1"/>
  <c r="E51" i="1"/>
  <c r="E143" i="1"/>
  <c r="E111" i="1"/>
  <c r="E79" i="1"/>
  <c r="E47" i="1"/>
  <c r="E139" i="1"/>
  <c r="E107" i="1"/>
  <c r="E75" i="1"/>
  <c r="E43" i="1"/>
  <c r="E135" i="1"/>
  <c r="E103" i="1"/>
  <c r="E71" i="1"/>
  <c r="E39" i="1"/>
  <c r="E131" i="1"/>
  <c r="E35" i="1"/>
  <c r="E127" i="1"/>
  <c r="E95" i="1"/>
  <c r="E63" i="1"/>
  <c r="E31" i="1"/>
  <c r="F4" i="1"/>
  <c r="E123" i="1"/>
  <c r="E91" i="1"/>
  <c r="F25" i="1"/>
  <c r="F17" i="1"/>
  <c r="F8" i="1"/>
  <c r="E4" i="1"/>
  <c r="E6" i="1"/>
  <c r="E8" i="1"/>
  <c r="E15" i="1"/>
  <c r="E19" i="1"/>
  <c r="E21" i="1"/>
  <c r="E25" i="1"/>
  <c r="E10" i="1"/>
  <c r="E17" i="1"/>
  <c r="E23" i="1"/>
  <c r="E27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F49" i="1"/>
  <c r="F45" i="1"/>
  <c r="F41" i="1"/>
  <c r="F37" i="1"/>
  <c r="F33" i="1"/>
  <c r="F29" i="1"/>
  <c r="F23" i="1"/>
  <c r="F15" i="1"/>
  <c r="F6" i="1"/>
  <c r="E149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F21" i="1"/>
  <c r="E13" i="1"/>
  <c r="F10" i="1"/>
  <c r="F12" i="1"/>
  <c r="E145" i="1"/>
  <c r="E141" i="1"/>
  <c r="E3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9" i="1"/>
  <c r="F35" i="1"/>
  <c r="F31" i="1"/>
  <c r="F27" i="1"/>
  <c r="F19" i="1"/>
  <c r="E11" i="1"/>
  <c r="F14" i="1"/>
  <c r="E2" i="1"/>
  <c r="F150" i="1"/>
  <c r="F148" i="1"/>
  <c r="F146" i="1"/>
  <c r="F144" i="1"/>
  <c r="F142" i="1"/>
  <c r="F140" i="1"/>
  <c r="F138" i="1"/>
  <c r="F136" i="1"/>
  <c r="F134" i="1"/>
  <c r="F132" i="1"/>
  <c r="F130" i="1"/>
  <c r="F128" i="1"/>
  <c r="F126" i="1"/>
  <c r="F124" i="1"/>
  <c r="F122" i="1"/>
  <c r="F120" i="1"/>
  <c r="F118" i="1"/>
  <c r="F116" i="1"/>
  <c r="F114" i="1"/>
  <c r="F112" i="1"/>
  <c r="F110" i="1"/>
  <c r="F108" i="1"/>
  <c r="F106" i="1"/>
  <c r="F104" i="1"/>
  <c r="F102" i="1"/>
  <c r="F100" i="1"/>
  <c r="F98" i="1"/>
  <c r="F96" i="1"/>
  <c r="F94" i="1"/>
  <c r="F92" i="1"/>
  <c r="F90" i="1"/>
  <c r="F88" i="1"/>
  <c r="F86" i="1"/>
  <c r="F84" i="1"/>
  <c r="F82" i="1"/>
  <c r="F80" i="1"/>
  <c r="F78" i="1"/>
  <c r="F76" i="1"/>
  <c r="F74" i="1"/>
  <c r="F72" i="1"/>
  <c r="F70" i="1"/>
  <c r="F68" i="1"/>
  <c r="F66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20" i="1"/>
  <c r="F18" i="1"/>
  <c r="F16" i="1"/>
  <c r="E14" i="1"/>
  <c r="E12" i="1"/>
  <c r="F9" i="1"/>
  <c r="F7" i="1"/>
  <c r="F5" i="1"/>
  <c r="H5" i="1" s="1" a="1"/>
  <c r="F3" i="1"/>
  <c r="F2" i="1"/>
  <c r="E150" i="1"/>
  <c r="E148" i="1"/>
  <c r="E146" i="1"/>
  <c r="E144" i="1"/>
  <c r="E142" i="1"/>
  <c r="E140" i="1"/>
  <c r="E138" i="1"/>
  <c r="E136" i="1"/>
  <c r="E134" i="1"/>
  <c r="E132" i="1"/>
  <c r="E130" i="1"/>
  <c r="E128" i="1"/>
  <c r="E126" i="1"/>
  <c r="E124" i="1"/>
  <c r="E122" i="1"/>
  <c r="E120" i="1"/>
  <c r="E118" i="1"/>
  <c r="E116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84" i="1"/>
  <c r="E82" i="1"/>
  <c r="E80" i="1"/>
  <c r="E78" i="1"/>
  <c r="E76" i="1"/>
  <c r="E74" i="1"/>
  <c r="E72" i="1"/>
  <c r="E70" i="1"/>
  <c r="E68" i="1"/>
  <c r="E66" i="1"/>
  <c r="E64" i="1"/>
  <c r="E62" i="1"/>
  <c r="E60" i="1"/>
  <c r="E58" i="1"/>
  <c r="E56" i="1"/>
  <c r="E54" i="1"/>
  <c r="E52" i="1"/>
  <c r="E50" i="1"/>
  <c r="E48" i="1"/>
  <c r="E46" i="1"/>
  <c r="E44" i="1"/>
  <c r="E42" i="1"/>
  <c r="E40" i="1"/>
  <c r="E38" i="1"/>
  <c r="E36" i="1"/>
  <c r="E34" i="1"/>
  <c r="E32" i="1"/>
  <c r="E30" i="1"/>
  <c r="E28" i="1"/>
  <c r="H28" i="1" s="1" a="1"/>
  <c r="E26" i="1"/>
  <c r="E24" i="1"/>
  <c r="E22" i="1"/>
  <c r="E20" i="1"/>
  <c r="E18" i="1"/>
  <c r="E16" i="1"/>
  <c r="F13" i="1"/>
  <c r="E9" i="1"/>
  <c r="E7" i="1"/>
  <c r="E5" i="1"/>
  <c r="H83" i="1" a="1"/>
  <c r="H36" i="1" a="1"/>
  <c r="H131" i="1" a="1"/>
  <c r="H143" i="1" a="1"/>
  <c r="H93" i="1" a="1"/>
  <c r="H100" i="1" a="1"/>
  <c r="H80" i="1" a="1"/>
  <c r="H72" i="1" a="1"/>
  <c r="H76" i="1" a="1"/>
  <c r="H128" i="1" a="1"/>
  <c r="H37" i="1" a="1"/>
  <c r="H71" i="1" a="1"/>
  <c r="H81" i="1" a="1"/>
  <c r="H42" i="1" a="1"/>
  <c r="H142" i="1" a="1"/>
  <c r="H24" i="1" a="1"/>
  <c r="H122" i="1" a="1"/>
  <c r="H108" i="1" a="1"/>
  <c r="H99" i="1" a="1"/>
  <c r="H52" i="1" a="1"/>
  <c r="H102" i="1" a="1"/>
  <c r="H87" i="1" a="1"/>
  <c r="H16" i="1" a="1"/>
  <c r="H134" i="1" a="1"/>
  <c r="H126" i="1" a="1"/>
  <c r="H82" i="1" a="1"/>
  <c r="H151" i="1" a="1"/>
  <c r="H70" i="1" a="1"/>
  <c r="H144" i="1" a="1"/>
  <c r="H124" i="1" a="1"/>
  <c r="H120" i="1" a="1"/>
  <c r="H56" i="1" a="1"/>
  <c r="H89" i="1" a="1"/>
  <c r="H61" i="1" a="1"/>
  <c r="H44" i="1" a="1"/>
  <c r="H35" i="1" a="1"/>
  <c r="H132" i="1" a="1"/>
  <c r="H79" i="1" a="1"/>
  <c r="H23" i="1" a="1"/>
  <c r="H133" i="1" a="1"/>
  <c r="H90" i="1" a="1"/>
  <c r="H86" i="1" a="1"/>
  <c r="H43" i="1" a="1"/>
  <c r="H73" i="1" a="1"/>
  <c r="H8" i="1" a="1"/>
  <c r="H13" i="1" a="1"/>
  <c r="H78" i="1" a="1"/>
  <c r="H121" i="1" a="1"/>
  <c r="H25" i="1" a="1"/>
  <c r="H10" i="1" a="1"/>
  <c r="H66" i="1" a="1"/>
  <c r="H107" i="1" a="1"/>
  <c r="H77" i="1" a="1"/>
  <c r="H95" i="1" a="1"/>
  <c r="H112" i="1" a="1"/>
  <c r="H118" i="1" a="1"/>
  <c r="H49" i="1" a="1"/>
  <c r="H140" i="1" a="1"/>
  <c r="H53" i="1" a="1"/>
  <c r="H115" i="1" a="1"/>
  <c r="H59" i="1" a="1"/>
  <c r="H19" i="1" a="1"/>
  <c r="H117" i="1" a="1"/>
  <c r="H137" i="1" a="1"/>
  <c r="H113" i="1" a="1"/>
  <c r="H68" i="1" a="1"/>
  <c r="H85" i="1" a="1"/>
  <c r="H141" i="1" a="1"/>
  <c r="H32" i="1" a="1"/>
  <c r="H47" i="1" a="1"/>
  <c r="H64" i="1" a="1"/>
  <c r="H14" i="1" a="1"/>
  <c r="H97" i="1" a="1"/>
  <c r="H33" i="1" a="1"/>
  <c r="H11" i="1" a="1"/>
  <c r="H9" i="1" a="1"/>
  <c r="H40" i="1" a="1"/>
  <c r="H46" i="1" a="1"/>
  <c r="H63" i="1" a="1"/>
  <c r="H15" i="1" a="1"/>
  <c r="H29" i="1" a="1"/>
  <c r="H21" i="1" a="1"/>
  <c r="H123" i="1" a="1"/>
  <c r="H101" i="1" a="1"/>
  <c r="H91" i="1" a="1"/>
  <c r="H39" i="1" a="1"/>
  <c r="H92" i="1" a="1"/>
  <c r="H57" i="1" a="1"/>
  <c r="H20" i="1" a="1"/>
  <c r="H50" i="1" a="1"/>
  <c r="H136" i="1" a="1"/>
  <c r="H127" i="1" a="1"/>
  <c r="H130" i="1" a="1"/>
  <c r="H12" i="1" a="1"/>
  <c r="H26" i="1" a="1"/>
  <c r="H17" i="1" a="1"/>
  <c r="H149" i="1" a="1"/>
  <c r="H65" i="1" a="1"/>
  <c r="H150" i="1" a="1"/>
  <c r="H114" i="1" a="1"/>
  <c r="H41" i="1" a="1"/>
  <c r="H45" i="1" a="1"/>
  <c r="H2" i="1" a="1"/>
  <c r="H30" i="1" a="1"/>
  <c r="H22" i="1" a="1"/>
  <c r="H27" i="1" a="1"/>
  <c r="H62" i="1" a="1"/>
  <c r="H104" i="1" a="1"/>
  <c r="H18" i="1" a="1"/>
  <c r="H110" i="1" a="1"/>
  <c r="H105" i="1" a="1"/>
  <c r="H96" i="1" a="1"/>
  <c r="H129" i="1" a="1"/>
  <c r="H74" i="1" a="1"/>
  <c r="H58" i="1" a="1"/>
  <c r="H146" i="1" a="1"/>
  <c r="H103" i="1" a="1"/>
  <c r="H119" i="1" a="1"/>
  <c r="H75" i="1" a="1"/>
  <c r="H138" i="1" a="1"/>
  <c r="H111" i="1" a="1"/>
  <c r="H55" i="1" a="1"/>
  <c r="H125" i="1" a="1"/>
  <c r="H3" i="1" a="1"/>
  <c r="H116" i="1" a="1"/>
  <c r="H109" i="1" a="1"/>
  <c r="H84" i="1" a="1"/>
  <c r="H88" i="1" a="1"/>
  <c r="H67" i="1" a="1"/>
  <c r="H98" i="1" a="1"/>
  <c r="H106" i="1" a="1"/>
  <c r="H135" i="1" a="1"/>
  <c r="H94" i="1" a="1"/>
  <c r="H139" i="1" a="1"/>
  <c r="H4" i="1" a="1"/>
  <c r="H34" i="1" a="1"/>
  <c r="H54" i="1" a="1"/>
  <c r="H145" i="1" a="1"/>
  <c r="H7" i="1" a="1"/>
  <c r="H60" i="1" a="1"/>
  <c r="H148" i="1" a="1"/>
  <c r="H51" i="1" a="1"/>
  <c r="H38" i="1" a="1"/>
  <c r="H147" i="1" a="1"/>
  <c r="H6" i="1" a="1"/>
  <c r="H69" i="1" a="1"/>
  <c r="H31" i="1" a="1"/>
  <c r="H48" i="1" a="1"/>
  <c r="G88" i="1" a="1"/>
  <c r="G66" i="1" a="1"/>
  <c r="G102" i="1" a="1"/>
  <c r="G16" i="1" a="1"/>
  <c r="G109" i="1" a="1"/>
  <c r="G113" i="1" a="1"/>
  <c r="G147" i="1" a="1"/>
  <c r="G150" i="1" a="1"/>
  <c r="G10" i="1" a="1"/>
  <c r="G107" i="1" a="1"/>
  <c r="G39" i="1" a="1"/>
  <c r="G72" i="1" a="1"/>
  <c r="G59" i="1" a="1"/>
  <c r="G124" i="1" a="1"/>
  <c r="G139" i="1" a="1"/>
  <c r="G122" i="1" a="1"/>
  <c r="G143" i="1" a="1"/>
  <c r="G140" i="1" a="1"/>
  <c r="G49" i="1" a="1"/>
  <c r="G100" i="1" a="1"/>
  <c r="G76" i="1" a="1"/>
  <c r="G70" i="1" a="1"/>
  <c r="G96" i="1" a="1"/>
  <c r="G105" i="1" a="1"/>
  <c r="G54" i="1" a="1"/>
  <c r="G131" i="1" a="1"/>
  <c r="G30" i="1" a="1"/>
  <c r="G87" i="1" a="1"/>
  <c r="G42" i="1" a="1"/>
  <c r="G15" i="1" a="1"/>
  <c r="G127" i="1" a="1"/>
  <c r="G89" i="1" a="1"/>
  <c r="G24" i="1" a="1"/>
  <c r="G114" i="1" a="1"/>
  <c r="G112" i="1" a="1"/>
  <c r="G37" i="1" a="1"/>
  <c r="G132" i="1" a="1"/>
  <c r="G129" i="1" a="1"/>
  <c r="G36" i="1" a="1"/>
  <c r="G32" i="1" a="1"/>
  <c r="G33" i="1" a="1"/>
  <c r="G60" i="1" a="1"/>
  <c r="G58" i="1" a="1"/>
  <c r="G97" i="1" a="1"/>
  <c r="G98" i="1" a="1"/>
  <c r="G69" i="1" a="1"/>
  <c r="G101" i="1" a="1"/>
  <c r="G138" i="1" a="1"/>
  <c r="G31" i="1" a="1"/>
  <c r="G20" i="1" a="1"/>
  <c r="G92" i="1" a="1"/>
  <c r="G47" i="1" a="1"/>
  <c r="G23" i="1" a="1"/>
  <c r="G27" i="1" a="1"/>
  <c r="G11" i="1" a="1"/>
  <c r="G106" i="1" a="1"/>
  <c r="G136" i="1" a="1"/>
  <c r="G121" i="1" a="1"/>
  <c r="G145" i="1" a="1"/>
  <c r="G57" i="1" a="1"/>
  <c r="G35" i="1" a="1"/>
  <c r="G91" i="1" a="1"/>
  <c r="G74" i="1" a="1"/>
  <c r="G48" i="1" a="1"/>
  <c r="G38" i="1" a="1"/>
  <c r="G149" i="1" a="1"/>
  <c r="G90" i="1" a="1"/>
  <c r="G5" i="1" a="1"/>
  <c r="G65" i="1" a="1"/>
  <c r="G110" i="1" a="1"/>
  <c r="G95" i="1" a="1"/>
  <c r="G73" i="1" a="1"/>
  <c r="G18" i="1" a="1"/>
  <c r="G68" i="1" a="1"/>
  <c r="G14" i="1" a="1"/>
  <c r="G64" i="1" a="1"/>
  <c r="G80" i="1" a="1"/>
  <c r="G108" i="1" a="1"/>
  <c r="G79" i="1" a="1"/>
  <c r="G151" i="1" a="1"/>
  <c r="G21" i="1" a="1"/>
  <c r="G146" i="1" a="1"/>
  <c r="G126" i="1" a="1"/>
  <c r="G7" i="1" a="1"/>
  <c r="G62" i="1" a="1"/>
  <c r="G133" i="1" a="1"/>
  <c r="G94" i="1" a="1"/>
  <c r="G142" i="1" a="1"/>
  <c r="G26" i="1" a="1"/>
  <c r="G28" i="1" a="1"/>
  <c r="G137" i="1" a="1"/>
  <c r="G25" i="1" a="1"/>
  <c r="G34" i="1" a="1"/>
  <c r="G46" i="1" a="1"/>
  <c r="G111" i="1" a="1"/>
  <c r="G83" i="1" a="1"/>
  <c r="G44" i="1" a="1"/>
  <c r="G55" i="1" a="1"/>
  <c r="G12" i="1" a="1"/>
  <c r="G61" i="1" a="1"/>
  <c r="G81" i="1" a="1"/>
  <c r="G75" i="1" a="1"/>
  <c r="G134" i="1" a="1"/>
  <c r="G119" i="1" a="1"/>
  <c r="G52" i="1" a="1"/>
  <c r="G53" i="1" a="1"/>
  <c r="G4" i="1" a="1"/>
  <c r="G50" i="1" a="1"/>
  <c r="G2" i="1" a="1"/>
  <c r="G77" i="1" a="1"/>
  <c r="G116" i="1" a="1"/>
  <c r="G141" i="1" a="1"/>
  <c r="G144" i="1" a="1"/>
  <c r="G103" i="1" a="1"/>
  <c r="G85" i="1" a="1"/>
  <c r="G40" i="1" a="1"/>
  <c r="G8" i="1" a="1"/>
  <c r="G29" i="1" a="1"/>
  <c r="G3" i="1" a="1"/>
  <c r="G43" i="1" a="1"/>
  <c r="G123" i="1" a="1"/>
  <c r="G117" i="1" a="1"/>
  <c r="G82" i="1" a="1"/>
  <c r="G17" i="1" a="1"/>
  <c r="G41" i="1" a="1"/>
  <c r="G148" i="1" a="1"/>
  <c r="G51" i="1" a="1"/>
  <c r="G22" i="1" a="1"/>
  <c r="G130" i="1" a="1"/>
  <c r="G67" i="1" a="1"/>
  <c r="G71" i="1" a="1"/>
  <c r="G99" i="1" a="1"/>
  <c r="G118" i="1" a="1"/>
  <c r="G86" i="1" a="1"/>
  <c r="G13" i="1" a="1"/>
  <c r="G63" i="1" a="1"/>
  <c r="G135" i="1" a="1"/>
  <c r="G120" i="1" a="1"/>
  <c r="G84" i="1" a="1"/>
  <c r="G125" i="1" a="1"/>
  <c r="G9" i="1" a="1"/>
  <c r="G6" i="1" a="1"/>
  <c r="G93" i="1" a="1"/>
  <c r="G19" i="1" a="1"/>
  <c r="G56" i="1" a="1"/>
  <c r="G104" i="1" a="1"/>
  <c r="G128" i="1" a="1"/>
  <c r="G45" i="1" a="1"/>
  <c r="G78" i="1" a="1"/>
  <c r="G115" i="1" a="1"/>
  <c r="H26" i="2" l="1" a="1"/>
  <c r="H26" i="2" s="1"/>
  <c r="I97" i="2" a="1"/>
  <c r="I97" i="2" s="1"/>
  <c r="I66" i="2" a="1"/>
  <c r="I66" i="2" s="1"/>
  <c r="I93" i="2" a="1"/>
  <c r="I93" i="2" s="1"/>
  <c r="H34" i="2" a="1"/>
  <c r="H34" i="2" s="1"/>
  <c r="I37" i="2" a="1"/>
  <c r="I37" i="2" s="1"/>
  <c r="I9" i="2" a="1"/>
  <c r="I9" i="2" s="1"/>
  <c r="I65" i="2" a="1"/>
  <c r="I65" i="2" s="1"/>
  <c r="I67" i="2" a="1"/>
  <c r="I67" i="2" s="1"/>
  <c r="H20" i="2" a="1"/>
  <c r="H20" i="2" s="1"/>
  <c r="I73" i="2" a="1"/>
  <c r="I73" i="2" s="1"/>
  <c r="I33" i="2" a="1"/>
  <c r="I33" i="2" s="1"/>
  <c r="I48" i="2" a="1"/>
  <c r="I48" i="2" s="1"/>
  <c r="I60" i="2" a="1"/>
  <c r="I60" i="2" s="1"/>
  <c r="I69" i="2" a="1"/>
  <c r="I69" i="2" s="1"/>
  <c r="I107" i="2" a="1"/>
  <c r="I107" i="2" s="1"/>
  <c r="I115" i="2" a="1"/>
  <c r="I115" i="2" s="1"/>
  <c r="I131" i="2" a="1"/>
  <c r="I131" i="2" s="1"/>
  <c r="I139" i="2" a="1"/>
  <c r="I139" i="2" s="1"/>
  <c r="I147" i="2" a="1"/>
  <c r="I147" i="2" s="1"/>
  <c r="I12" i="2" a="1"/>
  <c r="I12" i="2" s="1"/>
  <c r="I19" i="2" a="1"/>
  <c r="I19" i="2" s="1"/>
  <c r="I98" i="2" a="1"/>
  <c r="I98" i="2" s="1"/>
  <c r="H13" i="2" a="1"/>
  <c r="H13" i="2" s="1"/>
  <c r="I123" i="2" a="1"/>
  <c r="I123" i="2" s="1"/>
  <c r="I11" i="2" a="1"/>
  <c r="I11" i="2" s="1"/>
  <c r="I49" i="2" a="1"/>
  <c r="I49" i="2" s="1"/>
  <c r="I83" i="2" a="1"/>
  <c r="I83" i="2" s="1"/>
  <c r="I74" i="2" a="1"/>
  <c r="I74" i="2" s="1"/>
  <c r="I117" i="2" a="1"/>
  <c r="I117" i="2" s="1"/>
  <c r="H81" i="2" a="1"/>
  <c r="H81" i="2" s="1"/>
  <c r="I34" i="2" a="1"/>
  <c r="I34" i="2" s="1"/>
  <c r="I7" i="2" a="1"/>
  <c r="I7" i="2" s="1"/>
  <c r="H93" i="2" a="1"/>
  <c r="H93" i="2" s="1"/>
  <c r="H130" i="2" a="1"/>
  <c r="H130" i="2" s="1"/>
  <c r="I90" i="2" a="1"/>
  <c r="I90" i="2" s="1"/>
  <c r="I104" i="2" a="1"/>
  <c r="I104" i="2" s="1"/>
  <c r="I112" i="2" a="1"/>
  <c r="I112" i="2" s="1"/>
  <c r="I24" i="2" a="1"/>
  <c r="I24" i="2" s="1"/>
  <c r="H59" i="2" a="1"/>
  <c r="H59" i="2" s="1"/>
  <c r="H22" i="2" a="1"/>
  <c r="H22" i="2" s="1"/>
  <c r="H54" i="2" a="1"/>
  <c r="H54" i="2" s="1"/>
  <c r="H30" i="2" a="1"/>
  <c r="H30" i="2" s="1"/>
  <c r="H58" i="2" a="1"/>
  <c r="H58" i="2" s="1"/>
  <c r="I95" i="2" a="1"/>
  <c r="I95" i="2" s="1"/>
  <c r="I94" i="2" a="1"/>
  <c r="I94" i="2" s="1"/>
  <c r="I105" i="2" a="1"/>
  <c r="I105" i="2" s="1"/>
  <c r="I121" i="2" a="1"/>
  <c r="I121" i="2" s="1"/>
  <c r="I129" i="2" a="1"/>
  <c r="I129" i="2" s="1"/>
  <c r="I137" i="2" a="1"/>
  <c r="I137" i="2" s="1"/>
  <c r="I145" i="2" a="1"/>
  <c r="I145" i="2" s="1"/>
  <c r="H36" i="2" a="1"/>
  <c r="H36" i="2" s="1"/>
  <c r="I16" i="2" a="1"/>
  <c r="I16" i="2" s="1"/>
  <c r="I14" i="2" a="1"/>
  <c r="I14" i="2" s="1"/>
  <c r="I88" i="2" a="1"/>
  <c r="I88" i="2" s="1"/>
  <c r="H98" i="2" a="1"/>
  <c r="H98" i="2" s="1"/>
  <c r="I144" i="2" a="1"/>
  <c r="I144" i="2" s="1"/>
  <c r="H29" i="2" a="1"/>
  <c r="H29" i="2" s="1"/>
  <c r="H45" i="2" a="1"/>
  <c r="H45" i="2" s="1"/>
  <c r="H52" i="2" a="1"/>
  <c r="H52" i="2" s="1"/>
  <c r="I72" i="2" a="1"/>
  <c r="I72" i="2" s="1"/>
  <c r="H62" i="2" a="1"/>
  <c r="H62" i="2" s="1"/>
  <c r="H80" i="2" a="1"/>
  <c r="H80" i="2" s="1"/>
  <c r="H70" i="2" a="1"/>
  <c r="H70" i="2" s="1"/>
  <c r="H100" i="2" a="1"/>
  <c r="H100" i="2" s="1"/>
  <c r="I108" i="2" a="1"/>
  <c r="I108" i="2" s="1"/>
  <c r="H116" i="2" a="1"/>
  <c r="H116" i="2" s="1"/>
  <c r="H124" i="2" a="1"/>
  <c r="H124" i="2" s="1"/>
  <c r="H132" i="2" a="1"/>
  <c r="H132" i="2" s="1"/>
  <c r="H140" i="2" a="1"/>
  <c r="H140" i="2" s="1"/>
  <c r="H148" i="2" a="1"/>
  <c r="H148" i="2" s="1"/>
  <c r="H40" i="2" a="1"/>
  <c r="H40" i="2" s="1"/>
  <c r="I10" i="2" a="1"/>
  <c r="I10" i="2" s="1"/>
  <c r="H83" i="2" a="1"/>
  <c r="H83" i="2" s="1"/>
  <c r="H25" i="2" a="1"/>
  <c r="H25" i="2" s="1"/>
  <c r="H74" i="2" a="1"/>
  <c r="H74" i="2" s="1"/>
  <c r="H15" i="2" a="1"/>
  <c r="H15" i="2" s="1"/>
  <c r="H55" i="2" a="1"/>
  <c r="H55" i="2" s="1"/>
  <c r="H125" i="2" a="1"/>
  <c r="H125" i="2" s="1"/>
  <c r="I20" i="2" a="1"/>
  <c r="I20" i="2" s="1"/>
  <c r="I141" i="2" a="1"/>
  <c r="I141" i="2" s="1"/>
  <c r="I149" i="2" a="1"/>
  <c r="I149" i="2" s="1"/>
  <c r="I36" i="2" a="1"/>
  <c r="I36" i="2" s="1"/>
  <c r="I31" i="2" a="1"/>
  <c r="I31" i="2" s="1"/>
  <c r="H91" i="2" a="1"/>
  <c r="H91" i="2" s="1"/>
  <c r="H61" i="2" a="1"/>
  <c r="H61" i="2" s="1"/>
  <c r="H78" i="2" a="1"/>
  <c r="H78" i="2" s="1"/>
  <c r="H24" i="2" a="1"/>
  <c r="H24" i="2" s="1"/>
  <c r="G77" i="2" a="1"/>
  <c r="G77" i="2" s="1"/>
  <c r="I55" i="2" a="1"/>
  <c r="I55" i="2" s="1"/>
  <c r="I114" i="2" a="1"/>
  <c r="I114" i="2" s="1"/>
  <c r="H141" i="2" a="1"/>
  <c r="H141" i="2" s="1"/>
  <c r="I128" i="2" a="1"/>
  <c r="I128" i="2" s="1"/>
  <c r="I21" i="2" a="1"/>
  <c r="I21" i="2" s="1"/>
  <c r="I53" i="2" a="1"/>
  <c r="I53" i="2" s="1"/>
  <c r="H63" i="2" a="1"/>
  <c r="H63" i="2" s="1"/>
  <c r="I43" i="2" a="1"/>
  <c r="I43" i="2" s="1"/>
  <c r="H42" i="2" a="1"/>
  <c r="H42" i="2" s="1"/>
  <c r="I82" i="2" a="1"/>
  <c r="I82" i="2" s="1"/>
  <c r="I84" i="2" a="1"/>
  <c r="I84" i="2" s="1"/>
  <c r="H102" i="2" a="1"/>
  <c r="H102" i="2" s="1"/>
  <c r="H110" i="2" a="1"/>
  <c r="H110" i="2" s="1"/>
  <c r="H118" i="2" a="1"/>
  <c r="H118" i="2" s="1"/>
  <c r="H126" i="2" a="1"/>
  <c r="H126" i="2" s="1"/>
  <c r="H134" i="2" a="1"/>
  <c r="H134" i="2" s="1"/>
  <c r="H142" i="2" a="1"/>
  <c r="H142" i="2" s="1"/>
  <c r="H150" i="2" a="1"/>
  <c r="H150" i="2" s="1"/>
  <c r="H32" i="2" a="1"/>
  <c r="H32" i="2" s="1"/>
  <c r="H4" i="2" a="1"/>
  <c r="H4" i="2" s="1"/>
  <c r="I75" i="2" a="1"/>
  <c r="I75" i="2" s="1"/>
  <c r="I27" i="2" a="1"/>
  <c r="I27" i="2" s="1"/>
  <c r="H77" i="2" a="1"/>
  <c r="H77" i="2" s="1"/>
  <c r="H95" i="2" a="1"/>
  <c r="H95" i="2" s="1"/>
  <c r="H65" i="2" a="1"/>
  <c r="H65" i="2" s="1"/>
  <c r="H106" i="2" a="1"/>
  <c r="H106" i="2" s="1"/>
  <c r="H38" i="2" a="1"/>
  <c r="H38" i="2" s="1"/>
  <c r="F6" i="2" a="1"/>
  <c r="F6" i="2" s="1"/>
  <c r="H97" i="2" a="1"/>
  <c r="H97" i="2" s="1"/>
  <c r="H17" i="2" a="1"/>
  <c r="H17" i="2" s="1"/>
  <c r="I25" i="2" a="1"/>
  <c r="I25" i="2" s="1"/>
  <c r="H89" i="2" a="1"/>
  <c r="H89" i="2" s="1"/>
  <c r="I92" i="2" a="1"/>
  <c r="I92" i="2" s="1"/>
  <c r="H109" i="2" a="1"/>
  <c r="H109" i="2" s="1"/>
  <c r="I64" i="2" a="1"/>
  <c r="I64" i="2" s="1"/>
  <c r="H79" i="2" a="1"/>
  <c r="H79" i="2" s="1"/>
  <c r="H136" i="2" a="1"/>
  <c r="H136" i="2" s="1"/>
  <c r="I18" i="2" a="1"/>
  <c r="I18" i="2" s="1"/>
  <c r="I61" i="2" a="1"/>
  <c r="I61" i="2" s="1"/>
  <c r="I68" i="2" a="1"/>
  <c r="I68" i="2" s="1"/>
  <c r="H47" i="2" a="1"/>
  <c r="H47" i="2" s="1"/>
  <c r="H46" i="2" a="1"/>
  <c r="H46" i="2" s="1"/>
  <c r="H86" i="2" a="1"/>
  <c r="H86" i="2" s="1"/>
  <c r="H88" i="2" a="1"/>
  <c r="H88" i="2" s="1"/>
  <c r="I103" i="2" a="1"/>
  <c r="I103" i="2" s="1"/>
  <c r="H111" i="2" a="1"/>
  <c r="H111" i="2" s="1"/>
  <c r="H119" i="2" a="1"/>
  <c r="H119" i="2" s="1"/>
  <c r="H127" i="2" a="1"/>
  <c r="H127" i="2" s="1"/>
  <c r="I135" i="2" a="1"/>
  <c r="I135" i="2" s="1"/>
  <c r="H143" i="2" a="1"/>
  <c r="H143" i="2" s="1"/>
  <c r="H151" i="2" a="1"/>
  <c r="H151" i="2" s="1"/>
  <c r="I28" i="2" a="1"/>
  <c r="I28" i="2" s="1"/>
  <c r="H14" i="2" a="1"/>
  <c r="H14" i="2" s="1"/>
  <c r="H6" i="2" a="1"/>
  <c r="H6" i="2" s="1"/>
  <c r="H115" i="2" a="1"/>
  <c r="H115" i="2" s="1"/>
  <c r="H101" i="2" a="1"/>
  <c r="H101" i="2" s="1"/>
  <c r="H112" i="2" a="1"/>
  <c r="H112" i="2" s="1"/>
  <c r="H50" i="2" a="1"/>
  <c r="H50" i="2" s="1"/>
  <c r="H92" i="2" a="1"/>
  <c r="H92" i="2" s="1"/>
  <c r="H120" i="2" a="1"/>
  <c r="H120" i="2" s="1"/>
  <c r="H128" i="2" a="1"/>
  <c r="H128" i="2" s="1"/>
  <c r="H71" i="2" a="1"/>
  <c r="H71" i="2" s="1"/>
  <c r="H2" i="2" a="1"/>
  <c r="H2" i="2" s="1"/>
  <c r="H19" i="2" a="1"/>
  <c r="H19" i="2" s="1"/>
  <c r="H147" i="2" a="1"/>
  <c r="H147" i="2" s="1"/>
  <c r="H145" i="2" a="1"/>
  <c r="H145" i="2" s="1"/>
  <c r="H138" i="2" a="1"/>
  <c r="H138" i="2" s="1"/>
  <c r="H57" i="2" a="1"/>
  <c r="H57" i="2" s="1"/>
  <c r="H96" i="2" a="1"/>
  <c r="H96" i="2" s="1"/>
  <c r="H113" i="2" a="1"/>
  <c r="H113" i="2" s="1"/>
  <c r="H64" i="2" a="1"/>
  <c r="H64" i="2" s="1"/>
  <c r="H56" i="2" a="1"/>
  <c r="H56" i="2" s="1"/>
  <c r="H39" i="2" a="1"/>
  <c r="H39" i="2" s="1"/>
  <c r="H31" i="2" a="1"/>
  <c r="H31" i="2" s="1"/>
  <c r="H8" i="2" a="1"/>
  <c r="H8" i="2" s="1"/>
  <c r="H85" i="2" a="1"/>
  <c r="H85" i="2" s="1"/>
  <c r="H76" i="2" a="1"/>
  <c r="H76" i="2" s="1"/>
  <c r="H44" i="2" a="1"/>
  <c r="H44" i="2" s="1"/>
  <c r="H87" i="2" a="1"/>
  <c r="H87" i="2" s="1"/>
  <c r="I106" i="2" a="1"/>
  <c r="I106" i="2" s="1"/>
  <c r="H114" i="2" a="1"/>
  <c r="H114" i="2" s="1"/>
  <c r="H122" i="2" a="1"/>
  <c r="H122" i="2" s="1"/>
  <c r="I130" i="2" a="1"/>
  <c r="I130" i="2" s="1"/>
  <c r="I138" i="2" a="1"/>
  <c r="I138" i="2" s="1"/>
  <c r="H146" i="2" a="1"/>
  <c r="H146" i="2" s="1"/>
  <c r="I41" i="2" a="1"/>
  <c r="I41" i="2" s="1"/>
  <c r="I17" i="2" a="1"/>
  <c r="I17" i="2" s="1"/>
  <c r="I5" i="2" a="1"/>
  <c r="I5" i="2" s="1"/>
  <c r="H3" i="2" a="1"/>
  <c r="H3" i="2" s="1"/>
  <c r="H51" i="2" a="1"/>
  <c r="H51" i="2" s="1"/>
  <c r="H28" i="2" a="1"/>
  <c r="H28" i="2" s="1"/>
  <c r="H10" i="2" a="1"/>
  <c r="H10" i="2" s="1"/>
  <c r="H149" i="2" a="1"/>
  <c r="H149" i="2" s="1"/>
  <c r="H53" i="2" a="1"/>
  <c r="H53" i="2" s="1"/>
  <c r="I79" i="2" a="1"/>
  <c r="I79" i="2" s="1"/>
  <c r="I111" i="2" a="1"/>
  <c r="I111" i="2" s="1"/>
  <c r="I143" i="2" a="1"/>
  <c r="I143" i="2" s="1"/>
  <c r="I76" i="2" a="1"/>
  <c r="I76" i="2" s="1"/>
  <c r="I109" i="2" a="1"/>
  <c r="I109" i="2" s="1"/>
  <c r="I13" i="2" a="1"/>
  <c r="I13" i="2" s="1"/>
  <c r="I45" i="2" a="1"/>
  <c r="I45" i="2" s="1"/>
  <c r="I77" i="2" a="1"/>
  <c r="I77" i="2" s="1"/>
  <c r="I6" i="2" a="1"/>
  <c r="I6" i="2" s="1"/>
  <c r="I38" i="2" a="1"/>
  <c r="I38" i="2" s="1"/>
  <c r="I70" i="2" a="1"/>
  <c r="I70" i="2" s="1"/>
  <c r="I102" i="2" a="1"/>
  <c r="I102" i="2" s="1"/>
  <c r="I134" i="2" a="1"/>
  <c r="I134" i="2" s="1"/>
  <c r="I133" i="2" a="1"/>
  <c r="I133" i="2" s="1"/>
  <c r="H60" i="2" a="1"/>
  <c r="H60" i="2" s="1"/>
  <c r="H66" i="2" a="1"/>
  <c r="H66" i="2" s="1"/>
  <c r="I15" i="2" a="1"/>
  <c r="I15" i="2" s="1"/>
  <c r="I47" i="2" a="1"/>
  <c r="I47" i="2" s="1"/>
  <c r="H144" i="2" a="1"/>
  <c r="H144" i="2" s="1"/>
  <c r="I32" i="2" a="1"/>
  <c r="I32" i="2" s="1"/>
  <c r="I116" i="2" a="1"/>
  <c r="I116" i="2" s="1"/>
  <c r="F23" i="2" a="1"/>
  <c r="F23" i="2" s="1"/>
  <c r="G31" i="2" a="1"/>
  <c r="G31" i="2" s="1"/>
  <c r="G39" i="2" a="1"/>
  <c r="G39" i="2" s="1"/>
  <c r="H23" i="2" a="1"/>
  <c r="H23" i="2" s="1"/>
  <c r="H21" i="2" a="1"/>
  <c r="H21" i="2" s="1"/>
  <c r="H49" i="2" a="1"/>
  <c r="H49" i="2" s="1"/>
  <c r="I51" i="2" a="1"/>
  <c r="I51" i="2" s="1"/>
  <c r="I80" i="2" a="1"/>
  <c r="I80" i="2" s="1"/>
  <c r="I132" i="2" a="1"/>
  <c r="I132" i="2" s="1"/>
  <c r="I124" i="2" a="1"/>
  <c r="I124" i="2" s="1"/>
  <c r="I2" i="2" a="1"/>
  <c r="I2" i="2" s="1"/>
  <c r="I81" i="2" a="1"/>
  <c r="I81" i="2" s="1"/>
  <c r="I42" i="2" a="1"/>
  <c r="I42" i="2" s="1"/>
  <c r="H27" i="2" a="1"/>
  <c r="H27" i="2" s="1"/>
  <c r="H123" i="2" a="1"/>
  <c r="H123" i="2" s="1"/>
  <c r="I4" i="2" a="1"/>
  <c r="I4" i="2" s="1"/>
  <c r="I52" i="2" a="1"/>
  <c r="I52" i="2" s="1"/>
  <c r="I110" i="2" a="1"/>
  <c r="I110" i="2" s="1"/>
  <c r="I50" i="2" a="1"/>
  <c r="I50" i="2" s="1"/>
  <c r="I119" i="2" a="1"/>
  <c r="I119" i="2" s="1"/>
  <c r="I140" i="2" a="1"/>
  <c r="I140" i="2" s="1"/>
  <c r="I89" i="2" a="1"/>
  <c r="I89" i="2" s="1"/>
  <c r="I3" i="2" a="1"/>
  <c r="I3" i="2" s="1"/>
  <c r="I44" i="2" a="1"/>
  <c r="I44" i="2" s="1"/>
  <c r="H72" i="2" a="1"/>
  <c r="H72" i="2" s="1"/>
  <c r="F91" i="2" a="1"/>
  <c r="F91" i="2" s="1"/>
  <c r="H35" i="2" a="1"/>
  <c r="H35" i="2" s="1"/>
  <c r="H67" i="2" a="1"/>
  <c r="H67" i="2" s="1"/>
  <c r="H99" i="2" a="1"/>
  <c r="H99" i="2" s="1"/>
  <c r="H131" i="2" a="1"/>
  <c r="H131" i="2" s="1"/>
  <c r="H12" i="2" a="1"/>
  <c r="H12" i="2" s="1"/>
  <c r="H48" i="2" a="1"/>
  <c r="H48" i="2" s="1"/>
  <c r="H33" i="2" a="1"/>
  <c r="H33" i="2" s="1"/>
  <c r="H69" i="2" a="1"/>
  <c r="H69" i="2" s="1"/>
  <c r="H117" i="2" a="1"/>
  <c r="H117" i="2" s="1"/>
  <c r="H105" i="2" a="1"/>
  <c r="H105" i="2" s="1"/>
  <c r="H18" i="2" a="1"/>
  <c r="H18" i="2" s="1"/>
  <c r="H82" i="2" a="1"/>
  <c r="H82" i="2" s="1"/>
  <c r="I63" i="2" a="1"/>
  <c r="I63" i="2" s="1"/>
  <c r="I127" i="2" a="1"/>
  <c r="I127" i="2" s="1"/>
  <c r="H108" i="2" a="1"/>
  <c r="H108" i="2" s="1"/>
  <c r="I100" i="2" a="1"/>
  <c r="I100" i="2" s="1"/>
  <c r="H84" i="2" a="1"/>
  <c r="H84" i="2" s="1"/>
  <c r="I29" i="2" a="1"/>
  <c r="I29" i="2" s="1"/>
  <c r="I113" i="2" a="1"/>
  <c r="I113" i="2" s="1"/>
  <c r="I22" i="2" a="1"/>
  <c r="I22" i="2" s="1"/>
  <c r="I54" i="2" a="1"/>
  <c r="I54" i="2" s="1"/>
  <c r="I86" i="2" a="1"/>
  <c r="I86" i="2" s="1"/>
  <c r="I118" i="2" a="1"/>
  <c r="I118" i="2" s="1"/>
  <c r="I150" i="2" a="1"/>
  <c r="I150" i="2" s="1"/>
  <c r="I23" i="2" a="1"/>
  <c r="I23" i="2" s="1"/>
  <c r="I151" i="2" a="1"/>
  <c r="I151" i="2" s="1"/>
  <c r="I136" i="2" a="1"/>
  <c r="I136" i="2" s="1"/>
  <c r="I46" i="2" a="1"/>
  <c r="I46" i="2" s="1"/>
  <c r="I142" i="2" a="1"/>
  <c r="I142" i="2" s="1"/>
  <c r="I148" i="2" a="1"/>
  <c r="I148" i="2" s="1"/>
  <c r="H7" i="2" a="1"/>
  <c r="H7" i="2" s="1"/>
  <c r="H103" i="2" a="1"/>
  <c r="H103" i="2" s="1"/>
  <c r="H135" i="2" a="1"/>
  <c r="H135" i="2" s="1"/>
  <c r="H16" i="2" a="1"/>
  <c r="H16" i="2" s="1"/>
  <c r="H5" i="2" a="1"/>
  <c r="H5" i="2" s="1"/>
  <c r="H37" i="2" a="1"/>
  <c r="H37" i="2" s="1"/>
  <c r="H73" i="2" a="1"/>
  <c r="H73" i="2" s="1"/>
  <c r="I35" i="2" a="1"/>
  <c r="I35" i="2" s="1"/>
  <c r="I99" i="2" a="1"/>
  <c r="I99" i="2" s="1"/>
  <c r="I56" i="2" a="1"/>
  <c r="I56" i="2" s="1"/>
  <c r="I26" i="2" a="1"/>
  <c r="I26" i="2" s="1"/>
  <c r="I58" i="2" a="1"/>
  <c r="I58" i="2" s="1"/>
  <c r="I122" i="2" a="1"/>
  <c r="I122" i="2" s="1"/>
  <c r="H68" i="2" a="1"/>
  <c r="H68" i="2" s="1"/>
  <c r="H104" i="2" a="1"/>
  <c r="H104" i="2" s="1"/>
  <c r="I87" i="2" a="1"/>
  <c r="I87" i="2" s="1"/>
  <c r="I40" i="2" a="1"/>
  <c r="I40" i="2" s="1"/>
  <c r="I85" i="2" a="1"/>
  <c r="I85" i="2" s="1"/>
  <c r="I125" i="2" a="1"/>
  <c r="I125" i="2" s="1"/>
  <c r="I91" i="2" a="1"/>
  <c r="I91" i="2" s="1"/>
  <c r="I8" i="2" a="1"/>
  <c r="I8" i="2" s="1"/>
  <c r="I57" i="2" a="1"/>
  <c r="I57" i="2" s="1"/>
  <c r="I101" i="2" a="1"/>
  <c r="I101" i="2" s="1"/>
  <c r="I146" i="2" a="1"/>
  <c r="I146" i="2" s="1"/>
  <c r="H11" i="2" a="1"/>
  <c r="H11" i="2" s="1"/>
  <c r="H43" i="2" a="1"/>
  <c r="H43" i="2" s="1"/>
  <c r="H75" i="2" a="1"/>
  <c r="H75" i="2" s="1"/>
  <c r="H107" i="2" a="1"/>
  <c r="H107" i="2" s="1"/>
  <c r="H139" i="2" a="1"/>
  <c r="H139" i="2" s="1"/>
  <c r="H9" i="2" a="1"/>
  <c r="H9" i="2" s="1"/>
  <c r="H41" i="2" a="1"/>
  <c r="H41" i="2" s="1"/>
  <c r="H129" i="2" a="1"/>
  <c r="H129" i="2" s="1"/>
  <c r="H121" i="2" a="1"/>
  <c r="H121" i="2" s="1"/>
  <c r="H90" i="2" a="1"/>
  <c r="H90" i="2" s="1"/>
  <c r="I39" i="2" a="1"/>
  <c r="I39" i="2" s="1"/>
  <c r="I71" i="2" a="1"/>
  <c r="I71" i="2" s="1"/>
  <c r="I96" i="2" a="1"/>
  <c r="I96" i="2" s="1"/>
  <c r="I30" i="2" a="1"/>
  <c r="I30" i="2" s="1"/>
  <c r="I62" i="2" a="1"/>
  <c r="I62" i="2" s="1"/>
  <c r="I126" i="2" a="1"/>
  <c r="I126" i="2" s="1"/>
  <c r="I78" i="2" a="1"/>
  <c r="I78" i="2" s="1"/>
  <c r="I59" i="2" a="1"/>
  <c r="I59" i="2" s="1"/>
  <c r="H137" i="2" a="1"/>
  <c r="H137" i="2" s="1"/>
  <c r="H133" i="2" a="1"/>
  <c r="H133" i="2" s="1"/>
  <c r="H94" i="2" a="1"/>
  <c r="H94" i="2" s="1"/>
  <c r="I120" i="2" a="1"/>
  <c r="I120" i="2" s="1"/>
  <c r="F39" i="2" a="1"/>
  <c r="F39" i="2" s="1"/>
  <c r="G91" i="2" a="1"/>
  <c r="G91" i="2" s="1"/>
  <c r="F5" i="2" a="1"/>
  <c r="F5" i="2" s="1"/>
  <c r="G15" i="2" a="1"/>
  <c r="G15" i="2" s="1"/>
  <c r="F14" i="2" a="1"/>
  <c r="F14" i="2" s="1"/>
  <c r="G23" i="2" a="1"/>
  <c r="G23" i="2" s="1"/>
  <c r="F4" i="2" a="1"/>
  <c r="F4" i="2" s="1"/>
  <c r="F75" i="2" a="1"/>
  <c r="F75" i="2" s="1"/>
  <c r="F31" i="2" a="1"/>
  <c r="F31" i="2" s="1"/>
  <c r="F19" i="2" a="1"/>
  <c r="F19" i="2" s="1"/>
  <c r="G27" i="2" a="1"/>
  <c r="G27" i="2" s="1"/>
  <c r="G35" i="2" a="1"/>
  <c r="G35" i="2" s="1"/>
  <c r="G14" i="2" a="1"/>
  <c r="G14" i="2" s="1"/>
  <c r="G5" i="2" a="1"/>
  <c r="G5" i="2" s="1"/>
  <c r="G75" i="2" a="1"/>
  <c r="G75" i="2" s="1"/>
  <c r="G3" i="2" a="1"/>
  <c r="G3" i="2" s="1"/>
  <c r="F61" i="2" a="1"/>
  <c r="F61" i="2" s="1"/>
  <c r="G61" i="2" a="1"/>
  <c r="G61" i="2" s="1"/>
  <c r="G86" i="2" a="1"/>
  <c r="G86" i="2" s="1"/>
  <c r="F86" i="2" a="1"/>
  <c r="F86" i="2" s="1"/>
  <c r="G111" i="2" a="1"/>
  <c r="G111" i="2" s="1"/>
  <c r="F111" i="2" a="1"/>
  <c r="F111" i="2" s="1"/>
  <c r="G119" i="2" a="1"/>
  <c r="G119" i="2" s="1"/>
  <c r="F119" i="2" a="1"/>
  <c r="F119" i="2" s="1"/>
  <c r="G34" i="2" a="1"/>
  <c r="G34" i="2" s="1"/>
  <c r="F34" i="2" a="1"/>
  <c r="F34" i="2" s="1"/>
  <c r="G4" i="2" a="1"/>
  <c r="G4" i="2" s="1"/>
  <c r="G79" i="2" a="1"/>
  <c r="G79" i="2" s="1"/>
  <c r="F79" i="2" a="1"/>
  <c r="F79" i="2" s="1"/>
  <c r="G50" i="2" a="1"/>
  <c r="G50" i="2" s="1"/>
  <c r="F50" i="2" a="1"/>
  <c r="F50" i="2" s="1"/>
  <c r="F90" i="2" a="1"/>
  <c r="F90" i="2" s="1"/>
  <c r="G90" i="2" a="1"/>
  <c r="G90" i="2" s="1"/>
  <c r="F92" i="2" a="1"/>
  <c r="F92" i="2" s="1"/>
  <c r="G92" i="2" a="1"/>
  <c r="G92" i="2" s="1"/>
  <c r="G104" i="2" a="1"/>
  <c r="G104" i="2" s="1"/>
  <c r="F104" i="2" a="1"/>
  <c r="F104" i="2" s="1"/>
  <c r="G112" i="2" a="1"/>
  <c r="G112" i="2" s="1"/>
  <c r="F112" i="2" a="1"/>
  <c r="F112" i="2" s="1"/>
  <c r="G120" i="2" a="1"/>
  <c r="G120" i="2" s="1"/>
  <c r="F120" i="2" a="1"/>
  <c r="F120" i="2" s="1"/>
  <c r="G128" i="2" a="1"/>
  <c r="G128" i="2" s="1"/>
  <c r="F128" i="2" a="1"/>
  <c r="F128" i="2" s="1"/>
  <c r="G136" i="2" a="1"/>
  <c r="G136" i="2" s="1"/>
  <c r="F136" i="2" a="1"/>
  <c r="F136" i="2" s="1"/>
  <c r="F144" i="2" a="1"/>
  <c r="F144" i="2" s="1"/>
  <c r="G144" i="2" a="1"/>
  <c r="G144" i="2" s="1"/>
  <c r="F71" i="2" a="1"/>
  <c r="F71" i="2" s="1"/>
  <c r="G71" i="2" a="1"/>
  <c r="G71" i="2" s="1"/>
  <c r="G28" i="2" a="1"/>
  <c r="G28" i="2" s="1"/>
  <c r="F28" i="2" a="1"/>
  <c r="F28" i="2" s="1"/>
  <c r="G19" i="2" a="1"/>
  <c r="G19" i="2" s="1"/>
  <c r="G30" i="2" a="1"/>
  <c r="G30" i="2" s="1"/>
  <c r="F30" i="2" a="1"/>
  <c r="F30" i="2" s="1"/>
  <c r="F3" i="2" a="1"/>
  <c r="F3" i="2" s="1"/>
  <c r="G33" i="2" a="1"/>
  <c r="G33" i="2" s="1"/>
  <c r="F33" i="2" a="1"/>
  <c r="F33" i="2" s="1"/>
  <c r="G8" i="2" a="1"/>
  <c r="G8" i="2" s="1"/>
  <c r="F8" i="2" a="1"/>
  <c r="F8" i="2" s="1"/>
  <c r="G95" i="2" a="1"/>
  <c r="G95" i="2" s="1"/>
  <c r="F95" i="2" a="1"/>
  <c r="F95" i="2" s="1"/>
  <c r="F85" i="2" a="1"/>
  <c r="F85" i="2" s="1"/>
  <c r="G85" i="2" a="1"/>
  <c r="G85" i="2" s="1"/>
  <c r="F57" i="2" a="1"/>
  <c r="F57" i="2" s="1"/>
  <c r="G57" i="2" a="1"/>
  <c r="G57" i="2" s="1"/>
  <c r="F59" i="2" a="1"/>
  <c r="F59" i="2" s="1"/>
  <c r="G59" i="2" a="1"/>
  <c r="G59" i="2" s="1"/>
  <c r="G94" i="2" a="1"/>
  <c r="G94" i="2" s="1"/>
  <c r="F94" i="2" a="1"/>
  <c r="F94" i="2" s="1"/>
  <c r="G96" i="2" a="1"/>
  <c r="G96" i="2" s="1"/>
  <c r="F96" i="2" a="1"/>
  <c r="F96" i="2" s="1"/>
  <c r="F105" i="2" a="1"/>
  <c r="F105" i="2" s="1"/>
  <c r="G105" i="2" a="1"/>
  <c r="G105" i="2" s="1"/>
  <c r="F113" i="2" a="1"/>
  <c r="F113" i="2" s="1"/>
  <c r="G113" i="2" a="1"/>
  <c r="G113" i="2" s="1"/>
  <c r="F121" i="2" a="1"/>
  <c r="F121" i="2" s="1"/>
  <c r="G121" i="2" a="1"/>
  <c r="G121" i="2" s="1"/>
  <c r="F129" i="2" a="1"/>
  <c r="F129" i="2" s="1"/>
  <c r="G129" i="2" a="1"/>
  <c r="G129" i="2" s="1"/>
  <c r="F137" i="2" a="1"/>
  <c r="F137" i="2" s="1"/>
  <c r="G137" i="2" a="1"/>
  <c r="G137" i="2" s="1"/>
  <c r="F145" i="2" a="1"/>
  <c r="F145" i="2" s="1"/>
  <c r="G145" i="2" a="1"/>
  <c r="G145" i="2" s="1"/>
  <c r="F64" i="2" a="1"/>
  <c r="F64" i="2" s="1"/>
  <c r="G64" i="2" a="1"/>
  <c r="G64" i="2" s="1"/>
  <c r="G24" i="2" a="1"/>
  <c r="G24" i="2" s="1"/>
  <c r="F24" i="2" a="1"/>
  <c r="F24" i="2" s="1"/>
  <c r="G6" i="2" a="1"/>
  <c r="G6" i="2" s="1"/>
  <c r="G38" i="2" a="1"/>
  <c r="G38" i="2" s="1"/>
  <c r="F38" i="2" a="1"/>
  <c r="F38" i="2" s="1"/>
  <c r="F151" i="2" a="1"/>
  <c r="F151" i="2" s="1"/>
  <c r="G151" i="2" a="1"/>
  <c r="G151" i="2" s="1"/>
  <c r="F2" i="2" a="1"/>
  <c r="F2" i="2" s="1"/>
  <c r="G2" i="2" a="1"/>
  <c r="G2" i="2" s="1"/>
  <c r="G26" i="2" a="1"/>
  <c r="G26" i="2" s="1"/>
  <c r="F26" i="2" a="1"/>
  <c r="F26" i="2" s="1"/>
  <c r="G9" i="2" a="1"/>
  <c r="G9" i="2" s="1"/>
  <c r="F9" i="2" a="1"/>
  <c r="F9" i="2" s="1"/>
  <c r="G44" i="2" a="1"/>
  <c r="G44" i="2" s="1"/>
  <c r="F44" i="2" a="1"/>
  <c r="F44" i="2" s="1"/>
  <c r="G87" i="2" a="1"/>
  <c r="G87" i="2" s="1"/>
  <c r="F87" i="2" a="1"/>
  <c r="F87" i="2" s="1"/>
  <c r="F65" i="2" a="1"/>
  <c r="F65" i="2" s="1"/>
  <c r="G65" i="2" a="1"/>
  <c r="G65" i="2" s="1"/>
  <c r="F67" i="2" a="1"/>
  <c r="F67" i="2" s="1"/>
  <c r="G67" i="2" a="1"/>
  <c r="G67" i="2" s="1"/>
  <c r="G73" i="2" a="1"/>
  <c r="G73" i="2" s="1"/>
  <c r="F73" i="2" a="1"/>
  <c r="F73" i="2" s="1"/>
  <c r="F98" i="2" a="1"/>
  <c r="F98" i="2" s="1"/>
  <c r="G98" i="2" a="1"/>
  <c r="G98" i="2" s="1"/>
  <c r="F106" i="2" a="1"/>
  <c r="F106" i="2" s="1"/>
  <c r="G106" i="2" a="1"/>
  <c r="G106" i="2" s="1"/>
  <c r="F114" i="2" a="1"/>
  <c r="F114" i="2" s="1"/>
  <c r="G114" i="2" a="1"/>
  <c r="G114" i="2" s="1"/>
  <c r="F122" i="2" a="1"/>
  <c r="F122" i="2" s="1"/>
  <c r="G122" i="2" a="1"/>
  <c r="G122" i="2" s="1"/>
  <c r="F130" i="2" a="1"/>
  <c r="F130" i="2" s="1"/>
  <c r="G130" i="2" a="1"/>
  <c r="G130" i="2" s="1"/>
  <c r="F138" i="2" a="1"/>
  <c r="F138" i="2" s="1"/>
  <c r="G138" i="2" a="1"/>
  <c r="G138" i="2" s="1"/>
  <c r="F146" i="2" a="1"/>
  <c r="F146" i="2" s="1"/>
  <c r="G146" i="2" a="1"/>
  <c r="G146" i="2" s="1"/>
  <c r="G41" i="2" a="1"/>
  <c r="G41" i="2" s="1"/>
  <c r="F41" i="2" a="1"/>
  <c r="F41" i="2" s="1"/>
  <c r="G20" i="2" a="1"/>
  <c r="G20" i="2" s="1"/>
  <c r="F20" i="2" a="1"/>
  <c r="F20" i="2" s="1"/>
  <c r="F56" i="2" a="1"/>
  <c r="F56" i="2" s="1"/>
  <c r="G56" i="2" a="1"/>
  <c r="G56" i="2" s="1"/>
  <c r="G7" i="2" a="1"/>
  <c r="G7" i="2" s="1"/>
  <c r="F7" i="2" a="1"/>
  <c r="F7" i="2" s="1"/>
  <c r="G68" i="2" a="1"/>
  <c r="G68" i="2" s="1"/>
  <c r="F68" i="2" a="1"/>
  <c r="F68" i="2" s="1"/>
  <c r="G46" i="2" a="1"/>
  <c r="G46" i="2" s="1"/>
  <c r="F46" i="2" a="1"/>
  <c r="F46" i="2" s="1"/>
  <c r="G103" i="2" a="1"/>
  <c r="G103" i="2" s="1"/>
  <c r="F103" i="2" a="1"/>
  <c r="F103" i="2" s="1"/>
  <c r="G127" i="2" a="1"/>
  <c r="G127" i="2" s="1"/>
  <c r="F127" i="2" a="1"/>
  <c r="F127" i="2" s="1"/>
  <c r="G32" i="2" a="1"/>
  <c r="G32" i="2" s="1"/>
  <c r="F32" i="2" a="1"/>
  <c r="F32" i="2" s="1"/>
  <c r="F97" i="2" a="1"/>
  <c r="F97" i="2" s="1"/>
  <c r="G97" i="2" a="1"/>
  <c r="G97" i="2" s="1"/>
  <c r="F51" i="2" a="1"/>
  <c r="F51" i="2" s="1"/>
  <c r="G51" i="2" a="1"/>
  <c r="G51" i="2" s="1"/>
  <c r="F35" i="2" a="1"/>
  <c r="F35" i="2" s="1"/>
  <c r="G22" i="2" a="1"/>
  <c r="G22" i="2" s="1"/>
  <c r="F22" i="2" a="1"/>
  <c r="F22" i="2" s="1"/>
  <c r="G25" i="2" a="1"/>
  <c r="G25" i="2" s="1"/>
  <c r="F25" i="2" a="1"/>
  <c r="F25" i="2" s="1"/>
  <c r="G40" i="2" a="1"/>
  <c r="G40" i="2" s="1"/>
  <c r="F40" i="2" a="1"/>
  <c r="F40" i="2" s="1"/>
  <c r="G48" i="2" a="1"/>
  <c r="G48" i="2" s="1"/>
  <c r="F48" i="2" a="1"/>
  <c r="F48" i="2" s="1"/>
  <c r="F60" i="2" a="1"/>
  <c r="F60" i="2" s="1"/>
  <c r="G60" i="2" a="1"/>
  <c r="G60" i="2" s="1"/>
  <c r="F54" i="2" a="1"/>
  <c r="F54" i="2" s="1"/>
  <c r="G54" i="2" a="1"/>
  <c r="G54" i="2" s="1"/>
  <c r="G69" i="2" a="1"/>
  <c r="G69" i="2" s="1"/>
  <c r="F69" i="2" a="1"/>
  <c r="F69" i="2" s="1"/>
  <c r="G81" i="2" a="1"/>
  <c r="G81" i="2" s="1"/>
  <c r="F81" i="2" a="1"/>
  <c r="F81" i="2" s="1"/>
  <c r="G99" i="2" a="1"/>
  <c r="G99" i="2" s="1"/>
  <c r="F99" i="2" a="1"/>
  <c r="F99" i="2" s="1"/>
  <c r="F107" i="2" a="1"/>
  <c r="F107" i="2" s="1"/>
  <c r="G107" i="2" a="1"/>
  <c r="G107" i="2" s="1"/>
  <c r="F115" i="2" a="1"/>
  <c r="F115" i="2" s="1"/>
  <c r="G115" i="2" a="1"/>
  <c r="G115" i="2" s="1"/>
  <c r="F123" i="2" a="1"/>
  <c r="F123" i="2" s="1"/>
  <c r="G123" i="2" a="1"/>
  <c r="G123" i="2" s="1"/>
  <c r="F131" i="2" a="1"/>
  <c r="F131" i="2" s="1"/>
  <c r="G131" i="2" a="1"/>
  <c r="G131" i="2" s="1"/>
  <c r="F139" i="2" a="1"/>
  <c r="F139" i="2" s="1"/>
  <c r="G139" i="2" a="1"/>
  <c r="G139" i="2" s="1"/>
  <c r="F147" i="2" a="1"/>
  <c r="F147" i="2" s="1"/>
  <c r="G147" i="2" a="1"/>
  <c r="G147" i="2" s="1"/>
  <c r="F15" i="2" a="1"/>
  <c r="F15" i="2" s="1"/>
  <c r="F17" i="2" a="1"/>
  <c r="F17" i="2" s="1"/>
  <c r="G17" i="2" a="1"/>
  <c r="G17" i="2" s="1"/>
  <c r="F77" i="2" a="1"/>
  <c r="F77" i="2" s="1"/>
  <c r="G88" i="2" a="1"/>
  <c r="G88" i="2" s="1"/>
  <c r="F88" i="2" a="1"/>
  <c r="F88" i="2" s="1"/>
  <c r="F93" i="2" a="1"/>
  <c r="F93" i="2" s="1"/>
  <c r="G93" i="2" a="1"/>
  <c r="G93" i="2" s="1"/>
  <c r="G29" i="2" a="1"/>
  <c r="G29" i="2" s="1"/>
  <c r="F29" i="2" a="1"/>
  <c r="F29" i="2" s="1"/>
  <c r="F16" i="2" a="1"/>
  <c r="F16" i="2" s="1"/>
  <c r="G16" i="2" a="1"/>
  <c r="G16" i="2" s="1"/>
  <c r="F27" i="2" a="1"/>
  <c r="F27" i="2" s="1"/>
  <c r="G21" i="2" a="1"/>
  <c r="G21" i="2" s="1"/>
  <c r="F21" i="2" a="1"/>
  <c r="F21" i="2" s="1"/>
  <c r="G45" i="2" a="1"/>
  <c r="G45" i="2" s="1"/>
  <c r="F45" i="2" a="1"/>
  <c r="F45" i="2" s="1"/>
  <c r="G52" i="2" a="1"/>
  <c r="G52" i="2" s="1"/>
  <c r="F52" i="2" a="1"/>
  <c r="F52" i="2" s="1"/>
  <c r="F72" i="2" a="1"/>
  <c r="F72" i="2" s="1"/>
  <c r="G72" i="2" a="1"/>
  <c r="G72" i="2" s="1"/>
  <c r="F62" i="2" a="1"/>
  <c r="F62" i="2" s="1"/>
  <c r="G62" i="2" a="1"/>
  <c r="G62" i="2" s="1"/>
  <c r="F80" i="2" a="1"/>
  <c r="F80" i="2" s="1"/>
  <c r="G80" i="2" a="1"/>
  <c r="G80" i="2" s="1"/>
  <c r="G70" i="2" a="1"/>
  <c r="G70" i="2" s="1"/>
  <c r="F70" i="2" a="1"/>
  <c r="F70" i="2" s="1"/>
  <c r="G100" i="2" a="1"/>
  <c r="G100" i="2" s="1"/>
  <c r="F100" i="2" a="1"/>
  <c r="F100" i="2" s="1"/>
  <c r="G108" i="2" a="1"/>
  <c r="G108" i="2" s="1"/>
  <c r="F108" i="2" a="1"/>
  <c r="F108" i="2" s="1"/>
  <c r="G116" i="2" a="1"/>
  <c r="G116" i="2" s="1"/>
  <c r="F116" i="2" a="1"/>
  <c r="F116" i="2" s="1"/>
  <c r="G124" i="2" a="1"/>
  <c r="G124" i="2" s="1"/>
  <c r="F124" i="2" a="1"/>
  <c r="F124" i="2" s="1"/>
  <c r="G132" i="2" a="1"/>
  <c r="G132" i="2" s="1"/>
  <c r="F132" i="2" a="1"/>
  <c r="F132" i="2" s="1"/>
  <c r="F140" i="2" a="1"/>
  <c r="F140" i="2" s="1"/>
  <c r="G140" i="2" a="1"/>
  <c r="G140" i="2" s="1"/>
  <c r="F148" i="2" a="1"/>
  <c r="F148" i="2" s="1"/>
  <c r="G148" i="2" a="1"/>
  <c r="G148" i="2" s="1"/>
  <c r="F12" i="2" a="1"/>
  <c r="F12" i="2" s="1"/>
  <c r="G12" i="2" a="1"/>
  <c r="G12" i="2" s="1"/>
  <c r="F13" i="2" a="1"/>
  <c r="F13" i="2" s="1"/>
  <c r="G13" i="2" a="1"/>
  <c r="G13" i="2" s="1"/>
  <c r="G135" i="2" a="1"/>
  <c r="G135" i="2" s="1"/>
  <c r="F135" i="2" a="1"/>
  <c r="F135" i="2" s="1"/>
  <c r="F89" i="2" a="1"/>
  <c r="F89" i="2" s="1"/>
  <c r="G89" i="2" a="1"/>
  <c r="G89" i="2" s="1"/>
  <c r="G49" i="2" a="1"/>
  <c r="G49" i="2" s="1"/>
  <c r="F49" i="2" a="1"/>
  <c r="F49" i="2" s="1"/>
  <c r="F55" i="2" a="1"/>
  <c r="F55" i="2" s="1"/>
  <c r="G55" i="2" a="1"/>
  <c r="G55" i="2" s="1"/>
  <c r="G83" i="2" a="1"/>
  <c r="G83" i="2" s="1"/>
  <c r="F83" i="2" a="1"/>
  <c r="F83" i="2" s="1"/>
  <c r="G76" i="2" a="1"/>
  <c r="G76" i="2" s="1"/>
  <c r="F76" i="2" a="1"/>
  <c r="F76" i="2" s="1"/>
  <c r="G74" i="2" a="1"/>
  <c r="G74" i="2" s="1"/>
  <c r="F74" i="2" a="1"/>
  <c r="F74" i="2" s="1"/>
  <c r="G78" i="2" a="1"/>
  <c r="G78" i="2" s="1"/>
  <c r="F78" i="2" a="1"/>
  <c r="F78" i="2" s="1"/>
  <c r="G101" i="2" a="1"/>
  <c r="G101" i="2" s="1"/>
  <c r="F101" i="2" a="1"/>
  <c r="F101" i="2" s="1"/>
  <c r="G109" i="2" a="1"/>
  <c r="G109" i="2" s="1"/>
  <c r="F109" i="2" a="1"/>
  <c r="F109" i="2" s="1"/>
  <c r="G117" i="2" a="1"/>
  <c r="G117" i="2" s="1"/>
  <c r="F117" i="2" a="1"/>
  <c r="F117" i="2" s="1"/>
  <c r="G125" i="2" a="1"/>
  <c r="G125" i="2" s="1"/>
  <c r="F125" i="2" a="1"/>
  <c r="F125" i="2" s="1"/>
  <c r="G133" i="2" a="1"/>
  <c r="G133" i="2" s="1"/>
  <c r="F133" i="2" a="1"/>
  <c r="F133" i="2" s="1"/>
  <c r="F141" i="2" a="1"/>
  <c r="F141" i="2" s="1"/>
  <c r="G141" i="2" a="1"/>
  <c r="G141" i="2" s="1"/>
  <c r="F149" i="2" a="1"/>
  <c r="F149" i="2" s="1"/>
  <c r="G149" i="2" a="1"/>
  <c r="G149" i="2" s="1"/>
  <c r="F10" i="2" a="1"/>
  <c r="F10" i="2" s="1"/>
  <c r="G10" i="2" a="1"/>
  <c r="G10" i="2" s="1"/>
  <c r="F58" i="2" a="1"/>
  <c r="F58" i="2" s="1"/>
  <c r="G58" i="2" a="1"/>
  <c r="G58" i="2" s="1"/>
  <c r="F47" i="2" a="1"/>
  <c r="F47" i="2" s="1"/>
  <c r="G47" i="2" a="1"/>
  <c r="G47" i="2" s="1"/>
  <c r="F143" i="2" a="1"/>
  <c r="F143" i="2" s="1"/>
  <c r="G143" i="2" a="1"/>
  <c r="G143" i="2" s="1"/>
  <c r="G37" i="2" a="1"/>
  <c r="G37" i="2" s="1"/>
  <c r="F37" i="2" a="1"/>
  <c r="F37" i="2" s="1"/>
  <c r="F11" i="2" a="1"/>
  <c r="F11" i="2" s="1"/>
  <c r="G11" i="2" a="1"/>
  <c r="G11" i="2" s="1"/>
  <c r="F18" i="2" a="1"/>
  <c r="F18" i="2" s="1"/>
  <c r="G18" i="2" a="1"/>
  <c r="G18" i="2" s="1"/>
  <c r="F66" i="2" a="1"/>
  <c r="F66" i="2" s="1"/>
  <c r="G66" i="2" a="1"/>
  <c r="G66" i="2" s="1"/>
  <c r="F53" i="2" a="1"/>
  <c r="F53" i="2" s="1"/>
  <c r="G53" i="2" a="1"/>
  <c r="G53" i="2" s="1"/>
  <c r="F63" i="2" a="1"/>
  <c r="F63" i="2" s="1"/>
  <c r="G63" i="2" a="1"/>
  <c r="G63" i="2" s="1"/>
  <c r="F43" i="2" a="1"/>
  <c r="F43" i="2" s="1"/>
  <c r="G43" i="2" a="1"/>
  <c r="G43" i="2" s="1"/>
  <c r="G42" i="2" a="1"/>
  <c r="G42" i="2" s="1"/>
  <c r="F42" i="2" a="1"/>
  <c r="F42" i="2" s="1"/>
  <c r="F82" i="2" a="1"/>
  <c r="F82" i="2" s="1"/>
  <c r="G82" i="2" a="1"/>
  <c r="G82" i="2" s="1"/>
  <c r="F84" i="2" a="1"/>
  <c r="F84" i="2" s="1"/>
  <c r="G84" i="2" a="1"/>
  <c r="G84" i="2" s="1"/>
  <c r="F102" i="2" a="1"/>
  <c r="F102" i="2" s="1"/>
  <c r="G102" i="2" a="1"/>
  <c r="G102" i="2" s="1"/>
  <c r="F110" i="2" a="1"/>
  <c r="F110" i="2" s="1"/>
  <c r="G110" i="2" a="1"/>
  <c r="G110" i="2" s="1"/>
  <c r="G118" i="2" a="1"/>
  <c r="G118" i="2" s="1"/>
  <c r="F118" i="2" a="1"/>
  <c r="F118" i="2" s="1"/>
  <c r="G126" i="2" a="1"/>
  <c r="G126" i="2" s="1"/>
  <c r="F126" i="2" a="1"/>
  <c r="F126" i="2" s="1"/>
  <c r="G134" i="2" a="1"/>
  <c r="G134" i="2" s="1"/>
  <c r="F134" i="2" a="1"/>
  <c r="F134" i="2" s="1"/>
  <c r="F142" i="2" a="1"/>
  <c r="F142" i="2" s="1"/>
  <c r="G142" i="2" a="1"/>
  <c r="G142" i="2" s="1"/>
  <c r="F150" i="2" a="1"/>
  <c r="F150" i="2" s="1"/>
  <c r="G150" i="2" a="1"/>
  <c r="G150" i="2" s="1"/>
  <c r="G36" i="2" a="1"/>
  <c r="G36" i="2" s="1"/>
  <c r="F36" i="2" a="1"/>
  <c r="F36" i="2" s="1"/>
  <c r="J23" i="2" l="1"/>
  <c r="C23" i="2" s="1"/>
  <c r="J91" i="2"/>
  <c r="C91" i="2" s="1"/>
  <c r="J27" i="2"/>
  <c r="C27" i="2" s="1"/>
  <c r="J77" i="2"/>
  <c r="C77" i="2" s="1"/>
  <c r="J99" i="2"/>
  <c r="C99" i="2" s="1"/>
  <c r="J22" i="2"/>
  <c r="C22" i="2" s="1"/>
  <c r="J122" i="2"/>
  <c r="C122" i="2" s="1"/>
  <c r="J151" i="2"/>
  <c r="C151" i="2" s="1"/>
  <c r="J8" i="2"/>
  <c r="C8" i="2" s="1"/>
  <c r="J28" i="2"/>
  <c r="C28" i="2" s="1"/>
  <c r="J128" i="2"/>
  <c r="C128" i="2" s="1"/>
  <c r="J15" i="2"/>
  <c r="C15" i="2" s="1"/>
  <c r="J36" i="2"/>
  <c r="C36" i="2" s="1"/>
  <c r="J126" i="2"/>
  <c r="C126" i="2" s="1"/>
  <c r="J72" i="2"/>
  <c r="C72" i="2" s="1"/>
  <c r="J117" i="2"/>
  <c r="C117" i="2" s="1"/>
  <c r="J74" i="2"/>
  <c r="C74" i="2" s="1"/>
  <c r="J49" i="2"/>
  <c r="C49" i="2" s="1"/>
  <c r="J102" i="2"/>
  <c r="C102" i="2" s="1"/>
  <c r="J43" i="2"/>
  <c r="C43" i="2" s="1"/>
  <c r="J11" i="2"/>
  <c r="C11" i="2" s="1"/>
  <c r="J58" i="2"/>
  <c r="C58" i="2" s="1"/>
  <c r="J140" i="2"/>
  <c r="C140" i="2" s="1"/>
  <c r="J62" i="2"/>
  <c r="C62" i="2" s="1"/>
  <c r="J97" i="2"/>
  <c r="C97" i="2" s="1"/>
  <c r="J130" i="2"/>
  <c r="C130" i="2" s="1"/>
  <c r="J98" i="2"/>
  <c r="C98" i="2" s="1"/>
  <c r="J82" i="2"/>
  <c r="C82" i="2" s="1"/>
  <c r="J10" i="2"/>
  <c r="C10" i="2" s="1"/>
  <c r="J13" i="2"/>
  <c r="C13" i="2" s="1"/>
  <c r="J150" i="2"/>
  <c r="C150" i="2" s="1"/>
  <c r="J53" i="2"/>
  <c r="C53" i="2" s="1"/>
  <c r="J12" i="2"/>
  <c r="C12" i="2" s="1"/>
  <c r="J29" i="2"/>
  <c r="C29" i="2" s="1"/>
  <c r="J17" i="2"/>
  <c r="C17" i="2" s="1"/>
  <c r="J81" i="2"/>
  <c r="C81" i="2" s="1"/>
  <c r="J35" i="2"/>
  <c r="C35" i="2" s="1"/>
  <c r="J146" i="2"/>
  <c r="C146" i="2" s="1"/>
  <c r="J114" i="2"/>
  <c r="C114" i="2" s="1"/>
  <c r="J67" i="2"/>
  <c r="C67" i="2" s="1"/>
  <c r="J33" i="2"/>
  <c r="C33" i="2" s="1"/>
  <c r="J120" i="2"/>
  <c r="C120" i="2" s="1"/>
  <c r="J61" i="2"/>
  <c r="C61" i="2" s="1"/>
  <c r="J93" i="2"/>
  <c r="C93" i="2" s="1"/>
  <c r="J147" i="2"/>
  <c r="C147" i="2" s="1"/>
  <c r="J115" i="2"/>
  <c r="C115" i="2" s="1"/>
  <c r="J129" i="2"/>
  <c r="C129" i="2" s="1"/>
  <c r="J85" i="2"/>
  <c r="C85" i="2" s="1"/>
  <c r="J144" i="2"/>
  <c r="C144" i="2" s="1"/>
  <c r="J88" i="2"/>
  <c r="C88" i="2" s="1"/>
  <c r="J25" i="2"/>
  <c r="C25" i="2" s="1"/>
  <c r="J2" i="2"/>
  <c r="C2" i="2" s="1"/>
  <c r="J94" i="2"/>
  <c r="C94" i="2" s="1"/>
  <c r="J95" i="2"/>
  <c r="C95" i="2" s="1"/>
  <c r="J136" i="2"/>
  <c r="C136" i="2" s="1"/>
  <c r="J104" i="2"/>
  <c r="C104" i="2" s="1"/>
  <c r="J79" i="2"/>
  <c r="C79" i="2" s="1"/>
  <c r="J37" i="2"/>
  <c r="C37" i="2" s="1"/>
  <c r="J125" i="2"/>
  <c r="C125" i="2" s="1"/>
  <c r="J78" i="2"/>
  <c r="C78" i="2" s="1"/>
  <c r="J142" i="2"/>
  <c r="C142" i="2" s="1"/>
  <c r="J110" i="2"/>
  <c r="C110" i="2" s="1"/>
  <c r="J109" i="2"/>
  <c r="C109" i="2" s="1"/>
  <c r="J76" i="2"/>
  <c r="C76" i="2" s="1"/>
  <c r="J116" i="2"/>
  <c r="C116" i="2" s="1"/>
  <c r="J45" i="2"/>
  <c r="C45" i="2" s="1"/>
  <c r="J103" i="2"/>
  <c r="C103" i="2" s="1"/>
  <c r="J26" i="2"/>
  <c r="C26" i="2" s="1"/>
  <c r="J137" i="2"/>
  <c r="C137" i="2" s="1"/>
  <c r="J119" i="2"/>
  <c r="C119" i="2" s="1"/>
  <c r="J75" i="2"/>
  <c r="C75" i="2" s="1"/>
  <c r="J14" i="2"/>
  <c r="C14" i="2" s="1"/>
  <c r="J42" i="2"/>
  <c r="C42" i="2" s="1"/>
  <c r="J55" i="2"/>
  <c r="C55" i="2" s="1"/>
  <c r="J132" i="2"/>
  <c r="C132" i="2" s="1"/>
  <c r="J100" i="2"/>
  <c r="C100" i="2" s="1"/>
  <c r="J139" i="2"/>
  <c r="C139" i="2" s="1"/>
  <c r="J107" i="2"/>
  <c r="C107" i="2" s="1"/>
  <c r="J54" i="2"/>
  <c r="C54" i="2" s="1"/>
  <c r="J32" i="2"/>
  <c r="C32" i="2" s="1"/>
  <c r="J68" i="2"/>
  <c r="C68" i="2" s="1"/>
  <c r="J41" i="2"/>
  <c r="C41" i="2" s="1"/>
  <c r="J73" i="2"/>
  <c r="C73" i="2" s="1"/>
  <c r="J44" i="2"/>
  <c r="C44" i="2" s="1"/>
  <c r="J64" i="2"/>
  <c r="C64" i="2" s="1"/>
  <c r="J121" i="2"/>
  <c r="C121" i="2" s="1"/>
  <c r="J86" i="2"/>
  <c r="C86" i="2" s="1"/>
  <c r="J5" i="2"/>
  <c r="C5" i="2" s="1"/>
  <c r="J134" i="2"/>
  <c r="C134" i="2" s="1"/>
  <c r="J66" i="2"/>
  <c r="C66" i="2" s="1"/>
  <c r="J143" i="2"/>
  <c r="C143" i="2" s="1"/>
  <c r="J149" i="2"/>
  <c r="C149" i="2" s="1"/>
  <c r="J124" i="2"/>
  <c r="C124" i="2" s="1"/>
  <c r="J70" i="2"/>
  <c r="C70" i="2" s="1"/>
  <c r="J52" i="2"/>
  <c r="C52" i="2" s="1"/>
  <c r="J16" i="2"/>
  <c r="C16" i="2" s="1"/>
  <c r="J131" i="2"/>
  <c r="C131" i="2" s="1"/>
  <c r="J60" i="2"/>
  <c r="C60" i="2" s="1"/>
  <c r="J127" i="2"/>
  <c r="C127" i="2" s="1"/>
  <c r="J7" i="2"/>
  <c r="C7" i="2" s="1"/>
  <c r="J9" i="2"/>
  <c r="C9" i="2" s="1"/>
  <c r="J38" i="2"/>
  <c r="C38" i="2" s="1"/>
  <c r="J145" i="2"/>
  <c r="C145" i="2" s="1"/>
  <c r="J113" i="2"/>
  <c r="C113" i="2" s="1"/>
  <c r="J59" i="2"/>
  <c r="C59" i="2" s="1"/>
  <c r="J92" i="2"/>
  <c r="C92" i="2" s="1"/>
  <c r="J34" i="2"/>
  <c r="C34" i="2" s="1"/>
  <c r="J19" i="2"/>
  <c r="C19" i="2" s="1"/>
  <c r="J48" i="2"/>
  <c r="C48" i="2" s="1"/>
  <c r="J31" i="2"/>
  <c r="C31" i="2" s="1"/>
  <c r="J39" i="2"/>
  <c r="C39" i="2" s="1"/>
  <c r="J47" i="2"/>
  <c r="C47" i="2" s="1"/>
  <c r="J89" i="2"/>
  <c r="C89" i="2" s="1"/>
  <c r="J123" i="2"/>
  <c r="C123" i="2" s="1"/>
  <c r="J105" i="2"/>
  <c r="C105" i="2" s="1"/>
  <c r="J57" i="2"/>
  <c r="C57" i="2" s="1"/>
  <c r="J71" i="2"/>
  <c r="C71" i="2" s="1"/>
  <c r="J90" i="2"/>
  <c r="C90" i="2" s="1"/>
  <c r="J18" i="2"/>
  <c r="C18" i="2" s="1"/>
  <c r="J141" i="2"/>
  <c r="C141" i="2" s="1"/>
  <c r="J84" i="2"/>
  <c r="C84" i="2" s="1"/>
  <c r="J63" i="2"/>
  <c r="C63" i="2" s="1"/>
  <c r="J133" i="2"/>
  <c r="C133" i="2" s="1"/>
  <c r="J101" i="2"/>
  <c r="C101" i="2" s="1"/>
  <c r="J83" i="2"/>
  <c r="C83" i="2" s="1"/>
  <c r="J135" i="2"/>
  <c r="C135" i="2" s="1"/>
  <c r="J148" i="2"/>
  <c r="C148" i="2" s="1"/>
  <c r="J80" i="2"/>
  <c r="C80" i="2" s="1"/>
  <c r="J69" i="2"/>
  <c r="C69" i="2" s="1"/>
  <c r="J40" i="2"/>
  <c r="C40" i="2" s="1"/>
  <c r="J51" i="2"/>
  <c r="C51" i="2" s="1"/>
  <c r="J56" i="2"/>
  <c r="C56" i="2" s="1"/>
  <c r="J138" i="2"/>
  <c r="C138" i="2" s="1"/>
  <c r="J106" i="2"/>
  <c r="C106" i="2" s="1"/>
  <c r="J65" i="2"/>
  <c r="C65" i="2" s="1"/>
  <c r="J24" i="2"/>
  <c r="C24" i="2" s="1"/>
  <c r="J96" i="2"/>
  <c r="C96" i="2" s="1"/>
  <c r="J3" i="2"/>
  <c r="C3" i="2" s="1"/>
  <c r="J112" i="2"/>
  <c r="C112" i="2" s="1"/>
  <c r="J50" i="2"/>
  <c r="C50" i="2" s="1"/>
  <c r="J4" i="2"/>
  <c r="C4" i="2" s="1"/>
  <c r="J6" i="2"/>
  <c r="C6" i="2" s="1"/>
  <c r="J118" i="2"/>
  <c r="C118" i="2" s="1"/>
  <c r="J108" i="2"/>
  <c r="C108" i="2" s="1"/>
  <c r="J21" i="2"/>
  <c r="C21" i="2" s="1"/>
  <c r="J46" i="2"/>
  <c r="C46" i="2" s="1"/>
  <c r="J20" i="2"/>
  <c r="C20" i="2" s="1"/>
  <c r="J87" i="2"/>
  <c r="C87" i="2" s="1"/>
  <c r="J30" i="2"/>
  <c r="C30" i="2" s="1"/>
  <c r="J111" i="2"/>
  <c r="C111" i="2" s="1"/>
  <c r="M14" i="2" l="1"/>
  <c r="N14" i="2"/>
  <c r="N15" i="2"/>
  <c r="M15" i="2"/>
  <c r="M13" i="2"/>
  <c r="M12" i="2"/>
  <c r="P8" i="2"/>
  <c r="P7" i="2"/>
  <c r="P6" i="2"/>
  <c r="P9" i="2"/>
  <c r="N12" i="2"/>
  <c r="N13" i="2"/>
  <c r="G26" i="1"/>
  <c r="G54" i="1"/>
  <c r="G119" i="1"/>
  <c r="G68" i="1"/>
  <c r="G112" i="1"/>
  <c r="G116" i="1"/>
  <c r="G28" i="1"/>
  <c r="G137" i="1"/>
  <c r="G50" i="1"/>
  <c r="G61" i="1"/>
  <c r="G133" i="1"/>
  <c r="G8" i="1"/>
  <c r="G23" i="1"/>
  <c r="G78" i="1"/>
  <c r="G75" i="1"/>
  <c r="G100" i="1"/>
  <c r="G57" i="1"/>
  <c r="G129" i="1"/>
  <c r="G15" i="1"/>
  <c r="G102" i="1"/>
  <c r="G67" i="1"/>
  <c r="G24" i="1"/>
  <c r="G70" i="1"/>
  <c r="G63" i="1"/>
  <c r="G49" i="1"/>
  <c r="G9" i="1"/>
  <c r="G123" i="1"/>
  <c r="G3" i="1"/>
  <c r="G122" i="1"/>
  <c r="G38" i="1"/>
  <c r="G105" i="1"/>
  <c r="G44" i="1"/>
  <c r="G114" i="1"/>
  <c r="G11" i="1"/>
  <c r="G121" i="1"/>
  <c r="G25" i="1"/>
  <c r="G77" i="1"/>
  <c r="G83" i="1"/>
  <c r="G69" i="1"/>
  <c r="G59" i="1"/>
  <c r="G103" i="1"/>
  <c r="G45" i="1"/>
  <c r="G124" i="1"/>
  <c r="G115" i="1"/>
  <c r="G27" i="1"/>
  <c r="G5" i="1"/>
  <c r="G149" i="1"/>
  <c r="G135" i="1"/>
  <c r="G95" i="1"/>
  <c r="G81" i="1"/>
  <c r="G145" i="1"/>
  <c r="G48" i="1"/>
  <c r="G29" i="1"/>
  <c r="G88" i="1"/>
  <c r="G86" i="1"/>
  <c r="G79" i="1"/>
  <c r="G90" i="1"/>
  <c r="G87" i="1"/>
  <c r="G53" i="1"/>
  <c r="G134" i="1"/>
  <c r="G130" i="1"/>
  <c r="G39" i="1"/>
  <c r="G110" i="1"/>
  <c r="G138" i="1"/>
  <c r="G4" i="1"/>
  <c r="G73" i="1"/>
  <c r="G125" i="1"/>
  <c r="G131" i="1"/>
  <c r="G17" i="1"/>
  <c r="G108" i="1"/>
  <c r="G43" i="1"/>
  <c r="G60" i="1"/>
  <c r="G109" i="1"/>
  <c r="G82" i="1"/>
  <c r="G111" i="1"/>
  <c r="G142" i="1"/>
  <c r="G31" i="1"/>
  <c r="G146" i="1"/>
  <c r="G80" i="1"/>
  <c r="G76" i="1"/>
  <c r="G150" i="1"/>
  <c r="G98" i="1"/>
  <c r="G72" i="1"/>
  <c r="G33" i="1"/>
  <c r="G120" i="1"/>
  <c r="G84" i="1"/>
  <c r="G12" i="1"/>
  <c r="G140" i="1"/>
  <c r="G74" i="1"/>
  <c r="G92" i="1"/>
  <c r="G10" i="1"/>
  <c r="G58" i="1"/>
  <c r="G13" i="1"/>
  <c r="G62" i="1"/>
  <c r="G37" i="1"/>
  <c r="G56" i="1"/>
  <c r="G35" i="1"/>
  <c r="G97" i="1"/>
  <c r="G107" i="1"/>
  <c r="G128" i="1"/>
  <c r="G141" i="1"/>
  <c r="G101" i="1"/>
  <c r="G46" i="1"/>
  <c r="G52" i="1"/>
  <c r="G7" i="1"/>
  <c r="G32" i="1"/>
  <c r="G132" i="1"/>
  <c r="G89" i="1"/>
  <c r="G34" i="1"/>
  <c r="G65" i="1"/>
  <c r="G66" i="1"/>
  <c r="G96" i="1"/>
  <c r="G106" i="1"/>
  <c r="G151" i="1"/>
  <c r="G104" i="1"/>
  <c r="G85" i="1"/>
  <c r="G99" i="1"/>
  <c r="G64" i="1"/>
  <c r="G40" i="1"/>
  <c r="G41" i="1"/>
  <c r="G93" i="1"/>
  <c r="G55" i="1"/>
  <c r="G143" i="1"/>
  <c r="G30" i="1"/>
  <c r="G19" i="1"/>
  <c r="G126" i="1"/>
  <c r="G144" i="1"/>
  <c r="G118" i="1"/>
  <c r="G148" i="1"/>
  <c r="G113" i="1"/>
  <c r="G21" i="1"/>
  <c r="G127" i="1"/>
  <c r="G42" i="1"/>
  <c r="G51" i="1"/>
  <c r="G36" i="1"/>
  <c r="G139" i="1"/>
  <c r="G47" i="1"/>
  <c r="G16" i="1"/>
  <c r="G71" i="1"/>
  <c r="G2" i="1"/>
  <c r="G147" i="1"/>
  <c r="G22" i="1"/>
  <c r="G18" i="1"/>
  <c r="G6" i="1"/>
  <c r="G20" i="1"/>
  <c r="G117" i="1"/>
  <c r="G136" i="1"/>
  <c r="G91" i="1"/>
  <c r="G94" i="1"/>
  <c r="G14" i="1"/>
  <c r="H20" i="1"/>
  <c r="H75" i="1"/>
  <c r="H150" i="1"/>
  <c r="H26" i="1"/>
  <c r="H105" i="1"/>
  <c r="H32" i="1"/>
  <c r="H68" i="1"/>
  <c r="H128" i="1"/>
  <c r="H139" i="1"/>
  <c r="H63" i="1"/>
  <c r="H126" i="1"/>
  <c r="H99" i="1"/>
  <c r="H135" i="1"/>
  <c r="H4" i="1"/>
  <c r="H129" i="1"/>
  <c r="H92" i="1"/>
  <c r="H33" i="1"/>
  <c r="H52" i="1"/>
  <c r="H28" i="1"/>
  <c r="H38" i="1"/>
  <c r="H39" i="1"/>
  <c r="H118" i="1"/>
  <c r="H42" i="1"/>
  <c r="H70" i="1"/>
  <c r="H79" i="1"/>
  <c r="H97" i="1"/>
  <c r="H41" i="1"/>
  <c r="H74" i="1"/>
  <c r="H116" i="1"/>
  <c r="H83" i="1"/>
  <c r="H78" i="1"/>
  <c r="H137" i="1"/>
  <c r="H56" i="1"/>
  <c r="H117" i="1"/>
  <c r="H8" i="1"/>
  <c r="H90" i="1"/>
  <c r="H149" i="1"/>
  <c r="H64" i="1"/>
  <c r="H100" i="1"/>
  <c r="H14" i="1"/>
  <c r="H110" i="1"/>
  <c r="H44" i="1"/>
  <c r="H10" i="1"/>
  <c r="H138" i="1"/>
  <c r="H59" i="1"/>
  <c r="H31" i="1"/>
  <c r="H6" i="1"/>
  <c r="H81" i="1"/>
  <c r="H111" i="1"/>
  <c r="H102" i="1"/>
  <c r="H127" i="1"/>
  <c r="H69" i="1"/>
  <c r="H7" i="1"/>
  <c r="H76" i="1"/>
  <c r="H96" i="1"/>
  <c r="H51" i="1"/>
  <c r="I51" i="1" s="1"/>
  <c r="D51" i="1" s="1"/>
  <c r="H86" i="1"/>
  <c r="I86" i="1" s="1"/>
  <c r="D86" i="1" s="1"/>
  <c r="H72" i="1"/>
  <c r="H91" i="1"/>
  <c r="H144" i="1"/>
  <c r="H24" i="1"/>
  <c r="H88" i="1"/>
  <c r="H140" i="1"/>
  <c r="H40" i="1"/>
  <c r="H5" i="1"/>
  <c r="H43" i="1"/>
  <c r="H61" i="1"/>
  <c r="H98" i="1"/>
  <c r="H142" i="1"/>
  <c r="H35" i="1"/>
  <c r="H136" i="1"/>
  <c r="H36" i="1"/>
  <c r="H148" i="1"/>
  <c r="H55" i="1"/>
  <c r="H141" i="1"/>
  <c r="H107" i="1"/>
  <c r="H60" i="1"/>
  <c r="H125" i="1"/>
  <c r="H145" i="1"/>
  <c r="H95" i="1"/>
  <c r="H124" i="1"/>
  <c r="H114" i="1"/>
  <c r="H49" i="1"/>
  <c r="H133" i="1"/>
  <c r="H50" i="1"/>
  <c r="H147" i="1"/>
  <c r="H34" i="1"/>
  <c r="H132" i="1"/>
  <c r="H108" i="1"/>
  <c r="H53" i="1"/>
  <c r="H103" i="1"/>
  <c r="H71" i="1"/>
  <c r="H21" i="1"/>
  <c r="I21" i="1" s="1"/>
  <c r="D21" i="1" s="1"/>
  <c r="H151" i="1"/>
  <c r="H13" i="1"/>
  <c r="H120" i="1"/>
  <c r="H130" i="1"/>
  <c r="H77" i="1"/>
  <c r="H121" i="1"/>
  <c r="H122" i="1"/>
  <c r="H123" i="1"/>
  <c r="H15" i="1"/>
  <c r="H23" i="1"/>
  <c r="H112" i="1"/>
  <c r="H119" i="1"/>
  <c r="H19" i="1"/>
  <c r="H143" i="1"/>
  <c r="H47" i="1"/>
  <c r="H18" i="1"/>
  <c r="H85" i="1"/>
  <c r="H66" i="1"/>
  <c r="H46" i="1"/>
  <c r="H37" i="1"/>
  <c r="H12" i="1"/>
  <c r="H80" i="1"/>
  <c r="H82" i="1"/>
  <c r="H17" i="1"/>
  <c r="H29" i="1"/>
  <c r="H27" i="1"/>
  <c r="H67" i="1"/>
  <c r="H93" i="1"/>
  <c r="H101" i="1"/>
  <c r="H58" i="1"/>
  <c r="H109" i="1"/>
  <c r="H73" i="1"/>
  <c r="H134" i="1"/>
  <c r="H87" i="1"/>
  <c r="H45" i="1"/>
  <c r="H25" i="1"/>
  <c r="H11" i="1"/>
  <c r="H3" i="1"/>
  <c r="H9" i="1"/>
  <c r="H54" i="1"/>
  <c r="H94" i="1"/>
  <c r="H106" i="1"/>
  <c r="H89" i="1"/>
  <c r="H57" i="1"/>
  <c r="H22" i="1"/>
  <c r="H16" i="1"/>
  <c r="H113" i="1"/>
  <c r="H30" i="1"/>
  <c r="H2" i="1"/>
  <c r="H104" i="1"/>
  <c r="H65" i="1"/>
  <c r="I65" i="1" s="1"/>
  <c r="D65" i="1" s="1"/>
  <c r="H62" i="1"/>
  <c r="H84" i="1"/>
  <c r="H146" i="1"/>
  <c r="H131" i="1"/>
  <c r="H48" i="1"/>
  <c r="H115" i="1"/>
  <c r="P15" i="2" l="1"/>
  <c r="O12" i="2"/>
  <c r="O15" i="2"/>
  <c r="P14" i="2"/>
  <c r="O14" i="2"/>
  <c r="P13" i="2"/>
  <c r="P12" i="2"/>
  <c r="O13" i="2"/>
  <c r="I24" i="1"/>
  <c r="D24" i="1" s="1"/>
  <c r="I110" i="1"/>
  <c r="D110" i="1" s="1"/>
  <c r="I62" i="1"/>
  <c r="D62" i="1" s="1"/>
  <c r="I108" i="1"/>
  <c r="D108" i="1" s="1"/>
  <c r="I5" i="1"/>
  <c r="D5" i="1" s="1"/>
  <c r="I123" i="1"/>
  <c r="D123" i="1" s="1"/>
  <c r="I14" i="1"/>
  <c r="D14" i="1" s="1"/>
  <c r="I109" i="1"/>
  <c r="D109" i="1" s="1"/>
  <c r="I47" i="1"/>
  <c r="D47" i="1" s="1"/>
  <c r="I90" i="1"/>
  <c r="D90" i="1" s="1"/>
  <c r="I26" i="1"/>
  <c r="D26" i="1" s="1"/>
  <c r="I116" i="1"/>
  <c r="D116" i="1" s="1"/>
  <c r="I38" i="1"/>
  <c r="D38" i="1" s="1"/>
  <c r="I146" i="1"/>
  <c r="D146" i="1" s="1"/>
  <c r="I39" i="1"/>
  <c r="D39" i="1" s="1"/>
  <c r="I84" i="1"/>
  <c r="D84" i="1" s="1"/>
  <c r="I22" i="1"/>
  <c r="D22" i="1" s="1"/>
  <c r="I101" i="1"/>
  <c r="D101" i="1" s="1"/>
  <c r="I78" i="1"/>
  <c r="D78" i="1" s="1"/>
  <c r="I88" i="1"/>
  <c r="D88" i="1" s="1"/>
  <c r="I64" i="1"/>
  <c r="D64" i="1" s="1"/>
  <c r="I83" i="1"/>
  <c r="D83" i="1" s="1"/>
  <c r="I50" i="1"/>
  <c r="D50" i="1" s="1"/>
  <c r="I106" i="1"/>
  <c r="D106" i="1" s="1"/>
  <c r="I29" i="1"/>
  <c r="D29" i="1" s="1"/>
  <c r="I37" i="1"/>
  <c r="D37" i="1" s="1"/>
  <c r="I15" i="1"/>
  <c r="D15" i="1" s="1"/>
  <c r="I71" i="1"/>
  <c r="D71" i="1" s="1"/>
  <c r="I133" i="1"/>
  <c r="D133" i="1" s="1"/>
  <c r="I107" i="1"/>
  <c r="D107" i="1" s="1"/>
  <c r="I3" i="1"/>
  <c r="D3" i="1" s="1"/>
  <c r="I58" i="1"/>
  <c r="D58" i="1" s="1"/>
  <c r="I12" i="1"/>
  <c r="D12" i="1" s="1"/>
  <c r="I43" i="1"/>
  <c r="D43" i="1" s="1"/>
  <c r="I75" i="1"/>
  <c r="D75" i="1" s="1"/>
  <c r="I67" i="1"/>
  <c r="D67" i="1" s="1"/>
  <c r="I112" i="1"/>
  <c r="D112" i="1" s="1"/>
  <c r="I114" i="1"/>
  <c r="D114" i="1" s="1"/>
  <c r="I57" i="1"/>
  <c r="D57" i="1" s="1"/>
  <c r="I93" i="1"/>
  <c r="D93" i="1" s="1"/>
  <c r="I119" i="1"/>
  <c r="D119" i="1" s="1"/>
  <c r="I124" i="1"/>
  <c r="D124" i="1" s="1"/>
  <c r="I148" i="1"/>
  <c r="D148" i="1" s="1"/>
  <c r="I111" i="1"/>
  <c r="D111" i="1" s="1"/>
  <c r="I95" i="1"/>
  <c r="D95" i="1" s="1"/>
  <c r="I89" i="1"/>
  <c r="D89" i="1" s="1"/>
  <c r="I126" i="1"/>
  <c r="D126" i="1" s="1"/>
  <c r="I144" i="1"/>
  <c r="D144" i="1" s="1"/>
  <c r="I69" i="1"/>
  <c r="D69" i="1" s="1"/>
  <c r="I74" i="1"/>
  <c r="D74" i="1" s="1"/>
  <c r="I46" i="1"/>
  <c r="D46" i="1" s="1"/>
  <c r="I36" i="1"/>
  <c r="D36" i="1" s="1"/>
  <c r="I40" i="1"/>
  <c r="D40" i="1" s="1"/>
  <c r="I70" i="1"/>
  <c r="D70" i="1" s="1"/>
  <c r="I56" i="1"/>
  <c r="D56" i="1" s="1"/>
  <c r="I35" i="1"/>
  <c r="D35" i="1" s="1"/>
  <c r="I4" i="1"/>
  <c r="D4" i="1" s="1"/>
  <c r="I79" i="1"/>
  <c r="D79" i="1" s="1"/>
  <c r="I18" i="1"/>
  <c r="D18" i="1" s="1"/>
  <c r="I7" i="1"/>
  <c r="D7" i="1" s="1"/>
  <c r="I149" i="1"/>
  <c r="D149" i="1" s="1"/>
  <c r="I105" i="1"/>
  <c r="D105" i="1" s="1"/>
  <c r="I80" i="1"/>
  <c r="D80" i="1" s="1"/>
  <c r="I103" i="1"/>
  <c r="D103" i="1" s="1"/>
  <c r="I49" i="1"/>
  <c r="D49" i="1" s="1"/>
  <c r="I28" i="1"/>
  <c r="D28" i="1" s="1"/>
  <c r="I150" i="1"/>
  <c r="D150" i="1" s="1"/>
  <c r="I66" i="1"/>
  <c r="D66" i="1" s="1"/>
  <c r="I23" i="1"/>
  <c r="D23" i="1" s="1"/>
  <c r="I143" i="1"/>
  <c r="D143" i="1" s="1"/>
  <c r="I121" i="1"/>
  <c r="D121" i="1" s="1"/>
  <c r="I10" i="1"/>
  <c r="D10" i="1" s="1"/>
  <c r="I55" i="1"/>
  <c r="D55" i="1" s="1"/>
  <c r="I92" i="1"/>
  <c r="I87" i="1"/>
  <c r="D87" i="1" s="1"/>
  <c r="I129" i="1"/>
  <c r="D129" i="1" s="1"/>
  <c r="I53" i="1"/>
  <c r="D53" i="1" s="1"/>
  <c r="I72" i="1"/>
  <c r="D72" i="1" s="1"/>
  <c r="I44" i="1"/>
  <c r="D44" i="1" s="1"/>
  <c r="I104" i="1"/>
  <c r="D104" i="1" s="1"/>
  <c r="I132" i="1"/>
  <c r="D132" i="1" s="1"/>
  <c r="I115" i="1"/>
  <c r="D115" i="1" s="1"/>
  <c r="I145" i="1"/>
  <c r="D145" i="1" s="1"/>
  <c r="I136" i="1"/>
  <c r="D136" i="1" s="1"/>
  <c r="I140" i="1"/>
  <c r="D140" i="1" s="1"/>
  <c r="I96" i="1"/>
  <c r="D96" i="1" s="1"/>
  <c r="I125" i="1"/>
  <c r="D125" i="1" s="1"/>
  <c r="I82" i="1"/>
  <c r="D82" i="1" s="1"/>
  <c r="I16" i="1"/>
  <c r="D16" i="1" s="1"/>
  <c r="I52" i="1"/>
  <c r="D52" i="1" s="1"/>
  <c r="I63" i="1"/>
  <c r="D63" i="1" s="1"/>
  <c r="I6" i="1"/>
  <c r="D6" i="1" s="1"/>
  <c r="I100" i="1"/>
  <c r="D100" i="1" s="1"/>
  <c r="I137" i="1"/>
  <c r="D137" i="1" s="1"/>
  <c r="I76" i="1"/>
  <c r="D76" i="1" s="1"/>
  <c r="I59" i="1"/>
  <c r="D59" i="1" s="1"/>
  <c r="I94" i="1"/>
  <c r="D94" i="1" s="1"/>
  <c r="I42" i="1"/>
  <c r="D42" i="1" s="1"/>
  <c r="I13" i="1"/>
  <c r="D13" i="1" s="1"/>
  <c r="I120" i="1"/>
  <c r="D120" i="1" s="1"/>
  <c r="I130" i="1"/>
  <c r="D130" i="1" s="1"/>
  <c r="I27" i="1"/>
  <c r="D27" i="1" s="1"/>
  <c r="I60" i="1"/>
  <c r="D60" i="1" s="1"/>
  <c r="I138" i="1"/>
  <c r="D138" i="1" s="1"/>
  <c r="I135" i="1"/>
  <c r="D135" i="1" s="1"/>
  <c r="I2" i="1"/>
  <c r="D2" i="1" s="1"/>
  <c r="I85" i="1"/>
  <c r="D85" i="1" s="1"/>
  <c r="I128" i="1"/>
  <c r="D128" i="1" s="1"/>
  <c r="I68" i="1"/>
  <c r="D68" i="1" s="1"/>
  <c r="I139" i="1"/>
  <c r="D139" i="1" s="1"/>
  <c r="I20" i="1"/>
  <c r="D20" i="1" s="1"/>
  <c r="I127" i="1"/>
  <c r="D127" i="1" s="1"/>
  <c r="I117" i="1"/>
  <c r="D117" i="1" s="1"/>
  <c r="I9" i="1"/>
  <c r="D9" i="1" s="1"/>
  <c r="I54" i="1"/>
  <c r="D54" i="1" s="1"/>
  <c r="I73" i="1"/>
  <c r="D73" i="1" s="1"/>
  <c r="I134" i="1"/>
  <c r="D134" i="1" s="1"/>
  <c r="I99" i="1"/>
  <c r="D99" i="1" s="1"/>
  <c r="I34" i="1"/>
  <c r="D34" i="1" s="1"/>
  <c r="I17" i="1"/>
  <c r="D17" i="1" s="1"/>
  <c r="I33" i="1"/>
  <c r="D33" i="1" s="1"/>
  <c r="I25" i="1"/>
  <c r="D25" i="1" s="1"/>
  <c r="I113" i="1"/>
  <c r="D113" i="1" s="1"/>
  <c r="I11" i="1"/>
  <c r="D11" i="1" s="1"/>
  <c r="I77" i="1"/>
  <c r="D77" i="1" s="1"/>
  <c r="I141" i="1"/>
  <c r="D141" i="1" s="1"/>
  <c r="I31" i="1"/>
  <c r="D31" i="1" s="1"/>
  <c r="I8" i="1"/>
  <c r="D8" i="1" s="1"/>
  <c r="I151" i="1"/>
  <c r="D151" i="1" s="1"/>
  <c r="I131" i="1"/>
  <c r="D131" i="1" s="1"/>
  <c r="I19" i="1"/>
  <c r="D19" i="1" s="1"/>
  <c r="I102" i="1"/>
  <c r="D102" i="1" s="1"/>
  <c r="I41" i="1"/>
  <c r="D41" i="1" s="1"/>
  <c r="I98" i="1"/>
  <c r="D98" i="1" s="1"/>
  <c r="I48" i="1"/>
  <c r="D48" i="1" s="1"/>
  <c r="I147" i="1"/>
  <c r="D147" i="1" s="1"/>
  <c r="I91" i="1"/>
  <c r="D91" i="1" s="1"/>
  <c r="I97" i="1"/>
  <c r="D97" i="1" s="1"/>
  <c r="I45" i="1"/>
  <c r="D45" i="1" s="1"/>
  <c r="I142" i="1"/>
  <c r="D142" i="1" s="1"/>
  <c r="I30" i="1"/>
  <c r="D30" i="1" s="1"/>
  <c r="I122" i="1"/>
  <c r="D122" i="1" s="1"/>
  <c r="I118" i="1"/>
  <c r="D118" i="1" s="1"/>
  <c r="I32" i="1"/>
  <c r="D32" i="1" s="1"/>
  <c r="I61" i="1"/>
  <c r="D61" i="1" s="1"/>
  <c r="D92" i="1"/>
  <c r="I81" i="1"/>
  <c r="D81" i="1" s="1"/>
  <c r="O7" i="1" l="1"/>
  <c r="L12" i="1"/>
  <c r="M13" i="1"/>
  <c r="M12" i="1"/>
  <c r="L13" i="1"/>
  <c r="O6" i="1"/>
  <c r="N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<sst xmlns="http://schemas.openxmlformats.org/spreadsheetml/2006/main" count="356" uniqueCount="22">
  <si>
    <t>Petal.Length</t>
  </si>
  <si>
    <t>Petal.Width</t>
  </si>
  <si>
    <t>Species</t>
  </si>
  <si>
    <t>setosa</t>
  </si>
  <si>
    <t>versicolor</t>
  </si>
  <si>
    <t>virginica</t>
  </si>
  <si>
    <t>PL</t>
  </si>
  <si>
    <t>PW</t>
  </si>
  <si>
    <t>Odl1</t>
  </si>
  <si>
    <t>Odl2</t>
  </si>
  <si>
    <t>MinOdl</t>
  </si>
  <si>
    <t>Średnia</t>
  </si>
  <si>
    <t>Odch st</t>
  </si>
  <si>
    <t>Element</t>
  </si>
  <si>
    <t>Nr</t>
  </si>
  <si>
    <t>Grupa</t>
  </si>
  <si>
    <t>Liczba</t>
  </si>
  <si>
    <t>Średnia w grupach</t>
  </si>
  <si>
    <t>P.L</t>
  </si>
  <si>
    <t>P.W</t>
  </si>
  <si>
    <t>Odl3</t>
  </si>
  <si>
    <t>Odl4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</si>
</sst>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21" fontId="0" fillId="0" borderId="0" xfId="0" applyNumberFormat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Grupowanie</a:t>
            </a:r>
            <a:r>
              <a:rPr lang="pl-PL" baseline="0"/>
              <a:t> metodą 2-średnich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[0]!_pl1</c:f>
              <c:numCache>
                <c:formatCode>General</c:formatCode>
                <c:ptCount val="100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  <c:pt idx="52">
                  <c:v>4.9000000000000004</c:v>
                </c:pt>
                <c:pt idx="53">
                  <c:v>4</c:v>
                </c:pt>
                <c:pt idx="54">
                  <c:v>4.5999999999999996</c:v>
                </c:pt>
                <c:pt idx="55">
                  <c:v>4.5</c:v>
                </c:pt>
                <c:pt idx="56">
                  <c:v>4.7</c:v>
                </c:pt>
                <c:pt idx="57">
                  <c:v>3.3</c:v>
                </c:pt>
                <c:pt idx="58">
                  <c:v>4.5999999999999996</c:v>
                </c:pt>
                <c:pt idx="59">
                  <c:v>3.9</c:v>
                </c:pt>
                <c:pt idx="60">
                  <c:v>3.5</c:v>
                </c:pt>
                <c:pt idx="61">
                  <c:v>4.2</c:v>
                </c:pt>
                <c:pt idx="62">
                  <c:v>4</c:v>
                </c:pt>
                <c:pt idx="63">
                  <c:v>4.7</c:v>
                </c:pt>
                <c:pt idx="64">
                  <c:v>3.6</c:v>
                </c:pt>
                <c:pt idx="65">
                  <c:v>4.4000000000000004</c:v>
                </c:pt>
                <c:pt idx="66">
                  <c:v>4.5</c:v>
                </c:pt>
                <c:pt idx="67">
                  <c:v>4.0999999999999996</c:v>
                </c:pt>
                <c:pt idx="68">
                  <c:v>4.5</c:v>
                </c:pt>
                <c:pt idx="69">
                  <c:v>3.9</c:v>
                </c:pt>
                <c:pt idx="70">
                  <c:v>4.8</c:v>
                </c:pt>
                <c:pt idx="71">
                  <c:v>4</c:v>
                </c:pt>
                <c:pt idx="72">
                  <c:v>4.9000000000000004</c:v>
                </c:pt>
                <c:pt idx="73">
                  <c:v>4.7</c:v>
                </c:pt>
                <c:pt idx="74">
                  <c:v>4.3</c:v>
                </c:pt>
                <c:pt idx="75">
                  <c:v>4.4000000000000004</c:v>
                </c:pt>
                <c:pt idx="76">
                  <c:v>4.8</c:v>
                </c:pt>
                <c:pt idx="77">
                  <c:v>5</c:v>
                </c:pt>
                <c:pt idx="78">
                  <c:v>4.5</c:v>
                </c:pt>
                <c:pt idx="79">
                  <c:v>3.5</c:v>
                </c:pt>
                <c:pt idx="80">
                  <c:v>3.8</c:v>
                </c:pt>
                <c:pt idx="81">
                  <c:v>3.7</c:v>
                </c:pt>
                <c:pt idx="82">
                  <c:v>3.9</c:v>
                </c:pt>
                <c:pt idx="83">
                  <c:v>5.0999999999999996</c:v>
                </c:pt>
                <c:pt idx="84">
                  <c:v>4.5</c:v>
                </c:pt>
                <c:pt idx="85">
                  <c:v>4.5</c:v>
                </c:pt>
                <c:pt idx="86">
                  <c:v>4.7</c:v>
                </c:pt>
                <c:pt idx="87">
                  <c:v>4.4000000000000004</c:v>
                </c:pt>
                <c:pt idx="88">
                  <c:v>4.0999999999999996</c:v>
                </c:pt>
                <c:pt idx="89">
                  <c:v>4</c:v>
                </c:pt>
                <c:pt idx="90">
                  <c:v>4.4000000000000004</c:v>
                </c:pt>
                <c:pt idx="91">
                  <c:v>4.5999999999999996</c:v>
                </c:pt>
                <c:pt idx="92">
                  <c:v>4</c:v>
                </c:pt>
                <c:pt idx="93">
                  <c:v>3.3</c:v>
                </c:pt>
                <c:pt idx="94">
                  <c:v>4.2</c:v>
                </c:pt>
                <c:pt idx="95">
                  <c:v>4.2</c:v>
                </c:pt>
                <c:pt idx="96">
                  <c:v>4.2</c:v>
                </c:pt>
                <c:pt idx="97">
                  <c:v>4.3</c:v>
                </c:pt>
                <c:pt idx="98">
                  <c:v>3</c:v>
                </c:pt>
                <c:pt idx="99">
                  <c:v>4.0999999999999996</c:v>
                </c:pt>
              </c:numCache>
            </c:numRef>
          </c:xVal>
          <c:yVal>
            <c:numRef>
              <c:f>[0]!_pw1</c:f>
              <c:numCache>
                <c:formatCode>General</c:formatCode>
                <c:ptCount val="10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1.3</c:v>
                </c:pt>
                <c:pt idx="54">
                  <c:v>1.5</c:v>
                </c:pt>
                <c:pt idx="55">
                  <c:v>1.3</c:v>
                </c:pt>
                <c:pt idx="56">
                  <c:v>1.6</c:v>
                </c:pt>
                <c:pt idx="57">
                  <c:v>1</c:v>
                </c:pt>
                <c:pt idx="58">
                  <c:v>1.3</c:v>
                </c:pt>
                <c:pt idx="59">
                  <c:v>1.4</c:v>
                </c:pt>
                <c:pt idx="60">
                  <c:v>1</c:v>
                </c:pt>
                <c:pt idx="61">
                  <c:v>1.5</c:v>
                </c:pt>
                <c:pt idx="62">
                  <c:v>1</c:v>
                </c:pt>
                <c:pt idx="63">
                  <c:v>1.4</c:v>
                </c:pt>
                <c:pt idx="64">
                  <c:v>1.3</c:v>
                </c:pt>
                <c:pt idx="65">
                  <c:v>1.4</c:v>
                </c:pt>
                <c:pt idx="66">
                  <c:v>1.5</c:v>
                </c:pt>
                <c:pt idx="67">
                  <c:v>1</c:v>
                </c:pt>
                <c:pt idx="68">
                  <c:v>1.5</c:v>
                </c:pt>
                <c:pt idx="69">
                  <c:v>1.1000000000000001</c:v>
                </c:pt>
                <c:pt idx="70">
                  <c:v>1.8</c:v>
                </c:pt>
                <c:pt idx="71">
                  <c:v>1.3</c:v>
                </c:pt>
                <c:pt idx="72">
                  <c:v>1.5</c:v>
                </c:pt>
                <c:pt idx="73">
                  <c:v>1.2</c:v>
                </c:pt>
                <c:pt idx="74">
                  <c:v>1.3</c:v>
                </c:pt>
                <c:pt idx="75">
                  <c:v>1.4</c:v>
                </c:pt>
                <c:pt idx="76">
                  <c:v>1.4</c:v>
                </c:pt>
                <c:pt idx="77">
                  <c:v>1.7</c:v>
                </c:pt>
                <c:pt idx="78">
                  <c:v>1.5</c:v>
                </c:pt>
                <c:pt idx="79">
                  <c:v>1</c:v>
                </c:pt>
                <c:pt idx="80">
                  <c:v>1.1000000000000001</c:v>
                </c:pt>
                <c:pt idx="81">
                  <c:v>1</c:v>
                </c:pt>
                <c:pt idx="82">
                  <c:v>1.2</c:v>
                </c:pt>
                <c:pt idx="83">
                  <c:v>1.6</c:v>
                </c:pt>
                <c:pt idx="84">
                  <c:v>1.5</c:v>
                </c:pt>
                <c:pt idx="85">
                  <c:v>1.6</c:v>
                </c:pt>
                <c:pt idx="86">
                  <c:v>1.5</c:v>
                </c:pt>
                <c:pt idx="87">
                  <c:v>1.3</c:v>
                </c:pt>
                <c:pt idx="88">
                  <c:v>1.3</c:v>
                </c:pt>
                <c:pt idx="89">
                  <c:v>1.3</c:v>
                </c:pt>
                <c:pt idx="90">
                  <c:v>1.2</c:v>
                </c:pt>
                <c:pt idx="91">
                  <c:v>1.4</c:v>
                </c:pt>
                <c:pt idx="92">
                  <c:v>1.2</c:v>
                </c:pt>
                <c:pt idx="93">
                  <c:v>1</c:v>
                </c:pt>
                <c:pt idx="94">
                  <c:v>1.3</c:v>
                </c:pt>
                <c:pt idx="95">
                  <c:v>1.2</c:v>
                </c:pt>
                <c:pt idx="96">
                  <c:v>1.3</c:v>
                </c:pt>
                <c:pt idx="97">
                  <c:v>1.3</c:v>
                </c:pt>
                <c:pt idx="98">
                  <c:v>1.1000000000000001</c:v>
                </c:pt>
                <c:pt idx="99">
                  <c:v>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CF-44A1-A4D5-127A4C766386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[0]!_pl2</c:f>
              <c:numCache>
                <c:formatCode>General</c:formatCode>
                <c:ptCount val="50"/>
                <c:pt idx="0">
                  <c:v>6</c:v>
                </c:pt>
                <c:pt idx="1">
                  <c:v>5.0999999999999996</c:v>
                </c:pt>
                <c:pt idx="2">
                  <c:v>5.9</c:v>
                </c:pt>
                <c:pt idx="3">
                  <c:v>5.6</c:v>
                </c:pt>
                <c:pt idx="4">
                  <c:v>5.8</c:v>
                </c:pt>
                <c:pt idx="5">
                  <c:v>6.6</c:v>
                </c:pt>
                <c:pt idx="6">
                  <c:v>4.5</c:v>
                </c:pt>
                <c:pt idx="7">
                  <c:v>6.3</c:v>
                </c:pt>
                <c:pt idx="8">
                  <c:v>5.8</c:v>
                </c:pt>
                <c:pt idx="9">
                  <c:v>6.1</c:v>
                </c:pt>
                <c:pt idx="10">
                  <c:v>5.0999999999999996</c:v>
                </c:pt>
                <c:pt idx="11">
                  <c:v>5.3</c:v>
                </c:pt>
                <c:pt idx="12">
                  <c:v>5.5</c:v>
                </c:pt>
                <c:pt idx="13">
                  <c:v>5</c:v>
                </c:pt>
                <c:pt idx="14">
                  <c:v>5.0999999999999996</c:v>
                </c:pt>
                <c:pt idx="15">
                  <c:v>5.3</c:v>
                </c:pt>
                <c:pt idx="16">
                  <c:v>5.5</c:v>
                </c:pt>
                <c:pt idx="17">
                  <c:v>6.7</c:v>
                </c:pt>
                <c:pt idx="18">
                  <c:v>6.9</c:v>
                </c:pt>
                <c:pt idx="19">
                  <c:v>5</c:v>
                </c:pt>
                <c:pt idx="20">
                  <c:v>5.7</c:v>
                </c:pt>
                <c:pt idx="21">
                  <c:v>4.9000000000000004</c:v>
                </c:pt>
                <c:pt idx="22">
                  <c:v>6.7</c:v>
                </c:pt>
                <c:pt idx="23">
                  <c:v>4.9000000000000004</c:v>
                </c:pt>
                <c:pt idx="24">
                  <c:v>5.7</c:v>
                </c:pt>
                <c:pt idx="25">
                  <c:v>6</c:v>
                </c:pt>
                <c:pt idx="26">
                  <c:v>4.8</c:v>
                </c:pt>
                <c:pt idx="27">
                  <c:v>4.9000000000000004</c:v>
                </c:pt>
                <c:pt idx="28">
                  <c:v>5.6</c:v>
                </c:pt>
                <c:pt idx="29">
                  <c:v>5.8</c:v>
                </c:pt>
                <c:pt idx="30">
                  <c:v>6.1</c:v>
                </c:pt>
                <c:pt idx="31">
                  <c:v>6.4</c:v>
                </c:pt>
                <c:pt idx="32">
                  <c:v>5.6</c:v>
                </c:pt>
                <c:pt idx="33">
                  <c:v>5.0999999999999996</c:v>
                </c:pt>
                <c:pt idx="34">
                  <c:v>5.6</c:v>
                </c:pt>
                <c:pt idx="35">
                  <c:v>6.1</c:v>
                </c:pt>
                <c:pt idx="36">
                  <c:v>5.6</c:v>
                </c:pt>
                <c:pt idx="37">
                  <c:v>5.5</c:v>
                </c:pt>
                <c:pt idx="38">
                  <c:v>4.8</c:v>
                </c:pt>
                <c:pt idx="39">
                  <c:v>5.4</c:v>
                </c:pt>
                <c:pt idx="40">
                  <c:v>5.6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5.9</c:v>
                </c:pt>
                <c:pt idx="44">
                  <c:v>5.7</c:v>
                </c:pt>
                <c:pt idx="45">
                  <c:v>5.2</c:v>
                </c:pt>
                <c:pt idx="46">
                  <c:v>5</c:v>
                </c:pt>
                <c:pt idx="47">
                  <c:v>5.2</c:v>
                </c:pt>
                <c:pt idx="48">
                  <c:v>5.4</c:v>
                </c:pt>
                <c:pt idx="49">
                  <c:v>5.0999999999999996</c:v>
                </c:pt>
              </c:numCache>
            </c:numRef>
          </c:xVal>
          <c:yVal>
            <c:numRef>
              <c:f>[0]!_pw2</c:f>
              <c:numCache>
                <c:formatCode>General</c:formatCode>
                <c:ptCount val="50"/>
                <c:pt idx="0">
                  <c:v>2.5</c:v>
                </c:pt>
                <c:pt idx="1">
                  <c:v>1.9</c:v>
                </c:pt>
                <c:pt idx="2">
                  <c:v>2.1</c:v>
                </c:pt>
                <c:pt idx="3">
                  <c:v>1.8</c:v>
                </c:pt>
                <c:pt idx="4">
                  <c:v>2.2000000000000002</c:v>
                </c:pt>
                <c:pt idx="5">
                  <c:v>2.1</c:v>
                </c:pt>
                <c:pt idx="6">
                  <c:v>1.7</c:v>
                </c:pt>
                <c:pt idx="7">
                  <c:v>1.8</c:v>
                </c:pt>
                <c:pt idx="8">
                  <c:v>1.8</c:v>
                </c:pt>
                <c:pt idx="9">
                  <c:v>2.5</c:v>
                </c:pt>
                <c:pt idx="10">
                  <c:v>2</c:v>
                </c:pt>
                <c:pt idx="11">
                  <c:v>1.9</c:v>
                </c:pt>
                <c:pt idx="12">
                  <c:v>2.1</c:v>
                </c:pt>
                <c:pt idx="13">
                  <c:v>2</c:v>
                </c:pt>
                <c:pt idx="14">
                  <c:v>2.4</c:v>
                </c:pt>
                <c:pt idx="15">
                  <c:v>2.2999999999999998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2.2999999999999998</c:v>
                </c:pt>
                <c:pt idx="19">
                  <c:v>1.5</c:v>
                </c:pt>
                <c:pt idx="20">
                  <c:v>2.2999999999999998</c:v>
                </c:pt>
                <c:pt idx="21">
                  <c:v>2</c:v>
                </c:pt>
                <c:pt idx="22">
                  <c:v>2</c:v>
                </c:pt>
                <c:pt idx="23">
                  <c:v>1.8</c:v>
                </c:pt>
                <c:pt idx="24">
                  <c:v>2.1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2.1</c:v>
                </c:pt>
                <c:pt idx="29">
                  <c:v>1.6</c:v>
                </c:pt>
                <c:pt idx="30">
                  <c:v>1.9</c:v>
                </c:pt>
                <c:pt idx="31">
                  <c:v>2</c:v>
                </c:pt>
                <c:pt idx="32">
                  <c:v>2.2000000000000002</c:v>
                </c:pt>
                <c:pt idx="33">
                  <c:v>1.5</c:v>
                </c:pt>
                <c:pt idx="34">
                  <c:v>1.4</c:v>
                </c:pt>
                <c:pt idx="35">
                  <c:v>2.2999999999999998</c:v>
                </c:pt>
                <c:pt idx="36">
                  <c:v>2.4</c:v>
                </c:pt>
                <c:pt idx="37">
                  <c:v>1.8</c:v>
                </c:pt>
                <c:pt idx="38">
                  <c:v>1.8</c:v>
                </c:pt>
                <c:pt idx="39">
                  <c:v>2.1</c:v>
                </c:pt>
                <c:pt idx="40">
                  <c:v>2.4</c:v>
                </c:pt>
                <c:pt idx="41">
                  <c:v>2.2999999999999998</c:v>
                </c:pt>
                <c:pt idx="42">
                  <c:v>1.9</c:v>
                </c:pt>
                <c:pt idx="43">
                  <c:v>2.2999999999999998</c:v>
                </c:pt>
                <c:pt idx="44">
                  <c:v>2.5</c:v>
                </c:pt>
                <c:pt idx="45">
                  <c:v>2.2999999999999998</c:v>
                </c:pt>
                <c:pt idx="46">
                  <c:v>1.9</c:v>
                </c:pt>
                <c:pt idx="47">
                  <c:v>2</c:v>
                </c:pt>
                <c:pt idx="48">
                  <c:v>2.2999999999999998</c:v>
                </c:pt>
                <c:pt idx="49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CF-44A1-A4D5-127A4C766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480383"/>
        <c:axId val="913424575"/>
      </c:scatterChart>
      <c:valAx>
        <c:axId val="7344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13424575"/>
        <c:crosses val="autoZero"/>
        <c:crossBetween val="midCat"/>
      </c:valAx>
      <c:valAx>
        <c:axId val="913424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34480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1800" b="0" i="0" baseline="0">
                <a:effectLst/>
              </a:rPr>
              <a:t>Grupowanie metodą 4-średnich</a:t>
            </a:r>
            <a:endParaRPr lang="pl-PL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'AnalizaSkupień(k=4)'!_l1</c:f>
              <c:numCache>
                <c:formatCode>General</c:formatCode>
                <c:ptCount val="52"/>
                <c:pt idx="0">
                  <c:v>1.4</c:v>
                </c:pt>
                <c:pt idx="1">
                  <c:v>1.4</c:v>
                </c:pt>
                <c:pt idx="2">
                  <c:v>1.3</c:v>
                </c:pt>
                <c:pt idx="3">
                  <c:v>1.5</c:v>
                </c:pt>
                <c:pt idx="4">
                  <c:v>1.4</c:v>
                </c:pt>
                <c:pt idx="5">
                  <c:v>1.7</c:v>
                </c:pt>
                <c:pt idx="6">
                  <c:v>1.4</c:v>
                </c:pt>
                <c:pt idx="7">
                  <c:v>1.5</c:v>
                </c:pt>
                <c:pt idx="8">
                  <c:v>1.4</c:v>
                </c:pt>
                <c:pt idx="9">
                  <c:v>1.5</c:v>
                </c:pt>
                <c:pt idx="10">
                  <c:v>1.5</c:v>
                </c:pt>
                <c:pt idx="11">
                  <c:v>1.6</c:v>
                </c:pt>
                <c:pt idx="12">
                  <c:v>1.4</c:v>
                </c:pt>
                <c:pt idx="13">
                  <c:v>1.1000000000000001</c:v>
                </c:pt>
                <c:pt idx="14">
                  <c:v>1.2</c:v>
                </c:pt>
                <c:pt idx="15">
                  <c:v>1.5</c:v>
                </c:pt>
                <c:pt idx="16">
                  <c:v>1.3</c:v>
                </c:pt>
                <c:pt idx="17">
                  <c:v>1.4</c:v>
                </c:pt>
                <c:pt idx="18">
                  <c:v>1.7</c:v>
                </c:pt>
                <c:pt idx="19">
                  <c:v>1.5</c:v>
                </c:pt>
                <c:pt idx="20">
                  <c:v>1.7</c:v>
                </c:pt>
                <c:pt idx="21">
                  <c:v>1.5</c:v>
                </c:pt>
                <c:pt idx="22">
                  <c:v>1</c:v>
                </c:pt>
                <c:pt idx="23">
                  <c:v>1.7</c:v>
                </c:pt>
                <c:pt idx="24">
                  <c:v>1.9</c:v>
                </c:pt>
                <c:pt idx="25">
                  <c:v>1.6</c:v>
                </c:pt>
                <c:pt idx="26">
                  <c:v>1.6</c:v>
                </c:pt>
                <c:pt idx="27">
                  <c:v>1.5</c:v>
                </c:pt>
                <c:pt idx="28">
                  <c:v>1.4</c:v>
                </c:pt>
                <c:pt idx="29">
                  <c:v>1.6</c:v>
                </c:pt>
                <c:pt idx="30">
                  <c:v>1.6</c:v>
                </c:pt>
                <c:pt idx="31">
                  <c:v>1.5</c:v>
                </c:pt>
                <c:pt idx="32">
                  <c:v>1.5</c:v>
                </c:pt>
                <c:pt idx="33">
                  <c:v>1.4</c:v>
                </c:pt>
                <c:pt idx="34">
                  <c:v>1.5</c:v>
                </c:pt>
                <c:pt idx="35">
                  <c:v>1.2</c:v>
                </c:pt>
                <c:pt idx="36">
                  <c:v>1.3</c:v>
                </c:pt>
                <c:pt idx="37">
                  <c:v>1.4</c:v>
                </c:pt>
                <c:pt idx="38">
                  <c:v>1.3</c:v>
                </c:pt>
                <c:pt idx="39">
                  <c:v>1.5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1.6</c:v>
                </c:pt>
                <c:pt idx="44">
                  <c:v>1.9</c:v>
                </c:pt>
                <c:pt idx="45">
                  <c:v>1.4</c:v>
                </c:pt>
                <c:pt idx="46">
                  <c:v>1.6</c:v>
                </c:pt>
                <c:pt idx="47">
                  <c:v>1.4</c:v>
                </c:pt>
                <c:pt idx="48">
                  <c:v>1.5</c:v>
                </c:pt>
                <c:pt idx="49">
                  <c:v>1.4</c:v>
                </c:pt>
                <c:pt idx="50">
                  <c:v>4.7</c:v>
                </c:pt>
                <c:pt idx="51">
                  <c:v>4.5</c:v>
                </c:pt>
              </c:numCache>
            </c:numRef>
          </c:xVal>
          <c:yVal>
            <c:numRef>
              <c:f>[0]!_w1</c:f>
              <c:numCache>
                <c:formatCode>General</c:formatCode>
                <c:ptCount val="5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0.1</c:v>
                </c:pt>
                <c:pt idx="10">
                  <c:v>0.2</c:v>
                </c:pt>
                <c:pt idx="11">
                  <c:v>0.2</c:v>
                </c:pt>
                <c:pt idx="12">
                  <c:v>0.1</c:v>
                </c:pt>
                <c:pt idx="13">
                  <c:v>0.1</c:v>
                </c:pt>
                <c:pt idx="14">
                  <c:v>0.2</c:v>
                </c:pt>
                <c:pt idx="15">
                  <c:v>0.4</c:v>
                </c:pt>
                <c:pt idx="16">
                  <c:v>0.4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0.2</c:v>
                </c:pt>
                <c:pt idx="21">
                  <c:v>0.4</c:v>
                </c:pt>
                <c:pt idx="22">
                  <c:v>0.2</c:v>
                </c:pt>
                <c:pt idx="23">
                  <c:v>0.5</c:v>
                </c:pt>
                <c:pt idx="24">
                  <c:v>0.2</c:v>
                </c:pt>
                <c:pt idx="25">
                  <c:v>0.2</c:v>
                </c:pt>
                <c:pt idx="26">
                  <c:v>0.4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0.4</c:v>
                </c:pt>
                <c:pt idx="32">
                  <c:v>0.1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0.1</c:v>
                </c:pt>
                <c:pt idx="38">
                  <c:v>0.2</c:v>
                </c:pt>
                <c:pt idx="39">
                  <c:v>0.2</c:v>
                </c:pt>
                <c:pt idx="40">
                  <c:v>0.3</c:v>
                </c:pt>
                <c:pt idx="41">
                  <c:v>0.3</c:v>
                </c:pt>
                <c:pt idx="42">
                  <c:v>0.2</c:v>
                </c:pt>
                <c:pt idx="43">
                  <c:v>0.6</c:v>
                </c:pt>
                <c:pt idx="44">
                  <c:v>0.4</c:v>
                </c:pt>
                <c:pt idx="45">
                  <c:v>0.3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1.4</c:v>
                </c:pt>
                <c:pt idx="5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EC-4A1B-84F5-B01CF8D7A93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[0]!_l2</c:f>
              <c:numCache>
                <c:formatCode>General</c:formatCode>
                <c:ptCount val="16"/>
                <c:pt idx="0">
                  <c:v>4.9000000000000004</c:v>
                </c:pt>
                <c:pt idx="1">
                  <c:v>4</c:v>
                </c:pt>
                <c:pt idx="2">
                  <c:v>4.5999999999999996</c:v>
                </c:pt>
                <c:pt idx="3">
                  <c:v>4.5</c:v>
                </c:pt>
                <c:pt idx="4">
                  <c:v>4.7</c:v>
                </c:pt>
                <c:pt idx="5">
                  <c:v>3.3</c:v>
                </c:pt>
                <c:pt idx="6">
                  <c:v>4.5999999999999996</c:v>
                </c:pt>
                <c:pt idx="7">
                  <c:v>3.9</c:v>
                </c:pt>
                <c:pt idx="8">
                  <c:v>3.5</c:v>
                </c:pt>
                <c:pt idx="9">
                  <c:v>4.2</c:v>
                </c:pt>
                <c:pt idx="10">
                  <c:v>4</c:v>
                </c:pt>
                <c:pt idx="11">
                  <c:v>4.7</c:v>
                </c:pt>
                <c:pt idx="12">
                  <c:v>3.6</c:v>
                </c:pt>
                <c:pt idx="13">
                  <c:v>4.4000000000000004</c:v>
                </c:pt>
                <c:pt idx="14">
                  <c:v>4.5</c:v>
                </c:pt>
                <c:pt idx="15">
                  <c:v>4.0999999999999996</c:v>
                </c:pt>
              </c:numCache>
            </c:numRef>
          </c:xVal>
          <c:yVal>
            <c:numRef>
              <c:f>[0]!_w2</c:f>
              <c:numCache>
                <c:formatCode>General</c:formatCode>
                <c:ptCount val="16"/>
                <c:pt idx="0">
                  <c:v>1.5</c:v>
                </c:pt>
                <c:pt idx="1">
                  <c:v>1.3</c:v>
                </c:pt>
                <c:pt idx="2">
                  <c:v>1.5</c:v>
                </c:pt>
                <c:pt idx="3">
                  <c:v>1.3</c:v>
                </c:pt>
                <c:pt idx="4">
                  <c:v>1.6</c:v>
                </c:pt>
                <c:pt idx="5">
                  <c:v>1</c:v>
                </c:pt>
                <c:pt idx="6">
                  <c:v>1.3</c:v>
                </c:pt>
                <c:pt idx="7">
                  <c:v>1.4</c:v>
                </c:pt>
                <c:pt idx="8">
                  <c:v>1</c:v>
                </c:pt>
                <c:pt idx="9">
                  <c:v>1.5</c:v>
                </c:pt>
                <c:pt idx="10">
                  <c:v>1</c:v>
                </c:pt>
                <c:pt idx="11">
                  <c:v>1.4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EC-4A1B-84F5-B01CF8D7A932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[0]!_l3</c:f>
              <c:numCache>
                <c:formatCode>General</c:formatCode>
                <c:ptCount val="34"/>
                <c:pt idx="0">
                  <c:v>4.5</c:v>
                </c:pt>
                <c:pt idx="1">
                  <c:v>3.9</c:v>
                </c:pt>
                <c:pt idx="2">
                  <c:v>4.8</c:v>
                </c:pt>
                <c:pt idx="3">
                  <c:v>4</c:v>
                </c:pt>
                <c:pt idx="4">
                  <c:v>4.9000000000000004</c:v>
                </c:pt>
                <c:pt idx="5">
                  <c:v>4.7</c:v>
                </c:pt>
                <c:pt idx="6">
                  <c:v>4.3</c:v>
                </c:pt>
                <c:pt idx="7">
                  <c:v>4.4000000000000004</c:v>
                </c:pt>
                <c:pt idx="8">
                  <c:v>4.8</c:v>
                </c:pt>
                <c:pt idx="9">
                  <c:v>5</c:v>
                </c:pt>
                <c:pt idx="10">
                  <c:v>4.5</c:v>
                </c:pt>
                <c:pt idx="11">
                  <c:v>3.5</c:v>
                </c:pt>
                <c:pt idx="12">
                  <c:v>3.8</c:v>
                </c:pt>
                <c:pt idx="13">
                  <c:v>3.7</c:v>
                </c:pt>
                <c:pt idx="14">
                  <c:v>3.9</c:v>
                </c:pt>
                <c:pt idx="15">
                  <c:v>5.0999999999999996</c:v>
                </c:pt>
                <c:pt idx="16">
                  <c:v>4.5</c:v>
                </c:pt>
                <c:pt idx="17">
                  <c:v>4.5</c:v>
                </c:pt>
                <c:pt idx="18">
                  <c:v>4.7</c:v>
                </c:pt>
                <c:pt idx="19">
                  <c:v>4.4000000000000004</c:v>
                </c:pt>
                <c:pt idx="20">
                  <c:v>4.0999999999999996</c:v>
                </c:pt>
                <c:pt idx="21">
                  <c:v>4</c:v>
                </c:pt>
                <c:pt idx="22">
                  <c:v>4.4000000000000004</c:v>
                </c:pt>
                <c:pt idx="23">
                  <c:v>4.5999999999999996</c:v>
                </c:pt>
                <c:pt idx="24">
                  <c:v>4</c:v>
                </c:pt>
                <c:pt idx="25">
                  <c:v>3.3</c:v>
                </c:pt>
                <c:pt idx="26">
                  <c:v>4.2</c:v>
                </c:pt>
                <c:pt idx="27">
                  <c:v>4.2</c:v>
                </c:pt>
                <c:pt idx="28">
                  <c:v>4.2</c:v>
                </c:pt>
                <c:pt idx="29">
                  <c:v>4.3</c:v>
                </c:pt>
                <c:pt idx="30">
                  <c:v>3</c:v>
                </c:pt>
                <c:pt idx="31">
                  <c:v>4.0999999999999996</c:v>
                </c:pt>
                <c:pt idx="32">
                  <c:v>6</c:v>
                </c:pt>
                <c:pt idx="33">
                  <c:v>5.0999999999999996</c:v>
                </c:pt>
              </c:numCache>
            </c:numRef>
          </c:xVal>
          <c:yVal>
            <c:numRef>
              <c:f>[0]!_w3</c:f>
              <c:numCache>
                <c:formatCode>General</c:formatCode>
                <c:ptCount val="34"/>
                <c:pt idx="0">
                  <c:v>1.5</c:v>
                </c:pt>
                <c:pt idx="1">
                  <c:v>1.1000000000000001</c:v>
                </c:pt>
                <c:pt idx="2">
                  <c:v>1.8</c:v>
                </c:pt>
                <c:pt idx="3">
                  <c:v>1.3</c:v>
                </c:pt>
                <c:pt idx="4">
                  <c:v>1.5</c:v>
                </c:pt>
                <c:pt idx="5">
                  <c:v>1.2</c:v>
                </c:pt>
                <c:pt idx="6">
                  <c:v>1.3</c:v>
                </c:pt>
                <c:pt idx="7">
                  <c:v>1.4</c:v>
                </c:pt>
                <c:pt idx="8">
                  <c:v>1.4</c:v>
                </c:pt>
                <c:pt idx="9">
                  <c:v>1.7</c:v>
                </c:pt>
                <c:pt idx="10">
                  <c:v>1.5</c:v>
                </c:pt>
                <c:pt idx="11">
                  <c:v>1</c:v>
                </c:pt>
                <c:pt idx="12">
                  <c:v>1.1000000000000001</c:v>
                </c:pt>
                <c:pt idx="13">
                  <c:v>1</c:v>
                </c:pt>
                <c:pt idx="14">
                  <c:v>1.2</c:v>
                </c:pt>
                <c:pt idx="15">
                  <c:v>1.6</c:v>
                </c:pt>
                <c:pt idx="16">
                  <c:v>1.5</c:v>
                </c:pt>
                <c:pt idx="17">
                  <c:v>1.6</c:v>
                </c:pt>
                <c:pt idx="18">
                  <c:v>1.5</c:v>
                </c:pt>
                <c:pt idx="19">
                  <c:v>1.3</c:v>
                </c:pt>
                <c:pt idx="20">
                  <c:v>1.3</c:v>
                </c:pt>
                <c:pt idx="21">
                  <c:v>1.3</c:v>
                </c:pt>
                <c:pt idx="22">
                  <c:v>1.2</c:v>
                </c:pt>
                <c:pt idx="23">
                  <c:v>1.4</c:v>
                </c:pt>
                <c:pt idx="24">
                  <c:v>1.2</c:v>
                </c:pt>
                <c:pt idx="25">
                  <c:v>1</c:v>
                </c:pt>
                <c:pt idx="26">
                  <c:v>1.3</c:v>
                </c:pt>
                <c:pt idx="27">
                  <c:v>1.2</c:v>
                </c:pt>
                <c:pt idx="28">
                  <c:v>1.3</c:v>
                </c:pt>
                <c:pt idx="29">
                  <c:v>1.3</c:v>
                </c:pt>
                <c:pt idx="30">
                  <c:v>1.1000000000000001</c:v>
                </c:pt>
                <c:pt idx="31">
                  <c:v>1.3</c:v>
                </c:pt>
                <c:pt idx="32">
                  <c:v>2.5</c:v>
                </c:pt>
                <c:pt idx="3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EC-4A1B-84F5-B01CF8D7A932}"/>
            </c:ext>
          </c:extLst>
        </c:ser>
        <c:ser>
          <c:idx val="3"/>
          <c:order val="3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[0]!_l4</c:f>
              <c:numCache>
                <c:formatCode>General</c:formatCode>
                <c:ptCount val="48"/>
                <c:pt idx="0">
                  <c:v>5.9</c:v>
                </c:pt>
                <c:pt idx="1">
                  <c:v>5.6</c:v>
                </c:pt>
                <c:pt idx="2">
                  <c:v>5.8</c:v>
                </c:pt>
                <c:pt idx="3">
                  <c:v>6.6</c:v>
                </c:pt>
                <c:pt idx="4">
                  <c:v>4.5</c:v>
                </c:pt>
                <c:pt idx="5">
                  <c:v>6.3</c:v>
                </c:pt>
                <c:pt idx="6">
                  <c:v>5.8</c:v>
                </c:pt>
                <c:pt idx="7">
                  <c:v>6.1</c:v>
                </c:pt>
                <c:pt idx="8">
                  <c:v>5.0999999999999996</c:v>
                </c:pt>
                <c:pt idx="9">
                  <c:v>5.3</c:v>
                </c:pt>
                <c:pt idx="10">
                  <c:v>5.5</c:v>
                </c:pt>
                <c:pt idx="11">
                  <c:v>5</c:v>
                </c:pt>
                <c:pt idx="12">
                  <c:v>5.0999999999999996</c:v>
                </c:pt>
                <c:pt idx="13">
                  <c:v>5.3</c:v>
                </c:pt>
                <c:pt idx="14">
                  <c:v>5.5</c:v>
                </c:pt>
                <c:pt idx="15">
                  <c:v>6.7</c:v>
                </c:pt>
                <c:pt idx="16">
                  <c:v>6.9</c:v>
                </c:pt>
                <c:pt idx="17">
                  <c:v>5</c:v>
                </c:pt>
                <c:pt idx="18">
                  <c:v>5.7</c:v>
                </c:pt>
                <c:pt idx="19">
                  <c:v>4.9000000000000004</c:v>
                </c:pt>
                <c:pt idx="20">
                  <c:v>6.7</c:v>
                </c:pt>
                <c:pt idx="21">
                  <c:v>4.9000000000000004</c:v>
                </c:pt>
                <c:pt idx="22">
                  <c:v>5.7</c:v>
                </c:pt>
                <c:pt idx="23">
                  <c:v>6</c:v>
                </c:pt>
                <c:pt idx="24">
                  <c:v>4.8</c:v>
                </c:pt>
                <c:pt idx="25">
                  <c:v>4.9000000000000004</c:v>
                </c:pt>
                <c:pt idx="26">
                  <c:v>5.6</c:v>
                </c:pt>
                <c:pt idx="27">
                  <c:v>5.8</c:v>
                </c:pt>
                <c:pt idx="28">
                  <c:v>6.1</c:v>
                </c:pt>
                <c:pt idx="29">
                  <c:v>6.4</c:v>
                </c:pt>
                <c:pt idx="30">
                  <c:v>5.6</c:v>
                </c:pt>
                <c:pt idx="31">
                  <c:v>5.0999999999999996</c:v>
                </c:pt>
                <c:pt idx="32">
                  <c:v>5.6</c:v>
                </c:pt>
                <c:pt idx="33">
                  <c:v>6.1</c:v>
                </c:pt>
                <c:pt idx="34">
                  <c:v>5.6</c:v>
                </c:pt>
                <c:pt idx="35">
                  <c:v>5.5</c:v>
                </c:pt>
                <c:pt idx="36">
                  <c:v>4.8</c:v>
                </c:pt>
                <c:pt idx="37">
                  <c:v>5.4</c:v>
                </c:pt>
                <c:pt idx="38">
                  <c:v>5.6</c:v>
                </c:pt>
                <c:pt idx="39">
                  <c:v>5.0999999999999996</c:v>
                </c:pt>
                <c:pt idx="40">
                  <c:v>5.0999999999999996</c:v>
                </c:pt>
                <c:pt idx="41">
                  <c:v>5.9</c:v>
                </c:pt>
                <c:pt idx="42">
                  <c:v>5.7</c:v>
                </c:pt>
                <c:pt idx="43">
                  <c:v>5.2</c:v>
                </c:pt>
                <c:pt idx="44">
                  <c:v>5</c:v>
                </c:pt>
                <c:pt idx="45">
                  <c:v>5.2</c:v>
                </c:pt>
                <c:pt idx="46">
                  <c:v>5.4</c:v>
                </c:pt>
                <c:pt idx="47">
                  <c:v>5.0999999999999996</c:v>
                </c:pt>
              </c:numCache>
            </c:numRef>
          </c:xVal>
          <c:yVal>
            <c:numRef>
              <c:f>[0]!_w4</c:f>
              <c:numCache>
                <c:formatCode>General</c:formatCode>
                <c:ptCount val="48"/>
                <c:pt idx="0">
                  <c:v>2.1</c:v>
                </c:pt>
                <c:pt idx="1">
                  <c:v>1.8</c:v>
                </c:pt>
                <c:pt idx="2">
                  <c:v>2.2000000000000002</c:v>
                </c:pt>
                <c:pt idx="3">
                  <c:v>2.1</c:v>
                </c:pt>
                <c:pt idx="4">
                  <c:v>1.7</c:v>
                </c:pt>
                <c:pt idx="5">
                  <c:v>1.8</c:v>
                </c:pt>
                <c:pt idx="6">
                  <c:v>1.8</c:v>
                </c:pt>
                <c:pt idx="7">
                  <c:v>2.5</c:v>
                </c:pt>
                <c:pt idx="8">
                  <c:v>2</c:v>
                </c:pt>
                <c:pt idx="9">
                  <c:v>1.9</c:v>
                </c:pt>
                <c:pt idx="10">
                  <c:v>2.1</c:v>
                </c:pt>
                <c:pt idx="11">
                  <c:v>2</c:v>
                </c:pt>
                <c:pt idx="12">
                  <c:v>2.4</c:v>
                </c:pt>
                <c:pt idx="13">
                  <c:v>2.2999999999999998</c:v>
                </c:pt>
                <c:pt idx="14">
                  <c:v>1.8</c:v>
                </c:pt>
                <c:pt idx="15">
                  <c:v>2.2000000000000002</c:v>
                </c:pt>
                <c:pt idx="16">
                  <c:v>2.2999999999999998</c:v>
                </c:pt>
                <c:pt idx="17">
                  <c:v>1.5</c:v>
                </c:pt>
                <c:pt idx="18">
                  <c:v>2.2999999999999998</c:v>
                </c:pt>
                <c:pt idx="19">
                  <c:v>2</c:v>
                </c:pt>
                <c:pt idx="20">
                  <c:v>2</c:v>
                </c:pt>
                <c:pt idx="21">
                  <c:v>1.8</c:v>
                </c:pt>
                <c:pt idx="22">
                  <c:v>2.1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2.1</c:v>
                </c:pt>
                <c:pt idx="27">
                  <c:v>1.6</c:v>
                </c:pt>
                <c:pt idx="28">
                  <c:v>1.9</c:v>
                </c:pt>
                <c:pt idx="29">
                  <c:v>2</c:v>
                </c:pt>
                <c:pt idx="30">
                  <c:v>2.2000000000000002</c:v>
                </c:pt>
                <c:pt idx="31">
                  <c:v>1.5</c:v>
                </c:pt>
                <c:pt idx="32">
                  <c:v>1.4</c:v>
                </c:pt>
                <c:pt idx="33">
                  <c:v>2.2999999999999998</c:v>
                </c:pt>
                <c:pt idx="34">
                  <c:v>2.4</c:v>
                </c:pt>
                <c:pt idx="35">
                  <c:v>1.8</c:v>
                </c:pt>
                <c:pt idx="36">
                  <c:v>1.8</c:v>
                </c:pt>
                <c:pt idx="37">
                  <c:v>2.1</c:v>
                </c:pt>
                <c:pt idx="38">
                  <c:v>2.4</c:v>
                </c:pt>
                <c:pt idx="39">
                  <c:v>2.2999999999999998</c:v>
                </c:pt>
                <c:pt idx="40">
                  <c:v>1.9</c:v>
                </c:pt>
                <c:pt idx="41">
                  <c:v>2.2999999999999998</c:v>
                </c:pt>
                <c:pt idx="42">
                  <c:v>2.5</c:v>
                </c:pt>
                <c:pt idx="43">
                  <c:v>2.2999999999999998</c:v>
                </c:pt>
                <c:pt idx="44">
                  <c:v>1.9</c:v>
                </c:pt>
                <c:pt idx="45">
                  <c:v>2</c:v>
                </c:pt>
                <c:pt idx="46">
                  <c:v>2.2999999999999998</c:v>
                </c:pt>
                <c:pt idx="47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EC-4A1B-84F5-B01CF8D7A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30424"/>
        <c:axId val="499431736"/>
      </c:scatterChart>
      <c:valAx>
        <c:axId val="499430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1736"/>
        <c:crosses val="autoZero"/>
        <c:crossBetween val="midCat"/>
      </c:valAx>
      <c:valAx>
        <c:axId val="499431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499430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518160</xdr:colOff>
      <xdr:row>18</xdr:row>
      <xdr:rowOff>77152</xdr:rowOff>
    </xdr:from>
    <xdr:to>
      <xdr:col>16</xdr:col>
      <xdr:colOff>213360</xdr:colOff>
      <xdr:row>32</xdr:row>
      <xdr:rowOff>145732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518160</xdr:colOff>
          <xdr:row>14</xdr:row>
          <xdr:rowOff>175260</xdr:rowOff>
        </xdr:from>
        <xdr:to>
          <xdr:col>12</xdr:col>
          <xdr:colOff>167640</xdr:colOff>
          <xdr:row>17</xdr:row>
          <xdr:rowOff>83820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INICJALIZACJA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15</xdr:row>
          <xdr:rowOff>22860</xdr:rowOff>
        </xdr:from>
        <xdr:to>
          <xdr:col>15</xdr:col>
          <xdr:colOff>434340</xdr:colOff>
          <xdr:row>17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Krok KMeans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18</xdr:row>
          <xdr:rowOff>137160</xdr:rowOff>
        </xdr:from>
        <xdr:to>
          <xdr:col>13</xdr:col>
          <xdr:colOff>274320</xdr:colOff>
          <xdr:row>21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INICJALIZACJA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18</xdr:row>
          <xdr:rowOff>152400</xdr:rowOff>
        </xdr:from>
        <xdr:to>
          <xdr:col>16</xdr:col>
          <xdr:colOff>518160</xdr:colOff>
          <xdr:row>21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Krok KMeans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152400</xdr:colOff>
      <xdr:row>3</xdr:row>
      <xdr:rowOff>140970</xdr:rowOff>
    </xdr:from>
    <xdr:to>
      <xdr:col>10</xdr:col>
      <xdr:colOff>457200</xdr:colOff>
      <xdr:row>18</xdr:row>
      <xdr:rowOff>140970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6FE5601-F45A-4A68-F8C8-170DA3EE63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T151"/>
  <sheetViews>
    <sheetView workbookViewId="0">
      <selection activeCell="N12" sqref="N12"/>
    </sheetView>
  </sheetViews>
  <sheetFormatPr defaultRowHeight="14.4" x14ac:dyDescent="0.3"/>
  <cols>
    <col min="1" max="1" width="12.109375" bestFit="1" customWidth="1"/>
    <col min="2" max="2" width="11.554687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15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L1" t="s">
        <v>6</v>
      </c>
      <c r="M1" t="s">
        <v>7</v>
      </c>
      <c r="Q1" t="s">
        <v>0</v>
      </c>
      <c r="R1" t="s">
        <v>1</v>
      </c>
      <c r="S1" t="s">
        <v>2</v>
      </c>
      <c r="T1" t="s">
        <v>15</v>
      </c>
    </row>
    <row r="2" spans="1:20" x14ac:dyDescent="0.3">
      <c r="A2">
        <v>1.4</v>
      </c>
      <c r="B2">
        <v>0.2</v>
      </c>
      <c r="C2" t="s">
        <v>3</v>
      </c>
      <c r="D2">
        <f>IF(G2=I2,1,2)</f>
        <v>2</v>
      </c>
      <c r="E2">
        <f t="shared" ref="E2:E33" si="0">(A2-L$2)/L$3</f>
        <v>-1.3402265266227671</v>
      </c>
      <c r="F2">
        <f t="shared" ref="F2:F33" si="1">(B2-M$2)/M$3</f>
        <v>-1.3154442950077423</v>
      </c>
      <c r="G2">
        <f t="array" ref="G2">SQRT(SUM(($E2:$F2-$M$6:$N$6)^2))</f>
        <v>2.7831204321462319</v>
      </c>
      <c r="H2">
        <f t="array" ref="H2">SQRT(SUM(($E2:$F2-$M$7:$N$7)^2))</f>
        <v>7.0058557690375306E-2</v>
      </c>
      <c r="I2">
        <f>MIN(G2:H2)</f>
        <v>7.0058557690375306E-2</v>
      </c>
      <c r="K2" t="s">
        <v>11</v>
      </c>
      <c r="L2">
        <f>AVERAGE(A:A)</f>
        <v>3.7580000000000027</v>
      </c>
      <c r="M2">
        <f>AVERAGE(B:B)</f>
        <v>1.199333333333334</v>
      </c>
      <c r="Q2">
        <v>1.4</v>
      </c>
      <c r="R2">
        <v>0.2</v>
      </c>
      <c r="S2" t="s">
        <v>3</v>
      </c>
      <c r="T2">
        <v>1</v>
      </c>
    </row>
    <row r="3" spans="1:20" x14ac:dyDescent="0.3">
      <c r="A3">
        <v>1.4</v>
      </c>
      <c r="B3">
        <v>0.2</v>
      </c>
      <c r="C3" t="s">
        <v>3</v>
      </c>
      <c r="D3">
        <f t="shared" ref="D3:D66" si="2">IF(G3=I3,1,2)</f>
        <v>2</v>
      </c>
      <c r="E3">
        <f t="shared" si="0"/>
        <v>-1.3402265266227671</v>
      </c>
      <c r="F3">
        <f t="shared" si="1"/>
        <v>-1.3154442950077423</v>
      </c>
      <c r="G3">
        <f t="array" ref="G3">SQRT(SUM(($E3:$F3-$M$6:$N$6)^2))</f>
        <v>2.7831204321462319</v>
      </c>
      <c r="H3">
        <f t="array" ref="H3">SQRT(SUM(($E3:$F3-$M$7:$N$7)^2))</f>
        <v>7.0058557690375306E-2</v>
      </c>
      <c r="I3">
        <f>MIN(G3:H3)</f>
        <v>7.0058557690375306E-2</v>
      </c>
      <c r="K3" t="s">
        <v>12</v>
      </c>
      <c r="L3">
        <f>_xlfn.STDEV.P(A:A)</f>
        <v>1.7594040657752985</v>
      </c>
      <c r="M3">
        <f>_xlfn.STDEV.P(B:B)</f>
        <v>0.75969262790215863</v>
      </c>
      <c r="Q3">
        <v>1.4</v>
      </c>
      <c r="R3">
        <v>0.2</v>
      </c>
      <c r="S3" t="s">
        <v>3</v>
      </c>
      <c r="T3">
        <v>1</v>
      </c>
    </row>
    <row r="4" spans="1:20" x14ac:dyDescent="0.3">
      <c r="A4">
        <v>1.3</v>
      </c>
      <c r="B4">
        <v>0.2</v>
      </c>
      <c r="C4" t="s">
        <v>3</v>
      </c>
      <c r="D4">
        <f t="shared" si="2"/>
        <v>2</v>
      </c>
      <c r="E4">
        <f t="shared" si="0"/>
        <v>-1.3970639535363705</v>
      </c>
      <c r="F4">
        <f t="shared" si="1"/>
        <v>-1.3154442950077423</v>
      </c>
      <c r="G4">
        <f t="array" ref="G4">SQRT(SUM(($E4:$F4-$M$6:$N$6)^2))</f>
        <v>2.8240949008436154</v>
      </c>
      <c r="H4">
        <f t="array" ref="H4">SQRT(SUM(($E4:$F4-$M$7:$N$7)^2))</f>
        <v>0.11020211452387114</v>
      </c>
      <c r="I4">
        <f t="shared" ref="I4:I66" si="3">MIN(G4:H4)</f>
        <v>0.11020211452387114</v>
      </c>
      <c r="Q4">
        <v>1.3</v>
      </c>
      <c r="R4">
        <v>0.2</v>
      </c>
      <c r="S4" t="s">
        <v>3</v>
      </c>
      <c r="T4">
        <v>1</v>
      </c>
    </row>
    <row r="5" spans="1:20" x14ac:dyDescent="0.3">
      <c r="A5">
        <v>1.5</v>
      </c>
      <c r="B5">
        <v>0.2</v>
      </c>
      <c r="C5" t="s">
        <v>3</v>
      </c>
      <c r="D5">
        <f t="shared" si="2"/>
        <v>2</v>
      </c>
      <c r="E5">
        <f t="shared" si="0"/>
        <v>-1.2833890997091637</v>
      </c>
      <c r="F5">
        <f t="shared" si="1"/>
        <v>-1.3154442950077423</v>
      </c>
      <c r="G5">
        <f t="array" ref="G5">SQRT(SUM(($E5:$F5-$M$6:$N$6)^2))</f>
        <v>2.7427117341939282</v>
      </c>
      <c r="H5">
        <f t="array" ref="H5">SQRT(SUM(($E5:$F5-$M$7:$N$7)^2))</f>
        <v>6.4287503934258403E-2</v>
      </c>
      <c r="I5">
        <f t="shared" si="3"/>
        <v>6.4287503934258403E-2</v>
      </c>
      <c r="K5" t="s">
        <v>14</v>
      </c>
      <c r="L5" t="s">
        <v>13</v>
      </c>
      <c r="M5" t="s">
        <v>6</v>
      </c>
      <c r="N5" t="s">
        <v>7</v>
      </c>
      <c r="O5" t="s">
        <v>16</v>
      </c>
      <c r="Q5">
        <v>1.5</v>
      </c>
      <c r="R5">
        <v>0.2</v>
      </c>
      <c r="S5" t="s">
        <v>3</v>
      </c>
      <c r="T5">
        <v>1</v>
      </c>
    </row>
    <row r="6" spans="1:20" x14ac:dyDescent="0.3">
      <c r="A6">
        <v>1.4</v>
      </c>
      <c r="B6">
        <v>0.2</v>
      </c>
      <c r="C6" t="s">
        <v>3</v>
      </c>
      <c r="D6">
        <f t="shared" si="2"/>
        <v>2</v>
      </c>
      <c r="E6">
        <f t="shared" si="0"/>
        <v>-1.3402265266227671</v>
      </c>
      <c r="F6">
        <f t="shared" si="1"/>
        <v>-1.3154442950077423</v>
      </c>
      <c r="G6">
        <f t="array" ref="G6">SQRT(SUM(($E6:$F6-$M$6:$N$6)^2))</f>
        <v>2.7831204321462319</v>
      </c>
      <c r="H6">
        <f t="array" ref="H6">SQRT(SUM(($E6:$F6-$M$7:$N$7)^2))</f>
        <v>7.0058557690375306E-2</v>
      </c>
      <c r="I6">
        <f t="shared" si="3"/>
        <v>7.0058557690375306E-2</v>
      </c>
      <c r="K6">
        <v>1</v>
      </c>
      <c r="L6">
        <v>27</v>
      </c>
      <c r="M6">
        <v>0.65249366096816419</v>
      </c>
      <c r="N6">
        <v>0.62744674511710019</v>
      </c>
      <c r="O6">
        <f>COUNTIF(D:D,K6)</f>
        <v>100</v>
      </c>
      <c r="Q6">
        <v>1.4</v>
      </c>
      <c r="R6">
        <v>0.2</v>
      </c>
      <c r="S6" t="s">
        <v>3</v>
      </c>
      <c r="T6">
        <v>1</v>
      </c>
    </row>
    <row r="7" spans="1:20" x14ac:dyDescent="0.3">
      <c r="A7">
        <v>1.7</v>
      </c>
      <c r="B7">
        <v>0.4</v>
      </c>
      <c r="C7" t="s">
        <v>3</v>
      </c>
      <c r="D7">
        <f t="shared" si="2"/>
        <v>2</v>
      </c>
      <c r="E7">
        <f t="shared" si="0"/>
        <v>-1.1697142458819572</v>
      </c>
      <c r="F7">
        <f t="shared" si="1"/>
        <v>-1.0521799264271401</v>
      </c>
      <c r="G7">
        <f t="array" ref="G7">SQRT(SUM(($E7:$F7-$M$6:$N$6)^2))</f>
        <v>2.4782226315546962</v>
      </c>
      <c r="H7">
        <f t="array" ref="H7">SQRT(SUM(($E7:$F7-$M$7:$N$7)^2))</f>
        <v>0.24370390652710749</v>
      </c>
      <c r="I7">
        <f t="shared" si="3"/>
        <v>0.24370390652710749</v>
      </c>
      <c r="K7">
        <v>2</v>
      </c>
      <c r="L7">
        <v>11</v>
      </c>
      <c r="M7">
        <v>-1.3049873219363317</v>
      </c>
      <c r="N7">
        <v>-1.2548934902342039</v>
      </c>
      <c r="O7">
        <f>COUNTIF(D:D,K7)</f>
        <v>50</v>
      </c>
      <c r="Q7">
        <v>1.7</v>
      </c>
      <c r="R7">
        <v>0.4</v>
      </c>
      <c r="S7" t="s">
        <v>3</v>
      </c>
      <c r="T7">
        <v>1</v>
      </c>
    </row>
    <row r="8" spans="1:20" x14ac:dyDescent="0.3">
      <c r="A8">
        <v>1.4</v>
      </c>
      <c r="B8">
        <v>0.3</v>
      </c>
      <c r="C8" t="s">
        <v>3</v>
      </c>
      <c r="D8">
        <f t="shared" si="2"/>
        <v>2</v>
      </c>
      <c r="E8">
        <f t="shared" si="0"/>
        <v>-1.3402265266227671</v>
      </c>
      <c r="F8">
        <f t="shared" si="1"/>
        <v>-1.1838121107174411</v>
      </c>
      <c r="G8">
        <f t="array" ref="G8">SQRT(SUM(($E8:$F8-$M$6:$N$6)^2))</f>
        <v>2.6928780865222044</v>
      </c>
      <c r="H8">
        <f t="array" ref="H8">SQRT(SUM(($E8:$F8-$M$7:$N$7)^2))</f>
        <v>7.9337028309223692E-2</v>
      </c>
      <c r="I8">
        <f t="shared" si="3"/>
        <v>7.9337028309223692E-2</v>
      </c>
      <c r="Q8">
        <v>1.4</v>
      </c>
      <c r="R8">
        <v>0.3</v>
      </c>
      <c r="S8" t="s">
        <v>3</v>
      </c>
      <c r="T8">
        <v>1</v>
      </c>
    </row>
    <row r="9" spans="1:20" x14ac:dyDescent="0.3">
      <c r="A9">
        <v>1.5</v>
      </c>
      <c r="B9">
        <v>0.2</v>
      </c>
      <c r="C9" t="s">
        <v>3</v>
      </c>
      <c r="D9">
        <f t="shared" si="2"/>
        <v>2</v>
      </c>
      <c r="E9">
        <f t="shared" si="0"/>
        <v>-1.2833890997091637</v>
      </c>
      <c r="F9">
        <f t="shared" si="1"/>
        <v>-1.3154442950077423</v>
      </c>
      <c r="G9">
        <f t="array" ref="G9">SQRT(SUM(($E9:$F9-$M$6:$N$6)^2))</f>
        <v>2.7427117341939282</v>
      </c>
      <c r="H9">
        <f t="array" ref="H9">SQRT(SUM(($E9:$F9-$M$7:$N$7)^2))</f>
        <v>6.4287503934258403E-2</v>
      </c>
      <c r="I9">
        <f t="shared" si="3"/>
        <v>6.4287503934258403E-2</v>
      </c>
      <c r="N9">
        <f ca="1">OFFSET($E$1,$L6,0)</f>
        <v>-1.2265516727955603</v>
      </c>
      <c r="Q9">
        <v>1.5</v>
      </c>
      <c r="R9">
        <v>0.2</v>
      </c>
      <c r="S9" t="s">
        <v>3</v>
      </c>
      <c r="T9">
        <v>1</v>
      </c>
    </row>
    <row r="10" spans="1:20" x14ac:dyDescent="0.3">
      <c r="A10">
        <v>1.4</v>
      </c>
      <c r="B10">
        <v>0.2</v>
      </c>
      <c r="C10" t="s">
        <v>3</v>
      </c>
      <c r="D10">
        <f t="shared" si="2"/>
        <v>2</v>
      </c>
      <c r="E10">
        <f t="shared" si="0"/>
        <v>-1.3402265266227671</v>
      </c>
      <c r="F10">
        <f t="shared" si="1"/>
        <v>-1.3154442950077423</v>
      </c>
      <c r="G10">
        <f t="array" ref="G10">SQRT(SUM(($E10:$F10-$M$6:$N$6)^2))</f>
        <v>2.7831204321462319</v>
      </c>
      <c r="H10">
        <f t="array" ref="H10">SQRT(SUM(($E10:$F10-$M$7:$N$7)^2))</f>
        <v>7.0058557690375306E-2</v>
      </c>
      <c r="I10">
        <f t="shared" si="3"/>
        <v>7.0058557690375306E-2</v>
      </c>
      <c r="K10" t="s">
        <v>17</v>
      </c>
      <c r="Q10">
        <v>1.4</v>
      </c>
      <c r="R10">
        <v>0.2</v>
      </c>
      <c r="S10" t="s">
        <v>3</v>
      </c>
      <c r="T10">
        <v>1</v>
      </c>
    </row>
    <row r="11" spans="1:20" x14ac:dyDescent="0.3">
      <c r="A11">
        <v>1.5</v>
      </c>
      <c r="B11">
        <v>0.1</v>
      </c>
      <c r="C11" t="s">
        <v>3</v>
      </c>
      <c r="D11">
        <f t="shared" si="2"/>
        <v>2</v>
      </c>
      <c r="E11">
        <f t="shared" si="0"/>
        <v>-1.2833890997091637</v>
      </c>
      <c r="F11">
        <f t="shared" si="1"/>
        <v>-1.4470764792980431</v>
      </c>
      <c r="G11">
        <f t="array" ref="G11">SQRT(SUM(($E11:$F11-$M$6:$N$6)^2))</f>
        <v>2.8374792812856762</v>
      </c>
      <c r="H11">
        <f t="array" ref="H11">SQRT(SUM(($E11:$F11-$M$7:$N$7)^2))</f>
        <v>0.19339282429523036</v>
      </c>
      <c r="I11">
        <f t="shared" si="3"/>
        <v>0.19339282429523036</v>
      </c>
      <c r="K11" t="s">
        <v>14</v>
      </c>
      <c r="L11" t="s">
        <v>6</v>
      </c>
      <c r="M11" t="s">
        <v>7</v>
      </c>
      <c r="N11" t="s">
        <v>18</v>
      </c>
      <c r="O11" t="s">
        <v>19</v>
      </c>
      <c r="Q11">
        <v>1.5</v>
      </c>
      <c r="R11">
        <v>0.1</v>
      </c>
      <c r="S11" t="s">
        <v>3</v>
      </c>
      <c r="T11">
        <v>1</v>
      </c>
    </row>
    <row r="12" spans="1:20" x14ac:dyDescent="0.3">
      <c r="A12">
        <v>1.5</v>
      </c>
      <c r="B12">
        <v>0.2</v>
      </c>
      <c r="C12" t="s">
        <v>3</v>
      </c>
      <c r="D12">
        <f t="shared" si="2"/>
        <v>2</v>
      </c>
      <c r="E12">
        <f t="shared" si="0"/>
        <v>-1.2833890997091637</v>
      </c>
      <c r="F12">
        <f t="shared" si="1"/>
        <v>-1.3154442950077423</v>
      </c>
      <c r="G12">
        <f t="array" ref="G12">SQRT(SUM(($E12:$F12-$M$6:$N$6)^2))</f>
        <v>2.7427117341939282</v>
      </c>
      <c r="H12">
        <f t="array" ref="H12">SQRT(SUM(($E12:$F12-$M$7:$N$7)^2))</f>
        <v>6.4287503934258403E-2</v>
      </c>
      <c r="I12">
        <f t="shared" si="3"/>
        <v>6.4287503934258403E-2</v>
      </c>
      <c r="K12">
        <v>1</v>
      </c>
      <c r="L12">
        <f>AVERAGEIF($D:$D,$K12,E:E)</f>
        <v>0.65249366096816419</v>
      </c>
      <c r="M12">
        <f>AVERAGEIF($D:$D,$K12,F:F)</f>
        <v>0.62744674511710019</v>
      </c>
      <c r="N12">
        <f ca="1">AVERAGE(_pl1)</f>
        <v>2.8610000000000002</v>
      </c>
      <c r="O12">
        <f ca="1">AVERAGE(_pw1)</f>
        <v>0.78599999999999992</v>
      </c>
      <c r="Q12">
        <v>1.5</v>
      </c>
      <c r="R12">
        <v>0.2</v>
      </c>
      <c r="S12" t="s">
        <v>3</v>
      </c>
      <c r="T12">
        <v>1</v>
      </c>
    </row>
    <row r="13" spans="1:20" x14ac:dyDescent="0.3">
      <c r="A13">
        <v>1.6</v>
      </c>
      <c r="B13">
        <v>0.2</v>
      </c>
      <c r="C13" t="s">
        <v>3</v>
      </c>
      <c r="D13">
        <f t="shared" si="2"/>
        <v>2</v>
      </c>
      <c r="E13">
        <f t="shared" si="0"/>
        <v>-1.2265516727955603</v>
      </c>
      <c r="F13">
        <f t="shared" si="1"/>
        <v>-1.3154442950077423</v>
      </c>
      <c r="G13">
        <f t="array" ref="G13">SQRT(SUM(($E13:$F13-$M$6:$N$6)^2))</f>
        <v>2.7028941821937127</v>
      </c>
      <c r="H13">
        <f t="array" ref="H13">SQRT(SUM(($E13:$F13-$M$7:$N$7)^2))</f>
        <v>9.9088601841268026E-2</v>
      </c>
      <c r="I13">
        <f t="shared" si="3"/>
        <v>9.9088601841268026E-2</v>
      </c>
      <c r="K13">
        <v>2</v>
      </c>
      <c r="L13">
        <f>AVERAGEIF($D:$D,$K13,E:E)</f>
        <v>-1.3049873219363317</v>
      </c>
      <c r="M13">
        <f>AVERAGEIF($D:$D,$K13,F:F)</f>
        <v>-1.2548934902342039</v>
      </c>
      <c r="N13">
        <f ca="1">AVERAGE(_pl2)</f>
        <v>5.5519999999999996</v>
      </c>
      <c r="O13">
        <f ca="1">AVERAGE(_pw2)</f>
        <v>2.0259999999999998</v>
      </c>
      <c r="Q13">
        <v>1.6</v>
      </c>
      <c r="R13">
        <v>0.2</v>
      </c>
      <c r="S13" t="s">
        <v>3</v>
      </c>
      <c r="T13">
        <v>1</v>
      </c>
    </row>
    <row r="14" spans="1:20" x14ac:dyDescent="0.3">
      <c r="A14">
        <v>1.4</v>
      </c>
      <c r="B14">
        <v>0.1</v>
      </c>
      <c r="C14" t="s">
        <v>3</v>
      </c>
      <c r="D14">
        <f t="shared" si="2"/>
        <v>2</v>
      </c>
      <c r="E14">
        <f t="shared" si="0"/>
        <v>-1.3402265266227671</v>
      </c>
      <c r="F14">
        <f t="shared" si="1"/>
        <v>-1.4470764792980431</v>
      </c>
      <c r="G14">
        <f t="array" ref="G14">SQRT(SUM(($E14:$F14-$M$6:$N$6)^2))</f>
        <v>2.876557031360623</v>
      </c>
      <c r="H14">
        <f t="array" ref="H14">SQRT(SUM(($E14:$F14-$M$7:$N$7)^2))</f>
        <v>0.19538705901989567</v>
      </c>
      <c r="I14">
        <f t="shared" si="3"/>
        <v>0.19538705901989567</v>
      </c>
      <c r="Q14">
        <v>1.4</v>
      </c>
      <c r="R14">
        <v>0.1</v>
      </c>
      <c r="S14" t="s">
        <v>3</v>
      </c>
      <c r="T14">
        <v>1</v>
      </c>
    </row>
    <row r="15" spans="1:20" x14ac:dyDescent="0.3">
      <c r="A15">
        <v>1.1000000000000001</v>
      </c>
      <c r="B15">
        <v>0.1</v>
      </c>
      <c r="C15" t="s">
        <v>3</v>
      </c>
      <c r="D15">
        <f t="shared" si="2"/>
        <v>2</v>
      </c>
      <c r="E15">
        <f t="shared" si="0"/>
        <v>-1.5107388073635768</v>
      </c>
      <c r="F15">
        <f t="shared" si="1"/>
        <v>-1.4470764792980431</v>
      </c>
      <c r="G15">
        <f t="array" ref="G15">SQRT(SUM(($E15:$F15-$M$6:$N$6)^2))</f>
        <v>2.9972022488785175</v>
      </c>
      <c r="H15">
        <f t="array" ref="H15">SQRT(SUM(($E15:$F15-$M$7:$N$7)^2))</f>
        <v>0.28154568908265948</v>
      </c>
      <c r="I15">
        <f t="shared" si="3"/>
        <v>0.28154568908265948</v>
      </c>
      <c r="Q15">
        <v>1.1000000000000001</v>
      </c>
      <c r="R15">
        <v>0.1</v>
      </c>
      <c r="S15" t="s">
        <v>3</v>
      </c>
      <c r="T15">
        <v>1</v>
      </c>
    </row>
    <row r="16" spans="1:20" x14ac:dyDescent="0.3">
      <c r="A16">
        <v>1.2</v>
      </c>
      <c r="B16">
        <v>0.2</v>
      </c>
      <c r="C16" t="s">
        <v>3</v>
      </c>
      <c r="D16">
        <f t="shared" si="2"/>
        <v>2</v>
      </c>
      <c r="E16">
        <f t="shared" si="0"/>
        <v>-1.4539013804499734</v>
      </c>
      <c r="F16">
        <f t="shared" si="1"/>
        <v>-1.3154442950077423</v>
      </c>
      <c r="G16">
        <f t="array" ref="G16">SQRT(SUM(($E16:$F16-$M$6:$N$6)^2))</f>
        <v>2.8656108710549502</v>
      </c>
      <c r="H16">
        <f t="array" ref="H16">SQRT(SUM(($E16:$F16-$M$7:$N$7)^2))</f>
        <v>0.16075383908861232</v>
      </c>
      <c r="I16">
        <f t="shared" si="3"/>
        <v>0.16075383908861232</v>
      </c>
      <c r="Q16">
        <v>1.2</v>
      </c>
      <c r="R16">
        <v>0.2</v>
      </c>
      <c r="S16" t="s">
        <v>3</v>
      </c>
      <c r="T16">
        <v>1</v>
      </c>
    </row>
    <row r="17" spans="1:20" x14ac:dyDescent="0.3">
      <c r="A17">
        <v>1.5</v>
      </c>
      <c r="B17">
        <v>0.4</v>
      </c>
      <c r="C17" t="s">
        <v>3</v>
      </c>
      <c r="D17">
        <f t="shared" si="2"/>
        <v>2</v>
      </c>
      <c r="E17">
        <f t="shared" si="0"/>
        <v>-1.2833890997091637</v>
      </c>
      <c r="F17">
        <f t="shared" si="1"/>
        <v>-1.0521799264271401</v>
      </c>
      <c r="G17">
        <f t="array" ref="G17">SQRT(SUM(($E17:$F17-$M$6:$N$6)^2))</f>
        <v>2.5629646542335411</v>
      </c>
      <c r="H17">
        <f t="array" ref="H17">SQRT(SUM(($E17:$F17-$M$7:$N$7)^2))</f>
        <v>0.2038609137493862</v>
      </c>
      <c r="I17">
        <f t="shared" si="3"/>
        <v>0.2038609137493862</v>
      </c>
      <c r="Q17">
        <v>1.5</v>
      </c>
      <c r="R17">
        <v>0.4</v>
      </c>
      <c r="S17" t="s">
        <v>3</v>
      </c>
      <c r="T17">
        <v>1</v>
      </c>
    </row>
    <row r="18" spans="1:20" x14ac:dyDescent="0.3">
      <c r="A18">
        <v>1.3</v>
      </c>
      <c r="B18">
        <v>0.4</v>
      </c>
      <c r="C18" t="s">
        <v>3</v>
      </c>
      <c r="D18">
        <f t="shared" si="2"/>
        <v>2</v>
      </c>
      <c r="E18">
        <f t="shared" si="0"/>
        <v>-1.3970639535363705</v>
      </c>
      <c r="F18">
        <f t="shared" si="1"/>
        <v>-1.0521799264271401</v>
      </c>
      <c r="G18">
        <f t="array" ref="G18">SQRT(SUM(($E18:$F18-$M$6:$N$6)^2))</f>
        <v>2.6498739915204084</v>
      </c>
      <c r="H18">
        <f t="array" ref="H18">SQRT(SUM(($E18:$F18-$M$7:$N$7)^2))</f>
        <v>0.22264522235648759</v>
      </c>
      <c r="I18">
        <f t="shared" si="3"/>
        <v>0.22264522235648759</v>
      </c>
      <c r="Q18">
        <v>1.3</v>
      </c>
      <c r="R18">
        <v>0.4</v>
      </c>
      <c r="S18" t="s">
        <v>3</v>
      </c>
      <c r="T18">
        <v>1</v>
      </c>
    </row>
    <row r="19" spans="1:20" x14ac:dyDescent="0.3">
      <c r="A19">
        <v>1.4</v>
      </c>
      <c r="B19">
        <v>0.3</v>
      </c>
      <c r="C19" t="s">
        <v>3</v>
      </c>
      <c r="D19">
        <f t="shared" si="2"/>
        <v>2</v>
      </c>
      <c r="E19">
        <f t="shared" si="0"/>
        <v>-1.3402265266227671</v>
      </c>
      <c r="F19">
        <f t="shared" si="1"/>
        <v>-1.1838121107174411</v>
      </c>
      <c r="G19">
        <f t="array" ref="G19">SQRT(SUM(($E19:$F19-$M$6:$N$6)^2))</f>
        <v>2.6928780865222044</v>
      </c>
      <c r="H19">
        <f t="array" ref="H19">SQRT(SUM(($E19:$F19-$M$7:$N$7)^2))</f>
        <v>7.9337028309223692E-2</v>
      </c>
      <c r="I19">
        <f t="shared" si="3"/>
        <v>7.9337028309223692E-2</v>
      </c>
      <c r="Q19">
        <v>1.4</v>
      </c>
      <c r="R19">
        <v>0.3</v>
      </c>
      <c r="S19" t="s">
        <v>3</v>
      </c>
      <c r="T19">
        <v>1</v>
      </c>
    </row>
    <row r="20" spans="1:20" x14ac:dyDescent="0.3">
      <c r="A20">
        <v>1.7</v>
      </c>
      <c r="B20">
        <v>0.3</v>
      </c>
      <c r="C20" t="s">
        <v>3</v>
      </c>
      <c r="D20">
        <f t="shared" si="2"/>
        <v>2</v>
      </c>
      <c r="E20">
        <f t="shared" si="0"/>
        <v>-1.1697142458819572</v>
      </c>
      <c r="F20">
        <f t="shared" si="1"/>
        <v>-1.1838121107174411</v>
      </c>
      <c r="G20">
        <f t="array" ref="G20">SQRT(SUM(($E20:$F20-$M$6:$N$6)^2))</f>
        <v>2.5692606521383059</v>
      </c>
      <c r="H20">
        <f t="array" ref="H20">SQRT(SUM(($E20:$F20-$M$7:$N$7)^2))</f>
        <v>0.15281154282062162</v>
      </c>
      <c r="I20">
        <f t="shared" si="3"/>
        <v>0.15281154282062162</v>
      </c>
      <c r="Q20">
        <v>1.7</v>
      </c>
      <c r="R20">
        <v>0.3</v>
      </c>
      <c r="S20" t="s">
        <v>3</v>
      </c>
      <c r="T20">
        <v>1</v>
      </c>
    </row>
    <row r="21" spans="1:20" x14ac:dyDescent="0.3">
      <c r="A21">
        <v>1.5</v>
      </c>
      <c r="B21">
        <v>0.3</v>
      </c>
      <c r="C21" t="s">
        <v>3</v>
      </c>
      <c r="D21">
        <f t="shared" si="2"/>
        <v>2</v>
      </c>
      <c r="E21">
        <f t="shared" si="0"/>
        <v>-1.2833890997091637</v>
      </c>
      <c r="F21">
        <f t="shared" si="1"/>
        <v>-1.1838121107174411</v>
      </c>
      <c r="G21">
        <f t="array" ref="G21">SQRT(SUM(($E21:$F21-$M$6:$N$6)^2))</f>
        <v>2.6510942468963119</v>
      </c>
      <c r="H21">
        <f t="array" ref="H21">SQRT(SUM(($E21:$F21-$M$7:$N$7)^2))</f>
        <v>7.4290280100294467E-2</v>
      </c>
      <c r="I21">
        <f t="shared" si="3"/>
        <v>7.4290280100294467E-2</v>
      </c>
      <c r="Q21">
        <v>1.5</v>
      </c>
      <c r="R21">
        <v>0.3</v>
      </c>
      <c r="S21" t="s">
        <v>3</v>
      </c>
      <c r="T21">
        <v>1</v>
      </c>
    </row>
    <row r="22" spans="1:20" x14ac:dyDescent="0.3">
      <c r="A22">
        <v>1.7</v>
      </c>
      <c r="B22">
        <v>0.2</v>
      </c>
      <c r="C22" t="s">
        <v>3</v>
      </c>
      <c r="D22">
        <f t="shared" si="2"/>
        <v>2</v>
      </c>
      <c r="E22">
        <f t="shared" si="0"/>
        <v>-1.1697142458819572</v>
      </c>
      <c r="F22">
        <f t="shared" si="1"/>
        <v>-1.3154442950077423</v>
      </c>
      <c r="G22">
        <f t="array" ref="G22">SQRT(SUM(($E22:$F22-$M$6:$N$6)^2))</f>
        <v>2.6636942860592114</v>
      </c>
      <c r="H22">
        <f t="array" ref="H22">SQRT(SUM(($E22:$F22-$M$7:$N$7)^2))</f>
        <v>0.14820662962207781</v>
      </c>
      <c r="I22">
        <f t="shared" si="3"/>
        <v>0.14820662962207781</v>
      </c>
      <c r="Q22">
        <v>1.7</v>
      </c>
      <c r="R22">
        <v>0.2</v>
      </c>
      <c r="S22" t="s">
        <v>3</v>
      </c>
      <c r="T22">
        <v>1</v>
      </c>
    </row>
    <row r="23" spans="1:20" x14ac:dyDescent="0.3">
      <c r="A23">
        <v>1.5</v>
      </c>
      <c r="B23">
        <v>0.4</v>
      </c>
      <c r="C23" t="s">
        <v>3</v>
      </c>
      <c r="D23">
        <f t="shared" si="2"/>
        <v>2</v>
      </c>
      <c r="E23">
        <f t="shared" si="0"/>
        <v>-1.2833890997091637</v>
      </c>
      <c r="F23">
        <f t="shared" si="1"/>
        <v>-1.0521799264271401</v>
      </c>
      <c r="G23">
        <f t="array" ref="G23">SQRT(SUM(($E23:$F23-$M$6:$N$6)^2))</f>
        <v>2.5629646542335411</v>
      </c>
      <c r="H23">
        <f t="array" ref="H23">SQRT(SUM(($E23:$F23-$M$7:$N$7)^2))</f>
        <v>0.2038609137493862</v>
      </c>
      <c r="I23">
        <f t="shared" si="3"/>
        <v>0.2038609137493862</v>
      </c>
      <c r="Q23">
        <v>1.5</v>
      </c>
      <c r="R23">
        <v>0.4</v>
      </c>
      <c r="S23" t="s">
        <v>3</v>
      </c>
      <c r="T23">
        <v>1</v>
      </c>
    </row>
    <row r="24" spans="1:20" x14ac:dyDescent="0.3">
      <c r="A24">
        <v>1</v>
      </c>
      <c r="B24">
        <v>0.2</v>
      </c>
      <c r="C24" t="s">
        <v>3</v>
      </c>
      <c r="D24">
        <f t="shared" si="2"/>
        <v>2</v>
      </c>
      <c r="E24">
        <f t="shared" si="0"/>
        <v>-1.5675762342771802</v>
      </c>
      <c r="F24">
        <f t="shared" si="1"/>
        <v>-1.3154442950077423</v>
      </c>
      <c r="G24">
        <f t="array" ref="G24">SQRT(SUM(($E24:$F24-$M$6:$N$6)^2))</f>
        <v>2.9501755767364197</v>
      </c>
      <c r="H24">
        <f t="array" ref="H24">SQRT(SUM(($E24:$F24-$M$7:$N$7)^2))</f>
        <v>0.26947975219498949</v>
      </c>
      <c r="I24">
        <f t="shared" si="3"/>
        <v>0.26947975219498949</v>
      </c>
      <c r="Q24">
        <v>1</v>
      </c>
      <c r="R24">
        <v>0.2</v>
      </c>
      <c r="S24" t="s">
        <v>3</v>
      </c>
      <c r="T24">
        <v>1</v>
      </c>
    </row>
    <row r="25" spans="1:20" x14ac:dyDescent="0.3">
      <c r="A25">
        <v>1.7</v>
      </c>
      <c r="B25">
        <v>0.5</v>
      </c>
      <c r="C25" t="s">
        <v>3</v>
      </c>
      <c r="D25">
        <f t="shared" si="2"/>
        <v>2</v>
      </c>
      <c r="E25">
        <f t="shared" si="0"/>
        <v>-1.1697142458819572</v>
      </c>
      <c r="F25">
        <f t="shared" si="1"/>
        <v>-0.92054774213683921</v>
      </c>
      <c r="G25">
        <f t="array" ref="G25">SQRT(SUM(($E25:$F25-$M$6:$N$6)^2))</f>
        <v>2.3909681278418766</v>
      </c>
      <c r="H25">
        <f t="array" ref="H25">SQRT(SUM(($E25:$F25-$M$7:$N$7)^2))</f>
        <v>0.36067420808258399</v>
      </c>
      <c r="I25">
        <f t="shared" si="3"/>
        <v>0.36067420808258399</v>
      </c>
      <c r="Q25">
        <v>1.7</v>
      </c>
      <c r="R25">
        <v>0.5</v>
      </c>
      <c r="S25" t="s">
        <v>3</v>
      </c>
      <c r="T25">
        <v>1</v>
      </c>
    </row>
    <row r="26" spans="1:20" x14ac:dyDescent="0.3">
      <c r="A26">
        <v>1.9</v>
      </c>
      <c r="B26">
        <v>0.2</v>
      </c>
      <c r="C26" t="s">
        <v>3</v>
      </c>
      <c r="D26">
        <f t="shared" si="2"/>
        <v>2</v>
      </c>
      <c r="E26">
        <f t="shared" si="0"/>
        <v>-1.0560393920547506</v>
      </c>
      <c r="F26">
        <f t="shared" si="1"/>
        <v>-1.3154442950077423</v>
      </c>
      <c r="G26">
        <f t="array" ref="G26">SQRT(SUM(($E26:$F26-$M$6:$N$6)^2))</f>
        <v>2.5872593196409968</v>
      </c>
      <c r="H26">
        <f t="array" ref="H26">SQRT(SUM(($E26:$F26-$M$7:$N$7)^2))</f>
        <v>0.25620591669797121</v>
      </c>
      <c r="I26">
        <f t="shared" si="3"/>
        <v>0.25620591669797121</v>
      </c>
      <c r="Q26">
        <v>1.9</v>
      </c>
      <c r="R26">
        <v>0.2</v>
      </c>
      <c r="S26" t="s">
        <v>3</v>
      </c>
      <c r="T26">
        <v>1</v>
      </c>
    </row>
    <row r="27" spans="1:20" x14ac:dyDescent="0.3">
      <c r="A27">
        <v>1.6</v>
      </c>
      <c r="B27">
        <v>0.2</v>
      </c>
      <c r="C27" t="s">
        <v>3</v>
      </c>
      <c r="D27">
        <f t="shared" si="2"/>
        <v>2</v>
      </c>
      <c r="E27">
        <f t="shared" si="0"/>
        <v>-1.2265516727955603</v>
      </c>
      <c r="F27">
        <f t="shared" si="1"/>
        <v>-1.3154442950077423</v>
      </c>
      <c r="G27">
        <f t="array" ref="G27">SQRT(SUM(($E27:$F27-$M$6:$N$6)^2))</f>
        <v>2.7028941821937127</v>
      </c>
      <c r="H27">
        <f t="array" ref="H27">SQRT(SUM(($E27:$F27-$M$7:$N$7)^2))</f>
        <v>9.9088601841268026E-2</v>
      </c>
      <c r="I27">
        <f t="shared" si="3"/>
        <v>9.9088601841268026E-2</v>
      </c>
      <c r="Q27">
        <v>1.6</v>
      </c>
      <c r="R27">
        <v>0.2</v>
      </c>
      <c r="S27" t="s">
        <v>3</v>
      </c>
      <c r="T27">
        <v>1</v>
      </c>
    </row>
    <row r="28" spans="1:20" x14ac:dyDescent="0.3">
      <c r="A28">
        <v>1.6</v>
      </c>
      <c r="B28">
        <v>0.4</v>
      </c>
      <c r="C28" t="s">
        <v>3</v>
      </c>
      <c r="D28">
        <f t="shared" si="2"/>
        <v>2</v>
      </c>
      <c r="E28">
        <f t="shared" si="0"/>
        <v>-1.2265516727955603</v>
      </c>
      <c r="F28">
        <f t="shared" si="1"/>
        <v>-1.0521799264271401</v>
      </c>
      <c r="G28">
        <f t="array" ref="G28">SQRT(SUM(($E28:$F28-$M$6:$N$6)^2))</f>
        <v>2.5203089338614841</v>
      </c>
      <c r="H28">
        <f t="array" ref="H28">SQRT(SUM(($E28:$F28-$M$7:$N$7)^2))</f>
        <v>0.21735901179268996</v>
      </c>
      <c r="I28">
        <f t="shared" si="3"/>
        <v>0.21735901179268996</v>
      </c>
      <c r="Q28">
        <v>1.6</v>
      </c>
      <c r="R28">
        <v>0.4</v>
      </c>
      <c r="S28" t="s">
        <v>3</v>
      </c>
      <c r="T28">
        <v>1</v>
      </c>
    </row>
    <row r="29" spans="1:20" x14ac:dyDescent="0.3">
      <c r="A29">
        <v>1.5</v>
      </c>
      <c r="B29">
        <v>0.2</v>
      </c>
      <c r="C29" t="s">
        <v>3</v>
      </c>
      <c r="D29">
        <f t="shared" si="2"/>
        <v>2</v>
      </c>
      <c r="E29">
        <f t="shared" si="0"/>
        <v>-1.2833890997091637</v>
      </c>
      <c r="F29">
        <f t="shared" si="1"/>
        <v>-1.3154442950077423</v>
      </c>
      <c r="G29">
        <f t="array" ref="G29">SQRT(SUM(($E29:$F29-$M$6:$N$6)^2))</f>
        <v>2.7427117341939282</v>
      </c>
      <c r="H29">
        <f t="array" ref="H29">SQRT(SUM(($E29:$F29-$M$7:$N$7)^2))</f>
        <v>6.4287503934258403E-2</v>
      </c>
      <c r="I29">
        <f t="shared" si="3"/>
        <v>6.4287503934258403E-2</v>
      </c>
      <c r="Q29">
        <v>1.5</v>
      </c>
      <c r="R29">
        <v>0.2</v>
      </c>
      <c r="S29" t="s">
        <v>3</v>
      </c>
      <c r="T29">
        <v>1</v>
      </c>
    </row>
    <row r="30" spans="1:20" x14ac:dyDescent="0.3">
      <c r="A30">
        <v>1.4</v>
      </c>
      <c r="B30">
        <v>0.2</v>
      </c>
      <c r="C30" t="s">
        <v>3</v>
      </c>
      <c r="D30">
        <f t="shared" si="2"/>
        <v>2</v>
      </c>
      <c r="E30">
        <f t="shared" si="0"/>
        <v>-1.3402265266227671</v>
      </c>
      <c r="F30">
        <f t="shared" si="1"/>
        <v>-1.3154442950077423</v>
      </c>
      <c r="G30">
        <f t="array" ref="G30">SQRT(SUM(($E30:$F30-$M$6:$N$6)^2))</f>
        <v>2.7831204321462319</v>
      </c>
      <c r="H30">
        <f t="array" ref="H30">SQRT(SUM(($E30:$F30-$M$7:$N$7)^2))</f>
        <v>7.0058557690375306E-2</v>
      </c>
      <c r="I30">
        <f t="shared" si="3"/>
        <v>7.0058557690375306E-2</v>
      </c>
      <c r="Q30">
        <v>1.4</v>
      </c>
      <c r="R30">
        <v>0.2</v>
      </c>
      <c r="S30" t="s">
        <v>3</v>
      </c>
      <c r="T30">
        <v>1</v>
      </c>
    </row>
    <row r="31" spans="1:20" x14ac:dyDescent="0.3">
      <c r="A31">
        <v>1.6</v>
      </c>
      <c r="B31">
        <v>0.2</v>
      </c>
      <c r="C31" t="s">
        <v>3</v>
      </c>
      <c r="D31">
        <f t="shared" si="2"/>
        <v>2</v>
      </c>
      <c r="E31">
        <f t="shared" si="0"/>
        <v>-1.2265516727955603</v>
      </c>
      <c r="F31">
        <f t="shared" si="1"/>
        <v>-1.3154442950077423</v>
      </c>
      <c r="G31">
        <f t="array" ref="G31">SQRT(SUM(($E31:$F31-$M$6:$N$6)^2))</f>
        <v>2.7028941821937127</v>
      </c>
      <c r="H31">
        <f t="array" ref="H31">SQRT(SUM(($E31:$F31-$M$7:$N$7)^2))</f>
        <v>9.9088601841268026E-2</v>
      </c>
      <c r="I31">
        <f t="shared" si="3"/>
        <v>9.9088601841268026E-2</v>
      </c>
      <c r="Q31">
        <v>1.6</v>
      </c>
      <c r="R31">
        <v>0.2</v>
      </c>
      <c r="S31" t="s">
        <v>3</v>
      </c>
      <c r="T31">
        <v>1</v>
      </c>
    </row>
    <row r="32" spans="1:20" x14ac:dyDescent="0.3">
      <c r="A32">
        <v>1.6</v>
      </c>
      <c r="B32">
        <v>0.2</v>
      </c>
      <c r="C32" t="s">
        <v>3</v>
      </c>
      <c r="D32">
        <f t="shared" si="2"/>
        <v>2</v>
      </c>
      <c r="E32">
        <f t="shared" si="0"/>
        <v>-1.2265516727955603</v>
      </c>
      <c r="F32">
        <f t="shared" si="1"/>
        <v>-1.3154442950077423</v>
      </c>
      <c r="G32">
        <f t="array" ref="G32">SQRT(SUM(($E32:$F32-$M$6:$N$6)^2))</f>
        <v>2.7028941821937127</v>
      </c>
      <c r="H32">
        <f t="array" ref="H32">SQRT(SUM(($E32:$F32-$M$7:$N$7)^2))</f>
        <v>9.9088601841268026E-2</v>
      </c>
      <c r="I32">
        <f t="shared" si="3"/>
        <v>9.9088601841268026E-2</v>
      </c>
      <c r="Q32">
        <v>1.6</v>
      </c>
      <c r="R32">
        <v>0.2</v>
      </c>
      <c r="S32" t="s">
        <v>3</v>
      </c>
      <c r="T32">
        <v>1</v>
      </c>
    </row>
    <row r="33" spans="1:20" x14ac:dyDescent="0.3">
      <c r="A33">
        <v>1.5</v>
      </c>
      <c r="B33">
        <v>0.4</v>
      </c>
      <c r="C33" t="s">
        <v>3</v>
      </c>
      <c r="D33">
        <f t="shared" si="2"/>
        <v>2</v>
      </c>
      <c r="E33">
        <f t="shared" si="0"/>
        <v>-1.2833890997091637</v>
      </c>
      <c r="F33">
        <f t="shared" si="1"/>
        <v>-1.0521799264271401</v>
      </c>
      <c r="G33">
        <f t="array" ref="G33">SQRT(SUM(($E33:$F33-$M$6:$N$6)^2))</f>
        <v>2.5629646542335411</v>
      </c>
      <c r="H33">
        <f t="array" ref="H33">SQRT(SUM(($E33:$F33-$M$7:$N$7)^2))</f>
        <v>0.2038609137493862</v>
      </c>
      <c r="I33">
        <f t="shared" si="3"/>
        <v>0.2038609137493862</v>
      </c>
      <c r="Q33">
        <v>1.5</v>
      </c>
      <c r="R33">
        <v>0.4</v>
      </c>
      <c r="S33" t="s">
        <v>3</v>
      </c>
      <c r="T33">
        <v>1</v>
      </c>
    </row>
    <row r="34" spans="1:20" x14ac:dyDescent="0.3">
      <c r="A34">
        <v>1.5</v>
      </c>
      <c r="B34">
        <v>0.1</v>
      </c>
      <c r="C34" t="s">
        <v>3</v>
      </c>
      <c r="D34">
        <f t="shared" si="2"/>
        <v>2</v>
      </c>
      <c r="E34">
        <f t="shared" ref="E34:E65" si="4">(A34-L$2)/L$3</f>
        <v>-1.2833890997091637</v>
      </c>
      <c r="F34">
        <f t="shared" ref="F34:F65" si="5">(B34-M$2)/M$3</f>
        <v>-1.4470764792980431</v>
      </c>
      <c r="G34">
        <f t="array" ref="G34">SQRT(SUM(($E34:$F34-$M$6:$N$6)^2))</f>
        <v>2.8374792812856762</v>
      </c>
      <c r="H34">
        <f t="array" ref="H34">SQRT(SUM(($E34:$F34-$M$7:$N$7)^2))</f>
        <v>0.19339282429523036</v>
      </c>
      <c r="I34">
        <f t="shared" si="3"/>
        <v>0.19339282429523036</v>
      </c>
      <c r="L34" s="1"/>
      <c r="Q34">
        <v>1.5</v>
      </c>
      <c r="R34">
        <v>0.1</v>
      </c>
      <c r="S34" t="s">
        <v>3</v>
      </c>
      <c r="T34">
        <v>1</v>
      </c>
    </row>
    <row r="35" spans="1:20" x14ac:dyDescent="0.3">
      <c r="A35">
        <v>1.4</v>
      </c>
      <c r="B35">
        <v>0.2</v>
      </c>
      <c r="C35" t="s">
        <v>3</v>
      </c>
      <c r="D35">
        <f t="shared" si="2"/>
        <v>2</v>
      </c>
      <c r="E35">
        <f t="shared" si="4"/>
        <v>-1.3402265266227671</v>
      </c>
      <c r="F35">
        <f t="shared" si="5"/>
        <v>-1.3154442950077423</v>
      </c>
      <c r="G35">
        <f t="array" ref="G35">SQRT(SUM(($E35:$F35-$M$6:$N$6)^2))</f>
        <v>2.7831204321462319</v>
      </c>
      <c r="H35">
        <f t="array" ref="H35">SQRT(SUM(($E35:$F35-$M$7:$N$7)^2))</f>
        <v>7.0058557690375306E-2</v>
      </c>
      <c r="I35">
        <f t="shared" si="3"/>
        <v>7.0058557690375306E-2</v>
      </c>
      <c r="Q35">
        <v>1.4</v>
      </c>
      <c r="R35">
        <v>0.2</v>
      </c>
      <c r="S35" t="s">
        <v>3</v>
      </c>
      <c r="T35">
        <v>1</v>
      </c>
    </row>
    <row r="36" spans="1:20" x14ac:dyDescent="0.3">
      <c r="A36">
        <v>1.5</v>
      </c>
      <c r="B36">
        <v>0.2</v>
      </c>
      <c r="C36" t="s">
        <v>3</v>
      </c>
      <c r="D36">
        <f t="shared" si="2"/>
        <v>2</v>
      </c>
      <c r="E36">
        <f t="shared" si="4"/>
        <v>-1.2833890997091637</v>
      </c>
      <c r="F36">
        <f t="shared" si="5"/>
        <v>-1.3154442950077423</v>
      </c>
      <c r="G36">
        <f t="array" ref="G36">SQRT(SUM(($E36:$F36-$M$6:$N$6)^2))</f>
        <v>2.7427117341939282</v>
      </c>
      <c r="H36">
        <f t="array" ref="H36">SQRT(SUM(($E36:$F36-$M$7:$N$7)^2))</f>
        <v>6.4287503934258403E-2</v>
      </c>
      <c r="I36">
        <f t="shared" si="3"/>
        <v>6.4287503934258403E-2</v>
      </c>
      <c r="Q36">
        <v>1.5</v>
      </c>
      <c r="R36">
        <v>0.2</v>
      </c>
      <c r="S36" t="s">
        <v>3</v>
      </c>
      <c r="T36">
        <v>1</v>
      </c>
    </row>
    <row r="37" spans="1:20" x14ac:dyDescent="0.3">
      <c r="A37">
        <v>1.2</v>
      </c>
      <c r="B37">
        <v>0.2</v>
      </c>
      <c r="C37" t="s">
        <v>3</v>
      </c>
      <c r="D37">
        <f t="shared" si="2"/>
        <v>2</v>
      </c>
      <c r="E37">
        <f t="shared" si="4"/>
        <v>-1.4539013804499734</v>
      </c>
      <c r="F37">
        <f t="shared" si="5"/>
        <v>-1.3154442950077423</v>
      </c>
      <c r="G37">
        <f t="array" ref="G37">SQRT(SUM(($E37:$F37-$M$6:$N$6)^2))</f>
        <v>2.8656108710549502</v>
      </c>
      <c r="H37">
        <f t="array" ref="H37">SQRT(SUM(($E37:$F37-$M$7:$N$7)^2))</f>
        <v>0.16075383908861232</v>
      </c>
      <c r="I37">
        <f t="shared" si="3"/>
        <v>0.16075383908861232</v>
      </c>
      <c r="Q37">
        <v>1.2</v>
      </c>
      <c r="R37">
        <v>0.2</v>
      </c>
      <c r="S37" t="s">
        <v>3</v>
      </c>
      <c r="T37">
        <v>1</v>
      </c>
    </row>
    <row r="38" spans="1:20" x14ac:dyDescent="0.3">
      <c r="A38">
        <v>1.3</v>
      </c>
      <c r="B38">
        <v>0.2</v>
      </c>
      <c r="C38" t="s">
        <v>3</v>
      </c>
      <c r="D38">
        <f t="shared" si="2"/>
        <v>2</v>
      </c>
      <c r="E38">
        <f t="shared" si="4"/>
        <v>-1.3970639535363705</v>
      </c>
      <c r="F38">
        <f t="shared" si="5"/>
        <v>-1.3154442950077423</v>
      </c>
      <c r="G38">
        <f t="array" ref="G38">SQRT(SUM(($E38:$F38-$M$6:$N$6)^2))</f>
        <v>2.8240949008436154</v>
      </c>
      <c r="H38">
        <f t="array" ref="H38">SQRT(SUM(($E38:$F38-$M$7:$N$7)^2))</f>
        <v>0.11020211452387114</v>
      </c>
      <c r="I38">
        <f t="shared" si="3"/>
        <v>0.11020211452387114</v>
      </c>
      <c r="Q38">
        <v>1.3</v>
      </c>
      <c r="R38">
        <v>0.2</v>
      </c>
      <c r="S38" t="s">
        <v>3</v>
      </c>
      <c r="T38">
        <v>1</v>
      </c>
    </row>
    <row r="39" spans="1:20" x14ac:dyDescent="0.3">
      <c r="A39">
        <v>1.4</v>
      </c>
      <c r="B39">
        <v>0.1</v>
      </c>
      <c r="C39" t="s">
        <v>3</v>
      </c>
      <c r="D39">
        <f t="shared" si="2"/>
        <v>2</v>
      </c>
      <c r="E39">
        <f t="shared" si="4"/>
        <v>-1.3402265266227671</v>
      </c>
      <c r="F39">
        <f t="shared" si="5"/>
        <v>-1.4470764792980431</v>
      </c>
      <c r="G39">
        <f t="array" ref="G39">SQRT(SUM(($E39:$F39-$M$6:$N$6)^2))</f>
        <v>2.876557031360623</v>
      </c>
      <c r="H39">
        <f t="array" ref="H39">SQRT(SUM(($E39:$F39-$M$7:$N$7)^2))</f>
        <v>0.19538705901989567</v>
      </c>
      <c r="I39">
        <f t="shared" si="3"/>
        <v>0.19538705901989567</v>
      </c>
      <c r="Q39">
        <v>1.4</v>
      </c>
      <c r="R39">
        <v>0.1</v>
      </c>
      <c r="S39" t="s">
        <v>3</v>
      </c>
      <c r="T39">
        <v>1</v>
      </c>
    </row>
    <row r="40" spans="1:20" x14ac:dyDescent="0.3">
      <c r="A40">
        <v>1.3</v>
      </c>
      <c r="B40">
        <v>0.2</v>
      </c>
      <c r="C40" t="s">
        <v>3</v>
      </c>
      <c r="D40">
        <f t="shared" si="2"/>
        <v>2</v>
      </c>
      <c r="E40">
        <f t="shared" si="4"/>
        <v>-1.3970639535363705</v>
      </c>
      <c r="F40">
        <f t="shared" si="5"/>
        <v>-1.3154442950077423</v>
      </c>
      <c r="G40">
        <f t="array" ref="G40">SQRT(SUM(($E40:$F40-$M$6:$N$6)^2))</f>
        <v>2.8240949008436154</v>
      </c>
      <c r="H40">
        <f t="array" ref="H40">SQRT(SUM(($E40:$F40-$M$7:$N$7)^2))</f>
        <v>0.11020211452387114</v>
      </c>
      <c r="I40">
        <f t="shared" si="3"/>
        <v>0.11020211452387114</v>
      </c>
      <c r="Q40">
        <v>1.3</v>
      </c>
      <c r="R40">
        <v>0.2</v>
      </c>
      <c r="S40" t="s">
        <v>3</v>
      </c>
      <c r="T40">
        <v>1</v>
      </c>
    </row>
    <row r="41" spans="1:20" x14ac:dyDescent="0.3">
      <c r="A41">
        <v>1.5</v>
      </c>
      <c r="B41">
        <v>0.2</v>
      </c>
      <c r="C41" t="s">
        <v>3</v>
      </c>
      <c r="D41">
        <f t="shared" si="2"/>
        <v>2</v>
      </c>
      <c r="E41">
        <f t="shared" si="4"/>
        <v>-1.2833890997091637</v>
      </c>
      <c r="F41">
        <f t="shared" si="5"/>
        <v>-1.3154442950077423</v>
      </c>
      <c r="G41">
        <f t="array" ref="G41">SQRT(SUM(($E41:$F41-$M$6:$N$6)^2))</f>
        <v>2.7427117341939282</v>
      </c>
      <c r="H41">
        <f t="array" ref="H41">SQRT(SUM(($E41:$F41-$M$7:$N$7)^2))</f>
        <v>6.4287503934258403E-2</v>
      </c>
      <c r="I41">
        <f t="shared" si="3"/>
        <v>6.4287503934258403E-2</v>
      </c>
      <c r="Q41">
        <v>1.5</v>
      </c>
      <c r="R41">
        <v>0.2</v>
      </c>
      <c r="S41" t="s">
        <v>3</v>
      </c>
      <c r="T41">
        <v>1</v>
      </c>
    </row>
    <row r="42" spans="1:20" x14ac:dyDescent="0.3">
      <c r="A42">
        <v>1.3</v>
      </c>
      <c r="B42">
        <v>0.3</v>
      </c>
      <c r="C42" t="s">
        <v>3</v>
      </c>
      <c r="D42">
        <f t="shared" si="2"/>
        <v>2</v>
      </c>
      <c r="E42">
        <f t="shared" si="4"/>
        <v>-1.3970639535363705</v>
      </c>
      <c r="F42">
        <f t="shared" si="5"/>
        <v>-1.1838121107174411</v>
      </c>
      <c r="G42">
        <f t="array" ref="G42">SQRT(SUM(($E42:$F42-$M$6:$N$6)^2))</f>
        <v>2.7352047561403094</v>
      </c>
      <c r="H42">
        <f t="array" ref="H42">SQRT(SUM(($E42:$F42-$M$7:$N$7)^2))</f>
        <v>0.11632140216149103</v>
      </c>
      <c r="I42">
        <f t="shared" si="3"/>
        <v>0.11632140216149103</v>
      </c>
      <c r="Q42">
        <v>1.3</v>
      </c>
      <c r="R42">
        <v>0.3</v>
      </c>
      <c r="S42" t="s">
        <v>3</v>
      </c>
      <c r="T42">
        <v>1</v>
      </c>
    </row>
    <row r="43" spans="1:20" x14ac:dyDescent="0.3">
      <c r="A43">
        <v>1.3</v>
      </c>
      <c r="B43">
        <v>0.3</v>
      </c>
      <c r="C43" t="s">
        <v>3</v>
      </c>
      <c r="D43">
        <f t="shared" si="2"/>
        <v>2</v>
      </c>
      <c r="E43">
        <f t="shared" si="4"/>
        <v>-1.3970639535363705</v>
      </c>
      <c r="F43">
        <f t="shared" si="5"/>
        <v>-1.1838121107174411</v>
      </c>
      <c r="G43">
        <f t="array" ref="G43">SQRT(SUM(($E43:$F43-$M$6:$N$6)^2))</f>
        <v>2.7352047561403094</v>
      </c>
      <c r="H43">
        <f t="array" ref="H43">SQRT(SUM(($E43:$F43-$M$7:$N$7)^2))</f>
        <v>0.11632140216149103</v>
      </c>
      <c r="I43">
        <f t="shared" si="3"/>
        <v>0.11632140216149103</v>
      </c>
      <c r="Q43">
        <v>1.3</v>
      </c>
      <c r="R43">
        <v>0.3</v>
      </c>
      <c r="S43" t="s">
        <v>3</v>
      </c>
      <c r="T43">
        <v>1</v>
      </c>
    </row>
    <row r="44" spans="1:20" x14ac:dyDescent="0.3">
      <c r="A44">
        <v>1.3</v>
      </c>
      <c r="B44">
        <v>0.2</v>
      </c>
      <c r="C44" t="s">
        <v>3</v>
      </c>
      <c r="D44">
        <f t="shared" si="2"/>
        <v>2</v>
      </c>
      <c r="E44">
        <f t="shared" si="4"/>
        <v>-1.3970639535363705</v>
      </c>
      <c r="F44">
        <f t="shared" si="5"/>
        <v>-1.3154442950077423</v>
      </c>
      <c r="G44">
        <f t="array" ref="G44">SQRT(SUM(($E44:$F44-$M$6:$N$6)^2))</f>
        <v>2.8240949008436154</v>
      </c>
      <c r="H44">
        <f t="array" ref="H44">SQRT(SUM(($E44:$F44-$M$7:$N$7)^2))</f>
        <v>0.11020211452387114</v>
      </c>
      <c r="I44">
        <f t="shared" si="3"/>
        <v>0.11020211452387114</v>
      </c>
      <c r="Q44">
        <v>1.3</v>
      </c>
      <c r="R44">
        <v>0.2</v>
      </c>
      <c r="S44" t="s">
        <v>3</v>
      </c>
      <c r="T44">
        <v>1</v>
      </c>
    </row>
    <row r="45" spans="1:20" x14ac:dyDescent="0.3">
      <c r="A45">
        <v>1.6</v>
      </c>
      <c r="B45">
        <v>0.6</v>
      </c>
      <c r="C45" t="s">
        <v>3</v>
      </c>
      <c r="D45">
        <f t="shared" si="2"/>
        <v>2</v>
      </c>
      <c r="E45">
        <f t="shared" si="4"/>
        <v>-1.2265516727955603</v>
      </c>
      <c r="F45">
        <f t="shared" si="5"/>
        <v>-0.78891555784653822</v>
      </c>
      <c r="G45">
        <f t="array" ref="G45">SQRT(SUM(($E45:$F45-$M$6:$N$6)^2))</f>
        <v>2.3530604623756886</v>
      </c>
      <c r="H45">
        <f t="array" ref="H45">SQRT(SUM(($E45:$F45-$M$7:$N$7)^2))</f>
        <v>0.47253315706775345</v>
      </c>
      <c r="I45">
        <f t="shared" si="3"/>
        <v>0.47253315706775345</v>
      </c>
      <c r="Q45">
        <v>1.6</v>
      </c>
      <c r="R45">
        <v>0.6</v>
      </c>
      <c r="S45" t="s">
        <v>3</v>
      </c>
      <c r="T45">
        <v>1</v>
      </c>
    </row>
    <row r="46" spans="1:20" x14ac:dyDescent="0.3">
      <c r="A46">
        <v>1.9</v>
      </c>
      <c r="B46">
        <v>0.4</v>
      </c>
      <c r="C46" t="s">
        <v>3</v>
      </c>
      <c r="D46">
        <f t="shared" si="2"/>
        <v>2</v>
      </c>
      <c r="E46">
        <f t="shared" si="4"/>
        <v>-1.0560393920547506</v>
      </c>
      <c r="F46">
        <f t="shared" si="5"/>
        <v>-1.0521799264271401</v>
      </c>
      <c r="G46">
        <f t="array" ref="G46">SQRT(SUM(($E46:$F46-$M$6:$N$6)^2))</f>
        <v>2.3958779077896653</v>
      </c>
      <c r="H46">
        <f t="array" ref="H46">SQRT(SUM(($E46:$F46-$M$7:$N$7)^2))</f>
        <v>0.32104183643831402</v>
      </c>
      <c r="I46">
        <f t="shared" si="3"/>
        <v>0.32104183643831402</v>
      </c>
      <c r="Q46">
        <v>1.9</v>
      </c>
      <c r="R46">
        <v>0.4</v>
      </c>
      <c r="S46" t="s">
        <v>3</v>
      </c>
      <c r="T46">
        <v>1</v>
      </c>
    </row>
    <row r="47" spans="1:20" x14ac:dyDescent="0.3">
      <c r="A47">
        <v>1.4</v>
      </c>
      <c r="B47">
        <v>0.3</v>
      </c>
      <c r="C47" t="s">
        <v>3</v>
      </c>
      <c r="D47">
        <f t="shared" si="2"/>
        <v>2</v>
      </c>
      <c r="E47">
        <f t="shared" si="4"/>
        <v>-1.3402265266227671</v>
      </c>
      <c r="F47">
        <f t="shared" si="5"/>
        <v>-1.1838121107174411</v>
      </c>
      <c r="G47">
        <f t="array" ref="G47">SQRT(SUM(($E47:$F47-$M$6:$N$6)^2))</f>
        <v>2.6928780865222044</v>
      </c>
      <c r="H47">
        <f t="array" ref="H47">SQRT(SUM(($E47:$F47-$M$7:$N$7)^2))</f>
        <v>7.9337028309223692E-2</v>
      </c>
      <c r="I47">
        <f t="shared" si="3"/>
        <v>7.9337028309223692E-2</v>
      </c>
      <c r="Q47">
        <v>1.4</v>
      </c>
      <c r="R47">
        <v>0.3</v>
      </c>
      <c r="S47" t="s">
        <v>3</v>
      </c>
      <c r="T47">
        <v>1</v>
      </c>
    </row>
    <row r="48" spans="1:20" x14ac:dyDescent="0.3">
      <c r="A48">
        <v>1.6</v>
      </c>
      <c r="B48">
        <v>0.2</v>
      </c>
      <c r="C48" t="s">
        <v>3</v>
      </c>
      <c r="D48">
        <f t="shared" si="2"/>
        <v>2</v>
      </c>
      <c r="E48">
        <f t="shared" si="4"/>
        <v>-1.2265516727955603</v>
      </c>
      <c r="F48">
        <f t="shared" si="5"/>
        <v>-1.3154442950077423</v>
      </c>
      <c r="G48">
        <f t="array" ref="G48">SQRT(SUM(($E48:$F48-$M$6:$N$6)^2))</f>
        <v>2.7028941821937127</v>
      </c>
      <c r="H48">
        <f t="array" ref="H48">SQRT(SUM(($E48:$F48-$M$7:$N$7)^2))</f>
        <v>9.9088601841268026E-2</v>
      </c>
      <c r="I48">
        <f t="shared" si="3"/>
        <v>9.9088601841268026E-2</v>
      </c>
      <c r="Q48">
        <v>1.6</v>
      </c>
      <c r="R48">
        <v>0.2</v>
      </c>
      <c r="S48" t="s">
        <v>3</v>
      </c>
      <c r="T48">
        <v>1</v>
      </c>
    </row>
    <row r="49" spans="1:20" x14ac:dyDescent="0.3">
      <c r="A49">
        <v>1.4</v>
      </c>
      <c r="B49">
        <v>0.2</v>
      </c>
      <c r="C49" t="s">
        <v>3</v>
      </c>
      <c r="D49">
        <f t="shared" si="2"/>
        <v>2</v>
      </c>
      <c r="E49">
        <f t="shared" si="4"/>
        <v>-1.3402265266227671</v>
      </c>
      <c r="F49">
        <f t="shared" si="5"/>
        <v>-1.3154442950077423</v>
      </c>
      <c r="G49">
        <f t="array" ref="G49">SQRT(SUM(($E49:$F49-$M$6:$N$6)^2))</f>
        <v>2.7831204321462319</v>
      </c>
      <c r="H49">
        <f t="array" ref="H49">SQRT(SUM(($E49:$F49-$M$7:$N$7)^2))</f>
        <v>7.0058557690375306E-2</v>
      </c>
      <c r="I49">
        <f t="shared" si="3"/>
        <v>7.0058557690375306E-2</v>
      </c>
      <c r="Q49">
        <v>1.4</v>
      </c>
      <c r="R49">
        <v>0.2</v>
      </c>
      <c r="S49" t="s">
        <v>3</v>
      </c>
      <c r="T49">
        <v>1</v>
      </c>
    </row>
    <row r="50" spans="1:20" x14ac:dyDescent="0.3">
      <c r="A50">
        <v>1.5</v>
      </c>
      <c r="B50">
        <v>0.2</v>
      </c>
      <c r="C50" t="s">
        <v>3</v>
      </c>
      <c r="D50">
        <f t="shared" si="2"/>
        <v>2</v>
      </c>
      <c r="E50">
        <f t="shared" si="4"/>
        <v>-1.2833890997091637</v>
      </c>
      <c r="F50">
        <f t="shared" si="5"/>
        <v>-1.3154442950077423</v>
      </c>
      <c r="G50">
        <f t="array" ref="G50">SQRT(SUM(($E50:$F50-$M$6:$N$6)^2))</f>
        <v>2.7427117341939282</v>
      </c>
      <c r="H50">
        <f t="array" ref="H50">SQRT(SUM(($E50:$F50-$M$7:$N$7)^2))</f>
        <v>6.4287503934258403E-2</v>
      </c>
      <c r="I50">
        <f t="shared" si="3"/>
        <v>6.4287503934258403E-2</v>
      </c>
      <c r="Q50">
        <v>1.5</v>
      </c>
      <c r="R50">
        <v>0.2</v>
      </c>
      <c r="S50" t="s">
        <v>3</v>
      </c>
      <c r="T50">
        <v>1</v>
      </c>
    </row>
    <row r="51" spans="1:20" x14ac:dyDescent="0.3">
      <c r="A51">
        <v>1.4</v>
      </c>
      <c r="B51">
        <v>0.2</v>
      </c>
      <c r="C51" t="s">
        <v>3</v>
      </c>
      <c r="D51">
        <f t="shared" si="2"/>
        <v>2</v>
      </c>
      <c r="E51">
        <f t="shared" si="4"/>
        <v>-1.3402265266227671</v>
      </c>
      <c r="F51">
        <f t="shared" si="5"/>
        <v>-1.3154442950077423</v>
      </c>
      <c r="G51">
        <f t="array" ref="G51">SQRT(SUM(($E51:$F51-$M$6:$N$6)^2))</f>
        <v>2.7831204321462319</v>
      </c>
      <c r="H51">
        <f t="array" ref="H51">SQRT(SUM(($E51:$F51-$M$7:$N$7)^2))</f>
        <v>7.0058557690375306E-2</v>
      </c>
      <c r="I51">
        <f t="shared" si="3"/>
        <v>7.0058557690375306E-2</v>
      </c>
      <c r="Q51">
        <v>1.4</v>
      </c>
      <c r="R51">
        <v>0.2</v>
      </c>
      <c r="S51" t="s">
        <v>3</v>
      </c>
      <c r="T51">
        <v>1</v>
      </c>
    </row>
    <row r="52" spans="1:20" x14ac:dyDescent="0.3">
      <c r="A52">
        <v>4.7</v>
      </c>
      <c r="B52">
        <v>1.4</v>
      </c>
      <c r="C52" t="s">
        <v>4</v>
      </c>
      <c r="D52">
        <f t="shared" si="2"/>
        <v>1</v>
      </c>
      <c r="E52">
        <f t="shared" si="4"/>
        <v>0.53540856152614158</v>
      </c>
      <c r="F52">
        <f t="shared" si="5"/>
        <v>0.2641419164758696</v>
      </c>
      <c r="G52">
        <f t="array" ref="G52">SQRT(SUM(($E52:$F52-$M$6:$N$6)^2))</f>
        <v>0.38170580166586704</v>
      </c>
      <c r="H52">
        <f t="array" ref="H52">SQRT(SUM(($E52:$F52-$M$7:$N$7)^2))</f>
        <v>2.3863205096349605</v>
      </c>
      <c r="I52">
        <f t="shared" si="3"/>
        <v>0.38170580166586704</v>
      </c>
      <c r="Q52">
        <v>4.7</v>
      </c>
      <c r="R52">
        <v>1.4</v>
      </c>
      <c r="S52" t="s">
        <v>4</v>
      </c>
      <c r="T52">
        <v>1</v>
      </c>
    </row>
    <row r="53" spans="1:20" x14ac:dyDescent="0.3">
      <c r="A53">
        <v>4.5</v>
      </c>
      <c r="B53">
        <v>1.5</v>
      </c>
      <c r="C53" t="s">
        <v>4</v>
      </c>
      <c r="D53">
        <f t="shared" si="2"/>
        <v>1</v>
      </c>
      <c r="E53">
        <f t="shared" si="4"/>
        <v>0.42173370769893487</v>
      </c>
      <c r="F53">
        <f t="shared" si="5"/>
        <v>0.3957741007661707</v>
      </c>
      <c r="G53">
        <f t="array" ref="G53">SQRT(SUM(($E53:$F53-$M$6:$N$6)^2))</f>
        <v>0.32698986249327239</v>
      </c>
      <c r="H53">
        <f t="array" ref="H53">SQRT(SUM(($E53:$F53-$M$7:$N$7)^2))</f>
        <v>2.3887798161747047</v>
      </c>
      <c r="I53">
        <f t="shared" si="3"/>
        <v>0.32698986249327239</v>
      </c>
      <c r="Q53">
        <v>4.5</v>
      </c>
      <c r="R53">
        <v>1.5</v>
      </c>
      <c r="S53" t="s">
        <v>4</v>
      </c>
      <c r="T53">
        <v>1</v>
      </c>
    </row>
    <row r="54" spans="1:20" x14ac:dyDescent="0.3">
      <c r="A54">
        <v>4.9000000000000004</v>
      </c>
      <c r="B54">
        <v>1.5</v>
      </c>
      <c r="C54" t="s">
        <v>4</v>
      </c>
      <c r="D54">
        <f t="shared" si="2"/>
        <v>1</v>
      </c>
      <c r="E54">
        <f t="shared" si="4"/>
        <v>0.64908341535334824</v>
      </c>
      <c r="F54">
        <f t="shared" si="5"/>
        <v>0.3957741007661707</v>
      </c>
      <c r="G54">
        <f t="array" ref="G54">SQRT(SUM(($E54:$F54-$M$6:$N$6)^2))</f>
        <v>0.23169774257792333</v>
      </c>
      <c r="H54">
        <f t="array" ref="H54">SQRT(SUM(($E54:$F54-$M$7:$N$7)^2))</f>
        <v>2.5579476035116149</v>
      </c>
      <c r="I54">
        <f t="shared" si="3"/>
        <v>0.23169774257792333</v>
      </c>
      <c r="Q54">
        <v>4.9000000000000004</v>
      </c>
      <c r="R54">
        <v>1.5</v>
      </c>
      <c r="S54" t="s">
        <v>4</v>
      </c>
      <c r="T54">
        <v>1</v>
      </c>
    </row>
    <row r="55" spans="1:20" x14ac:dyDescent="0.3">
      <c r="A55">
        <v>4</v>
      </c>
      <c r="B55">
        <v>1.3</v>
      </c>
      <c r="C55" t="s">
        <v>4</v>
      </c>
      <c r="D55">
        <f t="shared" si="2"/>
        <v>1</v>
      </c>
      <c r="E55">
        <f t="shared" si="4"/>
        <v>0.13754657313091845</v>
      </c>
      <c r="F55">
        <f t="shared" si="5"/>
        <v>0.1325097321855688</v>
      </c>
      <c r="G55">
        <f t="array" ref="G55">SQRT(SUM(($E55:$F55-$M$6:$N$6)^2))</f>
        <v>0.71423606044615739</v>
      </c>
      <c r="H55">
        <f t="array" ref="H55">SQRT(SUM(($E55:$F55-$M$7:$N$7)^2))</f>
        <v>2.0014474112498339</v>
      </c>
      <c r="I55">
        <f t="shared" si="3"/>
        <v>0.71423606044615739</v>
      </c>
      <c r="Q55">
        <v>4</v>
      </c>
      <c r="R55">
        <v>1.3</v>
      </c>
      <c r="S55" t="s">
        <v>4</v>
      </c>
      <c r="T55">
        <v>1</v>
      </c>
    </row>
    <row r="56" spans="1:20" x14ac:dyDescent="0.3">
      <c r="A56">
        <v>4.5999999999999996</v>
      </c>
      <c r="B56">
        <v>1.5</v>
      </c>
      <c r="C56" t="s">
        <v>4</v>
      </c>
      <c r="D56">
        <f t="shared" si="2"/>
        <v>1</v>
      </c>
      <c r="E56">
        <f t="shared" si="4"/>
        <v>0.47857113461253797</v>
      </c>
      <c r="F56">
        <f t="shared" si="5"/>
        <v>0.3957741007661707</v>
      </c>
      <c r="G56">
        <f t="array" ref="G56">SQRT(SUM(($E56:$F56-$M$6:$N$6)^2))</f>
        <v>0.28969166248698935</v>
      </c>
      <c r="H56">
        <f t="array" ref="H56">SQRT(SUM(($E56:$F56-$M$7:$N$7)^2))</f>
        <v>2.4301819404945726</v>
      </c>
      <c r="I56">
        <f t="shared" si="3"/>
        <v>0.28969166248698935</v>
      </c>
      <c r="Q56">
        <v>4.5999999999999996</v>
      </c>
      <c r="R56">
        <v>1.5</v>
      </c>
      <c r="S56" t="s">
        <v>4</v>
      </c>
      <c r="T56">
        <v>1</v>
      </c>
    </row>
    <row r="57" spans="1:20" x14ac:dyDescent="0.3">
      <c r="A57">
        <v>4.5</v>
      </c>
      <c r="B57">
        <v>1.3</v>
      </c>
      <c r="C57" t="s">
        <v>4</v>
      </c>
      <c r="D57">
        <f t="shared" si="2"/>
        <v>1</v>
      </c>
      <c r="E57">
        <f t="shared" si="4"/>
        <v>0.42173370769893487</v>
      </c>
      <c r="F57">
        <f t="shared" si="5"/>
        <v>0.1325097321855688</v>
      </c>
      <c r="G57">
        <f t="array" ref="G57">SQRT(SUM(($E57:$F57-$M$6:$N$6)^2))</f>
        <v>0.54608864005983837</v>
      </c>
      <c r="H57">
        <f t="array" ref="H57">SQRT(SUM(($E57:$F57-$M$7:$N$7)^2))</f>
        <v>2.2150515153750816</v>
      </c>
      <c r="I57">
        <f t="shared" si="3"/>
        <v>0.54608864005983837</v>
      </c>
      <c r="Q57">
        <v>4.5</v>
      </c>
      <c r="R57">
        <v>1.3</v>
      </c>
      <c r="S57" t="s">
        <v>4</v>
      </c>
      <c r="T57">
        <v>1</v>
      </c>
    </row>
    <row r="58" spans="1:20" x14ac:dyDescent="0.3">
      <c r="A58">
        <v>4.7</v>
      </c>
      <c r="B58">
        <v>1.6</v>
      </c>
      <c r="C58" t="s">
        <v>4</v>
      </c>
      <c r="D58">
        <f t="shared" si="2"/>
        <v>1</v>
      </c>
      <c r="E58">
        <f t="shared" si="4"/>
        <v>0.53540856152614158</v>
      </c>
      <c r="F58">
        <f t="shared" si="5"/>
        <v>0.5274062850564718</v>
      </c>
      <c r="G58">
        <f t="array" ref="G58">SQRT(SUM(($E58:$F58-$M$6:$N$6)^2))</f>
        <v>0.15400329269366453</v>
      </c>
      <c r="H58">
        <f t="array" ref="H58">SQRT(SUM(($E58:$F58-$M$7:$N$7)^2))</f>
        <v>2.5619620404812422</v>
      </c>
      <c r="I58">
        <f t="shared" si="3"/>
        <v>0.15400329269366453</v>
      </c>
      <c r="Q58">
        <v>4.7</v>
      </c>
      <c r="R58">
        <v>1.6</v>
      </c>
      <c r="S58" t="s">
        <v>4</v>
      </c>
      <c r="T58">
        <v>1</v>
      </c>
    </row>
    <row r="59" spans="1:20" x14ac:dyDescent="0.3">
      <c r="A59">
        <v>3.3</v>
      </c>
      <c r="B59">
        <v>1</v>
      </c>
      <c r="C59" t="s">
        <v>4</v>
      </c>
      <c r="D59">
        <f t="shared" si="2"/>
        <v>1</v>
      </c>
      <c r="E59">
        <f t="shared" si="4"/>
        <v>-0.26031541526430468</v>
      </c>
      <c r="F59">
        <f t="shared" si="5"/>
        <v>-0.2623868206853342</v>
      </c>
      <c r="G59">
        <f t="array" ref="G59">SQRT(SUM(($E59:$F59-$M$6:$N$6)^2))</f>
        <v>1.2747643642968094</v>
      </c>
      <c r="H59">
        <f t="array" ref="H59">SQRT(SUM(($E59:$F59-$M$7:$N$7)^2))</f>
        <v>1.4409749760800004</v>
      </c>
      <c r="I59">
        <f t="shared" si="3"/>
        <v>1.2747643642968094</v>
      </c>
      <c r="Q59">
        <v>3.3</v>
      </c>
      <c r="R59">
        <v>1</v>
      </c>
      <c r="S59" t="s">
        <v>4</v>
      </c>
      <c r="T59">
        <v>1</v>
      </c>
    </row>
    <row r="60" spans="1:20" x14ac:dyDescent="0.3">
      <c r="A60">
        <v>4.5999999999999996</v>
      </c>
      <c r="B60">
        <v>1.3</v>
      </c>
      <c r="C60" t="s">
        <v>4</v>
      </c>
      <c r="D60">
        <f t="shared" si="2"/>
        <v>1</v>
      </c>
      <c r="E60">
        <f t="shared" si="4"/>
        <v>0.47857113461253797</v>
      </c>
      <c r="F60">
        <f t="shared" si="5"/>
        <v>0.1325097321855688</v>
      </c>
      <c r="G60">
        <f t="array" ref="G60">SQRT(SUM(($E60:$F60-$M$6:$N$6)^2))</f>
        <v>0.52460622560498682</v>
      </c>
      <c r="H60">
        <f t="array" ref="H60">SQRT(SUM(($E60:$F60-$M$7:$N$7)^2))</f>
        <v>2.2596390130965069</v>
      </c>
      <c r="I60">
        <f t="shared" si="3"/>
        <v>0.52460622560498682</v>
      </c>
      <c r="Q60">
        <v>4.5999999999999996</v>
      </c>
      <c r="R60">
        <v>1.3</v>
      </c>
      <c r="S60" t="s">
        <v>4</v>
      </c>
      <c r="T60">
        <v>1</v>
      </c>
    </row>
    <row r="61" spans="1:20" x14ac:dyDescent="0.3">
      <c r="A61">
        <v>3.9</v>
      </c>
      <c r="B61">
        <v>1.4</v>
      </c>
      <c r="C61" t="s">
        <v>4</v>
      </c>
      <c r="D61">
        <f t="shared" si="2"/>
        <v>1</v>
      </c>
      <c r="E61">
        <f t="shared" si="4"/>
        <v>8.0709146217315106E-2</v>
      </c>
      <c r="F61">
        <f t="shared" si="5"/>
        <v>0.2641419164758696</v>
      </c>
      <c r="G61">
        <f t="array" ref="G61">SQRT(SUM(($E61:$F61-$M$6:$N$6)^2))</f>
        <v>0.67744219666544092</v>
      </c>
      <c r="H61">
        <f t="array" ref="H61">SQRT(SUM(($E61:$F61-$M$7:$N$7)^2))</f>
        <v>2.0561184957809044</v>
      </c>
      <c r="I61">
        <f t="shared" si="3"/>
        <v>0.67744219666544092</v>
      </c>
      <c r="Q61">
        <v>3.9</v>
      </c>
      <c r="R61">
        <v>1.4</v>
      </c>
      <c r="S61" t="s">
        <v>4</v>
      </c>
      <c r="T61">
        <v>1</v>
      </c>
    </row>
    <row r="62" spans="1:20" x14ac:dyDescent="0.3">
      <c r="A62">
        <v>3.5</v>
      </c>
      <c r="B62">
        <v>1</v>
      </c>
      <c r="C62" t="s">
        <v>4</v>
      </c>
      <c r="D62">
        <f t="shared" si="2"/>
        <v>1</v>
      </c>
      <c r="E62">
        <f t="shared" si="4"/>
        <v>-0.146640561437098</v>
      </c>
      <c r="F62">
        <f t="shared" si="5"/>
        <v>-0.2623868206853342</v>
      </c>
      <c r="G62">
        <f t="array" ref="G62">SQRT(SUM(($E62:$F62-$M$6:$N$6)^2))</f>
        <v>1.196001371340325</v>
      </c>
      <c r="H62">
        <f t="array" ref="H62">SQRT(SUM(($E62:$F62-$M$7:$N$7)^2))</f>
        <v>1.5253972291367448</v>
      </c>
      <c r="I62">
        <f t="shared" si="3"/>
        <v>1.196001371340325</v>
      </c>
      <c r="Q62">
        <v>3.5</v>
      </c>
      <c r="R62">
        <v>1</v>
      </c>
      <c r="S62" t="s">
        <v>4</v>
      </c>
      <c r="T62">
        <v>1</v>
      </c>
    </row>
    <row r="63" spans="1:20" x14ac:dyDescent="0.3">
      <c r="A63">
        <v>4.2</v>
      </c>
      <c r="B63">
        <v>1.5</v>
      </c>
      <c r="C63" t="s">
        <v>4</v>
      </c>
      <c r="D63">
        <f t="shared" si="2"/>
        <v>1</v>
      </c>
      <c r="E63">
        <f t="shared" si="4"/>
        <v>0.2512214269581251</v>
      </c>
      <c r="F63">
        <f t="shared" si="5"/>
        <v>0.3957741007661707</v>
      </c>
      <c r="G63">
        <f t="array" ref="G63">SQRT(SUM(($E63:$F63-$M$6:$N$6)^2))</f>
        <v>0.46334827066469109</v>
      </c>
      <c r="H63">
        <f t="array" ref="H63">SQRT(SUM(($E63:$F63-$M$7:$N$7)^2))</f>
        <v>2.2685874825791115</v>
      </c>
      <c r="I63">
        <f t="shared" si="3"/>
        <v>0.46334827066469109</v>
      </c>
      <c r="Q63">
        <v>4.2</v>
      </c>
      <c r="R63">
        <v>1.5</v>
      </c>
      <c r="S63" t="s">
        <v>4</v>
      </c>
      <c r="T63">
        <v>1</v>
      </c>
    </row>
    <row r="64" spans="1:20" x14ac:dyDescent="0.3">
      <c r="A64">
        <v>4</v>
      </c>
      <c r="B64">
        <v>1</v>
      </c>
      <c r="C64" t="s">
        <v>4</v>
      </c>
      <c r="D64">
        <f t="shared" si="2"/>
        <v>1</v>
      </c>
      <c r="E64">
        <f t="shared" si="4"/>
        <v>0.13754657313091845</v>
      </c>
      <c r="F64">
        <f t="shared" si="5"/>
        <v>-0.2623868206853342</v>
      </c>
      <c r="G64">
        <f t="array" ref="G64">SQRT(SUM(($E64:$F64-$M$6:$N$6)^2))</f>
        <v>1.0280925435488457</v>
      </c>
      <c r="H64">
        <f t="array" ref="H64">SQRT(SUM(($E64:$F64-$M$7:$N$7)^2))</f>
        <v>1.7509921551842778</v>
      </c>
      <c r="I64">
        <f t="shared" si="3"/>
        <v>1.0280925435488457</v>
      </c>
      <c r="Q64">
        <v>4</v>
      </c>
      <c r="R64">
        <v>1</v>
      </c>
      <c r="S64" t="s">
        <v>4</v>
      </c>
      <c r="T64">
        <v>1</v>
      </c>
    </row>
    <row r="65" spans="1:20" x14ac:dyDescent="0.3">
      <c r="A65">
        <v>4.7</v>
      </c>
      <c r="B65">
        <v>1.4</v>
      </c>
      <c r="C65" t="s">
        <v>4</v>
      </c>
      <c r="D65">
        <f t="shared" si="2"/>
        <v>1</v>
      </c>
      <c r="E65">
        <f t="shared" si="4"/>
        <v>0.53540856152614158</v>
      </c>
      <c r="F65">
        <f t="shared" si="5"/>
        <v>0.2641419164758696</v>
      </c>
      <c r="G65">
        <f t="array" ref="G65">SQRT(SUM(($E65:$F65-$M$6:$N$6)^2))</f>
        <v>0.38170580166586704</v>
      </c>
      <c r="H65">
        <f t="array" ref="H65">SQRT(SUM(($E65:$F65-$M$7:$N$7)^2))</f>
        <v>2.3863205096349605</v>
      </c>
      <c r="I65">
        <f t="shared" si="3"/>
        <v>0.38170580166586704</v>
      </c>
      <c r="Q65">
        <v>4.7</v>
      </c>
      <c r="R65">
        <v>1.4</v>
      </c>
      <c r="S65" t="s">
        <v>4</v>
      </c>
      <c r="T65">
        <v>1</v>
      </c>
    </row>
    <row r="66" spans="1:20" x14ac:dyDescent="0.3">
      <c r="A66">
        <v>3.6</v>
      </c>
      <c r="B66">
        <v>1.3</v>
      </c>
      <c r="C66" t="s">
        <v>4</v>
      </c>
      <c r="D66">
        <f t="shared" si="2"/>
        <v>1</v>
      </c>
      <c r="E66">
        <f t="shared" ref="E66:E97" si="6">(A66-L$2)/L$3</f>
        <v>-8.9803134523494657E-2</v>
      </c>
      <c r="F66">
        <f t="shared" ref="F66:F97" si="7">(B66-M$2)/M$3</f>
        <v>0.1325097321855688</v>
      </c>
      <c r="G66">
        <f t="array" ref="G66">SQRT(SUM(($E66:$F66-$M$6:$N$6)^2))</f>
        <v>0.89216992740552092</v>
      </c>
      <c r="H66">
        <f t="array" ref="H66">SQRT(SUM(($E66:$F66-$M$7:$N$7)^2))</f>
        <v>1.8443319416306185</v>
      </c>
      <c r="I66">
        <f t="shared" si="3"/>
        <v>0.89216992740552092</v>
      </c>
      <c r="Q66">
        <v>3.6</v>
      </c>
      <c r="R66">
        <v>1.3</v>
      </c>
      <c r="S66" t="s">
        <v>4</v>
      </c>
      <c r="T66">
        <v>1</v>
      </c>
    </row>
    <row r="67" spans="1:20" x14ac:dyDescent="0.3">
      <c r="A67">
        <v>4.4000000000000004</v>
      </c>
      <c r="B67">
        <v>1.4</v>
      </c>
      <c r="C67" t="s">
        <v>4</v>
      </c>
      <c r="D67">
        <f t="shared" ref="D67:D130" si="8">IF(G67=I67,1,2)</f>
        <v>1</v>
      </c>
      <c r="E67">
        <f t="shared" si="6"/>
        <v>0.36489628078533176</v>
      </c>
      <c r="F67">
        <f t="shared" si="7"/>
        <v>0.2641419164758696</v>
      </c>
      <c r="G67">
        <f t="array" ref="G67">SQRT(SUM(($E67:$F67-$M$6:$N$6)^2))</f>
        <v>0.46336017481227559</v>
      </c>
      <c r="H67">
        <f t="array" ref="H67">SQRT(SUM(($E67:$F67-$M$7:$N$7)^2))</f>
        <v>2.2574276983942414</v>
      </c>
      <c r="I67">
        <f t="shared" ref="I67:I130" si="9">MIN(G67:H67)</f>
        <v>0.46336017481227559</v>
      </c>
      <c r="Q67">
        <v>4.4000000000000004</v>
      </c>
      <c r="R67">
        <v>1.4</v>
      </c>
      <c r="S67" t="s">
        <v>4</v>
      </c>
      <c r="T67">
        <v>1</v>
      </c>
    </row>
    <row r="68" spans="1:20" x14ac:dyDescent="0.3">
      <c r="A68">
        <v>4.5</v>
      </c>
      <c r="B68">
        <v>1.5</v>
      </c>
      <c r="C68" t="s">
        <v>4</v>
      </c>
      <c r="D68">
        <f t="shared" si="8"/>
        <v>1</v>
      </c>
      <c r="E68">
        <f t="shared" si="6"/>
        <v>0.42173370769893487</v>
      </c>
      <c r="F68">
        <f t="shared" si="7"/>
        <v>0.3957741007661707</v>
      </c>
      <c r="G68">
        <f t="array" ref="G68">SQRT(SUM(($E68:$F68-$M$6:$N$6)^2))</f>
        <v>0.32698986249327239</v>
      </c>
      <c r="H68">
        <f t="array" ref="H68">SQRT(SUM(($E68:$F68-$M$7:$N$7)^2))</f>
        <v>2.3887798161747047</v>
      </c>
      <c r="I68">
        <f t="shared" si="9"/>
        <v>0.32698986249327239</v>
      </c>
      <c r="Q68">
        <v>4.5</v>
      </c>
      <c r="R68">
        <v>1.5</v>
      </c>
      <c r="S68" t="s">
        <v>4</v>
      </c>
      <c r="T68">
        <v>1</v>
      </c>
    </row>
    <row r="69" spans="1:20" x14ac:dyDescent="0.3">
      <c r="A69">
        <v>4.0999999999999996</v>
      </c>
      <c r="B69">
        <v>1</v>
      </c>
      <c r="C69" t="s">
        <v>4</v>
      </c>
      <c r="D69">
        <f t="shared" si="8"/>
        <v>1</v>
      </c>
      <c r="E69">
        <f t="shared" si="6"/>
        <v>0.19438400004452153</v>
      </c>
      <c r="F69">
        <f t="shared" si="7"/>
        <v>-0.2623868206853342</v>
      </c>
      <c r="G69">
        <f t="array" ref="G69">SQRT(SUM(($E69:$F69-$M$6:$N$6)^2))</f>
        <v>1.0008337705434653</v>
      </c>
      <c r="H69">
        <f t="array" ref="H69">SQRT(SUM(($E69:$F69-$M$7:$N$7)^2))</f>
        <v>1.7981056282314454</v>
      </c>
      <c r="I69">
        <f t="shared" si="9"/>
        <v>1.0008337705434653</v>
      </c>
      <c r="Q69">
        <v>4.0999999999999996</v>
      </c>
      <c r="R69">
        <v>1</v>
      </c>
      <c r="S69" t="s">
        <v>4</v>
      </c>
      <c r="T69">
        <v>1</v>
      </c>
    </row>
    <row r="70" spans="1:20" x14ac:dyDescent="0.3">
      <c r="A70">
        <v>4.5</v>
      </c>
      <c r="B70">
        <v>1.5</v>
      </c>
      <c r="C70" t="s">
        <v>4</v>
      </c>
      <c r="D70">
        <f t="shared" si="8"/>
        <v>1</v>
      </c>
      <c r="E70">
        <f t="shared" si="6"/>
        <v>0.42173370769893487</v>
      </c>
      <c r="F70">
        <f t="shared" si="7"/>
        <v>0.3957741007661707</v>
      </c>
      <c r="G70">
        <f t="array" ref="G70">SQRT(SUM(($E70:$F70-$M$6:$N$6)^2))</f>
        <v>0.32698986249327239</v>
      </c>
      <c r="H70">
        <f t="array" ref="H70">SQRT(SUM(($E70:$F70-$M$7:$N$7)^2))</f>
        <v>2.3887798161747047</v>
      </c>
      <c r="I70">
        <f t="shared" si="9"/>
        <v>0.32698986249327239</v>
      </c>
      <c r="Q70">
        <v>4.5</v>
      </c>
      <c r="R70">
        <v>1.5</v>
      </c>
      <c r="S70" t="s">
        <v>4</v>
      </c>
      <c r="T70">
        <v>2</v>
      </c>
    </row>
    <row r="71" spans="1:20" x14ac:dyDescent="0.3">
      <c r="A71">
        <v>3.9</v>
      </c>
      <c r="B71">
        <v>1.1000000000000001</v>
      </c>
      <c r="C71" t="s">
        <v>4</v>
      </c>
      <c r="D71">
        <f t="shared" si="8"/>
        <v>1</v>
      </c>
      <c r="E71">
        <f t="shared" si="6"/>
        <v>8.0709146217315106E-2</v>
      </c>
      <c r="F71">
        <f t="shared" si="7"/>
        <v>-0.13075463639503312</v>
      </c>
      <c r="G71">
        <f t="array" ref="G71">SQRT(SUM(($E71:$F71-$M$6:$N$6)^2))</f>
        <v>0.949635122684377</v>
      </c>
      <c r="H71">
        <f t="array" ref="H71">SQRT(SUM(($E71:$F71-$M$7:$N$7)^2))</f>
        <v>1.784332610407694</v>
      </c>
      <c r="I71">
        <f t="shared" si="9"/>
        <v>0.949635122684377</v>
      </c>
      <c r="Q71">
        <v>3.9</v>
      </c>
      <c r="R71">
        <v>1.1000000000000001</v>
      </c>
      <c r="S71" t="s">
        <v>4</v>
      </c>
      <c r="T71">
        <v>2</v>
      </c>
    </row>
    <row r="72" spans="1:20" x14ac:dyDescent="0.3">
      <c r="A72">
        <v>4.8</v>
      </c>
      <c r="B72">
        <v>1.8</v>
      </c>
      <c r="C72" t="s">
        <v>4</v>
      </c>
      <c r="D72">
        <f t="shared" si="8"/>
        <v>1</v>
      </c>
      <c r="E72">
        <f t="shared" si="6"/>
        <v>0.59224598843974463</v>
      </c>
      <c r="F72">
        <f t="shared" si="7"/>
        <v>0.79067065363707378</v>
      </c>
      <c r="G72">
        <f t="array" ref="G72">SQRT(SUM(($E72:$F72-$M$6:$N$6)^2))</f>
        <v>0.17398800636143971</v>
      </c>
      <c r="H72">
        <f t="array" ref="H72">SQRT(SUM(($E72:$F72-$M$7:$N$7)^2))</f>
        <v>2.7899510570424706</v>
      </c>
      <c r="I72">
        <f t="shared" si="9"/>
        <v>0.17398800636143971</v>
      </c>
      <c r="Q72">
        <v>4.8</v>
      </c>
      <c r="R72">
        <v>1.8</v>
      </c>
      <c r="S72" t="s">
        <v>4</v>
      </c>
      <c r="T72">
        <v>2</v>
      </c>
    </row>
    <row r="73" spans="1:20" x14ac:dyDescent="0.3">
      <c r="A73">
        <v>4</v>
      </c>
      <c r="B73">
        <v>1.3</v>
      </c>
      <c r="C73" t="s">
        <v>4</v>
      </c>
      <c r="D73">
        <f t="shared" si="8"/>
        <v>1</v>
      </c>
      <c r="E73">
        <f t="shared" si="6"/>
        <v>0.13754657313091845</v>
      </c>
      <c r="F73">
        <f t="shared" si="7"/>
        <v>0.1325097321855688</v>
      </c>
      <c r="G73">
        <f t="array" ref="G73">SQRT(SUM(($E73:$F73-$M$6:$N$6)^2))</f>
        <v>0.71423606044615739</v>
      </c>
      <c r="H73">
        <f t="array" ref="H73">SQRT(SUM(($E73:$F73-$M$7:$N$7)^2))</f>
        <v>2.0014474112498339</v>
      </c>
      <c r="I73">
        <f t="shared" si="9"/>
        <v>0.71423606044615739</v>
      </c>
      <c r="Q73">
        <v>4</v>
      </c>
      <c r="R73">
        <v>1.3</v>
      </c>
      <c r="S73" t="s">
        <v>4</v>
      </c>
      <c r="T73">
        <v>2</v>
      </c>
    </row>
    <row r="74" spans="1:20" x14ac:dyDescent="0.3">
      <c r="A74">
        <v>4.9000000000000004</v>
      </c>
      <c r="B74">
        <v>1.5</v>
      </c>
      <c r="C74" t="s">
        <v>4</v>
      </c>
      <c r="D74">
        <f t="shared" si="8"/>
        <v>1</v>
      </c>
      <c r="E74">
        <f t="shared" si="6"/>
        <v>0.64908341535334824</v>
      </c>
      <c r="F74">
        <f t="shared" si="7"/>
        <v>0.3957741007661707</v>
      </c>
      <c r="G74">
        <f t="array" ref="G74">SQRT(SUM(($E74:$F74-$M$6:$N$6)^2))</f>
        <v>0.23169774257792333</v>
      </c>
      <c r="H74">
        <f t="array" ref="H74">SQRT(SUM(($E74:$F74-$M$7:$N$7)^2))</f>
        <v>2.5579476035116149</v>
      </c>
      <c r="I74">
        <f t="shared" si="9"/>
        <v>0.23169774257792333</v>
      </c>
      <c r="Q74">
        <v>4.9000000000000004</v>
      </c>
      <c r="R74">
        <v>1.5</v>
      </c>
      <c r="S74" t="s">
        <v>4</v>
      </c>
      <c r="T74">
        <v>2</v>
      </c>
    </row>
    <row r="75" spans="1:20" x14ac:dyDescent="0.3">
      <c r="A75">
        <v>4.7</v>
      </c>
      <c r="B75">
        <v>1.2</v>
      </c>
      <c r="C75" t="s">
        <v>4</v>
      </c>
      <c r="D75">
        <f t="shared" si="8"/>
        <v>1</v>
      </c>
      <c r="E75">
        <f t="shared" si="6"/>
        <v>0.53540856152614158</v>
      </c>
      <c r="F75">
        <f t="shared" si="7"/>
        <v>8.7754789526769972E-4</v>
      </c>
      <c r="G75">
        <f t="array" ref="G75">SQRT(SUM(($E75:$F75-$M$6:$N$6)^2))</f>
        <v>0.63741499779857702</v>
      </c>
      <c r="H75">
        <f t="array" ref="H75">SQRT(SUM(($E75:$F75-$M$7:$N$7)^2))</f>
        <v>2.2280076095180621</v>
      </c>
      <c r="I75">
        <f t="shared" si="9"/>
        <v>0.63741499779857702</v>
      </c>
      <c r="Q75">
        <v>4.7</v>
      </c>
      <c r="R75">
        <v>1.2</v>
      </c>
      <c r="S75" t="s">
        <v>4</v>
      </c>
      <c r="T75">
        <v>2</v>
      </c>
    </row>
    <row r="76" spans="1:20" x14ac:dyDescent="0.3">
      <c r="A76">
        <v>4.3</v>
      </c>
      <c r="B76">
        <v>1.3</v>
      </c>
      <c r="C76" t="s">
        <v>4</v>
      </c>
      <c r="D76">
        <f t="shared" si="8"/>
        <v>1</v>
      </c>
      <c r="E76">
        <f t="shared" si="6"/>
        <v>0.30805885387172821</v>
      </c>
      <c r="F76">
        <f t="shared" si="7"/>
        <v>0.1325097321855688</v>
      </c>
      <c r="G76">
        <f t="array" ref="G76">SQRT(SUM(($E76:$F76-$M$6:$N$6)^2))</f>
        <v>0.60299086486376052</v>
      </c>
      <c r="H76">
        <f t="array" ref="H76">SQRT(SUM(($E76:$F76-$M$7:$N$7)^2))</f>
        <v>2.1276291187304652</v>
      </c>
      <c r="I76">
        <f t="shared" si="9"/>
        <v>0.60299086486376052</v>
      </c>
      <c r="Q76">
        <v>4.3</v>
      </c>
      <c r="R76">
        <v>1.3</v>
      </c>
      <c r="S76" t="s">
        <v>4</v>
      </c>
      <c r="T76">
        <v>2</v>
      </c>
    </row>
    <row r="77" spans="1:20" x14ac:dyDescent="0.3">
      <c r="A77">
        <v>4.4000000000000004</v>
      </c>
      <c r="B77">
        <v>1.4</v>
      </c>
      <c r="C77" t="s">
        <v>4</v>
      </c>
      <c r="D77">
        <f t="shared" si="8"/>
        <v>1</v>
      </c>
      <c r="E77">
        <f t="shared" si="6"/>
        <v>0.36489628078533176</v>
      </c>
      <c r="F77">
        <f t="shared" si="7"/>
        <v>0.2641419164758696</v>
      </c>
      <c r="G77">
        <f t="array" ref="G77">SQRT(SUM(($E77:$F77-$M$6:$N$6)^2))</f>
        <v>0.46336017481227559</v>
      </c>
      <c r="H77">
        <f t="array" ref="H77">SQRT(SUM(($E77:$F77-$M$7:$N$7)^2))</f>
        <v>2.2574276983942414</v>
      </c>
      <c r="I77">
        <f t="shared" si="9"/>
        <v>0.46336017481227559</v>
      </c>
      <c r="Q77">
        <v>4.4000000000000004</v>
      </c>
      <c r="R77">
        <v>1.4</v>
      </c>
      <c r="S77" t="s">
        <v>4</v>
      </c>
      <c r="T77">
        <v>2</v>
      </c>
    </row>
    <row r="78" spans="1:20" x14ac:dyDescent="0.3">
      <c r="A78">
        <v>4.8</v>
      </c>
      <c r="B78">
        <v>1.4</v>
      </c>
      <c r="C78" t="s">
        <v>4</v>
      </c>
      <c r="D78">
        <f t="shared" si="8"/>
        <v>1</v>
      </c>
      <c r="E78">
        <f t="shared" si="6"/>
        <v>0.59224598843974463</v>
      </c>
      <c r="F78">
        <f t="shared" si="7"/>
        <v>0.2641419164758696</v>
      </c>
      <c r="G78">
        <f t="array" ref="G78">SQRT(SUM(($E78:$F78-$M$6:$N$6)^2))</f>
        <v>0.3682664532089851</v>
      </c>
      <c r="H78">
        <f t="array" ref="H78">SQRT(SUM(($E78:$F78-$M$7:$N$7)^2))</f>
        <v>2.4304244075550683</v>
      </c>
      <c r="I78">
        <f t="shared" si="9"/>
        <v>0.3682664532089851</v>
      </c>
      <c r="Q78">
        <v>4.8</v>
      </c>
      <c r="R78">
        <v>1.4</v>
      </c>
      <c r="S78" t="s">
        <v>4</v>
      </c>
      <c r="T78">
        <v>2</v>
      </c>
    </row>
    <row r="79" spans="1:20" x14ac:dyDescent="0.3">
      <c r="A79">
        <v>5</v>
      </c>
      <c r="B79">
        <v>1.7</v>
      </c>
      <c r="C79" t="s">
        <v>4</v>
      </c>
      <c r="D79">
        <f t="shared" si="8"/>
        <v>1</v>
      </c>
      <c r="E79">
        <f t="shared" si="6"/>
        <v>0.70592084226695129</v>
      </c>
      <c r="F79">
        <f t="shared" si="7"/>
        <v>0.65903846934677268</v>
      </c>
      <c r="G79">
        <f t="array" ref="G79">SQRT(SUM(($E79:$F79-$M$6:$N$6)^2))</f>
        <v>6.2068516506656915E-2</v>
      </c>
      <c r="H79">
        <f t="array" ref="H79">SQRT(SUM(($E79:$F79-$M$7:$N$7)^2))</f>
        <v>2.7761280933640107</v>
      </c>
      <c r="I79">
        <f t="shared" si="9"/>
        <v>6.2068516506656915E-2</v>
      </c>
      <c r="Q79">
        <v>5</v>
      </c>
      <c r="R79">
        <v>1.7</v>
      </c>
      <c r="S79" t="s">
        <v>4</v>
      </c>
      <c r="T79">
        <v>2</v>
      </c>
    </row>
    <row r="80" spans="1:20" x14ac:dyDescent="0.3">
      <c r="A80">
        <v>4.5</v>
      </c>
      <c r="B80">
        <v>1.5</v>
      </c>
      <c r="C80" t="s">
        <v>4</v>
      </c>
      <c r="D80">
        <f t="shared" si="8"/>
        <v>1</v>
      </c>
      <c r="E80">
        <f t="shared" si="6"/>
        <v>0.42173370769893487</v>
      </c>
      <c r="F80">
        <f t="shared" si="7"/>
        <v>0.3957741007661707</v>
      </c>
      <c r="G80">
        <f t="array" ref="G80">SQRT(SUM(($E80:$F80-$M$6:$N$6)^2))</f>
        <v>0.32698986249327239</v>
      </c>
      <c r="H80">
        <f t="array" ref="H80">SQRT(SUM(($E80:$F80-$M$7:$N$7)^2))</f>
        <v>2.3887798161747047</v>
      </c>
      <c r="I80">
        <f t="shared" si="9"/>
        <v>0.32698986249327239</v>
      </c>
      <c r="Q80">
        <v>4.5</v>
      </c>
      <c r="R80">
        <v>1.5</v>
      </c>
      <c r="S80" t="s">
        <v>4</v>
      </c>
      <c r="T80">
        <v>2</v>
      </c>
    </row>
    <row r="81" spans="1:20" x14ac:dyDescent="0.3">
      <c r="A81">
        <v>3.5</v>
      </c>
      <c r="B81">
        <v>1</v>
      </c>
      <c r="C81" t="s">
        <v>4</v>
      </c>
      <c r="D81">
        <f t="shared" si="8"/>
        <v>1</v>
      </c>
      <c r="E81">
        <f t="shared" si="6"/>
        <v>-0.146640561437098</v>
      </c>
      <c r="F81">
        <f t="shared" si="7"/>
        <v>-0.2623868206853342</v>
      </c>
      <c r="G81">
        <f t="array" ref="G81">SQRT(SUM(($E81:$F81-$M$6:$N$6)^2))</f>
        <v>1.196001371340325</v>
      </c>
      <c r="H81">
        <f t="array" ref="H81">SQRT(SUM(($E81:$F81-$M$7:$N$7)^2))</f>
        <v>1.5253972291367448</v>
      </c>
      <c r="I81">
        <f t="shared" si="9"/>
        <v>1.196001371340325</v>
      </c>
      <c r="Q81">
        <v>3.5</v>
      </c>
      <c r="R81">
        <v>1</v>
      </c>
      <c r="S81" t="s">
        <v>4</v>
      </c>
      <c r="T81">
        <v>2</v>
      </c>
    </row>
    <row r="82" spans="1:20" x14ac:dyDescent="0.3">
      <c r="A82">
        <v>3.8</v>
      </c>
      <c r="B82">
        <v>1.1000000000000001</v>
      </c>
      <c r="C82" t="s">
        <v>4</v>
      </c>
      <c r="D82">
        <f t="shared" si="8"/>
        <v>1</v>
      </c>
      <c r="E82">
        <f t="shared" si="6"/>
        <v>2.387171930371176E-2</v>
      </c>
      <c r="F82">
        <f t="shared" si="7"/>
        <v>-0.13075463639503312</v>
      </c>
      <c r="G82">
        <f t="array" ref="G82">SQRT(SUM(($E82:$F82-$M$6:$N$6)^2))</f>
        <v>0.98490348789558757</v>
      </c>
      <c r="H82">
        <f t="array" ref="H82">SQRT(SUM(($E82:$F82-$M$7:$N$7)^2))</f>
        <v>1.7405615513954833</v>
      </c>
      <c r="I82">
        <f t="shared" si="9"/>
        <v>0.98490348789558757</v>
      </c>
      <c r="Q82">
        <v>3.8</v>
      </c>
      <c r="R82">
        <v>1.1000000000000001</v>
      </c>
      <c r="S82" t="s">
        <v>4</v>
      </c>
      <c r="T82">
        <v>2</v>
      </c>
    </row>
    <row r="83" spans="1:20" x14ac:dyDescent="0.3">
      <c r="A83">
        <v>3.7</v>
      </c>
      <c r="B83">
        <v>1</v>
      </c>
      <c r="C83" t="s">
        <v>4</v>
      </c>
      <c r="D83">
        <f t="shared" si="8"/>
        <v>1</v>
      </c>
      <c r="E83">
        <f t="shared" si="6"/>
        <v>-3.2965707609891322E-2</v>
      </c>
      <c r="F83">
        <f t="shared" si="7"/>
        <v>-0.2623868206853342</v>
      </c>
      <c r="G83">
        <f t="array" ref="G83">SQRT(SUM(($E83:$F83-$M$6:$N$6)^2))</f>
        <v>1.1232356479386245</v>
      </c>
      <c r="H83">
        <f t="array" ref="H83">SQRT(SUM(($E83:$F83-$M$7:$N$7)^2))</f>
        <v>1.6134151593475974</v>
      </c>
      <c r="I83">
        <f t="shared" si="9"/>
        <v>1.1232356479386245</v>
      </c>
      <c r="Q83">
        <v>3.7</v>
      </c>
      <c r="R83">
        <v>1</v>
      </c>
      <c r="S83" t="s">
        <v>4</v>
      </c>
      <c r="T83">
        <v>2</v>
      </c>
    </row>
    <row r="84" spans="1:20" x14ac:dyDescent="0.3">
      <c r="A84">
        <v>3.9</v>
      </c>
      <c r="B84">
        <v>1.2</v>
      </c>
      <c r="C84" t="s">
        <v>4</v>
      </c>
      <c r="D84">
        <f t="shared" si="8"/>
        <v>1</v>
      </c>
      <c r="E84">
        <f t="shared" si="6"/>
        <v>8.0709146217315106E-2</v>
      </c>
      <c r="F84">
        <f t="shared" si="7"/>
        <v>8.7754789526769972E-4</v>
      </c>
      <c r="G84">
        <f t="array" ref="G84">SQRT(SUM(($E84:$F84-$M$6:$N$6)^2))</f>
        <v>0.8482490732185185</v>
      </c>
      <c r="H84">
        <f t="array" ref="H84">SQRT(SUM(($E84:$F84-$M$7:$N$7)^2))</f>
        <v>1.8700576467206194</v>
      </c>
      <c r="I84">
        <f t="shared" si="9"/>
        <v>0.8482490732185185</v>
      </c>
      <c r="Q84">
        <v>3.9</v>
      </c>
      <c r="R84">
        <v>1.2</v>
      </c>
      <c r="S84" t="s">
        <v>4</v>
      </c>
      <c r="T84">
        <v>2</v>
      </c>
    </row>
    <row r="85" spans="1:20" x14ac:dyDescent="0.3">
      <c r="A85">
        <v>5.0999999999999996</v>
      </c>
      <c r="B85">
        <v>1.6</v>
      </c>
      <c r="C85" t="s">
        <v>4</v>
      </c>
      <c r="D85">
        <f t="shared" si="8"/>
        <v>1</v>
      </c>
      <c r="E85">
        <f t="shared" si="6"/>
        <v>0.76275826918055445</v>
      </c>
      <c r="F85">
        <f t="shared" si="7"/>
        <v>0.5274062850564718</v>
      </c>
      <c r="G85">
        <f t="array" ref="G85">SQRT(SUM(($E85:$F85-$M$6:$N$6)^2))</f>
        <v>0.14888377169246522</v>
      </c>
      <c r="H85">
        <f t="array" ref="H85">SQRT(SUM(($E85:$F85-$M$7:$N$7)^2))</f>
        <v>2.7298652564887727</v>
      </c>
      <c r="I85">
        <f t="shared" si="9"/>
        <v>0.14888377169246522</v>
      </c>
      <c r="Q85">
        <v>5.0999999999999996</v>
      </c>
      <c r="R85">
        <v>1.6</v>
      </c>
      <c r="S85" t="s">
        <v>4</v>
      </c>
      <c r="T85">
        <v>2</v>
      </c>
    </row>
    <row r="86" spans="1:20" x14ac:dyDescent="0.3">
      <c r="A86">
        <v>4.5</v>
      </c>
      <c r="B86">
        <v>1.5</v>
      </c>
      <c r="C86" t="s">
        <v>4</v>
      </c>
      <c r="D86">
        <f t="shared" si="8"/>
        <v>1</v>
      </c>
      <c r="E86">
        <f t="shared" si="6"/>
        <v>0.42173370769893487</v>
      </c>
      <c r="F86">
        <f t="shared" si="7"/>
        <v>0.3957741007661707</v>
      </c>
      <c r="G86">
        <f t="array" ref="G86">SQRT(SUM(($E86:$F86-$M$6:$N$6)^2))</f>
        <v>0.32698986249327239</v>
      </c>
      <c r="H86">
        <f t="array" ref="H86">SQRT(SUM(($E86:$F86-$M$7:$N$7)^2))</f>
        <v>2.3887798161747047</v>
      </c>
      <c r="I86">
        <f t="shared" si="9"/>
        <v>0.32698986249327239</v>
      </c>
      <c r="Q86">
        <v>4.5</v>
      </c>
      <c r="R86">
        <v>1.5</v>
      </c>
      <c r="S86" t="s">
        <v>4</v>
      </c>
      <c r="T86">
        <v>2</v>
      </c>
    </row>
    <row r="87" spans="1:20" x14ac:dyDescent="0.3">
      <c r="A87">
        <v>4.5</v>
      </c>
      <c r="B87">
        <v>1.6</v>
      </c>
      <c r="C87" t="s">
        <v>4</v>
      </c>
      <c r="D87">
        <f t="shared" si="8"/>
        <v>1</v>
      </c>
      <c r="E87">
        <f t="shared" si="6"/>
        <v>0.42173370769893487</v>
      </c>
      <c r="F87">
        <f t="shared" si="7"/>
        <v>0.5274062850564718</v>
      </c>
      <c r="G87">
        <f t="array" ref="G87">SQRT(SUM(($E87:$F87-$M$6:$N$6)^2))</f>
        <v>0.25151192751430118</v>
      </c>
      <c r="H87">
        <f t="array" ref="H87">SQRT(SUM(($E87:$F87-$M$7:$N$7)^2))</f>
        <v>2.4815636206202467</v>
      </c>
      <c r="I87">
        <f t="shared" si="9"/>
        <v>0.25151192751430118</v>
      </c>
      <c r="Q87">
        <v>4.5</v>
      </c>
      <c r="R87">
        <v>1.6</v>
      </c>
      <c r="S87" t="s">
        <v>4</v>
      </c>
      <c r="T87">
        <v>2</v>
      </c>
    </row>
    <row r="88" spans="1:20" x14ac:dyDescent="0.3">
      <c r="A88">
        <v>4.7</v>
      </c>
      <c r="B88">
        <v>1.5</v>
      </c>
      <c r="C88" t="s">
        <v>4</v>
      </c>
      <c r="D88">
        <f t="shared" si="8"/>
        <v>1</v>
      </c>
      <c r="E88">
        <f t="shared" si="6"/>
        <v>0.53540856152614158</v>
      </c>
      <c r="F88">
        <f t="shared" si="7"/>
        <v>0.3957741007661707</v>
      </c>
      <c r="G88">
        <f t="array" ref="G88">SQRT(SUM(($E88:$F88-$M$6:$N$6)^2))</f>
        <v>0.25957876386927453</v>
      </c>
      <c r="H88">
        <f t="array" ref="H88">SQRT(SUM(($E88:$F88-$M$7:$N$7)^2))</f>
        <v>2.4721975050235363</v>
      </c>
      <c r="I88">
        <f t="shared" si="9"/>
        <v>0.25957876386927453</v>
      </c>
      <c r="Q88">
        <v>4.7</v>
      </c>
      <c r="R88">
        <v>1.5</v>
      </c>
      <c r="S88" t="s">
        <v>4</v>
      </c>
      <c r="T88">
        <v>2</v>
      </c>
    </row>
    <row r="89" spans="1:20" x14ac:dyDescent="0.3">
      <c r="A89">
        <v>4.4000000000000004</v>
      </c>
      <c r="B89">
        <v>1.3</v>
      </c>
      <c r="C89" t="s">
        <v>4</v>
      </c>
      <c r="D89">
        <f t="shared" si="8"/>
        <v>1</v>
      </c>
      <c r="E89">
        <f t="shared" si="6"/>
        <v>0.36489628078533176</v>
      </c>
      <c r="F89">
        <f t="shared" si="7"/>
        <v>0.1325097321855688</v>
      </c>
      <c r="G89">
        <f t="array" ref="G89">SQRT(SUM(($E89:$F89-$M$6:$N$6)^2))</f>
        <v>0.57242894743157036</v>
      </c>
      <c r="H89">
        <f t="array" ref="H89">SQRT(SUM(($E89:$F89-$M$7:$N$7)^2))</f>
        <v>2.1710363765306773</v>
      </c>
      <c r="I89">
        <f t="shared" si="9"/>
        <v>0.57242894743157036</v>
      </c>
      <c r="Q89">
        <v>4.4000000000000004</v>
      </c>
      <c r="R89">
        <v>1.3</v>
      </c>
      <c r="S89" t="s">
        <v>4</v>
      </c>
      <c r="T89">
        <v>2</v>
      </c>
    </row>
    <row r="90" spans="1:20" x14ac:dyDescent="0.3">
      <c r="A90">
        <v>4.0999999999999996</v>
      </c>
      <c r="B90">
        <v>1.3</v>
      </c>
      <c r="C90" t="s">
        <v>4</v>
      </c>
      <c r="D90">
        <f t="shared" si="8"/>
        <v>1</v>
      </c>
      <c r="E90">
        <f t="shared" si="6"/>
        <v>0.19438400004452153</v>
      </c>
      <c r="F90">
        <f t="shared" si="7"/>
        <v>0.1325097321855688</v>
      </c>
      <c r="G90">
        <f t="array" ref="G90">SQRT(SUM(($E90:$F90-$M$6:$N$6)^2))</f>
        <v>0.67440871005730774</v>
      </c>
      <c r="H90">
        <f t="array" ref="H90">SQRT(SUM(($E90:$F90-$M$7:$N$7)^2))</f>
        <v>2.0427927116473126</v>
      </c>
      <c r="I90">
        <f t="shared" si="9"/>
        <v>0.67440871005730774</v>
      </c>
      <c r="Q90">
        <v>4.0999999999999996</v>
      </c>
      <c r="R90">
        <v>1.3</v>
      </c>
      <c r="S90" t="s">
        <v>4</v>
      </c>
      <c r="T90">
        <v>2</v>
      </c>
    </row>
    <row r="91" spans="1:20" x14ac:dyDescent="0.3">
      <c r="A91">
        <v>4</v>
      </c>
      <c r="B91">
        <v>1.3</v>
      </c>
      <c r="C91" t="s">
        <v>4</v>
      </c>
      <c r="D91">
        <f t="shared" si="8"/>
        <v>1</v>
      </c>
      <c r="E91">
        <f t="shared" si="6"/>
        <v>0.13754657313091845</v>
      </c>
      <c r="F91">
        <f t="shared" si="7"/>
        <v>0.1325097321855688</v>
      </c>
      <c r="G91">
        <f t="array" ref="G91">SQRT(SUM(($E91:$F91-$M$6:$N$6)^2))</f>
        <v>0.71423606044615739</v>
      </c>
      <c r="H91">
        <f t="array" ref="H91">SQRT(SUM(($E91:$F91-$M$7:$N$7)^2))</f>
        <v>2.0014474112498339</v>
      </c>
      <c r="I91">
        <f t="shared" si="9"/>
        <v>0.71423606044615739</v>
      </c>
      <c r="Q91">
        <v>4</v>
      </c>
      <c r="R91">
        <v>1.3</v>
      </c>
      <c r="S91" t="s">
        <v>4</v>
      </c>
      <c r="T91">
        <v>2</v>
      </c>
    </row>
    <row r="92" spans="1:20" x14ac:dyDescent="0.3">
      <c r="A92">
        <v>4.4000000000000004</v>
      </c>
      <c r="B92">
        <v>1.2</v>
      </c>
      <c r="C92" t="s">
        <v>4</v>
      </c>
      <c r="D92">
        <f t="shared" si="8"/>
        <v>1</v>
      </c>
      <c r="E92">
        <f t="shared" si="6"/>
        <v>0.36489628078533176</v>
      </c>
      <c r="F92">
        <f t="shared" si="7"/>
        <v>8.7754789526769972E-4</v>
      </c>
      <c r="G92">
        <f t="array" ref="G92">SQRT(SUM(($E92:$F92-$M$6:$N$6)^2))</f>
        <v>0.68942092512139508</v>
      </c>
      <c r="H92">
        <f t="array" ref="H92">SQRT(SUM(($E92:$F92-$M$7:$N$7)^2))</f>
        <v>2.0893712324150187</v>
      </c>
      <c r="I92">
        <f t="shared" si="9"/>
        <v>0.68942092512139508</v>
      </c>
      <c r="Q92">
        <v>4.4000000000000004</v>
      </c>
      <c r="R92">
        <v>1.2</v>
      </c>
      <c r="S92" t="s">
        <v>4</v>
      </c>
      <c r="T92">
        <v>2</v>
      </c>
    </row>
    <row r="93" spans="1:20" x14ac:dyDescent="0.3">
      <c r="A93">
        <v>4.5999999999999996</v>
      </c>
      <c r="B93">
        <v>1.4</v>
      </c>
      <c r="C93" t="s">
        <v>4</v>
      </c>
      <c r="D93">
        <f t="shared" si="8"/>
        <v>1</v>
      </c>
      <c r="E93">
        <f t="shared" si="6"/>
        <v>0.47857113461253797</v>
      </c>
      <c r="F93">
        <f t="shared" si="7"/>
        <v>0.2641419164758696</v>
      </c>
      <c r="G93">
        <f t="array" ref="G93">SQRT(SUM(($E93:$F93-$M$6:$N$6)^2))</f>
        <v>0.40278957743213445</v>
      </c>
      <c r="H93">
        <f t="array" ref="H93">SQRT(SUM(($E93:$F93-$M$7:$N$7)^2))</f>
        <v>2.3427653179022916</v>
      </c>
      <c r="I93">
        <f t="shared" si="9"/>
        <v>0.40278957743213445</v>
      </c>
      <c r="Q93">
        <v>4.5999999999999996</v>
      </c>
      <c r="R93">
        <v>1.4</v>
      </c>
      <c r="S93" t="s">
        <v>4</v>
      </c>
      <c r="T93">
        <v>2</v>
      </c>
    </row>
    <row r="94" spans="1:20" x14ac:dyDescent="0.3">
      <c r="A94">
        <v>4</v>
      </c>
      <c r="B94">
        <v>1.2</v>
      </c>
      <c r="C94" t="s">
        <v>4</v>
      </c>
      <c r="D94">
        <f t="shared" si="8"/>
        <v>1</v>
      </c>
      <c r="E94">
        <f t="shared" si="6"/>
        <v>0.13754657313091845</v>
      </c>
      <c r="F94">
        <f t="shared" si="7"/>
        <v>8.7754789526769972E-4</v>
      </c>
      <c r="G94">
        <f t="array" ref="G94">SQRT(SUM(($E94:$F94-$M$6:$N$6)^2))</f>
        <v>0.81102371246423599</v>
      </c>
      <c r="H94">
        <f t="array" ref="H94">SQRT(SUM(($E94:$F94-$M$7:$N$7)^2))</f>
        <v>1.9125545583388368</v>
      </c>
      <c r="I94">
        <f t="shared" si="9"/>
        <v>0.81102371246423599</v>
      </c>
      <c r="Q94">
        <v>4</v>
      </c>
      <c r="R94">
        <v>1.2</v>
      </c>
      <c r="S94" t="s">
        <v>4</v>
      </c>
      <c r="T94">
        <v>2</v>
      </c>
    </row>
    <row r="95" spans="1:20" x14ac:dyDescent="0.3">
      <c r="A95">
        <v>3.3</v>
      </c>
      <c r="B95">
        <v>1</v>
      </c>
      <c r="C95" t="s">
        <v>4</v>
      </c>
      <c r="D95">
        <f t="shared" si="8"/>
        <v>1</v>
      </c>
      <c r="E95">
        <f t="shared" si="6"/>
        <v>-0.26031541526430468</v>
      </c>
      <c r="F95">
        <f t="shared" si="7"/>
        <v>-0.2623868206853342</v>
      </c>
      <c r="G95">
        <f t="array" ref="G95">SQRT(SUM(($E95:$F95-$M$6:$N$6)^2))</f>
        <v>1.2747643642968094</v>
      </c>
      <c r="H95">
        <f t="array" ref="H95">SQRT(SUM(($E95:$F95-$M$7:$N$7)^2))</f>
        <v>1.4409749760800004</v>
      </c>
      <c r="I95">
        <f t="shared" si="9"/>
        <v>1.2747643642968094</v>
      </c>
      <c r="Q95">
        <v>3.3</v>
      </c>
      <c r="R95">
        <v>1</v>
      </c>
      <c r="S95" t="s">
        <v>4</v>
      </c>
      <c r="T95">
        <v>2</v>
      </c>
    </row>
    <row r="96" spans="1:20" x14ac:dyDescent="0.3">
      <c r="A96">
        <v>4.2</v>
      </c>
      <c r="B96">
        <v>1.3</v>
      </c>
      <c r="C96" t="s">
        <v>4</v>
      </c>
      <c r="D96">
        <f t="shared" si="8"/>
        <v>1</v>
      </c>
      <c r="E96">
        <f t="shared" si="6"/>
        <v>0.2512214269581251</v>
      </c>
      <c r="F96">
        <f t="shared" si="7"/>
        <v>0.1325097321855688</v>
      </c>
      <c r="G96">
        <f t="array" ref="G96">SQRT(SUM(($E96:$F96-$M$6:$N$6)^2))</f>
        <v>0.63716720926064174</v>
      </c>
      <c r="H96">
        <f t="array" ref="H96">SQRT(SUM(($E96:$F96-$M$7:$N$7)^2))</f>
        <v>2.0848677108431652</v>
      </c>
      <c r="I96">
        <f t="shared" si="9"/>
        <v>0.63716720926064174</v>
      </c>
      <c r="Q96">
        <v>4.2</v>
      </c>
      <c r="R96">
        <v>1.3</v>
      </c>
      <c r="S96" t="s">
        <v>4</v>
      </c>
      <c r="T96">
        <v>2</v>
      </c>
    </row>
    <row r="97" spans="1:20" x14ac:dyDescent="0.3">
      <c r="A97">
        <v>4.2</v>
      </c>
      <c r="B97">
        <v>1.2</v>
      </c>
      <c r="C97" t="s">
        <v>4</v>
      </c>
      <c r="D97">
        <f t="shared" si="8"/>
        <v>1</v>
      </c>
      <c r="E97">
        <f t="shared" si="6"/>
        <v>0.2512214269581251</v>
      </c>
      <c r="F97">
        <f t="shared" si="7"/>
        <v>8.7754789526769972E-4</v>
      </c>
      <c r="G97">
        <f t="array" ref="G97">SQRT(SUM(($E97:$F97-$M$6:$N$6)^2))</f>
        <v>0.74404863059790594</v>
      </c>
      <c r="H97">
        <f t="array" ref="H97">SQRT(SUM(($E97:$F97-$M$7:$N$7)^2))</f>
        <v>1.999686618033041</v>
      </c>
      <c r="I97">
        <f t="shared" si="9"/>
        <v>0.74404863059790594</v>
      </c>
      <c r="Q97">
        <v>4.2</v>
      </c>
      <c r="R97">
        <v>1.2</v>
      </c>
      <c r="S97" t="s">
        <v>4</v>
      </c>
      <c r="T97">
        <v>2</v>
      </c>
    </row>
    <row r="98" spans="1:20" x14ac:dyDescent="0.3">
      <c r="A98">
        <v>4.2</v>
      </c>
      <c r="B98">
        <v>1.3</v>
      </c>
      <c r="C98" t="s">
        <v>4</v>
      </c>
      <c r="D98">
        <f t="shared" si="8"/>
        <v>1</v>
      </c>
      <c r="E98">
        <f t="shared" ref="E98:E129" si="10">(A98-L$2)/L$3</f>
        <v>0.2512214269581251</v>
      </c>
      <c r="F98">
        <f t="shared" ref="F98:F129" si="11">(B98-M$2)/M$3</f>
        <v>0.1325097321855688</v>
      </c>
      <c r="G98">
        <f t="array" ref="G98">SQRT(SUM(($E98:$F98-$M$6:$N$6)^2))</f>
        <v>0.63716720926064174</v>
      </c>
      <c r="H98">
        <f t="array" ref="H98">SQRT(SUM(($E98:$F98-$M$7:$N$7)^2))</f>
        <v>2.0848677108431652</v>
      </c>
      <c r="I98">
        <f t="shared" si="9"/>
        <v>0.63716720926064174</v>
      </c>
      <c r="Q98">
        <v>4.2</v>
      </c>
      <c r="R98">
        <v>1.3</v>
      </c>
      <c r="S98" t="s">
        <v>4</v>
      </c>
      <c r="T98">
        <v>2</v>
      </c>
    </row>
    <row r="99" spans="1:20" x14ac:dyDescent="0.3">
      <c r="A99">
        <v>4.3</v>
      </c>
      <c r="B99">
        <v>1.3</v>
      </c>
      <c r="C99" t="s">
        <v>4</v>
      </c>
      <c r="D99">
        <f t="shared" si="8"/>
        <v>1</v>
      </c>
      <c r="E99">
        <f t="shared" si="10"/>
        <v>0.30805885387172821</v>
      </c>
      <c r="F99">
        <f t="shared" si="11"/>
        <v>0.1325097321855688</v>
      </c>
      <c r="G99">
        <f t="array" ref="G99">SQRT(SUM(($E99:$F99-$M$6:$N$6)^2))</f>
        <v>0.60299086486376052</v>
      </c>
      <c r="H99">
        <f t="array" ref="H99">SQRT(SUM(($E99:$F99-$M$7:$N$7)^2))</f>
        <v>2.1276291187304652</v>
      </c>
      <c r="I99">
        <f t="shared" si="9"/>
        <v>0.60299086486376052</v>
      </c>
      <c r="Q99">
        <v>4.3</v>
      </c>
      <c r="R99">
        <v>1.3</v>
      </c>
      <c r="S99" t="s">
        <v>4</v>
      </c>
      <c r="T99">
        <v>2</v>
      </c>
    </row>
    <row r="100" spans="1:20" x14ac:dyDescent="0.3">
      <c r="A100">
        <v>3</v>
      </c>
      <c r="B100">
        <v>1.1000000000000001</v>
      </c>
      <c r="C100" t="s">
        <v>4</v>
      </c>
      <c r="D100">
        <f t="shared" si="8"/>
        <v>1</v>
      </c>
      <c r="E100">
        <f t="shared" si="10"/>
        <v>-0.43082769600511445</v>
      </c>
      <c r="F100">
        <f t="shared" si="11"/>
        <v>-0.13075463639503312</v>
      </c>
      <c r="G100">
        <f t="array" ref="G100">SQRT(SUM(($E100:$F100-$M$6:$N$6)^2))</f>
        <v>1.3222913814289698</v>
      </c>
      <c r="H100">
        <f t="array" ref="H100">SQRT(SUM(($E100:$F100-$M$7:$N$7)^2))</f>
        <v>1.4240236003378071</v>
      </c>
      <c r="I100">
        <f t="shared" si="9"/>
        <v>1.3222913814289698</v>
      </c>
      <c r="Q100">
        <v>3</v>
      </c>
      <c r="R100">
        <v>1.1000000000000001</v>
      </c>
      <c r="S100" t="s">
        <v>4</v>
      </c>
      <c r="T100">
        <v>2</v>
      </c>
    </row>
    <row r="101" spans="1:20" x14ac:dyDescent="0.3">
      <c r="A101">
        <v>4.0999999999999996</v>
      </c>
      <c r="B101">
        <v>1.3</v>
      </c>
      <c r="C101" t="s">
        <v>4</v>
      </c>
      <c r="D101">
        <f t="shared" si="8"/>
        <v>1</v>
      </c>
      <c r="E101">
        <f t="shared" si="10"/>
        <v>0.19438400004452153</v>
      </c>
      <c r="F101">
        <f t="shared" si="11"/>
        <v>0.1325097321855688</v>
      </c>
      <c r="G101">
        <f t="array" ref="G101">SQRT(SUM(($E101:$F101-$M$6:$N$6)^2))</f>
        <v>0.67440871005730774</v>
      </c>
      <c r="H101">
        <f t="array" ref="H101">SQRT(SUM(($E101:$F101-$M$7:$N$7)^2))</f>
        <v>2.0427927116473126</v>
      </c>
      <c r="I101">
        <f t="shared" si="9"/>
        <v>0.67440871005730774</v>
      </c>
      <c r="Q101">
        <v>4.0999999999999996</v>
      </c>
      <c r="R101">
        <v>1.3</v>
      </c>
      <c r="S101" t="s">
        <v>4</v>
      </c>
      <c r="T101">
        <v>2</v>
      </c>
    </row>
    <row r="102" spans="1:20" x14ac:dyDescent="0.3">
      <c r="A102">
        <v>6</v>
      </c>
      <c r="B102">
        <v>2.5</v>
      </c>
      <c r="C102" t="s">
        <v>5</v>
      </c>
      <c r="D102">
        <f t="shared" si="8"/>
        <v>1</v>
      </c>
      <c r="E102">
        <f t="shared" si="10"/>
        <v>1.2742951114029841</v>
      </c>
      <c r="F102">
        <f t="shared" si="11"/>
        <v>1.7120959436691805</v>
      </c>
      <c r="G102">
        <f t="array" ref="G102">SQRT(SUM(($E102:$F102-$M$6:$N$6)^2))</f>
        <v>1.2502403479661486</v>
      </c>
      <c r="H102">
        <f t="array" ref="H102">SQRT(SUM(($E102:$F102-$M$7:$N$7)^2))</f>
        <v>3.931376879901888</v>
      </c>
      <c r="I102">
        <f t="shared" si="9"/>
        <v>1.2502403479661486</v>
      </c>
      <c r="Q102">
        <v>6</v>
      </c>
      <c r="R102">
        <v>2.5</v>
      </c>
      <c r="S102" t="s">
        <v>5</v>
      </c>
      <c r="T102">
        <v>2</v>
      </c>
    </row>
    <row r="103" spans="1:20" x14ac:dyDescent="0.3">
      <c r="A103">
        <v>5.0999999999999996</v>
      </c>
      <c r="B103">
        <v>1.9</v>
      </c>
      <c r="C103" t="s">
        <v>5</v>
      </c>
      <c r="D103">
        <f t="shared" si="8"/>
        <v>1</v>
      </c>
      <c r="E103">
        <f t="shared" si="10"/>
        <v>0.76275826918055445</v>
      </c>
      <c r="F103">
        <f t="shared" si="11"/>
        <v>0.92230283792737455</v>
      </c>
      <c r="G103">
        <f t="array" ref="G103">SQRT(SUM(($E103:$F103-$M$6:$N$6)^2))</f>
        <v>0.31479898235472908</v>
      </c>
      <c r="H103">
        <f t="array" ref="H103">SQRT(SUM(($E103:$F103-$M$7:$N$7)^2))</f>
        <v>3.0026247985626808</v>
      </c>
      <c r="I103">
        <f t="shared" si="9"/>
        <v>0.31479898235472908</v>
      </c>
      <c r="Q103">
        <v>5.0999999999999996</v>
      </c>
      <c r="R103">
        <v>1.9</v>
      </c>
      <c r="S103" t="s">
        <v>5</v>
      </c>
      <c r="T103">
        <v>2</v>
      </c>
    </row>
    <row r="104" spans="1:20" x14ac:dyDescent="0.3">
      <c r="A104">
        <v>5.9</v>
      </c>
      <c r="B104">
        <v>2.1</v>
      </c>
      <c r="C104" t="s">
        <v>5</v>
      </c>
      <c r="D104">
        <f t="shared" si="8"/>
        <v>1</v>
      </c>
      <c r="E104">
        <f t="shared" si="10"/>
        <v>1.2174576844893812</v>
      </c>
      <c r="F104">
        <f t="shared" si="11"/>
        <v>1.1855672065079768</v>
      </c>
      <c r="G104">
        <f t="array" ref="G104">SQRT(SUM(($E104:$F104-$M$6:$N$6)^2))</f>
        <v>0.79415539870761265</v>
      </c>
      <c r="H104">
        <f t="array" ref="H104">SQRT(SUM(($E104:$F104-$M$7:$N$7)^2))</f>
        <v>3.5097830734655586</v>
      </c>
      <c r="I104">
        <f t="shared" si="9"/>
        <v>0.79415539870761265</v>
      </c>
      <c r="Q104">
        <v>5.9</v>
      </c>
      <c r="R104">
        <v>2.1</v>
      </c>
      <c r="S104" t="s">
        <v>5</v>
      </c>
      <c r="T104">
        <v>2</v>
      </c>
    </row>
    <row r="105" spans="1:20" x14ac:dyDescent="0.3">
      <c r="A105">
        <v>5.6</v>
      </c>
      <c r="B105">
        <v>1.8</v>
      </c>
      <c r="C105" t="s">
        <v>5</v>
      </c>
      <c r="D105">
        <f t="shared" si="8"/>
        <v>1</v>
      </c>
      <c r="E105">
        <f t="shared" si="10"/>
        <v>1.0469454037485708</v>
      </c>
      <c r="F105">
        <f t="shared" si="11"/>
        <v>0.79067065363707378</v>
      </c>
      <c r="G105">
        <f t="array" ref="G105">SQRT(SUM(($E105:$F105-$M$6:$N$6)^2))</f>
        <v>0.42688900395189</v>
      </c>
      <c r="H105">
        <f t="array" ref="H105">SQRT(SUM(($E105:$F105-$M$7:$N$7)^2))</f>
        <v>3.1170370887815002</v>
      </c>
      <c r="I105">
        <f t="shared" si="9"/>
        <v>0.42688900395189</v>
      </c>
      <c r="Q105">
        <v>5.6</v>
      </c>
      <c r="R105">
        <v>1.8</v>
      </c>
      <c r="S105" t="s">
        <v>5</v>
      </c>
      <c r="T105">
        <v>2</v>
      </c>
    </row>
    <row r="106" spans="1:20" x14ac:dyDescent="0.3">
      <c r="A106">
        <v>5.8</v>
      </c>
      <c r="B106">
        <v>2.2000000000000002</v>
      </c>
      <c r="C106" t="s">
        <v>5</v>
      </c>
      <c r="D106">
        <f t="shared" si="8"/>
        <v>1</v>
      </c>
      <c r="E106">
        <f t="shared" si="10"/>
        <v>1.1606202575757776</v>
      </c>
      <c r="F106">
        <f t="shared" si="11"/>
        <v>1.317199390798278</v>
      </c>
      <c r="G106">
        <f t="array" ref="G106">SQRT(SUM(($E106:$F106-$M$6:$N$6)^2))</f>
        <v>0.85670960681214525</v>
      </c>
      <c r="H106">
        <f t="array" ref="H106">SQRT(SUM(($E106:$F106-$M$7:$N$7)^2))</f>
        <v>3.5629878648131172</v>
      </c>
      <c r="I106">
        <f t="shared" si="9"/>
        <v>0.85670960681214525</v>
      </c>
      <c r="Q106">
        <v>5.8</v>
      </c>
      <c r="R106">
        <v>2.2000000000000002</v>
      </c>
      <c r="S106" t="s">
        <v>5</v>
      </c>
      <c r="T106">
        <v>2</v>
      </c>
    </row>
    <row r="107" spans="1:20" x14ac:dyDescent="0.3">
      <c r="A107">
        <v>6.6</v>
      </c>
      <c r="B107">
        <v>2.1</v>
      </c>
      <c r="C107" t="s">
        <v>5</v>
      </c>
      <c r="D107">
        <f t="shared" si="8"/>
        <v>1</v>
      </c>
      <c r="E107">
        <f t="shared" si="10"/>
        <v>1.6153196728846038</v>
      </c>
      <c r="F107">
        <f t="shared" si="11"/>
        <v>1.1855672065079768</v>
      </c>
      <c r="G107">
        <f t="array" ref="G107">SQRT(SUM(($E107:$F107-$M$6:$N$6)^2))</f>
        <v>1.1128936960222575</v>
      </c>
      <c r="H107">
        <f t="array" ref="H107">SQRT(SUM(($E107:$F107-$M$7:$N$7)^2))</f>
        <v>3.8057905034753836</v>
      </c>
      <c r="I107">
        <f t="shared" si="9"/>
        <v>1.1128936960222575</v>
      </c>
      <c r="Q107">
        <v>6.6</v>
      </c>
      <c r="R107">
        <v>2.1</v>
      </c>
      <c r="S107" t="s">
        <v>5</v>
      </c>
      <c r="T107">
        <v>2</v>
      </c>
    </row>
    <row r="108" spans="1:20" x14ac:dyDescent="0.3">
      <c r="A108">
        <v>4.5</v>
      </c>
      <c r="B108">
        <v>1.7</v>
      </c>
      <c r="C108" t="s">
        <v>5</v>
      </c>
      <c r="D108">
        <f t="shared" si="8"/>
        <v>1</v>
      </c>
      <c r="E108">
        <f t="shared" si="10"/>
        <v>0.42173370769893487</v>
      </c>
      <c r="F108">
        <f t="shared" si="11"/>
        <v>0.65903846934677268</v>
      </c>
      <c r="G108">
        <f t="array" ref="G108">SQRT(SUM(($E108:$F108-$M$6:$N$6)^2))</f>
        <v>0.23291241502466239</v>
      </c>
      <c r="H108">
        <f t="array" ref="H108">SQRT(SUM(($E108:$F108-$M$7:$N$7)^2))</f>
        <v>2.5777317665129846</v>
      </c>
      <c r="I108">
        <f t="shared" si="9"/>
        <v>0.23291241502466239</v>
      </c>
      <c r="Q108">
        <v>4.5</v>
      </c>
      <c r="R108">
        <v>1.7</v>
      </c>
      <c r="S108" t="s">
        <v>5</v>
      </c>
      <c r="T108">
        <v>2</v>
      </c>
    </row>
    <row r="109" spans="1:20" x14ac:dyDescent="0.3">
      <c r="A109">
        <v>6.3</v>
      </c>
      <c r="B109">
        <v>1.8</v>
      </c>
      <c r="C109" t="s">
        <v>5</v>
      </c>
      <c r="D109">
        <f t="shared" si="8"/>
        <v>1</v>
      </c>
      <c r="E109">
        <f t="shared" si="10"/>
        <v>1.4448073921437941</v>
      </c>
      <c r="F109">
        <f t="shared" si="11"/>
        <v>0.79067065363707378</v>
      </c>
      <c r="G109">
        <f t="array" ref="G109">SQRT(SUM(($E109:$F109-$M$6:$N$6)^2))</f>
        <v>0.80895184833337574</v>
      </c>
      <c r="H109">
        <f t="array" ref="H109">SQRT(SUM(($E109:$F109-$M$7:$N$7)^2))</f>
        <v>3.4272005538449064</v>
      </c>
      <c r="I109">
        <f t="shared" si="9"/>
        <v>0.80895184833337574</v>
      </c>
      <c r="Q109">
        <v>6.3</v>
      </c>
      <c r="R109">
        <v>1.8</v>
      </c>
      <c r="S109" t="s">
        <v>5</v>
      </c>
      <c r="T109">
        <v>2</v>
      </c>
    </row>
    <row r="110" spans="1:20" x14ac:dyDescent="0.3">
      <c r="A110">
        <v>5.8</v>
      </c>
      <c r="B110">
        <v>1.8</v>
      </c>
      <c r="C110" t="s">
        <v>5</v>
      </c>
      <c r="D110">
        <f t="shared" si="8"/>
        <v>1</v>
      </c>
      <c r="E110">
        <f t="shared" si="10"/>
        <v>1.1606202575757776</v>
      </c>
      <c r="F110">
        <f t="shared" si="11"/>
        <v>0.79067065363707378</v>
      </c>
      <c r="G110">
        <f t="array" ref="G110">SQRT(SUM(($E110:$F110-$M$6:$N$6)^2))</f>
        <v>0.53369905610987634</v>
      </c>
      <c r="H110">
        <f t="array" ref="H110">SQRT(SUM(($E110:$F110-$M$7:$N$7)^2))</f>
        <v>3.203678105371917</v>
      </c>
      <c r="I110">
        <f t="shared" si="9"/>
        <v>0.53369905610987634</v>
      </c>
      <c r="Q110">
        <v>5.8</v>
      </c>
      <c r="R110">
        <v>1.8</v>
      </c>
      <c r="S110" t="s">
        <v>5</v>
      </c>
      <c r="T110">
        <v>2</v>
      </c>
    </row>
    <row r="111" spans="1:20" x14ac:dyDescent="0.3">
      <c r="A111">
        <v>6.1</v>
      </c>
      <c r="B111">
        <v>2.5</v>
      </c>
      <c r="C111" t="s">
        <v>5</v>
      </c>
      <c r="D111">
        <f t="shared" si="8"/>
        <v>1</v>
      </c>
      <c r="E111">
        <f t="shared" si="10"/>
        <v>1.3311325383165873</v>
      </c>
      <c r="F111">
        <f t="shared" si="11"/>
        <v>1.7120959436691805</v>
      </c>
      <c r="G111">
        <f t="array" ref="G111">SQRT(SUM(($E111:$F111-$M$6:$N$6)^2))</f>
        <v>1.2794587174928302</v>
      </c>
      <c r="H111">
        <f t="array" ref="H111">SQRT(SUM(($E111:$F111-$M$7:$N$7)^2))</f>
        <v>3.9688983633388992</v>
      </c>
      <c r="I111">
        <f t="shared" si="9"/>
        <v>1.2794587174928302</v>
      </c>
      <c r="Q111">
        <v>6.1</v>
      </c>
      <c r="R111">
        <v>2.5</v>
      </c>
      <c r="S111" t="s">
        <v>5</v>
      </c>
      <c r="T111">
        <v>2</v>
      </c>
    </row>
    <row r="112" spans="1:20" x14ac:dyDescent="0.3">
      <c r="A112">
        <v>5.0999999999999996</v>
      </c>
      <c r="B112">
        <v>2</v>
      </c>
      <c r="C112" t="s">
        <v>5</v>
      </c>
      <c r="D112">
        <f t="shared" si="8"/>
        <v>1</v>
      </c>
      <c r="E112">
        <f t="shared" si="10"/>
        <v>0.76275826918055445</v>
      </c>
      <c r="F112">
        <f t="shared" si="11"/>
        <v>1.0539350222176758</v>
      </c>
      <c r="G112">
        <f t="array" ref="G112">SQRT(SUM(($E112:$F112-$M$6:$N$6)^2))</f>
        <v>0.44051167331689323</v>
      </c>
      <c r="H112">
        <f t="array" ref="H112">SQRT(SUM(($E112:$F112-$M$7:$N$7)^2))</f>
        <v>3.0993968654391586</v>
      </c>
      <c r="I112">
        <f t="shared" si="9"/>
        <v>0.44051167331689323</v>
      </c>
      <c r="Q112">
        <v>5.0999999999999996</v>
      </c>
      <c r="R112">
        <v>2</v>
      </c>
      <c r="S112" t="s">
        <v>5</v>
      </c>
      <c r="T112">
        <v>2</v>
      </c>
    </row>
    <row r="113" spans="1:20" x14ac:dyDescent="0.3">
      <c r="A113">
        <v>5.3</v>
      </c>
      <c r="B113">
        <v>1.9</v>
      </c>
      <c r="C113" t="s">
        <v>5</v>
      </c>
      <c r="D113">
        <f t="shared" si="8"/>
        <v>1</v>
      </c>
      <c r="E113">
        <f t="shared" si="10"/>
        <v>0.87643312300776111</v>
      </c>
      <c r="F113">
        <f t="shared" si="11"/>
        <v>0.92230283792737455</v>
      </c>
      <c r="G113">
        <f t="array" ref="G113">SQRT(SUM(($E113:$F113-$M$6:$N$6)^2))</f>
        <v>0.37025531478417051</v>
      </c>
      <c r="H113">
        <f t="array" ref="H113">SQRT(SUM(($E113:$F113-$M$7:$N$7)^2))</f>
        <v>3.0820089242213986</v>
      </c>
      <c r="I113">
        <f t="shared" si="9"/>
        <v>0.37025531478417051</v>
      </c>
      <c r="Q113">
        <v>5.3</v>
      </c>
      <c r="R113">
        <v>1.9</v>
      </c>
      <c r="S113" t="s">
        <v>5</v>
      </c>
      <c r="T113">
        <v>2</v>
      </c>
    </row>
    <row r="114" spans="1:20" x14ac:dyDescent="0.3">
      <c r="A114">
        <v>5.5</v>
      </c>
      <c r="B114">
        <v>2.1</v>
      </c>
      <c r="C114" t="s">
        <v>5</v>
      </c>
      <c r="D114">
        <f t="shared" si="8"/>
        <v>1</v>
      </c>
      <c r="E114">
        <f t="shared" si="10"/>
        <v>0.99010797683496776</v>
      </c>
      <c r="F114">
        <f t="shared" si="11"/>
        <v>1.1855672065079768</v>
      </c>
      <c r="G114">
        <f t="array" ref="G114">SQRT(SUM(($E114:$F114-$M$6:$N$6)^2))</f>
        <v>0.65228971761125798</v>
      </c>
      <c r="H114">
        <f t="array" ref="H114">SQRT(SUM(($E114:$F114-$M$7:$N$7)^2))</f>
        <v>3.3501210191253468</v>
      </c>
      <c r="I114">
        <f t="shared" si="9"/>
        <v>0.65228971761125798</v>
      </c>
      <c r="Q114">
        <v>5.5</v>
      </c>
      <c r="R114">
        <v>2.1</v>
      </c>
      <c r="S114" t="s">
        <v>5</v>
      </c>
      <c r="T114">
        <v>2</v>
      </c>
    </row>
    <row r="115" spans="1:20" x14ac:dyDescent="0.3">
      <c r="A115">
        <v>5</v>
      </c>
      <c r="B115">
        <v>2</v>
      </c>
      <c r="C115" t="s">
        <v>5</v>
      </c>
      <c r="D115">
        <f t="shared" si="8"/>
        <v>1</v>
      </c>
      <c r="E115">
        <f t="shared" si="10"/>
        <v>0.70592084226695129</v>
      </c>
      <c r="F115">
        <f t="shared" si="11"/>
        <v>1.0539350222176758</v>
      </c>
      <c r="G115">
        <f t="array" ref="G115">SQRT(SUM(($E115:$F115-$M$6:$N$6)^2))</f>
        <v>0.42982172374805677</v>
      </c>
      <c r="H115">
        <f t="array" ref="H115">SQRT(SUM(($E115:$F115-$M$7:$N$7)^2))</f>
        <v>3.061770851120341</v>
      </c>
      <c r="I115">
        <f t="shared" si="9"/>
        <v>0.42982172374805677</v>
      </c>
      <c r="Q115">
        <v>5</v>
      </c>
      <c r="R115">
        <v>2</v>
      </c>
      <c r="S115" t="s">
        <v>5</v>
      </c>
      <c r="T115">
        <v>2</v>
      </c>
    </row>
    <row r="116" spans="1:20" x14ac:dyDescent="0.3">
      <c r="A116">
        <v>5.0999999999999996</v>
      </c>
      <c r="B116">
        <v>2.4</v>
      </c>
      <c r="C116" t="s">
        <v>5</v>
      </c>
      <c r="D116">
        <f t="shared" si="8"/>
        <v>1</v>
      </c>
      <c r="E116">
        <f t="shared" si="10"/>
        <v>0.76275826918055445</v>
      </c>
      <c r="F116">
        <f t="shared" si="11"/>
        <v>1.5804637593788795</v>
      </c>
      <c r="G116">
        <f t="array" ref="G116">SQRT(SUM(($E116:$F116-$M$6:$N$6)^2))</f>
        <v>0.95937464699494135</v>
      </c>
      <c r="H116">
        <f t="array" ref="H116">SQRT(SUM(($E116:$F116-$M$7:$N$7)^2))</f>
        <v>3.5092481477542719</v>
      </c>
      <c r="I116">
        <f t="shared" si="9"/>
        <v>0.95937464699494135</v>
      </c>
      <c r="Q116">
        <v>5.0999999999999996</v>
      </c>
      <c r="R116">
        <v>2.4</v>
      </c>
      <c r="S116" t="s">
        <v>5</v>
      </c>
      <c r="T116">
        <v>2</v>
      </c>
    </row>
    <row r="117" spans="1:20" x14ac:dyDescent="0.3">
      <c r="A117">
        <v>5.3</v>
      </c>
      <c r="B117">
        <v>2.2999999999999998</v>
      </c>
      <c r="C117" t="s">
        <v>5</v>
      </c>
      <c r="D117">
        <f t="shared" si="8"/>
        <v>1</v>
      </c>
      <c r="E117">
        <f t="shared" si="10"/>
        <v>0.87643312300776111</v>
      </c>
      <c r="F117">
        <f t="shared" si="11"/>
        <v>1.4488315750885783</v>
      </c>
      <c r="G117">
        <f t="array" ref="G117">SQRT(SUM(($E117:$F117-$M$6:$N$6)^2))</f>
        <v>0.85136474061700373</v>
      </c>
      <c r="H117">
        <f t="array" ref="H117">SQRT(SUM(($E117:$F117-$M$7:$N$7)^2))</f>
        <v>3.4740069640797739</v>
      </c>
      <c r="I117">
        <f t="shared" si="9"/>
        <v>0.85136474061700373</v>
      </c>
      <c r="Q117">
        <v>5.3</v>
      </c>
      <c r="R117">
        <v>2.2999999999999998</v>
      </c>
      <c r="S117" t="s">
        <v>5</v>
      </c>
      <c r="T117">
        <v>2</v>
      </c>
    </row>
    <row r="118" spans="1:20" x14ac:dyDescent="0.3">
      <c r="A118">
        <v>5.5</v>
      </c>
      <c r="B118">
        <v>1.8</v>
      </c>
      <c r="C118" t="s">
        <v>5</v>
      </c>
      <c r="D118">
        <f t="shared" si="8"/>
        <v>1</v>
      </c>
      <c r="E118">
        <f t="shared" si="10"/>
        <v>0.99010797683496776</v>
      </c>
      <c r="F118">
        <f t="shared" si="11"/>
        <v>0.79067065363707378</v>
      </c>
      <c r="G118">
        <f t="array" ref="G118">SQRT(SUM(($E118:$F118-$M$6:$N$6)^2))</f>
        <v>0.3750006274538038</v>
      </c>
      <c r="H118">
        <f t="array" ref="H118">SQRT(SUM(($E118:$F118-$M$7:$N$7)^2))</f>
        <v>3.0743771884942737</v>
      </c>
      <c r="I118">
        <f t="shared" si="9"/>
        <v>0.3750006274538038</v>
      </c>
      <c r="Q118">
        <v>5.5</v>
      </c>
      <c r="R118">
        <v>1.8</v>
      </c>
      <c r="S118" t="s">
        <v>5</v>
      </c>
      <c r="T118">
        <v>2</v>
      </c>
    </row>
    <row r="119" spans="1:20" x14ac:dyDescent="0.3">
      <c r="A119">
        <v>6.7</v>
      </c>
      <c r="B119">
        <v>2.2000000000000002</v>
      </c>
      <c r="C119" t="s">
        <v>5</v>
      </c>
      <c r="D119">
        <f t="shared" si="8"/>
        <v>1</v>
      </c>
      <c r="E119">
        <f t="shared" si="10"/>
        <v>1.6721570997982074</v>
      </c>
      <c r="F119">
        <f t="shared" si="11"/>
        <v>1.317199390798278</v>
      </c>
      <c r="G119">
        <f t="array" ref="G119">SQRT(SUM(($E119:$F119-$M$6:$N$6)^2))</f>
        <v>1.2310451822377981</v>
      </c>
      <c r="H119">
        <f t="array" ref="H119">SQRT(SUM(($E119:$F119-$M$7:$N$7)^2))</f>
        <v>3.934342473212399</v>
      </c>
      <c r="I119">
        <f t="shared" si="9"/>
        <v>1.2310451822377981</v>
      </c>
      <c r="Q119">
        <v>6.7</v>
      </c>
      <c r="R119">
        <v>2.2000000000000002</v>
      </c>
      <c r="S119" t="s">
        <v>5</v>
      </c>
      <c r="T119">
        <v>2</v>
      </c>
    </row>
    <row r="120" spans="1:20" x14ac:dyDescent="0.3">
      <c r="A120">
        <v>6.9</v>
      </c>
      <c r="B120">
        <v>2.2999999999999998</v>
      </c>
      <c r="C120" t="s">
        <v>5</v>
      </c>
      <c r="D120">
        <f t="shared" si="8"/>
        <v>1</v>
      </c>
      <c r="E120">
        <f t="shared" si="10"/>
        <v>1.7858319536254139</v>
      </c>
      <c r="F120">
        <f t="shared" si="11"/>
        <v>1.4488315750885783</v>
      </c>
      <c r="G120">
        <f t="array" ref="G120">SQRT(SUM(($E120:$F120-$M$6:$N$6)^2))</f>
        <v>1.3996887955936934</v>
      </c>
      <c r="H120">
        <f t="array" ref="H120">SQRT(SUM(($E120:$F120-$M$7:$N$7)^2))</f>
        <v>4.1064940062100073</v>
      </c>
      <c r="I120">
        <f t="shared" si="9"/>
        <v>1.3996887955936934</v>
      </c>
      <c r="Q120">
        <v>6.9</v>
      </c>
      <c r="R120">
        <v>2.2999999999999998</v>
      </c>
      <c r="S120" t="s">
        <v>5</v>
      </c>
      <c r="T120">
        <v>2</v>
      </c>
    </row>
    <row r="121" spans="1:20" x14ac:dyDescent="0.3">
      <c r="A121">
        <v>5</v>
      </c>
      <c r="B121">
        <v>1.5</v>
      </c>
      <c r="C121" t="s">
        <v>5</v>
      </c>
      <c r="D121">
        <f t="shared" si="8"/>
        <v>1</v>
      </c>
      <c r="E121">
        <f t="shared" si="10"/>
        <v>0.70592084226695129</v>
      </c>
      <c r="F121">
        <f t="shared" si="11"/>
        <v>0.3957741007661707</v>
      </c>
      <c r="G121">
        <f t="array" ref="G121">SQRT(SUM(($E121:$F121-$M$6:$N$6)^2))</f>
        <v>0.2377533971199691</v>
      </c>
      <c r="H121">
        <f t="array" ref="H121">SQRT(SUM(($E121:$F121-$M$7:$N$7)^2))</f>
        <v>2.6016254805099059</v>
      </c>
      <c r="I121">
        <f t="shared" si="9"/>
        <v>0.2377533971199691</v>
      </c>
      <c r="Q121">
        <v>5</v>
      </c>
      <c r="R121">
        <v>1.5</v>
      </c>
      <c r="S121" t="s">
        <v>5</v>
      </c>
      <c r="T121">
        <v>2</v>
      </c>
    </row>
    <row r="122" spans="1:20" x14ac:dyDescent="0.3">
      <c r="A122">
        <v>5.7</v>
      </c>
      <c r="B122">
        <v>2.2999999999999998</v>
      </c>
      <c r="C122" t="s">
        <v>5</v>
      </c>
      <c r="D122">
        <f t="shared" si="8"/>
        <v>1</v>
      </c>
      <c r="E122">
        <f t="shared" si="10"/>
        <v>1.1037828306621744</v>
      </c>
      <c r="F122">
        <f t="shared" si="11"/>
        <v>1.4488315750885783</v>
      </c>
      <c r="G122">
        <f t="array" ref="G122">SQRT(SUM(($E122:$F122-$M$6:$N$6)^2))</f>
        <v>0.93719525905244694</v>
      </c>
      <c r="H122">
        <f t="array" ref="H122">SQRT(SUM(($E122:$F122-$M$7:$N$7)^2))</f>
        <v>3.621091393061505</v>
      </c>
      <c r="I122">
        <f t="shared" si="9"/>
        <v>0.93719525905244694</v>
      </c>
      <c r="Q122">
        <v>5.7</v>
      </c>
      <c r="R122">
        <v>2.2999999999999998</v>
      </c>
      <c r="S122" t="s">
        <v>5</v>
      </c>
      <c r="T122">
        <v>2</v>
      </c>
    </row>
    <row r="123" spans="1:20" x14ac:dyDescent="0.3">
      <c r="A123">
        <v>4.9000000000000004</v>
      </c>
      <c r="B123">
        <v>2</v>
      </c>
      <c r="C123" t="s">
        <v>5</v>
      </c>
      <c r="D123">
        <f t="shared" si="8"/>
        <v>1</v>
      </c>
      <c r="E123">
        <f t="shared" si="10"/>
        <v>0.64908341535334824</v>
      </c>
      <c r="F123">
        <f t="shared" si="11"/>
        <v>1.0539350222176758</v>
      </c>
      <c r="G123">
        <f t="array" ref="G123">SQRT(SUM(($E123:$F123-$M$6:$N$6)^2))</f>
        <v>0.42650191122592956</v>
      </c>
      <c r="H123">
        <f t="array" ref="H123">SQRT(SUM(($E123:$F123-$M$7:$N$7)^2))</f>
        <v>3.0247448729178124</v>
      </c>
      <c r="I123">
        <f t="shared" si="9"/>
        <v>0.42650191122592956</v>
      </c>
      <c r="Q123">
        <v>4.9000000000000004</v>
      </c>
      <c r="R123">
        <v>2</v>
      </c>
      <c r="S123" t="s">
        <v>5</v>
      </c>
      <c r="T123">
        <v>2</v>
      </c>
    </row>
    <row r="124" spans="1:20" x14ac:dyDescent="0.3">
      <c r="A124">
        <v>6.7</v>
      </c>
      <c r="B124">
        <v>2</v>
      </c>
      <c r="C124" t="s">
        <v>5</v>
      </c>
      <c r="D124">
        <f t="shared" si="8"/>
        <v>1</v>
      </c>
      <c r="E124">
        <f t="shared" si="10"/>
        <v>1.6721570997982074</v>
      </c>
      <c r="F124">
        <f t="shared" si="11"/>
        <v>1.0539350222176758</v>
      </c>
      <c r="G124">
        <f t="array" ref="G124">SQRT(SUM(($E124:$F124-$M$6:$N$6)^2))</f>
        <v>1.1052627646812889</v>
      </c>
      <c r="H124">
        <f t="array" ref="H124">SQRT(SUM(($E124:$F124-$M$7:$N$7)^2))</f>
        <v>3.7675028875603851</v>
      </c>
      <c r="I124">
        <f t="shared" si="9"/>
        <v>1.1052627646812889</v>
      </c>
      <c r="Q124">
        <v>6.7</v>
      </c>
      <c r="R124">
        <v>2</v>
      </c>
      <c r="S124" t="s">
        <v>5</v>
      </c>
      <c r="T124">
        <v>2</v>
      </c>
    </row>
    <row r="125" spans="1:20" x14ac:dyDescent="0.3">
      <c r="A125">
        <v>4.9000000000000004</v>
      </c>
      <c r="B125">
        <v>1.8</v>
      </c>
      <c r="C125" t="s">
        <v>5</v>
      </c>
      <c r="D125">
        <f t="shared" si="8"/>
        <v>1</v>
      </c>
      <c r="E125">
        <f t="shared" si="10"/>
        <v>0.64908341535334824</v>
      </c>
      <c r="F125">
        <f t="shared" si="11"/>
        <v>0.79067065363707378</v>
      </c>
      <c r="G125">
        <f t="array" ref="G125">SQRT(SUM(($E125:$F125-$M$6:$N$6)^2))</f>
        <v>0.16325952985259415</v>
      </c>
      <c r="H125">
        <f t="array" ref="H125">SQRT(SUM(($E125:$F125-$M$7:$N$7)^2))</f>
        <v>2.8289088202032362</v>
      </c>
      <c r="I125">
        <f t="shared" si="9"/>
        <v>0.16325952985259415</v>
      </c>
      <c r="Q125">
        <v>4.9000000000000004</v>
      </c>
      <c r="R125">
        <v>1.8</v>
      </c>
      <c r="S125" t="s">
        <v>5</v>
      </c>
      <c r="T125">
        <v>2</v>
      </c>
    </row>
    <row r="126" spans="1:20" x14ac:dyDescent="0.3">
      <c r="A126">
        <v>5.7</v>
      </c>
      <c r="B126">
        <v>2.1</v>
      </c>
      <c r="C126" t="s">
        <v>5</v>
      </c>
      <c r="D126">
        <f t="shared" si="8"/>
        <v>1</v>
      </c>
      <c r="E126">
        <f t="shared" si="10"/>
        <v>1.1037828306621744</v>
      </c>
      <c r="F126">
        <f t="shared" si="11"/>
        <v>1.1855672065079768</v>
      </c>
      <c r="G126">
        <f t="array" ref="G126">SQRT(SUM(($E126:$F126-$M$6:$N$6)^2))</f>
        <v>0.71774672699098674</v>
      </c>
      <c r="H126">
        <f t="array" ref="H126">SQRT(SUM(($E126:$F126-$M$7:$N$7)^2))</f>
        <v>3.428997238318042</v>
      </c>
      <c r="I126">
        <f t="shared" si="9"/>
        <v>0.71774672699098674</v>
      </c>
      <c r="Q126">
        <v>5.7</v>
      </c>
      <c r="R126">
        <v>2.1</v>
      </c>
      <c r="S126" t="s">
        <v>5</v>
      </c>
      <c r="T126">
        <v>2</v>
      </c>
    </row>
    <row r="127" spans="1:20" x14ac:dyDescent="0.3">
      <c r="A127">
        <v>6</v>
      </c>
      <c r="B127">
        <v>1.8</v>
      </c>
      <c r="C127" t="s">
        <v>5</v>
      </c>
      <c r="D127">
        <f t="shared" si="8"/>
        <v>1</v>
      </c>
      <c r="E127">
        <f t="shared" si="10"/>
        <v>1.2742951114029841</v>
      </c>
      <c r="F127">
        <f t="shared" si="11"/>
        <v>0.79067065363707378</v>
      </c>
      <c r="G127">
        <f t="array" ref="G127">SQRT(SUM(($E127:$F127-$M$6:$N$6)^2))</f>
        <v>0.64286786206450119</v>
      </c>
      <c r="H127">
        <f t="array" ref="H127">SQRT(SUM(($E127:$F127-$M$7:$N$7)^2))</f>
        <v>3.2919645407605187</v>
      </c>
      <c r="I127">
        <f t="shared" si="9"/>
        <v>0.64286786206450119</v>
      </c>
      <c r="Q127">
        <v>6</v>
      </c>
      <c r="R127">
        <v>1.8</v>
      </c>
      <c r="S127" t="s">
        <v>5</v>
      </c>
      <c r="T127">
        <v>2</v>
      </c>
    </row>
    <row r="128" spans="1:20" x14ac:dyDescent="0.3">
      <c r="A128">
        <v>4.8</v>
      </c>
      <c r="B128">
        <v>1.8</v>
      </c>
      <c r="C128" t="s">
        <v>5</v>
      </c>
      <c r="D128">
        <f t="shared" si="8"/>
        <v>1</v>
      </c>
      <c r="E128">
        <f t="shared" si="10"/>
        <v>0.59224598843974463</v>
      </c>
      <c r="F128">
        <f t="shared" si="11"/>
        <v>0.79067065363707378</v>
      </c>
      <c r="G128">
        <f t="array" ref="G128">SQRT(SUM(($E128:$F128-$M$6:$N$6)^2))</f>
        <v>0.17398800636143971</v>
      </c>
      <c r="H128">
        <f t="array" ref="H128">SQRT(SUM(($E128:$F128-$M$7:$N$7)^2))</f>
        <v>2.7899510570424706</v>
      </c>
      <c r="I128">
        <f t="shared" si="9"/>
        <v>0.17398800636143971</v>
      </c>
      <c r="Q128">
        <v>4.8</v>
      </c>
      <c r="R128">
        <v>1.8</v>
      </c>
      <c r="S128" t="s">
        <v>5</v>
      </c>
      <c r="T128">
        <v>2</v>
      </c>
    </row>
    <row r="129" spans="1:20" x14ac:dyDescent="0.3">
      <c r="A129">
        <v>4.9000000000000004</v>
      </c>
      <c r="B129">
        <v>1.8</v>
      </c>
      <c r="C129" t="s">
        <v>5</v>
      </c>
      <c r="D129">
        <f t="shared" si="8"/>
        <v>1</v>
      </c>
      <c r="E129">
        <f t="shared" si="10"/>
        <v>0.64908341535334824</v>
      </c>
      <c r="F129">
        <f t="shared" si="11"/>
        <v>0.79067065363707378</v>
      </c>
      <c r="G129">
        <f t="array" ref="G129">SQRT(SUM(($E129:$F129-$M$6:$N$6)^2))</f>
        <v>0.16325952985259415</v>
      </c>
      <c r="H129">
        <f t="array" ref="H129">SQRT(SUM(($E129:$F129-$M$7:$N$7)^2))</f>
        <v>2.8289088202032362</v>
      </c>
      <c r="I129">
        <f t="shared" si="9"/>
        <v>0.16325952985259415</v>
      </c>
      <c r="Q129">
        <v>4.9000000000000004</v>
      </c>
      <c r="R129">
        <v>1.8</v>
      </c>
      <c r="S129" t="s">
        <v>5</v>
      </c>
      <c r="T129">
        <v>2</v>
      </c>
    </row>
    <row r="130" spans="1:20" x14ac:dyDescent="0.3">
      <c r="A130">
        <v>5.6</v>
      </c>
      <c r="B130">
        <v>2.1</v>
      </c>
      <c r="C130" t="s">
        <v>5</v>
      </c>
      <c r="D130">
        <f t="shared" si="8"/>
        <v>1</v>
      </c>
      <c r="E130">
        <f t="shared" ref="E130:E151" si="12">(A130-L$2)/L$3</f>
        <v>1.0469454037485708</v>
      </c>
      <c r="F130">
        <f t="shared" ref="F130:F151" si="13">(B130-M$2)/M$3</f>
        <v>1.1855672065079768</v>
      </c>
      <c r="G130">
        <f t="array" ref="G130">SQRT(SUM(($E130:$F130-$M$6:$N$6)^2))</f>
        <v>0.68344028766649767</v>
      </c>
      <c r="H130">
        <f t="array" ref="H130">SQRT(SUM(($E130:$F130-$M$7:$N$7)^2))</f>
        <v>3.3893120184619985</v>
      </c>
      <c r="I130">
        <f t="shared" si="9"/>
        <v>0.68344028766649767</v>
      </c>
      <c r="Q130">
        <v>5.6</v>
      </c>
      <c r="R130">
        <v>2.1</v>
      </c>
      <c r="S130" t="s">
        <v>5</v>
      </c>
      <c r="T130">
        <v>2</v>
      </c>
    </row>
    <row r="131" spans="1:20" x14ac:dyDescent="0.3">
      <c r="A131">
        <v>5.8</v>
      </c>
      <c r="B131">
        <v>1.6</v>
      </c>
      <c r="C131" t="s">
        <v>5</v>
      </c>
      <c r="D131">
        <f t="shared" ref="D131:D151" si="14">IF(G131=I131,1,2)</f>
        <v>1</v>
      </c>
      <c r="E131">
        <f t="shared" si="12"/>
        <v>1.1606202575757776</v>
      </c>
      <c r="F131">
        <f t="shared" si="13"/>
        <v>0.5274062850564718</v>
      </c>
      <c r="G131">
        <f t="array" ref="G131">SQRT(SUM(($E131:$F131-$M$6:$N$6)^2))</f>
        <v>0.51788100161058082</v>
      </c>
      <c r="H131">
        <f t="array" ref="H131">SQRT(SUM(($E131:$F131-$M$7:$N$7)^2))</f>
        <v>3.0423368033715064</v>
      </c>
      <c r="I131">
        <f t="shared" ref="I131:I151" si="15">MIN(G131:H131)</f>
        <v>0.51788100161058082</v>
      </c>
      <c r="Q131">
        <v>5.8</v>
      </c>
      <c r="R131">
        <v>1.6</v>
      </c>
      <c r="S131" t="s">
        <v>5</v>
      </c>
      <c r="T131">
        <v>2</v>
      </c>
    </row>
    <row r="132" spans="1:20" x14ac:dyDescent="0.3">
      <c r="A132">
        <v>6.1</v>
      </c>
      <c r="B132">
        <v>1.9</v>
      </c>
      <c r="C132" t="s">
        <v>5</v>
      </c>
      <c r="D132">
        <f t="shared" si="14"/>
        <v>1</v>
      </c>
      <c r="E132">
        <f t="shared" si="12"/>
        <v>1.3311325383165873</v>
      </c>
      <c r="F132">
        <f t="shared" si="13"/>
        <v>0.92230283792737455</v>
      </c>
      <c r="G132">
        <f t="array" ref="G132">SQRT(SUM(($E132:$F132-$M$6:$N$6)^2))</f>
        <v>0.73992624045648581</v>
      </c>
      <c r="H132">
        <f t="array" ref="H132">SQRT(SUM(($E132:$F132-$M$7:$N$7)^2))</f>
        <v>3.4189635518648234</v>
      </c>
      <c r="I132">
        <f t="shared" si="15"/>
        <v>0.73992624045648581</v>
      </c>
      <c r="Q132">
        <v>6.1</v>
      </c>
      <c r="R132">
        <v>1.9</v>
      </c>
      <c r="S132" t="s">
        <v>5</v>
      </c>
      <c r="T132">
        <v>2</v>
      </c>
    </row>
    <row r="133" spans="1:20" x14ac:dyDescent="0.3">
      <c r="A133">
        <v>6.4</v>
      </c>
      <c r="B133">
        <v>2</v>
      </c>
      <c r="C133" t="s">
        <v>5</v>
      </c>
      <c r="D133">
        <f t="shared" si="14"/>
        <v>1</v>
      </c>
      <c r="E133">
        <f t="shared" si="12"/>
        <v>1.5016448190573974</v>
      </c>
      <c r="F133">
        <f t="shared" si="13"/>
        <v>1.0539350222176758</v>
      </c>
      <c r="G133">
        <f t="array" ref="G133">SQRT(SUM(($E133:$F133-$M$6:$N$6)^2))</f>
        <v>0.95023678090700281</v>
      </c>
      <c r="H133">
        <f t="array" ref="H133">SQRT(SUM(($E133:$F133-$M$7:$N$7)^2))</f>
        <v>3.6342637596588672</v>
      </c>
      <c r="I133">
        <f t="shared" si="15"/>
        <v>0.95023678090700281</v>
      </c>
      <c r="Q133">
        <v>6.4</v>
      </c>
      <c r="R133">
        <v>2</v>
      </c>
      <c r="S133" t="s">
        <v>5</v>
      </c>
      <c r="T133">
        <v>2</v>
      </c>
    </row>
    <row r="134" spans="1:20" x14ac:dyDescent="0.3">
      <c r="A134">
        <v>5.6</v>
      </c>
      <c r="B134">
        <v>2.2000000000000002</v>
      </c>
      <c r="C134" t="s">
        <v>5</v>
      </c>
      <c r="D134">
        <f t="shared" si="14"/>
        <v>1</v>
      </c>
      <c r="E134">
        <f t="shared" si="12"/>
        <v>1.0469454037485708</v>
      </c>
      <c r="F134">
        <f t="shared" si="13"/>
        <v>1.317199390798278</v>
      </c>
      <c r="G134">
        <f t="array" ref="G134">SQRT(SUM(($E134:$F134-$M$6:$N$6)^2))</f>
        <v>0.79457591808881567</v>
      </c>
      <c r="H134">
        <f t="array" ref="H134">SQRT(SUM(($E134:$F134-$M$7:$N$7)^2))</f>
        <v>3.4852904233084492</v>
      </c>
      <c r="I134">
        <f t="shared" si="15"/>
        <v>0.79457591808881567</v>
      </c>
      <c r="Q134">
        <v>5.6</v>
      </c>
      <c r="R134">
        <v>2.2000000000000002</v>
      </c>
      <c r="S134" t="s">
        <v>5</v>
      </c>
      <c r="T134">
        <v>2</v>
      </c>
    </row>
    <row r="135" spans="1:20" x14ac:dyDescent="0.3">
      <c r="A135">
        <v>5.0999999999999996</v>
      </c>
      <c r="B135">
        <v>1.5</v>
      </c>
      <c r="C135" t="s">
        <v>5</v>
      </c>
      <c r="D135">
        <f t="shared" si="14"/>
        <v>1</v>
      </c>
      <c r="E135">
        <f t="shared" si="12"/>
        <v>0.76275826918055445</v>
      </c>
      <c r="F135">
        <f t="shared" si="13"/>
        <v>0.3957741007661707</v>
      </c>
      <c r="G135">
        <f t="array" ref="G135">SQRT(SUM(($E135:$F135-$M$6:$N$6)^2))</f>
        <v>0.25657454660348555</v>
      </c>
      <c r="H135">
        <f t="array" ref="H135">SQRT(SUM(($E135:$F135-$M$7:$N$7)^2))</f>
        <v>2.645803342193501</v>
      </c>
      <c r="I135">
        <f t="shared" si="15"/>
        <v>0.25657454660348555</v>
      </c>
      <c r="Q135">
        <v>5.0999999999999996</v>
      </c>
      <c r="R135">
        <v>1.5</v>
      </c>
      <c r="S135" t="s">
        <v>5</v>
      </c>
      <c r="T135">
        <v>2</v>
      </c>
    </row>
    <row r="136" spans="1:20" x14ac:dyDescent="0.3">
      <c r="A136">
        <v>5.6</v>
      </c>
      <c r="B136">
        <v>1.4</v>
      </c>
      <c r="C136" t="s">
        <v>5</v>
      </c>
      <c r="D136">
        <f t="shared" si="14"/>
        <v>1</v>
      </c>
      <c r="E136">
        <f t="shared" si="12"/>
        <v>1.0469454037485708</v>
      </c>
      <c r="F136">
        <f t="shared" si="13"/>
        <v>0.2641419164758696</v>
      </c>
      <c r="G136">
        <f t="array" ref="G136">SQRT(SUM(($E136:$F136-$M$6:$N$6)^2))</f>
        <v>0.53626726163036842</v>
      </c>
      <c r="H136">
        <f t="array" ref="H136">SQRT(SUM(($E136:$F136-$M$7:$N$7)^2))</f>
        <v>2.799831443674146</v>
      </c>
      <c r="I136">
        <f t="shared" si="15"/>
        <v>0.53626726163036842</v>
      </c>
      <c r="Q136">
        <v>5.6</v>
      </c>
      <c r="R136">
        <v>1.4</v>
      </c>
      <c r="S136" t="s">
        <v>5</v>
      </c>
      <c r="T136">
        <v>2</v>
      </c>
    </row>
    <row r="137" spans="1:20" x14ac:dyDescent="0.3">
      <c r="A137">
        <v>6.1</v>
      </c>
      <c r="B137">
        <v>2.2999999999999998</v>
      </c>
      <c r="C137" t="s">
        <v>5</v>
      </c>
      <c r="D137">
        <f t="shared" si="14"/>
        <v>1</v>
      </c>
      <c r="E137">
        <f t="shared" si="12"/>
        <v>1.3311325383165873</v>
      </c>
      <c r="F137">
        <f t="shared" si="13"/>
        <v>1.4488315750885783</v>
      </c>
      <c r="G137">
        <f t="array" ref="G137">SQRT(SUM(($E137:$F137-$M$6:$N$6)^2))</f>
        <v>1.0654688004610937</v>
      </c>
      <c r="H137">
        <f t="array" ref="H137">SQRT(SUM(($E137:$F137-$M$7:$N$7)^2))</f>
        <v>3.7761431575715654</v>
      </c>
      <c r="I137">
        <f t="shared" si="15"/>
        <v>1.0654688004610937</v>
      </c>
      <c r="Q137">
        <v>6.1</v>
      </c>
      <c r="R137">
        <v>2.2999999999999998</v>
      </c>
      <c r="S137" t="s">
        <v>5</v>
      </c>
      <c r="T137">
        <v>2</v>
      </c>
    </row>
    <row r="138" spans="1:20" x14ac:dyDescent="0.3">
      <c r="A138">
        <v>5.6</v>
      </c>
      <c r="B138">
        <v>2.4</v>
      </c>
      <c r="C138" t="s">
        <v>5</v>
      </c>
      <c r="D138">
        <f t="shared" si="14"/>
        <v>1</v>
      </c>
      <c r="E138">
        <f t="shared" si="12"/>
        <v>1.0469454037485708</v>
      </c>
      <c r="F138">
        <f t="shared" si="13"/>
        <v>1.5804637593788795</v>
      </c>
      <c r="G138">
        <f t="array" ref="G138">SQRT(SUM(($E138:$F138-$M$6:$N$6)^2))</f>
        <v>1.0314230978870584</v>
      </c>
      <c r="H138">
        <f t="array" ref="H138">SQRT(SUM(($E138:$F138-$M$7:$N$7)^2))</f>
        <v>3.6838618702498991</v>
      </c>
      <c r="I138">
        <f t="shared" si="15"/>
        <v>1.0314230978870584</v>
      </c>
      <c r="Q138">
        <v>5.6</v>
      </c>
      <c r="R138">
        <v>2.4</v>
      </c>
      <c r="S138" t="s">
        <v>5</v>
      </c>
      <c r="T138">
        <v>2</v>
      </c>
    </row>
    <row r="139" spans="1:20" x14ac:dyDescent="0.3">
      <c r="A139">
        <v>5.5</v>
      </c>
      <c r="B139">
        <v>1.8</v>
      </c>
      <c r="C139" t="s">
        <v>5</v>
      </c>
      <c r="D139">
        <f t="shared" si="14"/>
        <v>1</v>
      </c>
      <c r="E139">
        <f t="shared" si="12"/>
        <v>0.99010797683496776</v>
      </c>
      <c r="F139">
        <f t="shared" si="13"/>
        <v>0.79067065363707378</v>
      </c>
      <c r="G139">
        <f t="array" ref="G139">SQRT(SUM(($E139:$F139-$M$6:$N$6)^2))</f>
        <v>0.3750006274538038</v>
      </c>
      <c r="H139">
        <f t="array" ref="H139">SQRT(SUM(($E139:$F139-$M$7:$N$7)^2))</f>
        <v>3.0743771884942737</v>
      </c>
      <c r="I139">
        <f t="shared" si="15"/>
        <v>0.3750006274538038</v>
      </c>
      <c r="Q139">
        <v>5.5</v>
      </c>
      <c r="R139">
        <v>1.8</v>
      </c>
      <c r="S139" t="s">
        <v>5</v>
      </c>
      <c r="T139">
        <v>2</v>
      </c>
    </row>
    <row r="140" spans="1:20" x14ac:dyDescent="0.3">
      <c r="A140">
        <v>4.8</v>
      </c>
      <c r="B140">
        <v>1.8</v>
      </c>
      <c r="C140" t="s">
        <v>5</v>
      </c>
      <c r="D140">
        <f t="shared" si="14"/>
        <v>1</v>
      </c>
      <c r="E140">
        <f t="shared" si="12"/>
        <v>0.59224598843974463</v>
      </c>
      <c r="F140">
        <f t="shared" si="13"/>
        <v>0.79067065363707378</v>
      </c>
      <c r="G140">
        <f t="array" ref="G140">SQRT(SUM(($E140:$F140-$M$6:$N$6)^2))</f>
        <v>0.17398800636143971</v>
      </c>
      <c r="H140">
        <f t="array" ref="H140">SQRT(SUM(($E140:$F140-$M$7:$N$7)^2))</f>
        <v>2.7899510570424706</v>
      </c>
      <c r="I140">
        <f t="shared" si="15"/>
        <v>0.17398800636143971</v>
      </c>
      <c r="Q140">
        <v>4.8</v>
      </c>
      <c r="R140">
        <v>1.8</v>
      </c>
      <c r="S140" t="s">
        <v>5</v>
      </c>
      <c r="T140">
        <v>2</v>
      </c>
    </row>
    <row r="141" spans="1:20" x14ac:dyDescent="0.3">
      <c r="A141">
        <v>5.4</v>
      </c>
      <c r="B141">
        <v>2.1</v>
      </c>
      <c r="C141" t="s">
        <v>5</v>
      </c>
      <c r="D141">
        <f t="shared" si="14"/>
        <v>1</v>
      </c>
      <c r="E141">
        <f t="shared" si="12"/>
        <v>0.93327054992136471</v>
      </c>
      <c r="F141">
        <f t="shared" si="13"/>
        <v>1.1855672065079768</v>
      </c>
      <c r="G141">
        <f t="array" ref="G141">SQRT(SUM(($E141:$F141-$M$6:$N$6)^2))</f>
        <v>0.62476724529492011</v>
      </c>
      <c r="H141">
        <f t="array" ref="H141">SQRT(SUM(($E141:$F141-$M$7:$N$7)^2))</f>
        <v>3.3114417876925262</v>
      </c>
      <c r="I141">
        <f t="shared" si="15"/>
        <v>0.62476724529492011</v>
      </c>
      <c r="Q141">
        <v>5.4</v>
      </c>
      <c r="R141">
        <v>2.1</v>
      </c>
      <c r="S141" t="s">
        <v>5</v>
      </c>
      <c r="T141">
        <v>2</v>
      </c>
    </row>
    <row r="142" spans="1:20" x14ac:dyDescent="0.3">
      <c r="A142">
        <v>5.6</v>
      </c>
      <c r="B142">
        <v>2.4</v>
      </c>
      <c r="C142" t="s">
        <v>5</v>
      </c>
      <c r="D142">
        <f t="shared" si="14"/>
        <v>1</v>
      </c>
      <c r="E142">
        <f t="shared" si="12"/>
        <v>1.0469454037485708</v>
      </c>
      <c r="F142">
        <f t="shared" si="13"/>
        <v>1.5804637593788795</v>
      </c>
      <c r="G142">
        <f t="array" ref="G142">SQRT(SUM(($E142:$F142-$M$6:$N$6)^2))</f>
        <v>1.0314230978870584</v>
      </c>
      <c r="H142">
        <f t="array" ref="H142">SQRT(SUM(($E142:$F142-$M$7:$N$7)^2))</f>
        <v>3.6838618702498991</v>
      </c>
      <c r="I142">
        <f t="shared" si="15"/>
        <v>1.0314230978870584</v>
      </c>
      <c r="Q142">
        <v>5.6</v>
      </c>
      <c r="R142">
        <v>2.4</v>
      </c>
      <c r="S142" t="s">
        <v>5</v>
      </c>
      <c r="T142">
        <v>2</v>
      </c>
    </row>
    <row r="143" spans="1:20" x14ac:dyDescent="0.3">
      <c r="A143">
        <v>5.0999999999999996</v>
      </c>
      <c r="B143">
        <v>2.2999999999999998</v>
      </c>
      <c r="C143" t="s">
        <v>5</v>
      </c>
      <c r="D143">
        <f t="shared" si="14"/>
        <v>1</v>
      </c>
      <c r="E143">
        <f t="shared" si="12"/>
        <v>0.76275826918055445</v>
      </c>
      <c r="F143">
        <f t="shared" si="13"/>
        <v>1.4488315750885783</v>
      </c>
      <c r="G143">
        <f t="array" ref="G143">SQRT(SUM(($E143:$F143-$M$6:$N$6)^2))</f>
        <v>0.82875287192956737</v>
      </c>
      <c r="H143">
        <f t="array" ref="H143">SQRT(SUM(($E143:$F143-$M$7:$N$7)^2))</f>
        <v>3.4037774689949991</v>
      </c>
      <c r="I143">
        <f t="shared" si="15"/>
        <v>0.82875287192956737</v>
      </c>
      <c r="Q143">
        <v>5.0999999999999996</v>
      </c>
      <c r="R143">
        <v>2.2999999999999998</v>
      </c>
      <c r="S143" t="s">
        <v>5</v>
      </c>
      <c r="T143">
        <v>2</v>
      </c>
    </row>
    <row r="144" spans="1:20" x14ac:dyDescent="0.3">
      <c r="A144">
        <v>5.0999999999999996</v>
      </c>
      <c r="B144">
        <v>1.9</v>
      </c>
      <c r="C144" t="s">
        <v>5</v>
      </c>
      <c r="D144">
        <f t="shared" si="14"/>
        <v>1</v>
      </c>
      <c r="E144">
        <f t="shared" si="12"/>
        <v>0.76275826918055445</v>
      </c>
      <c r="F144">
        <f t="shared" si="13"/>
        <v>0.92230283792737455</v>
      </c>
      <c r="G144">
        <f t="array" ref="G144">SQRT(SUM(($E144:$F144-$M$6:$N$6)^2))</f>
        <v>0.31479898235472908</v>
      </c>
      <c r="H144">
        <f t="array" ref="H144">SQRT(SUM(($E144:$F144-$M$7:$N$7)^2))</f>
        <v>3.0026247985626808</v>
      </c>
      <c r="I144">
        <f t="shared" si="15"/>
        <v>0.31479898235472908</v>
      </c>
      <c r="Q144">
        <v>5.0999999999999996</v>
      </c>
      <c r="R144">
        <v>1.9</v>
      </c>
      <c r="S144" t="s">
        <v>5</v>
      </c>
      <c r="T144">
        <v>2</v>
      </c>
    </row>
    <row r="145" spans="1:20" x14ac:dyDescent="0.3">
      <c r="A145">
        <v>5.9</v>
      </c>
      <c r="B145">
        <v>2.2999999999999998</v>
      </c>
      <c r="C145" t="s">
        <v>5</v>
      </c>
      <c r="D145">
        <f t="shared" si="14"/>
        <v>1</v>
      </c>
      <c r="E145">
        <f t="shared" si="12"/>
        <v>1.2174576844893812</v>
      </c>
      <c r="F145">
        <f t="shared" si="13"/>
        <v>1.4488315750885783</v>
      </c>
      <c r="G145">
        <f t="array" ref="G145">SQRT(SUM(($E145:$F145-$M$6:$N$6)^2))</f>
        <v>0.99692396238657854</v>
      </c>
      <c r="H145">
        <f t="array" ref="H145">SQRT(SUM(($E145:$F145-$M$7:$N$7)^2))</f>
        <v>3.6976827932228984</v>
      </c>
      <c r="I145">
        <f t="shared" si="15"/>
        <v>0.99692396238657854</v>
      </c>
      <c r="Q145">
        <v>5.9</v>
      </c>
      <c r="R145">
        <v>2.2999999999999998</v>
      </c>
      <c r="S145" t="s">
        <v>5</v>
      </c>
      <c r="T145">
        <v>2</v>
      </c>
    </row>
    <row r="146" spans="1:20" x14ac:dyDescent="0.3">
      <c r="A146">
        <v>5.7</v>
      </c>
      <c r="B146">
        <v>2.5</v>
      </c>
      <c r="C146" t="s">
        <v>5</v>
      </c>
      <c r="D146">
        <f t="shared" si="14"/>
        <v>1</v>
      </c>
      <c r="E146">
        <f t="shared" si="12"/>
        <v>1.1037828306621744</v>
      </c>
      <c r="F146">
        <f t="shared" si="13"/>
        <v>1.7120959436691805</v>
      </c>
      <c r="G146">
        <f t="array" ref="G146">SQRT(SUM(($E146:$F146-$M$6:$N$6)^2))</f>
        <v>1.1747875546679831</v>
      </c>
      <c r="H146">
        <f t="array" ref="H146">SQRT(SUM(($E146:$F146-$M$7:$N$7)^2))</f>
        <v>3.8216750187507773</v>
      </c>
      <c r="I146">
        <f t="shared" si="15"/>
        <v>1.1747875546679831</v>
      </c>
      <c r="Q146">
        <v>5.7</v>
      </c>
      <c r="R146">
        <v>2.5</v>
      </c>
      <c r="S146" t="s">
        <v>5</v>
      </c>
      <c r="T146">
        <v>2</v>
      </c>
    </row>
    <row r="147" spans="1:20" x14ac:dyDescent="0.3">
      <c r="A147">
        <v>5.2</v>
      </c>
      <c r="B147">
        <v>2.2999999999999998</v>
      </c>
      <c r="C147" t="s">
        <v>5</v>
      </c>
      <c r="D147">
        <f t="shared" si="14"/>
        <v>1</v>
      </c>
      <c r="E147">
        <f t="shared" si="12"/>
        <v>0.81959569609415794</v>
      </c>
      <c r="F147">
        <f t="shared" si="13"/>
        <v>1.4488315750885783</v>
      </c>
      <c r="G147">
        <f t="array" ref="G147">SQRT(SUM(($E147:$F147-$M$6:$N$6)^2))</f>
        <v>0.83821007453413665</v>
      </c>
      <c r="H147">
        <f t="array" ref="H147">SQRT(SUM(($E147:$F147-$M$7:$N$7)^2))</f>
        <v>3.4386017840625609</v>
      </c>
      <c r="I147">
        <f t="shared" si="15"/>
        <v>0.83821007453413665</v>
      </c>
      <c r="Q147">
        <v>5.2</v>
      </c>
      <c r="R147">
        <v>2.2999999999999998</v>
      </c>
      <c r="S147" t="s">
        <v>5</v>
      </c>
      <c r="T147">
        <v>2</v>
      </c>
    </row>
    <row r="148" spans="1:20" x14ac:dyDescent="0.3">
      <c r="A148">
        <v>5</v>
      </c>
      <c r="B148">
        <v>1.9</v>
      </c>
      <c r="C148" t="s">
        <v>5</v>
      </c>
      <c r="D148">
        <f t="shared" si="14"/>
        <v>1</v>
      </c>
      <c r="E148">
        <f t="shared" si="12"/>
        <v>0.70592084226695129</v>
      </c>
      <c r="F148">
        <f t="shared" si="13"/>
        <v>0.92230283792737455</v>
      </c>
      <c r="G148">
        <f t="array" ref="G148">SQRT(SUM(($E148:$F148-$M$6:$N$6)^2))</f>
        <v>0.29965743636505099</v>
      </c>
      <c r="H148">
        <f t="array" ref="H148">SQRT(SUM(($E148:$F148-$M$7:$N$7)^2))</f>
        <v>2.9637704864276646</v>
      </c>
      <c r="I148">
        <f t="shared" si="15"/>
        <v>0.29965743636505099</v>
      </c>
      <c r="Q148">
        <v>5</v>
      </c>
      <c r="R148">
        <v>1.9</v>
      </c>
      <c r="S148" t="s">
        <v>5</v>
      </c>
      <c r="T148">
        <v>2</v>
      </c>
    </row>
    <row r="149" spans="1:20" x14ac:dyDescent="0.3">
      <c r="A149">
        <v>5.2</v>
      </c>
      <c r="B149">
        <v>2</v>
      </c>
      <c r="C149" t="s">
        <v>5</v>
      </c>
      <c r="D149">
        <f t="shared" si="14"/>
        <v>1</v>
      </c>
      <c r="E149">
        <f t="shared" si="12"/>
        <v>0.81959569609415794</v>
      </c>
      <c r="F149">
        <f t="shared" si="13"/>
        <v>1.0539350222176758</v>
      </c>
      <c r="G149">
        <f t="array" ref="G149">SQRT(SUM(($E149:$F149-$M$6:$N$6)^2))</f>
        <v>0.45805604531265187</v>
      </c>
      <c r="H149">
        <f t="array" ref="H149">SQRT(SUM(($E149:$F149-$M$7:$N$7)^2))</f>
        <v>3.1376013291070461</v>
      </c>
      <c r="I149">
        <f t="shared" si="15"/>
        <v>0.45805604531265187</v>
      </c>
      <c r="Q149">
        <v>5.2</v>
      </c>
      <c r="R149">
        <v>2</v>
      </c>
      <c r="S149" t="s">
        <v>5</v>
      </c>
      <c r="T149">
        <v>2</v>
      </c>
    </row>
    <row r="150" spans="1:20" x14ac:dyDescent="0.3">
      <c r="A150">
        <v>5.4</v>
      </c>
      <c r="B150">
        <v>2.2999999999999998</v>
      </c>
      <c r="C150" t="s">
        <v>5</v>
      </c>
      <c r="D150">
        <f t="shared" si="14"/>
        <v>1</v>
      </c>
      <c r="E150">
        <f t="shared" si="12"/>
        <v>0.93327054992136471</v>
      </c>
      <c r="F150">
        <f t="shared" si="13"/>
        <v>1.4488315750885783</v>
      </c>
      <c r="G150">
        <f t="array" ref="G150">SQRT(SUM(($E150:$F150-$M$6:$N$6)^2))</f>
        <v>0.86804878911125261</v>
      </c>
      <c r="H150">
        <f t="array" ref="H150">SQRT(SUM(($E150:$F150-$M$7:$N$7)^2))</f>
        <v>3.5099754315076948</v>
      </c>
      <c r="I150">
        <f t="shared" si="15"/>
        <v>0.86804878911125261</v>
      </c>
      <c r="Q150">
        <v>5.4</v>
      </c>
      <c r="R150">
        <v>2.2999999999999998</v>
      </c>
      <c r="S150" t="s">
        <v>5</v>
      </c>
      <c r="T150">
        <v>2</v>
      </c>
    </row>
    <row r="151" spans="1:20" x14ac:dyDescent="0.3">
      <c r="A151">
        <v>5.0999999999999996</v>
      </c>
      <c r="B151">
        <v>1.8</v>
      </c>
      <c r="C151" t="s">
        <v>5</v>
      </c>
      <c r="D151">
        <f t="shared" si="14"/>
        <v>1</v>
      </c>
      <c r="E151">
        <f t="shared" si="12"/>
        <v>0.76275826918055445</v>
      </c>
      <c r="F151">
        <f t="shared" si="13"/>
        <v>0.79067065363707378</v>
      </c>
      <c r="G151">
        <f t="array" ref="G151">SQRT(SUM(($E151:$F151-$M$6:$N$6)^2))</f>
        <v>0.19697798896518523</v>
      </c>
      <c r="H151">
        <f t="array" ref="H151">SQRT(SUM(($E151:$F151-$M$7:$N$7)^2))</f>
        <v>2.9085914969749798</v>
      </c>
      <c r="I151">
        <f t="shared" si="15"/>
        <v>0.19697798896518523</v>
      </c>
      <c r="Q151">
        <v>5.0999999999999996</v>
      </c>
      <c r="R151">
        <v>1.8</v>
      </c>
      <c r="S151" t="s">
        <v>5</v>
      </c>
      <c r="T151">
        <v>2</v>
      </c>
    </row>
  </sheetData>
  <sortState xmlns:xlrd2="http://schemas.microsoft.com/office/spreadsheetml/2017/richdata2" ref="Q2:T151">
    <sortCondition ref="T2:T151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INICJALIZACJA">
                <anchor moveWithCells="1" sizeWithCells="1">
                  <from>
                    <xdr:col>9</xdr:col>
                    <xdr:colOff>518160</xdr:colOff>
                    <xdr:row>14</xdr:row>
                    <xdr:rowOff>175260</xdr:rowOff>
                  </from>
                  <to>
                    <xdr:col>12</xdr:col>
                    <xdr:colOff>167640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KMeans">
                <anchor moveWithCells="1" sizeWithCells="1">
                  <from>
                    <xdr:col>13</xdr:col>
                    <xdr:colOff>144780</xdr:colOff>
                    <xdr:row>15</xdr:row>
                    <xdr:rowOff>22860</xdr:rowOff>
                  </from>
                  <to>
                    <xdr:col>15</xdr:col>
                    <xdr:colOff>434340</xdr:colOff>
                    <xdr:row>17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21BE3-7DAB-44AD-96BD-AB6CECAD8CF4}">
  <dimension ref="A1:T151"/>
  <sheetViews>
    <sheetView tabSelected="1" zoomScaleNormal="100" workbookViewId="0">
      <selection activeCell="O25" sqref="O25"/>
    </sheetView>
  </sheetViews>
  <sheetFormatPr defaultRowHeight="14.4" x14ac:dyDescent="0.3"/>
  <cols>
    <col min="1" max="1" width="12.109375" bestFit="1" customWidth="1"/>
    <col min="2" max="2" width="11.5546875" bestFit="1" customWidth="1"/>
  </cols>
  <sheetData>
    <row r="1" spans="1:20" x14ac:dyDescent="0.3">
      <c r="A1" t="s">
        <v>0</v>
      </c>
      <c r="B1" t="s">
        <v>1</v>
      </c>
      <c r="C1" t="s">
        <v>15</v>
      </c>
      <c r="D1" t="s">
        <v>6</v>
      </c>
      <c r="E1" t="s">
        <v>7</v>
      </c>
      <c r="F1" t="s">
        <v>8</v>
      </c>
      <c r="G1" t="s">
        <v>9</v>
      </c>
      <c r="H1" t="s">
        <v>20</v>
      </c>
      <c r="I1" t="s">
        <v>21</v>
      </c>
      <c r="J1" t="s">
        <v>10</v>
      </c>
      <c r="M1" t="s">
        <v>6</v>
      </c>
      <c r="N1" t="s">
        <v>7</v>
      </c>
      <c r="R1" t="s">
        <v>0</v>
      </c>
      <c r="S1" t="s">
        <v>1</v>
      </c>
      <c r="T1" t="s">
        <v>15</v>
      </c>
    </row>
    <row r="2" spans="1:20" x14ac:dyDescent="0.3">
      <c r="A2">
        <v>1.4</v>
      </c>
      <c r="B2">
        <v>0.2</v>
      </c>
      <c r="C2">
        <f>IF(F2=J2,1,IF(G2=J2,2,IF(H2=J2,3,4)))</f>
        <v>3</v>
      </c>
      <c r="D2">
        <f t="shared" ref="D2:D33" si="0">(A2-M$2)/M$3</f>
        <v>-1.3402265266227671</v>
      </c>
      <c r="E2">
        <f t="shared" ref="E2:E33" si="1">(B2-N$2)/N$3</f>
        <v>-1.3154442950077423</v>
      </c>
      <c r="F2">
        <f t="array" ref="F2">SQRT(SUM(($D2:$E2-$N$6:$O$6)^2))</f>
        <v>2.2141805413790405</v>
      </c>
      <c r="G2">
        <f t="array" ref="G2">SQRT(SUM(($D2:$E2-$N$7:$O$7)^2))</f>
        <v>0.24004069520057075</v>
      </c>
      <c r="H2">
        <f t="array" ref="H2">SQRT(SUM(($D2:$E2-$N$8:$O$8)^2))</f>
        <v>2.7877121696231816E-2</v>
      </c>
      <c r="I2">
        <f t="array" ref="I2">SQRT(SUM(($D2:$E2-$N$9:$O$9)^2))</f>
        <v>3.4027647713269267</v>
      </c>
      <c r="J2">
        <f>MIN(F2:I2)</f>
        <v>2.7877121696231816E-2</v>
      </c>
      <c r="L2" t="s">
        <v>11</v>
      </c>
      <c r="M2">
        <f>AVERAGE(A:A)</f>
        <v>3.7580000000000027</v>
      </c>
      <c r="N2">
        <f>AVERAGE(B:B)</f>
        <v>1.199333333333334</v>
      </c>
      <c r="R2">
        <v>1.4</v>
      </c>
      <c r="S2">
        <v>0.2</v>
      </c>
      <c r="T2">
        <f>IF(W2=AA2,1,IF(X2=AA2,2,IF(Y2=AA2,3,4)))</f>
        <v>1</v>
      </c>
    </row>
    <row r="3" spans="1:20" x14ac:dyDescent="0.3">
      <c r="A3">
        <v>1.4</v>
      </c>
      <c r="B3">
        <v>0.2</v>
      </c>
      <c r="C3">
        <f t="shared" ref="C3:C66" si="2">IF(F3=J3,1,IF(G3=J3,2,IF(H3=J3,3,4)))</f>
        <v>3</v>
      </c>
      <c r="D3">
        <f t="shared" si="0"/>
        <v>-1.3402265266227671</v>
      </c>
      <c r="E3">
        <f t="shared" si="1"/>
        <v>-1.3154442950077423</v>
      </c>
      <c r="F3">
        <f t="array" ref="F3">SQRT(SUM(($D3:$E3-$N$6:$O$6)^2))</f>
        <v>2.2141805413790405</v>
      </c>
      <c r="G3">
        <f t="array" ref="G3">SQRT(SUM(($D3:$E3-$N$7:$O$7)^2))</f>
        <v>0.24004069520057075</v>
      </c>
      <c r="H3" cm="1">
        <f t="array" ref="H3">SQRT(SUM(($D3:$E3-$N$8:$O$8)^2))</f>
        <v>2.7877121696231816E-2</v>
      </c>
      <c r="I3">
        <f t="array" ref="I3">SQRT(SUM(($D3:$E3-$N$9:$O$9)^2))</f>
        <v>3.4027647713269267</v>
      </c>
      <c r="J3">
        <f t="shared" ref="J3:J66" si="3">MIN(F3:I3)</f>
        <v>2.7877121696231816E-2</v>
      </c>
      <c r="L3" t="s">
        <v>12</v>
      </c>
      <c r="M3">
        <f>_xlfn.STDEV.P(A:A)</f>
        <v>1.7594040657752985</v>
      </c>
      <c r="N3">
        <f>_xlfn.STDEV.P(B:B)</f>
        <v>0.75969262790215863</v>
      </c>
      <c r="R3">
        <v>1.4</v>
      </c>
      <c r="S3">
        <v>0.2</v>
      </c>
      <c r="T3">
        <f>IF(W3=AA3,1,IF(X3=AA3,2,IF(Y3=AA3,3,4)))</f>
        <v>1</v>
      </c>
    </row>
    <row r="4" spans="1:20" x14ac:dyDescent="0.3">
      <c r="A4">
        <v>1.3</v>
      </c>
      <c r="B4">
        <v>0.2</v>
      </c>
      <c r="C4">
        <f t="shared" si="2"/>
        <v>3</v>
      </c>
      <c r="D4">
        <f t="shared" si="0"/>
        <v>-1.3970639535363705</v>
      </c>
      <c r="E4">
        <f t="shared" si="1"/>
        <v>-1.3154442950077423</v>
      </c>
      <c r="F4">
        <f t="array" ref="F4">SQRT(SUM(($D4:$E4-$N$6:$O$6)^2))</f>
        <v>2.2567556498530994</v>
      </c>
      <c r="G4">
        <f t="array" ref="G4">SQRT(SUM(($D4:$E4-$N$7:$O$7)^2))</f>
        <v>0.26176793072998966</v>
      </c>
      <c r="H4">
        <f t="array" ref="H4">SQRT(SUM(($D4:$E4-$N$8:$O$8)^2))</f>
        <v>7.9296753284826701E-2</v>
      </c>
      <c r="I4">
        <f t="array" ref="I4">SQRT(SUM(($D4:$E4-$N$9:$O$9)^2))</f>
        <v>3.4425639195607811</v>
      </c>
      <c r="J4">
        <f t="shared" si="3"/>
        <v>7.9296753284826701E-2</v>
      </c>
      <c r="R4">
        <v>1.3</v>
      </c>
      <c r="S4">
        <v>0.2</v>
      </c>
      <c r="T4">
        <f>IF(W4=AA4,1,IF(X4=AA4,2,IF(Y4=AA4,3,4)))</f>
        <v>1</v>
      </c>
    </row>
    <row r="5" spans="1:20" x14ac:dyDescent="0.3">
      <c r="A5">
        <v>1.5</v>
      </c>
      <c r="B5">
        <v>0.2</v>
      </c>
      <c r="C5">
        <f t="shared" si="2"/>
        <v>3</v>
      </c>
      <c r="D5">
        <f t="shared" si="0"/>
        <v>-1.2833890997091637</v>
      </c>
      <c r="E5">
        <f t="shared" si="1"/>
        <v>-1.3154442950077423</v>
      </c>
      <c r="F5">
        <f t="array" ref="F5">SQRT(SUM(($D5:$E5-$N$6:$O$6)^2))</f>
        <v>2.1722582403332242</v>
      </c>
      <c r="G5">
        <f t="array" ref="G5">SQRT(SUM(($D5:$E5-$N$7:$O$7)^2))</f>
        <v>0.23060270454269263</v>
      </c>
      <c r="H5">
        <f t="array" ref="H5">SQRT(SUM(($D5:$E5-$N$8:$O$8)^2))</f>
        <v>4.1560545508171273E-2</v>
      </c>
      <c r="I5">
        <f t="array" ref="I5">SQRT(SUM(($D5:$E5-$N$9:$O$9)^2))</f>
        <v>3.3634551913028097</v>
      </c>
      <c r="J5">
        <f t="shared" si="3"/>
        <v>4.1560545508171273E-2</v>
      </c>
      <c r="L5" t="s">
        <v>14</v>
      </c>
      <c r="M5" t="s">
        <v>13</v>
      </c>
      <c r="N5" t="s">
        <v>6</v>
      </c>
      <c r="O5" t="s">
        <v>7</v>
      </c>
      <c r="P5" t="s">
        <v>16</v>
      </c>
      <c r="R5">
        <v>1.5</v>
      </c>
      <c r="S5">
        <v>0.2</v>
      </c>
      <c r="T5">
        <f>IF(W5=AA5,1,IF(X5=AA5,2,IF(Y5=AA5,3,4)))</f>
        <v>1</v>
      </c>
    </row>
    <row r="6" spans="1:20" x14ac:dyDescent="0.3">
      <c r="A6">
        <v>1.4</v>
      </c>
      <c r="B6">
        <v>0.2</v>
      </c>
      <c r="C6">
        <f t="shared" si="2"/>
        <v>3</v>
      </c>
      <c r="D6">
        <f t="shared" si="0"/>
        <v>-1.3402265266227671</v>
      </c>
      <c r="E6">
        <f t="shared" si="1"/>
        <v>-1.3154442950077423</v>
      </c>
      <c r="F6">
        <f t="array" ref="F6">SQRT(SUM(($D6:$E6-$N$6:$O$6)^2))</f>
        <v>2.2141805413790405</v>
      </c>
      <c r="G6">
        <f t="array" ref="G6">SQRT(SUM(($D6:$E6-$N$7:$O$7)^2))</f>
        <v>0.24004069520057075</v>
      </c>
      <c r="H6">
        <f t="array" ref="H6">SQRT(SUM(($D6:$E6-$N$8:$O$8)^2))</f>
        <v>2.7877121696231816E-2</v>
      </c>
      <c r="I6">
        <f t="array" ref="I6">SQRT(SUM(($D6:$E6-$N$9:$O$9)^2))</f>
        <v>3.4027647713269267</v>
      </c>
      <c r="J6">
        <f t="shared" si="3"/>
        <v>2.7877121696231816E-2</v>
      </c>
      <c r="L6">
        <v>1</v>
      </c>
      <c r="M6">
        <v>26</v>
      </c>
      <c r="N6">
        <v>0.30587279899043596</v>
      </c>
      <c r="O6">
        <v>0.16541777825814405</v>
      </c>
      <c r="P6">
        <f>COUNTIF(C:C,L6)</f>
        <v>52</v>
      </c>
      <c r="R6">
        <v>1.4</v>
      </c>
      <c r="S6">
        <v>0.2</v>
      </c>
      <c r="T6">
        <f>IF(W6=AA6,1,IF(X6=AA6,2,IF(Y6=AA6,3,4)))</f>
        <v>1</v>
      </c>
    </row>
    <row r="7" spans="1:20" x14ac:dyDescent="0.3">
      <c r="A7">
        <v>1.7</v>
      </c>
      <c r="B7">
        <v>0.4</v>
      </c>
      <c r="C7">
        <f t="shared" si="2"/>
        <v>2</v>
      </c>
      <c r="D7">
        <f t="shared" si="0"/>
        <v>-1.1697142458819572</v>
      </c>
      <c r="E7">
        <f t="shared" si="1"/>
        <v>-1.0521799264271401</v>
      </c>
      <c r="F7">
        <f t="array" ref="F7">SQRT(SUM(($D7:$E7-$N$6:$O$6)^2))</f>
        <v>1.9130868504723237</v>
      </c>
      <c r="G7">
        <f t="array" ref="G7">SQRT(SUM(($D7:$E7-$N$7:$O$7)^2))</f>
        <v>0.10814626247963555</v>
      </c>
      <c r="H7">
        <f t="array" ref="H7">SQRT(SUM(($D7:$E7-$N$8:$O$8)^2))</f>
        <v>0.32017343282008437</v>
      </c>
      <c r="I7">
        <f t="array" ref="I7">SQRT(SUM(($D7:$E7-$N$9:$O$9)^2))</f>
        <v>3.0956477930264388</v>
      </c>
      <c r="J7">
        <f t="shared" si="3"/>
        <v>0.10814626247963555</v>
      </c>
      <c r="L7">
        <v>2</v>
      </c>
      <c r="M7">
        <v>15</v>
      </c>
      <c r="N7">
        <v>-1.2727320821628629</v>
      </c>
      <c r="O7">
        <v>-1.0850879724997151</v>
      </c>
      <c r="P7">
        <f>COUNTIF(C:C,L7)</f>
        <v>16</v>
      </c>
      <c r="R7">
        <v>1.7</v>
      </c>
      <c r="S7">
        <v>0.4</v>
      </c>
      <c r="T7">
        <f>IF(W7=AA7,1,IF(X7=AA7,2,IF(Y7=AA7,3,4)))</f>
        <v>1</v>
      </c>
    </row>
    <row r="8" spans="1:20" x14ac:dyDescent="0.3">
      <c r="A8">
        <v>1.4</v>
      </c>
      <c r="B8">
        <v>0.3</v>
      </c>
      <c r="C8">
        <f t="shared" si="2"/>
        <v>2</v>
      </c>
      <c r="D8">
        <f t="shared" si="0"/>
        <v>-1.3402265266227671</v>
      </c>
      <c r="E8">
        <f t="shared" si="1"/>
        <v>-1.1838121107174411</v>
      </c>
      <c r="F8">
        <f t="array" ref="F8">SQRT(SUM(($D8:$E8-$N$6:$O$6)^2))</f>
        <v>2.1283947667407266</v>
      </c>
      <c r="G8">
        <f t="array" ref="G8">SQRT(SUM(($D8:$E8-$N$7:$O$7)^2))</f>
        <v>0.11959078350685619</v>
      </c>
      <c r="H8">
        <f t="array" ref="H8">SQRT(SUM(($D8:$E8-$N$8:$O$8)^2))</f>
        <v>0.15231661669073757</v>
      </c>
      <c r="I8">
        <f t="array" ref="I8">SQRT(SUM(($D8:$E8-$N$9:$O$9)^2))</f>
        <v>3.3095119066281775</v>
      </c>
      <c r="J8">
        <f t="shared" si="3"/>
        <v>0.11959078350685619</v>
      </c>
      <c r="L8">
        <v>3</v>
      </c>
      <c r="M8">
        <v>28</v>
      </c>
      <c r="N8">
        <v>-1.320166258300318</v>
      </c>
      <c r="O8">
        <v>-1.3348019691680815</v>
      </c>
      <c r="P8">
        <f>COUNTIF(C:C,L8)</f>
        <v>34</v>
      </c>
      <c r="R8">
        <v>1.4</v>
      </c>
      <c r="S8">
        <v>0.3</v>
      </c>
      <c r="T8">
        <f>IF(W8=AA8,1,IF(X8=AA8,2,IF(Y8=AA8,3,4)))</f>
        <v>1</v>
      </c>
    </row>
    <row r="9" spans="1:20" x14ac:dyDescent="0.3">
      <c r="A9">
        <v>1.5</v>
      </c>
      <c r="B9">
        <v>0.2</v>
      </c>
      <c r="C9">
        <f t="shared" si="2"/>
        <v>3</v>
      </c>
      <c r="D9">
        <f t="shared" si="0"/>
        <v>-1.2833890997091637</v>
      </c>
      <c r="E9">
        <f t="shared" si="1"/>
        <v>-1.3154442950077423</v>
      </c>
      <c r="F9">
        <f t="array" ref="F9">SQRT(SUM(($D9:$E9-$N$6:$O$6)^2))</f>
        <v>2.1722582403332242</v>
      </c>
      <c r="G9">
        <f t="array" ref="G9">SQRT(SUM(($D9:$E9-$N$7:$O$7)^2))</f>
        <v>0.23060270454269263</v>
      </c>
      <c r="H9">
        <f t="array" ref="H9">SQRT(SUM(($D9:$E9-$N$8:$O$8)^2))</f>
        <v>4.1560545508171273E-2</v>
      </c>
      <c r="I9">
        <f t="array" ref="I9">SQRT(SUM(($D9:$E9-$N$9:$O$9)^2))</f>
        <v>3.3634551913028097</v>
      </c>
      <c r="J9">
        <f t="shared" si="3"/>
        <v>4.1560545508171273E-2</v>
      </c>
      <c r="L9">
        <v>4</v>
      </c>
      <c r="M9">
        <v>76</v>
      </c>
      <c r="N9">
        <v>1.0279995947773701</v>
      </c>
      <c r="O9">
        <v>1.1279781258809698</v>
      </c>
      <c r="P9">
        <f t="shared" ref="P9" si="4">COUNTIF(C:C,L9)</f>
        <v>48</v>
      </c>
      <c r="R9">
        <v>1.5</v>
      </c>
      <c r="S9">
        <v>0.2</v>
      </c>
      <c r="T9">
        <f>IF(W9=AA9,1,IF(X9=AA9,2,IF(Y9=AA9,3,4)))</f>
        <v>1</v>
      </c>
    </row>
    <row r="10" spans="1:20" x14ac:dyDescent="0.3">
      <c r="A10">
        <v>1.4</v>
      </c>
      <c r="B10">
        <v>0.2</v>
      </c>
      <c r="C10">
        <f t="shared" si="2"/>
        <v>3</v>
      </c>
      <c r="D10">
        <f t="shared" si="0"/>
        <v>-1.3402265266227671</v>
      </c>
      <c r="E10">
        <f t="shared" si="1"/>
        <v>-1.3154442950077423</v>
      </c>
      <c r="F10">
        <f t="array" ref="F10">SQRT(SUM(($D10:$E10-$N$6:$O$6)^2))</f>
        <v>2.2141805413790405</v>
      </c>
      <c r="G10">
        <f t="array" ref="G10">SQRT(SUM(($D10:$E10-$N$7:$O$7)^2))</f>
        <v>0.24004069520057075</v>
      </c>
      <c r="H10">
        <f t="array" ref="H10">SQRT(SUM(($D10:$E10-$N$8:$O$8)^2))</f>
        <v>2.7877121696231816E-2</v>
      </c>
      <c r="I10">
        <f t="array" ref="I10">SQRT(SUM(($D10:$E10-$N$9:$O$9)^2))</f>
        <v>3.4027647713269267</v>
      </c>
      <c r="J10">
        <f>MIN(F10:I10)</f>
        <v>2.7877121696231816E-2</v>
      </c>
      <c r="L10" t="s">
        <v>17</v>
      </c>
      <c r="R10">
        <v>1.4</v>
      </c>
      <c r="S10">
        <v>0.2</v>
      </c>
      <c r="T10">
        <f>IF(W10=AA10,1,IF(X10=AA10,2,IF(Y10=AA10,3,4)))</f>
        <v>1</v>
      </c>
    </row>
    <row r="11" spans="1:20" x14ac:dyDescent="0.3">
      <c r="A11">
        <v>1.5</v>
      </c>
      <c r="B11">
        <v>0.1</v>
      </c>
      <c r="C11">
        <f t="shared" si="2"/>
        <v>3</v>
      </c>
      <c r="D11">
        <f t="shared" si="0"/>
        <v>-1.2833890997091637</v>
      </c>
      <c r="E11">
        <f t="shared" si="1"/>
        <v>-1.4470764792980431</v>
      </c>
      <c r="F11">
        <f t="array" ref="F11">SQRT(SUM(($D11:$E11-$N$6:$O$6)^2))</f>
        <v>2.2640430899852451</v>
      </c>
      <c r="G11">
        <f t="array" ref="G11">SQRT(SUM(($D11:$E11-$N$7:$O$7)^2))</f>
        <v>0.36214534523733044</v>
      </c>
      <c r="H11">
        <f t="array" ref="H11">SQRT(SUM(($D11:$E11-$N$8:$O$8)^2))</f>
        <v>0.11814450905125368</v>
      </c>
      <c r="I11">
        <f t="array" ref="I11">SQRT(SUM(($D11:$E11-$N$9:$O$9)^2))</f>
        <v>3.4602635617325173</v>
      </c>
      <c r="J11">
        <f t="shared" si="3"/>
        <v>0.11814450905125368</v>
      </c>
      <c r="L11" t="s">
        <v>14</v>
      </c>
      <c r="M11" t="s">
        <v>6</v>
      </c>
      <c r="N11" t="s">
        <v>7</v>
      </c>
      <c r="O11" t="s">
        <v>18</v>
      </c>
      <c r="P11" t="s">
        <v>19</v>
      </c>
      <c r="R11">
        <v>1.5</v>
      </c>
      <c r="S11">
        <v>0.1</v>
      </c>
      <c r="T11">
        <f>IF(W11=AA11,1,IF(X11=AA11,2,IF(Y11=AA11,3,4)))</f>
        <v>1</v>
      </c>
    </row>
    <row r="12" spans="1:20" x14ac:dyDescent="0.3">
      <c r="A12">
        <v>1.5</v>
      </c>
      <c r="B12">
        <v>0.2</v>
      </c>
      <c r="C12">
        <f t="shared" si="2"/>
        <v>3</v>
      </c>
      <c r="D12">
        <f t="shared" si="0"/>
        <v>-1.2833890997091637</v>
      </c>
      <c r="E12">
        <f t="shared" si="1"/>
        <v>-1.3154442950077423</v>
      </c>
      <c r="F12">
        <f t="array" ref="F12">SQRT(SUM(($D12:$E12-$N$6:$O$6)^2))</f>
        <v>2.1722582403332242</v>
      </c>
      <c r="G12">
        <f t="array" ref="G12">SQRT(SUM(($D12:$E12-$N$7:$O$7)^2))</f>
        <v>0.23060270454269263</v>
      </c>
      <c r="H12">
        <f t="array" ref="H12">SQRT(SUM(($D12:$E12-$N$8:$O$8)^2))</f>
        <v>4.1560545508171273E-2</v>
      </c>
      <c r="I12">
        <f t="array" ref="I12">SQRT(SUM(($D12:$E12-$N$9:$O$9)^2))</f>
        <v>3.3634551913028097</v>
      </c>
      <c r="J12">
        <f t="shared" si="3"/>
        <v>4.1560545508171273E-2</v>
      </c>
      <c r="L12">
        <v>1</v>
      </c>
      <c r="M12">
        <f>AVERAGEIF($C:$C,$L12,D:D)</f>
        <v>0.30587279899043596</v>
      </c>
      <c r="N12">
        <f>AVERAGEIF($C:$C,$L12,E:E)</f>
        <v>0.16541777825814405</v>
      </c>
      <c r="O12">
        <f ca="1">AVERAGE(OFFSET($R$2,0,0,$P$6,1))</f>
        <v>1.5826923076923078</v>
      </c>
      <c r="P12">
        <f ca="1">AVERAGE(OFFSET($S$2,0,0,$P$6,1))</f>
        <v>0.29230769230769221</v>
      </c>
      <c r="R12">
        <v>1.5</v>
      </c>
      <c r="S12">
        <v>0.2</v>
      </c>
      <c r="T12">
        <f>IF(W12=AA12,1,IF(X12=AA12,2,IF(Y12=AA12,3,4)))</f>
        <v>1</v>
      </c>
    </row>
    <row r="13" spans="1:20" x14ac:dyDescent="0.3">
      <c r="A13">
        <v>1.6</v>
      </c>
      <c r="B13">
        <v>0.2</v>
      </c>
      <c r="C13">
        <f t="shared" si="2"/>
        <v>3</v>
      </c>
      <c r="D13">
        <f t="shared" si="0"/>
        <v>-1.2265516727955603</v>
      </c>
      <c r="E13">
        <f t="shared" si="1"/>
        <v>-1.3154442950077423</v>
      </c>
      <c r="F13">
        <f t="array" ref="F13">SQRT(SUM(($D13:$E13-$N$6:$O$6)^2))</f>
        <v>2.1310272738202882</v>
      </c>
      <c r="G13">
        <f t="array" ref="G13">SQRT(SUM(($D13:$E13-$N$7:$O$7)^2))</f>
        <v>0.23493970615618356</v>
      </c>
      <c r="H13">
        <f t="array" ref="H13">SQRT(SUM(($D13:$E13-$N$8:$O$8)^2))</f>
        <v>9.5595032130992269E-2</v>
      </c>
      <c r="I13">
        <f t="array" ref="I13">SQRT(SUM(($D13:$E13-$N$9:$O$9)^2))</f>
        <v>3.3246525450062241</v>
      </c>
      <c r="J13">
        <f t="shared" si="3"/>
        <v>9.5595032130992269E-2</v>
      </c>
      <c r="L13">
        <v>2</v>
      </c>
      <c r="M13">
        <f>AVERAGEIF($C:$C,$L13,D:D)</f>
        <v>-1.2727320821628629</v>
      </c>
      <c r="N13">
        <f>AVERAGEIF($C:$C,$L13,E:E)</f>
        <v>-1.0850879724997151</v>
      </c>
      <c r="O13">
        <f ca="1">AVERAGE(OFFSET($R$2,$P$6,0,$P$7,1))</f>
        <v>4.21875</v>
      </c>
      <c r="P13">
        <f ca="1">AVERAGE(OFFSET($S$2,$P$6,0,$P$7,1))</f>
        <v>1.3125</v>
      </c>
      <c r="R13">
        <v>1.6</v>
      </c>
      <c r="S13">
        <v>0.2</v>
      </c>
      <c r="T13">
        <f>IF(W13=AA13,1,IF(X13=AA13,2,IF(Y13=AA13,3,4)))</f>
        <v>1</v>
      </c>
    </row>
    <row r="14" spans="1:20" x14ac:dyDescent="0.3">
      <c r="A14">
        <v>1.4</v>
      </c>
      <c r="B14">
        <v>0.1</v>
      </c>
      <c r="C14">
        <f t="shared" si="2"/>
        <v>3</v>
      </c>
      <c r="D14">
        <f t="shared" si="0"/>
        <v>-1.3402265266227671</v>
      </c>
      <c r="E14">
        <f t="shared" si="1"/>
        <v>-1.4470764792980431</v>
      </c>
      <c r="F14">
        <f t="array" ref="F14">SQRT(SUM(($D14:$E14-$N$6:$O$6)^2))</f>
        <v>2.304296144256619</v>
      </c>
      <c r="G14">
        <f t="array" ref="G14">SQRT(SUM(($D14:$E14-$N$7:$O$7)^2))</f>
        <v>0.36822707543991684</v>
      </c>
      <c r="H14">
        <f t="array" ref="H14">SQRT(SUM(($D14:$E14-$N$8:$O$8)^2))</f>
        <v>0.11405253171276605</v>
      </c>
      <c r="I14">
        <f t="array" ref="I14">SQRT(SUM(($D14:$E14-$N$9:$O$9)^2))</f>
        <v>3.498485555456186</v>
      </c>
      <c r="J14">
        <f t="shared" si="3"/>
        <v>0.11405253171276605</v>
      </c>
      <c r="L14">
        <v>3</v>
      </c>
      <c r="M14">
        <f>AVERAGEIF($C:$C,$L14,D:D)</f>
        <v>-1.320166258300318</v>
      </c>
      <c r="N14">
        <f t="shared" ref="N14:N15" si="5">AVERAGEIF($C:$C,$L14,E:E)</f>
        <v>-1.3348019691680815</v>
      </c>
      <c r="O14">
        <f ca="1">AVERAGE(OFFSET($R$2,$P$6+$P$7,0,$P$8,1))</f>
        <v>4.3352941176470594</v>
      </c>
      <c r="P14">
        <f ca="1">AVERAGE(OFFSET($S$2,$P$6+$P$7,0,$P$8,1))</f>
        <v>1.3764705882352943</v>
      </c>
      <c r="R14">
        <v>1.4</v>
      </c>
      <c r="S14">
        <v>0.1</v>
      </c>
      <c r="T14">
        <f>IF(W14=AA14,1,IF(X14=AA14,2,IF(Y14=AA14,3,4)))</f>
        <v>1</v>
      </c>
    </row>
    <row r="15" spans="1:20" x14ac:dyDescent="0.3">
      <c r="A15">
        <v>1.1000000000000001</v>
      </c>
      <c r="B15">
        <v>0.1</v>
      </c>
      <c r="C15">
        <f t="shared" si="2"/>
        <v>3</v>
      </c>
      <c r="D15">
        <f t="shared" si="0"/>
        <v>-1.5107388073635768</v>
      </c>
      <c r="E15">
        <f t="shared" si="1"/>
        <v>-1.4470764792980431</v>
      </c>
      <c r="F15">
        <f t="array" ref="F15">SQRT(SUM(($D15:$E15-$N$6:$O$6)^2))</f>
        <v>2.4290359114248981</v>
      </c>
      <c r="G15">
        <f t="array" ref="G15">SQRT(SUM(($D15:$E15-$N$7:$O$7)^2))</f>
        <v>0.43322382239998214</v>
      </c>
      <c r="H15">
        <f t="array" ref="H15">SQRT(SUM(($D15:$E15-$N$8:$O$8)^2))</f>
        <v>0.2211864871130039</v>
      </c>
      <c r="I15">
        <f t="array" ref="I15">SQRT(SUM(($D15:$E15-$N$9:$O$9)^2))</f>
        <v>3.6160888946704293</v>
      </c>
      <c r="J15">
        <f t="shared" si="3"/>
        <v>0.2211864871130039</v>
      </c>
      <c r="L15">
        <v>4</v>
      </c>
      <c r="M15">
        <f t="shared" ref="M14:M15" si="6">AVERAGEIF($C:$C,$L15,D:D)</f>
        <v>1.0279995947773701</v>
      </c>
      <c r="N15">
        <f t="shared" si="5"/>
        <v>1.1279781258809698</v>
      </c>
      <c r="O15">
        <f ca="1">AVERAGE(OFFSET($R$2,$P$6+$P$7+$P$8,0,$P$9,1))</f>
        <v>5.552083333333333</v>
      </c>
      <c r="P15">
        <f ca="1">AVERAGE(OFFSET($S$2,$P$6+$P$7+$P$8,0,$P$9,1))</f>
        <v>2.0187499999999998</v>
      </c>
      <c r="R15">
        <v>1.1000000000000001</v>
      </c>
      <c r="S15">
        <v>0.1</v>
      </c>
      <c r="T15">
        <f>IF(W15=AA15,1,IF(X15=AA15,2,IF(Y15=AA15,3,4)))</f>
        <v>1</v>
      </c>
    </row>
    <row r="16" spans="1:20" x14ac:dyDescent="0.3">
      <c r="A16">
        <v>1.2</v>
      </c>
      <c r="B16">
        <v>0.2</v>
      </c>
      <c r="C16">
        <f t="shared" si="2"/>
        <v>3</v>
      </c>
      <c r="D16">
        <f t="shared" si="0"/>
        <v>-1.4539013804499734</v>
      </c>
      <c r="E16">
        <f t="shared" si="1"/>
        <v>-1.3154442950077423</v>
      </c>
      <c r="F16">
        <f t="array" ref="F16">SQRT(SUM(($D16:$E16-$N$6:$O$6)^2))</f>
        <v>2.2999473130188233</v>
      </c>
      <c r="G16">
        <f t="array" ref="G16">SQRT(SUM(($D16:$E16-$N$7:$O$7)^2))</f>
        <v>0.29306373020431281</v>
      </c>
      <c r="H16">
        <f t="array" ref="H16">SQRT(SUM(($D16:$E16-$N$8:$O$8)^2))</f>
        <v>0.13512883646831686</v>
      </c>
      <c r="I16">
        <f t="array" ref="I16">SQRT(SUM(($D16:$E16-$N$9:$O$9)^2))</f>
        <v>3.4828358528268448</v>
      </c>
      <c r="J16">
        <f t="shared" si="3"/>
        <v>0.13512883646831686</v>
      </c>
      <c r="R16">
        <v>1.2</v>
      </c>
      <c r="S16">
        <v>0.2</v>
      </c>
      <c r="T16">
        <f>IF(W16=AA16,1,IF(X16=AA16,2,IF(Y16=AA16,3,4)))</f>
        <v>1</v>
      </c>
    </row>
    <row r="17" spans="1:20" x14ac:dyDescent="0.3">
      <c r="A17">
        <v>1.5</v>
      </c>
      <c r="B17">
        <v>0.4</v>
      </c>
      <c r="C17">
        <f t="shared" si="2"/>
        <v>2</v>
      </c>
      <c r="D17">
        <f t="shared" si="0"/>
        <v>-1.2833890997091637</v>
      </c>
      <c r="E17">
        <f t="shared" si="1"/>
        <v>-1.0521799264271401</v>
      </c>
      <c r="F17">
        <f t="array" ref="F17">SQRT(SUM(($D17:$E17-$N$6:$O$6)^2))</f>
        <v>2.0020733136209397</v>
      </c>
      <c r="G17">
        <f t="array" ref="G17">SQRT(SUM(($D17:$E17-$N$7:$O$7)^2))</f>
        <v>3.4590627622188112E-2</v>
      </c>
      <c r="H17">
        <f t="array" ref="H17">SQRT(SUM(($D17:$E17-$N$8:$O$8)^2))</f>
        <v>0.28500487440937111</v>
      </c>
      <c r="I17">
        <f t="array" ref="I17">SQRT(SUM(($D17:$E17-$N$9:$O$9)^2))</f>
        <v>3.1773584673505213</v>
      </c>
      <c r="J17">
        <f t="shared" si="3"/>
        <v>3.4590627622188112E-2</v>
      </c>
      <c r="R17">
        <v>1.5</v>
      </c>
      <c r="S17">
        <v>0.4</v>
      </c>
      <c r="T17">
        <f>IF(W17=AA17,1,IF(X17=AA17,2,IF(Y17=AA17,3,4)))</f>
        <v>1</v>
      </c>
    </row>
    <row r="18" spans="1:20" x14ac:dyDescent="0.3">
      <c r="A18">
        <v>1.3</v>
      </c>
      <c r="B18">
        <v>0.4</v>
      </c>
      <c r="C18">
        <f t="shared" si="2"/>
        <v>2</v>
      </c>
      <c r="D18">
        <f t="shared" si="0"/>
        <v>-1.3970639535363705</v>
      </c>
      <c r="E18">
        <f t="shared" si="1"/>
        <v>-1.0521799264271401</v>
      </c>
      <c r="F18">
        <f t="array" ref="F18">SQRT(SUM(($D18:$E18-$N$6:$O$6)^2))</f>
        <v>2.0934511586281199</v>
      </c>
      <c r="G18">
        <f t="array" ref="G18">SQRT(SUM(($D18:$E18-$N$7:$O$7)^2))</f>
        <v>0.12861319425141865</v>
      </c>
      <c r="H18">
        <f t="array" ref="H18">SQRT(SUM(($D18:$E18-$N$8:$O$8)^2))</f>
        <v>0.2928966960818768</v>
      </c>
      <c r="I18">
        <f t="array" ref="I18">SQRT(SUM(($D18:$E18-$N$9:$O$9)^2))</f>
        <v>3.2609848736852376</v>
      </c>
      <c r="J18">
        <f t="shared" si="3"/>
        <v>0.12861319425141865</v>
      </c>
      <c r="R18">
        <v>1.3</v>
      </c>
      <c r="S18">
        <v>0.4</v>
      </c>
      <c r="T18">
        <f>IF(W18=AA18,1,IF(X18=AA18,2,IF(Y18=AA18,3,4)))</f>
        <v>1</v>
      </c>
    </row>
    <row r="19" spans="1:20" x14ac:dyDescent="0.3">
      <c r="A19">
        <v>1.4</v>
      </c>
      <c r="B19">
        <v>0.3</v>
      </c>
      <c r="C19">
        <f t="shared" si="2"/>
        <v>2</v>
      </c>
      <c r="D19">
        <f t="shared" si="0"/>
        <v>-1.3402265266227671</v>
      </c>
      <c r="E19">
        <f t="shared" si="1"/>
        <v>-1.1838121107174411</v>
      </c>
      <c r="F19">
        <f t="array" ref="F19">SQRT(SUM(($D19:$E19-$N$6:$O$6)^2))</f>
        <v>2.1283947667407266</v>
      </c>
      <c r="G19">
        <f t="array" ref="G19">SQRT(SUM(($D19:$E19-$N$7:$O$7)^2))</f>
        <v>0.11959078350685619</v>
      </c>
      <c r="H19">
        <f t="array" ref="H19">SQRT(SUM(($D19:$E19-$N$8:$O$8)^2))</f>
        <v>0.15231661669073757</v>
      </c>
      <c r="I19">
        <f t="array" ref="I19">SQRT(SUM(($D19:$E19-$N$9:$O$9)^2))</f>
        <v>3.3095119066281775</v>
      </c>
      <c r="J19">
        <f t="shared" si="3"/>
        <v>0.11959078350685619</v>
      </c>
      <c r="R19">
        <v>1.4</v>
      </c>
      <c r="S19">
        <v>0.3</v>
      </c>
      <c r="T19">
        <f>IF(W19=AA19,1,IF(X19=AA19,2,IF(Y19=AA19,3,4)))</f>
        <v>1</v>
      </c>
    </row>
    <row r="20" spans="1:20" x14ac:dyDescent="0.3">
      <c r="A20">
        <v>1.7</v>
      </c>
      <c r="B20">
        <v>0.3</v>
      </c>
      <c r="C20">
        <f t="shared" si="2"/>
        <v>2</v>
      </c>
      <c r="D20">
        <f t="shared" si="0"/>
        <v>-1.1697142458819572</v>
      </c>
      <c r="E20">
        <f t="shared" si="1"/>
        <v>-1.1838121107174411</v>
      </c>
      <c r="F20">
        <f t="array" ref="F20">SQRT(SUM(($D20:$E20-$N$6:$O$6)^2))</f>
        <v>1.9994445279377751</v>
      </c>
      <c r="G20">
        <f t="array" ref="G20">SQRT(SUM(($D20:$E20-$N$7:$O$7)^2))</f>
        <v>0.14268542342801582</v>
      </c>
      <c r="H20">
        <f t="array" ref="H20">SQRT(SUM(($D20:$E20-$N$8:$O$8)^2))</f>
        <v>0.2131519303118764</v>
      </c>
      <c r="I20">
        <f t="array" ref="I20">SQRT(SUM(($D20:$E20-$N$9:$O$9)^2))</f>
        <v>3.1897210259609392</v>
      </c>
      <c r="J20">
        <f t="shared" si="3"/>
        <v>0.14268542342801582</v>
      </c>
      <c r="R20">
        <v>1.7</v>
      </c>
      <c r="S20">
        <v>0.3</v>
      </c>
      <c r="T20">
        <f>IF(W20=AA20,1,IF(X20=AA20,2,IF(Y20=AA20,3,4)))</f>
        <v>1</v>
      </c>
    </row>
    <row r="21" spans="1:20" x14ac:dyDescent="0.3">
      <c r="A21">
        <v>1.5</v>
      </c>
      <c r="B21">
        <v>0.3</v>
      </c>
      <c r="C21">
        <f t="shared" si="2"/>
        <v>2</v>
      </c>
      <c r="D21">
        <f t="shared" si="0"/>
        <v>-1.2833890997091637</v>
      </c>
      <c r="E21">
        <f t="shared" si="1"/>
        <v>-1.1838121107174411</v>
      </c>
      <c r="F21">
        <f t="array" ref="F21">SQRT(SUM(($D21:$E21-$N$6:$O$6)^2))</f>
        <v>2.0847481085165485</v>
      </c>
      <c r="G21">
        <f t="array" ref="G21">SQRT(SUM(($D21:$E21-$N$7:$O$7)^2))</f>
        <v>9.9297671119794262E-2</v>
      </c>
      <c r="H21">
        <f t="array" ref="H21">SQRT(SUM(($D21:$E21-$N$8:$O$8)^2))</f>
        <v>0.15540430093463736</v>
      </c>
      <c r="I21">
        <f t="array" ref="I21">SQRT(SUM(($D21:$E21-$N$9:$O$9)^2))</f>
        <v>3.2690811851393198</v>
      </c>
      <c r="J21">
        <f t="shared" si="3"/>
        <v>9.9297671119794262E-2</v>
      </c>
      <c r="R21">
        <v>1.5</v>
      </c>
      <c r="S21">
        <v>0.3</v>
      </c>
      <c r="T21">
        <f>IF(W21=AA21,1,IF(X21=AA21,2,IF(Y21=AA21,3,4)))</f>
        <v>1</v>
      </c>
    </row>
    <row r="22" spans="1:20" x14ac:dyDescent="0.3">
      <c r="A22">
        <v>1.7</v>
      </c>
      <c r="B22">
        <v>0.2</v>
      </c>
      <c r="C22">
        <f t="shared" si="2"/>
        <v>3</v>
      </c>
      <c r="D22">
        <f t="shared" si="0"/>
        <v>-1.1697142458819572</v>
      </c>
      <c r="E22">
        <f t="shared" si="1"/>
        <v>-1.3154442950077423</v>
      </c>
      <c r="F22">
        <f t="array" ref="F22">SQRT(SUM(($D22:$E22-$N$6:$O$6)^2))</f>
        <v>2.0905285472895558</v>
      </c>
      <c r="G22">
        <f t="array" ref="G22">SQRT(SUM(($D22:$E22-$N$7:$O$7)^2))</f>
        <v>0.25234244571895098</v>
      </c>
      <c r="H22">
        <f t="array" ref="H22">SQRT(SUM(($D22:$E22-$N$8:$O$8)^2))</f>
        <v>0.15169221334542013</v>
      </c>
      <c r="I22">
        <f t="array" ref="I22">SQRT(SUM(($D22:$E22-$N$9:$O$9)^2))</f>
        <v>3.2863747887797623</v>
      </c>
      <c r="J22">
        <f t="shared" si="3"/>
        <v>0.15169221334542013</v>
      </c>
      <c r="R22">
        <v>1.7</v>
      </c>
      <c r="S22">
        <v>0.2</v>
      </c>
      <c r="T22">
        <f>IF(W22=AA22,1,IF(X22=AA22,2,IF(Y22=AA22,3,4)))</f>
        <v>1</v>
      </c>
    </row>
    <row r="23" spans="1:20" x14ac:dyDescent="0.3">
      <c r="A23">
        <v>1.5</v>
      </c>
      <c r="B23">
        <v>0.4</v>
      </c>
      <c r="C23">
        <f t="shared" si="2"/>
        <v>2</v>
      </c>
      <c r="D23">
        <f t="shared" si="0"/>
        <v>-1.2833890997091637</v>
      </c>
      <c r="E23">
        <f t="shared" si="1"/>
        <v>-1.0521799264271401</v>
      </c>
      <c r="F23">
        <f t="array" ref="F23">SQRT(SUM(($D23:$E23-$N$6:$O$6)^2))</f>
        <v>2.0020733136209397</v>
      </c>
      <c r="G23">
        <f t="array" ref="G23">SQRT(SUM(($D23:$E23-$N$7:$O$7)^2))</f>
        <v>3.4590627622188112E-2</v>
      </c>
      <c r="H23">
        <f t="array" ref="H23">SQRT(SUM(($D23:$E23-$N$8:$O$8)^2))</f>
        <v>0.28500487440937111</v>
      </c>
      <c r="I23">
        <f t="array" ref="I23">SQRT(SUM(($D23:$E23-$N$9:$O$9)^2))</f>
        <v>3.1773584673505213</v>
      </c>
      <c r="J23">
        <f t="shared" si="3"/>
        <v>3.4590627622188112E-2</v>
      </c>
      <c r="R23">
        <v>1.5</v>
      </c>
      <c r="S23">
        <v>0.4</v>
      </c>
      <c r="T23">
        <f>IF(W23=AA23,1,IF(X23=AA23,2,IF(Y23=AA23,3,4)))</f>
        <v>1</v>
      </c>
    </row>
    <row r="24" spans="1:20" x14ac:dyDescent="0.3">
      <c r="A24">
        <v>1</v>
      </c>
      <c r="B24">
        <v>0.2</v>
      </c>
      <c r="C24">
        <f t="shared" si="2"/>
        <v>3</v>
      </c>
      <c r="D24">
        <f t="shared" si="0"/>
        <v>-1.5675762342771802</v>
      </c>
      <c r="E24">
        <f t="shared" si="1"/>
        <v>-1.3154442950077423</v>
      </c>
      <c r="F24">
        <f t="array" ref="F24">SQRT(SUM(($D24:$E24-$N$6:$O$6)^2))</f>
        <v>2.3880460130174845</v>
      </c>
      <c r="G24">
        <f t="array" ref="G24">SQRT(SUM(($D24:$E24-$N$7:$O$7)^2))</f>
        <v>0.37416187587117006</v>
      </c>
      <c r="H24">
        <f t="array" ref="H24">SQRT(SUM(($D24:$E24-$N$8:$O$8)^2))</f>
        <v>0.2481661051831402</v>
      </c>
      <c r="I24">
        <f t="array" ref="I24">SQRT(SUM(($D24:$E24-$N$9:$O$9)^2))</f>
        <v>3.5647337924835107</v>
      </c>
      <c r="J24">
        <f t="shared" si="3"/>
        <v>0.2481661051831402</v>
      </c>
      <c r="R24">
        <v>1</v>
      </c>
      <c r="S24">
        <v>0.2</v>
      </c>
      <c r="T24">
        <f>IF(W24=AA24,1,IF(X24=AA24,2,IF(Y24=AA24,3,4)))</f>
        <v>1</v>
      </c>
    </row>
    <row r="25" spans="1:20" x14ac:dyDescent="0.3">
      <c r="A25">
        <v>1.7</v>
      </c>
      <c r="B25">
        <v>0.5</v>
      </c>
      <c r="C25">
        <f t="shared" si="2"/>
        <v>2</v>
      </c>
      <c r="D25">
        <f t="shared" si="0"/>
        <v>-1.1697142458819572</v>
      </c>
      <c r="E25">
        <f t="shared" si="1"/>
        <v>-0.92054774213683921</v>
      </c>
      <c r="F25">
        <f t="array" ref="F25">SQRT(SUM(($D25:$E25-$N$6:$O$6)^2))</f>
        <v>1.8321239691904008</v>
      </c>
      <c r="G25">
        <f t="array" ref="G25">SQRT(SUM(($D25:$E25-$N$7:$O$7)^2))</f>
        <v>0.19412924045559901</v>
      </c>
      <c r="H25">
        <f t="array" ref="H25">SQRT(SUM(($D25:$E25-$N$8:$O$8)^2))</f>
        <v>0.44072936441084404</v>
      </c>
      <c r="I25">
        <f t="array" ref="I25">SQRT(SUM(($D25:$E25-$N$9:$O$9)^2))</f>
        <v>3.0043975032215173</v>
      </c>
      <c r="J25">
        <f t="shared" si="3"/>
        <v>0.19412924045559901</v>
      </c>
      <c r="R25">
        <v>1.7</v>
      </c>
      <c r="S25">
        <v>0.5</v>
      </c>
      <c r="T25">
        <f>IF(W25=AA25,1,IF(X25=AA25,2,IF(Y25=AA25,3,4)))</f>
        <v>1</v>
      </c>
    </row>
    <row r="26" spans="1:20" x14ac:dyDescent="0.3">
      <c r="A26">
        <v>1.9</v>
      </c>
      <c r="B26">
        <v>0.2</v>
      </c>
      <c r="C26">
        <f t="shared" si="2"/>
        <v>3</v>
      </c>
      <c r="D26">
        <f t="shared" si="0"/>
        <v>-1.0560393920547506</v>
      </c>
      <c r="E26">
        <f t="shared" si="1"/>
        <v>-1.3154442950077423</v>
      </c>
      <c r="F26">
        <f t="array" ref="F26">SQRT(SUM(($D26:$E26-$N$6:$O$6)^2))</f>
        <v>2.011903898339789</v>
      </c>
      <c r="G26">
        <f t="array" ref="G26">SQRT(SUM(($D26:$E26-$N$7:$O$7)^2))</f>
        <v>0.31625900345399283</v>
      </c>
      <c r="H26">
        <f t="array" ref="H26">SQRT(SUM(($D26:$E26-$N$8:$O$8)^2))</f>
        <v>0.26483527148324049</v>
      </c>
      <c r="I26">
        <f t="array" ref="I26">SQRT(SUM(($D26:$E26-$N$9:$O$9)^2))</f>
        <v>3.2114687645278299</v>
      </c>
      <c r="J26">
        <f t="shared" si="3"/>
        <v>0.26483527148324049</v>
      </c>
      <c r="R26">
        <v>1.9</v>
      </c>
      <c r="S26">
        <v>0.2</v>
      </c>
      <c r="T26">
        <f>IF(W26=AA26,1,IF(X26=AA26,2,IF(Y26=AA26,3,4)))</f>
        <v>1</v>
      </c>
    </row>
    <row r="27" spans="1:20" x14ac:dyDescent="0.3">
      <c r="A27">
        <v>1.6</v>
      </c>
      <c r="B27">
        <v>0.2</v>
      </c>
      <c r="C27">
        <f t="shared" si="2"/>
        <v>3</v>
      </c>
      <c r="D27">
        <f t="shared" si="0"/>
        <v>-1.2265516727955603</v>
      </c>
      <c r="E27">
        <f t="shared" si="1"/>
        <v>-1.3154442950077423</v>
      </c>
      <c r="F27">
        <f t="array" ref="F27">SQRT(SUM(($D27:$E27-$N$6:$O$6)^2))</f>
        <v>2.1310272738202882</v>
      </c>
      <c r="G27">
        <f t="array" ref="G27">SQRT(SUM(($D27:$E27-$N$7:$O$7)^2))</f>
        <v>0.23493970615618356</v>
      </c>
      <c r="H27">
        <f t="array" ref="H27">SQRT(SUM(($D27:$E27-$N$8:$O$8)^2))</f>
        <v>9.5595032130992269E-2</v>
      </c>
      <c r="I27">
        <f t="array" ref="I27">SQRT(SUM(($D27:$E27-$N$9:$O$9)^2))</f>
        <v>3.3246525450062241</v>
      </c>
      <c r="J27">
        <f t="shared" si="3"/>
        <v>9.5595032130992269E-2</v>
      </c>
      <c r="R27">
        <v>1.6</v>
      </c>
      <c r="S27">
        <v>0.2</v>
      </c>
      <c r="T27">
        <f>IF(W27=AA27,1,IF(X27=AA27,2,IF(Y27=AA27,3,4)))</f>
        <v>1</v>
      </c>
    </row>
    <row r="28" spans="1:20" x14ac:dyDescent="0.3">
      <c r="A28">
        <v>1.6</v>
      </c>
      <c r="B28">
        <v>0.4</v>
      </c>
      <c r="C28">
        <f t="shared" si="2"/>
        <v>2</v>
      </c>
      <c r="D28">
        <f t="shared" si="0"/>
        <v>-1.2265516727955603</v>
      </c>
      <c r="E28">
        <f t="shared" si="1"/>
        <v>-1.0521799264271401</v>
      </c>
      <c r="F28">
        <f t="array" ref="F28">SQRT(SUM(($D28:$E28-$N$6:$O$6)^2))</f>
        <v>1.9572605682901454</v>
      </c>
      <c r="G28">
        <f t="array" ref="G28">SQRT(SUM(($D28:$E28-$N$7:$O$7)^2))</f>
        <v>5.6705993560172911E-2</v>
      </c>
      <c r="H28">
        <f t="array" ref="H28">SQRT(SUM(($D28:$E28-$N$8:$O$8)^2))</f>
        <v>0.2977228739319337</v>
      </c>
      <c r="I28">
        <f t="array" ref="I28">SQRT(SUM(($D28:$E28-$N$9:$O$9)^2))</f>
        <v>3.1362542229797952</v>
      </c>
      <c r="J28">
        <f t="shared" si="3"/>
        <v>5.6705993560172911E-2</v>
      </c>
      <c r="R28">
        <v>1.6</v>
      </c>
      <c r="S28">
        <v>0.4</v>
      </c>
      <c r="T28">
        <f>IF(W28=AA28,1,IF(X28=AA28,2,IF(Y28=AA28,3,4)))</f>
        <v>1</v>
      </c>
    </row>
    <row r="29" spans="1:20" x14ac:dyDescent="0.3">
      <c r="A29">
        <v>1.5</v>
      </c>
      <c r="B29">
        <v>0.2</v>
      </c>
      <c r="C29">
        <f t="shared" si="2"/>
        <v>3</v>
      </c>
      <c r="D29">
        <f t="shared" si="0"/>
        <v>-1.2833890997091637</v>
      </c>
      <c r="E29">
        <f t="shared" si="1"/>
        <v>-1.3154442950077423</v>
      </c>
      <c r="F29">
        <f t="array" ref="F29">SQRT(SUM(($D29:$E29-$N$6:$O$6)^2))</f>
        <v>2.1722582403332242</v>
      </c>
      <c r="G29">
        <f t="array" ref="G29">SQRT(SUM(($D29:$E29-$N$7:$O$7)^2))</f>
        <v>0.23060270454269263</v>
      </c>
      <c r="H29">
        <f t="array" ref="H29">SQRT(SUM(($D29:$E29-$N$8:$O$8)^2))</f>
        <v>4.1560545508171273E-2</v>
      </c>
      <c r="I29">
        <f t="array" ref="I29">SQRT(SUM(($D29:$E29-$N$9:$O$9)^2))</f>
        <v>3.3634551913028097</v>
      </c>
      <c r="J29">
        <f t="shared" si="3"/>
        <v>4.1560545508171273E-2</v>
      </c>
      <c r="R29">
        <v>1.5</v>
      </c>
      <c r="S29">
        <v>0.2</v>
      </c>
      <c r="T29">
        <f>IF(W29=AA29,1,IF(X29=AA29,2,IF(Y29=AA29,3,4)))</f>
        <v>1</v>
      </c>
    </row>
    <row r="30" spans="1:20" x14ac:dyDescent="0.3">
      <c r="A30">
        <v>1.4</v>
      </c>
      <c r="B30">
        <v>0.2</v>
      </c>
      <c r="C30">
        <f t="shared" si="2"/>
        <v>3</v>
      </c>
      <c r="D30">
        <f t="shared" si="0"/>
        <v>-1.3402265266227671</v>
      </c>
      <c r="E30">
        <f t="shared" si="1"/>
        <v>-1.3154442950077423</v>
      </c>
      <c r="F30">
        <f t="array" ref="F30">SQRT(SUM(($D30:$E30-$N$6:$O$6)^2))</f>
        <v>2.2141805413790405</v>
      </c>
      <c r="G30">
        <f t="array" ref="G30">SQRT(SUM(($D30:$E30-$N$7:$O$7)^2))</f>
        <v>0.24004069520057075</v>
      </c>
      <c r="H30">
        <f t="array" ref="H30">SQRT(SUM(($D30:$E30-$N$8:$O$8)^2))</f>
        <v>2.7877121696231816E-2</v>
      </c>
      <c r="I30">
        <f t="array" ref="I30">SQRT(SUM(($D30:$E30-$N$9:$O$9)^2))</f>
        <v>3.4027647713269267</v>
      </c>
      <c r="J30">
        <f t="shared" si="3"/>
        <v>2.7877121696231816E-2</v>
      </c>
      <c r="R30">
        <v>1.4</v>
      </c>
      <c r="S30">
        <v>0.2</v>
      </c>
      <c r="T30">
        <f>IF(W30=AA30,1,IF(X30=AA30,2,IF(Y30=AA30,3,4)))</f>
        <v>1</v>
      </c>
    </row>
    <row r="31" spans="1:20" x14ac:dyDescent="0.3">
      <c r="A31">
        <v>1.6</v>
      </c>
      <c r="B31">
        <v>0.2</v>
      </c>
      <c r="C31">
        <f t="shared" si="2"/>
        <v>3</v>
      </c>
      <c r="D31">
        <f t="shared" si="0"/>
        <v>-1.2265516727955603</v>
      </c>
      <c r="E31">
        <f t="shared" si="1"/>
        <v>-1.3154442950077423</v>
      </c>
      <c r="F31">
        <f t="array" ref="F31">SQRT(SUM(($D31:$E31-$N$6:$O$6)^2))</f>
        <v>2.1310272738202882</v>
      </c>
      <c r="G31">
        <f t="array" ref="G31">SQRT(SUM(($D31:$E31-$N$7:$O$7)^2))</f>
        <v>0.23493970615618356</v>
      </c>
      <c r="H31">
        <f t="array" ref="H31">SQRT(SUM(($D31:$E31-$N$8:$O$8)^2))</f>
        <v>9.5595032130992269E-2</v>
      </c>
      <c r="I31">
        <f t="array" ref="I31">SQRT(SUM(($D31:$E31-$N$9:$O$9)^2))</f>
        <v>3.3246525450062241</v>
      </c>
      <c r="J31">
        <f t="shared" si="3"/>
        <v>9.5595032130992269E-2</v>
      </c>
      <c r="R31">
        <v>1.6</v>
      </c>
      <c r="S31">
        <v>0.2</v>
      </c>
      <c r="T31">
        <f>IF(W31=AA31,1,IF(X31=AA31,2,IF(Y31=AA31,3,4)))</f>
        <v>1</v>
      </c>
    </row>
    <row r="32" spans="1:20" x14ac:dyDescent="0.3">
      <c r="A32">
        <v>1.6</v>
      </c>
      <c r="B32">
        <v>0.2</v>
      </c>
      <c r="C32">
        <f t="shared" si="2"/>
        <v>3</v>
      </c>
      <c r="D32">
        <f t="shared" si="0"/>
        <v>-1.2265516727955603</v>
      </c>
      <c r="E32">
        <f t="shared" si="1"/>
        <v>-1.3154442950077423</v>
      </c>
      <c r="F32">
        <f t="array" ref="F32">SQRT(SUM(($D32:$E32-$N$6:$O$6)^2))</f>
        <v>2.1310272738202882</v>
      </c>
      <c r="G32">
        <f t="array" ref="G32">SQRT(SUM(($D32:$E32-$N$7:$O$7)^2))</f>
        <v>0.23493970615618356</v>
      </c>
      <c r="H32">
        <f t="array" ref="H32">SQRT(SUM(($D32:$E32-$N$8:$O$8)^2))</f>
        <v>9.5595032130992269E-2</v>
      </c>
      <c r="I32">
        <f t="array" ref="I32">SQRT(SUM(($D32:$E32-$N$9:$O$9)^2))</f>
        <v>3.3246525450062241</v>
      </c>
      <c r="J32">
        <f t="shared" si="3"/>
        <v>9.5595032130992269E-2</v>
      </c>
      <c r="R32">
        <v>1.6</v>
      </c>
      <c r="S32">
        <v>0.2</v>
      </c>
      <c r="T32">
        <f>IF(W32=AA32,1,IF(X32=AA32,2,IF(Y32=AA32,3,4)))</f>
        <v>1</v>
      </c>
    </row>
    <row r="33" spans="1:20" x14ac:dyDescent="0.3">
      <c r="A33">
        <v>1.5</v>
      </c>
      <c r="B33">
        <v>0.4</v>
      </c>
      <c r="C33">
        <f t="shared" si="2"/>
        <v>2</v>
      </c>
      <c r="D33">
        <f t="shared" si="0"/>
        <v>-1.2833890997091637</v>
      </c>
      <c r="E33">
        <f t="shared" si="1"/>
        <v>-1.0521799264271401</v>
      </c>
      <c r="F33">
        <f t="array" ref="F33">SQRT(SUM(($D33:$E33-$N$6:$O$6)^2))</f>
        <v>2.0020733136209397</v>
      </c>
      <c r="G33">
        <f t="array" ref="G33">SQRT(SUM(($D33:$E33-$N$7:$O$7)^2))</f>
        <v>3.4590627622188112E-2</v>
      </c>
      <c r="H33">
        <f t="array" ref="H33">SQRT(SUM(($D33:$E33-$N$8:$O$8)^2))</f>
        <v>0.28500487440937111</v>
      </c>
      <c r="I33">
        <f t="array" ref="I33">SQRT(SUM(($D33:$E33-$N$9:$O$9)^2))</f>
        <v>3.1773584673505213</v>
      </c>
      <c r="J33">
        <f t="shared" si="3"/>
        <v>3.4590627622188112E-2</v>
      </c>
      <c r="R33">
        <v>1.5</v>
      </c>
      <c r="S33">
        <v>0.4</v>
      </c>
      <c r="T33">
        <f>IF(W33=AA33,1,IF(X33=AA33,2,IF(Y33=AA33,3,4)))</f>
        <v>1</v>
      </c>
    </row>
    <row r="34" spans="1:20" x14ac:dyDescent="0.3">
      <c r="A34">
        <v>1.5</v>
      </c>
      <c r="B34">
        <v>0.1</v>
      </c>
      <c r="C34">
        <f t="shared" si="2"/>
        <v>3</v>
      </c>
      <c r="D34">
        <f t="shared" ref="D34:D65" si="7">(A34-M$2)/M$3</f>
        <v>-1.2833890997091637</v>
      </c>
      <c r="E34">
        <f t="shared" ref="E34:E65" si="8">(B34-N$2)/N$3</f>
        <v>-1.4470764792980431</v>
      </c>
      <c r="F34">
        <f t="array" ref="F34">SQRT(SUM(($D34:$E34-$N$6:$O$6)^2))</f>
        <v>2.2640430899852451</v>
      </c>
      <c r="G34">
        <f t="array" ref="G34">SQRT(SUM(($D34:$E34-$N$7:$O$7)^2))</f>
        <v>0.36214534523733044</v>
      </c>
      <c r="H34">
        <f t="array" ref="H34">SQRT(SUM(($D34:$E34-$N$8:$O$8)^2))</f>
        <v>0.11814450905125368</v>
      </c>
      <c r="I34">
        <f t="array" ref="I34">SQRT(SUM(($D34:$E34-$N$9:$O$9)^2))</f>
        <v>3.4602635617325173</v>
      </c>
      <c r="J34">
        <f t="shared" si="3"/>
        <v>0.11814450905125368</v>
      </c>
      <c r="M34" s="1"/>
      <c r="R34">
        <v>1.5</v>
      </c>
      <c r="S34">
        <v>0.1</v>
      </c>
      <c r="T34">
        <f>IF(W34=AA34,1,IF(X34=AA34,2,IF(Y34=AA34,3,4)))</f>
        <v>1</v>
      </c>
    </row>
    <row r="35" spans="1:20" x14ac:dyDescent="0.3">
      <c r="A35">
        <v>1.4</v>
      </c>
      <c r="B35">
        <v>0.2</v>
      </c>
      <c r="C35">
        <f t="shared" si="2"/>
        <v>3</v>
      </c>
      <c r="D35">
        <f t="shared" si="7"/>
        <v>-1.3402265266227671</v>
      </c>
      <c r="E35">
        <f t="shared" si="8"/>
        <v>-1.3154442950077423</v>
      </c>
      <c r="F35">
        <f t="array" ref="F35">SQRT(SUM(($D35:$E35-$N$6:$O$6)^2))</f>
        <v>2.2141805413790405</v>
      </c>
      <c r="G35">
        <f t="array" ref="G35">SQRT(SUM(($D35:$E35-$N$7:$O$7)^2))</f>
        <v>0.24004069520057075</v>
      </c>
      <c r="H35">
        <f t="array" ref="H35">SQRT(SUM(($D35:$E35-$N$8:$O$8)^2))</f>
        <v>2.7877121696231816E-2</v>
      </c>
      <c r="I35">
        <f t="array" ref="I35">SQRT(SUM(($D35:$E35-$N$9:$O$9)^2))</f>
        <v>3.4027647713269267</v>
      </c>
      <c r="J35">
        <f t="shared" si="3"/>
        <v>2.7877121696231816E-2</v>
      </c>
      <c r="R35">
        <v>1.4</v>
      </c>
      <c r="S35">
        <v>0.2</v>
      </c>
      <c r="T35">
        <f>IF(W35=AA35,1,IF(X35=AA35,2,IF(Y35=AA35,3,4)))</f>
        <v>1</v>
      </c>
    </row>
    <row r="36" spans="1:20" x14ac:dyDescent="0.3">
      <c r="A36">
        <v>1.5</v>
      </c>
      <c r="B36">
        <v>0.2</v>
      </c>
      <c r="C36">
        <f t="shared" si="2"/>
        <v>3</v>
      </c>
      <c r="D36">
        <f t="shared" si="7"/>
        <v>-1.2833890997091637</v>
      </c>
      <c r="E36">
        <f t="shared" si="8"/>
        <v>-1.3154442950077423</v>
      </c>
      <c r="F36">
        <f t="array" ref="F36">SQRT(SUM(($D36:$E36-$N$6:$O$6)^2))</f>
        <v>2.1722582403332242</v>
      </c>
      <c r="G36">
        <f t="array" ref="G36">SQRT(SUM(($D36:$E36-$N$7:$O$7)^2))</f>
        <v>0.23060270454269263</v>
      </c>
      <c r="H36">
        <f t="array" ref="H36">SQRT(SUM(($D36:$E36-$N$8:$O$8)^2))</f>
        <v>4.1560545508171273E-2</v>
      </c>
      <c r="I36">
        <f t="array" ref="I36">SQRT(SUM(($D36:$E36-$N$9:$O$9)^2))</f>
        <v>3.3634551913028097</v>
      </c>
      <c r="J36">
        <f t="shared" si="3"/>
        <v>4.1560545508171273E-2</v>
      </c>
      <c r="R36">
        <v>1.5</v>
      </c>
      <c r="S36">
        <v>0.2</v>
      </c>
      <c r="T36">
        <f>IF(W36=AA36,1,IF(X36=AA36,2,IF(Y36=AA36,3,4)))</f>
        <v>1</v>
      </c>
    </row>
    <row r="37" spans="1:20" x14ac:dyDescent="0.3">
      <c r="A37">
        <v>1.2</v>
      </c>
      <c r="B37">
        <v>0.2</v>
      </c>
      <c r="C37">
        <f t="shared" si="2"/>
        <v>3</v>
      </c>
      <c r="D37">
        <f t="shared" si="7"/>
        <v>-1.4539013804499734</v>
      </c>
      <c r="E37">
        <f t="shared" si="8"/>
        <v>-1.3154442950077423</v>
      </c>
      <c r="F37">
        <f t="array" ref="F37">SQRT(SUM(($D37:$E37-$N$6:$O$6)^2))</f>
        <v>2.2999473130188233</v>
      </c>
      <c r="G37">
        <f t="array" ref="G37">SQRT(SUM(($D37:$E37-$N$7:$O$7)^2))</f>
        <v>0.29306373020431281</v>
      </c>
      <c r="H37">
        <f t="array" ref="H37">SQRT(SUM(($D37:$E37-$N$8:$O$8)^2))</f>
        <v>0.13512883646831686</v>
      </c>
      <c r="I37">
        <f t="array" ref="I37">SQRT(SUM(($D37:$E37-$N$9:$O$9)^2))</f>
        <v>3.4828358528268448</v>
      </c>
      <c r="J37">
        <f t="shared" si="3"/>
        <v>0.13512883646831686</v>
      </c>
      <c r="R37">
        <v>1.2</v>
      </c>
      <c r="S37">
        <v>0.2</v>
      </c>
      <c r="T37">
        <f>IF(W37=AA37,1,IF(X37=AA37,2,IF(Y37=AA37,3,4)))</f>
        <v>1</v>
      </c>
    </row>
    <row r="38" spans="1:20" x14ac:dyDescent="0.3">
      <c r="A38">
        <v>1.3</v>
      </c>
      <c r="B38">
        <v>0.2</v>
      </c>
      <c r="C38">
        <f t="shared" si="2"/>
        <v>3</v>
      </c>
      <c r="D38">
        <f t="shared" si="7"/>
        <v>-1.3970639535363705</v>
      </c>
      <c r="E38">
        <f t="shared" si="8"/>
        <v>-1.3154442950077423</v>
      </c>
      <c r="F38">
        <f t="array" ref="F38">SQRT(SUM(($D38:$E38-$N$6:$O$6)^2))</f>
        <v>2.2567556498530994</v>
      </c>
      <c r="G38">
        <f t="array" ref="G38">SQRT(SUM(($D38:$E38-$N$7:$O$7)^2))</f>
        <v>0.26176793072998966</v>
      </c>
      <c r="H38">
        <f t="array" ref="H38">SQRT(SUM(($D38:$E38-$N$8:$O$8)^2))</f>
        <v>7.9296753284826701E-2</v>
      </c>
      <c r="I38">
        <f t="array" ref="I38">SQRT(SUM(($D38:$E38-$N$9:$O$9)^2))</f>
        <v>3.4425639195607811</v>
      </c>
      <c r="J38">
        <f t="shared" si="3"/>
        <v>7.9296753284826701E-2</v>
      </c>
      <c r="R38">
        <v>1.3</v>
      </c>
      <c r="S38">
        <v>0.2</v>
      </c>
      <c r="T38">
        <f>IF(W38=AA38,1,IF(X38=AA38,2,IF(Y38=AA38,3,4)))</f>
        <v>1</v>
      </c>
    </row>
    <row r="39" spans="1:20" x14ac:dyDescent="0.3">
      <c r="A39">
        <v>1.4</v>
      </c>
      <c r="B39">
        <v>0.1</v>
      </c>
      <c r="C39">
        <f t="shared" si="2"/>
        <v>3</v>
      </c>
      <c r="D39">
        <f t="shared" si="7"/>
        <v>-1.3402265266227671</v>
      </c>
      <c r="E39">
        <f t="shared" si="8"/>
        <v>-1.4470764792980431</v>
      </c>
      <c r="F39">
        <f t="array" ref="F39">SQRT(SUM(($D39:$E39-$N$6:$O$6)^2))</f>
        <v>2.304296144256619</v>
      </c>
      <c r="G39">
        <f t="array" ref="G39">SQRT(SUM(($D39:$E39-$N$7:$O$7)^2))</f>
        <v>0.36822707543991684</v>
      </c>
      <c r="H39">
        <f t="array" ref="H39">SQRT(SUM(($D39:$E39-$N$8:$O$8)^2))</f>
        <v>0.11405253171276605</v>
      </c>
      <c r="I39">
        <f t="array" ref="I39">SQRT(SUM(($D39:$E39-$N$9:$O$9)^2))</f>
        <v>3.498485555456186</v>
      </c>
      <c r="J39">
        <f t="shared" si="3"/>
        <v>0.11405253171276605</v>
      </c>
      <c r="R39">
        <v>1.4</v>
      </c>
      <c r="S39">
        <v>0.1</v>
      </c>
      <c r="T39">
        <f>IF(W39=AA39,1,IF(X39=AA39,2,IF(Y39=AA39,3,4)))</f>
        <v>1</v>
      </c>
    </row>
    <row r="40" spans="1:20" x14ac:dyDescent="0.3">
      <c r="A40">
        <v>1.3</v>
      </c>
      <c r="B40">
        <v>0.2</v>
      </c>
      <c r="C40">
        <f t="shared" si="2"/>
        <v>3</v>
      </c>
      <c r="D40">
        <f t="shared" si="7"/>
        <v>-1.3970639535363705</v>
      </c>
      <c r="E40">
        <f t="shared" si="8"/>
        <v>-1.3154442950077423</v>
      </c>
      <c r="F40">
        <f t="array" ref="F40">SQRT(SUM(($D40:$E40-$N$6:$O$6)^2))</f>
        <v>2.2567556498530994</v>
      </c>
      <c r="G40">
        <f t="array" ref="G40">SQRT(SUM(($D40:$E40-$N$7:$O$7)^2))</f>
        <v>0.26176793072998966</v>
      </c>
      <c r="H40">
        <f t="array" ref="H40">SQRT(SUM(($D40:$E40-$N$8:$O$8)^2))</f>
        <v>7.9296753284826701E-2</v>
      </c>
      <c r="I40">
        <f t="array" ref="I40">SQRT(SUM(($D40:$E40-$N$9:$O$9)^2))</f>
        <v>3.4425639195607811</v>
      </c>
      <c r="J40">
        <f t="shared" si="3"/>
        <v>7.9296753284826701E-2</v>
      </c>
      <c r="R40">
        <v>1.3</v>
      </c>
      <c r="S40">
        <v>0.2</v>
      </c>
      <c r="T40">
        <f>IF(W40=AA40,1,IF(X40=AA40,2,IF(Y40=AA40,3,4)))</f>
        <v>1</v>
      </c>
    </row>
    <row r="41" spans="1:20" x14ac:dyDescent="0.3">
      <c r="A41">
        <v>1.5</v>
      </c>
      <c r="B41">
        <v>0.2</v>
      </c>
      <c r="C41">
        <f t="shared" si="2"/>
        <v>3</v>
      </c>
      <c r="D41">
        <f t="shared" si="7"/>
        <v>-1.2833890997091637</v>
      </c>
      <c r="E41">
        <f t="shared" si="8"/>
        <v>-1.3154442950077423</v>
      </c>
      <c r="F41">
        <f t="array" ref="F41">SQRT(SUM(($D41:$E41-$N$6:$O$6)^2))</f>
        <v>2.1722582403332242</v>
      </c>
      <c r="G41">
        <f t="array" ref="G41">SQRT(SUM(($D41:$E41-$N$7:$O$7)^2))</f>
        <v>0.23060270454269263</v>
      </c>
      <c r="H41">
        <f t="array" ref="H41">SQRT(SUM(($D41:$E41-$N$8:$O$8)^2))</f>
        <v>4.1560545508171273E-2</v>
      </c>
      <c r="I41">
        <f t="array" ref="I41">SQRT(SUM(($D41:$E41-$N$9:$O$9)^2))</f>
        <v>3.3634551913028097</v>
      </c>
      <c r="J41">
        <f t="shared" si="3"/>
        <v>4.1560545508171273E-2</v>
      </c>
      <c r="R41">
        <v>1.5</v>
      </c>
      <c r="S41">
        <v>0.2</v>
      </c>
      <c r="T41">
        <f>IF(W41=AA41,1,IF(X41=AA41,2,IF(Y41=AA41,3,4)))</f>
        <v>1</v>
      </c>
    </row>
    <row r="42" spans="1:20" x14ac:dyDescent="0.3">
      <c r="A42">
        <v>1.3</v>
      </c>
      <c r="B42">
        <v>0.3</v>
      </c>
      <c r="C42">
        <f t="shared" si="2"/>
        <v>2</v>
      </c>
      <c r="D42">
        <f t="shared" si="7"/>
        <v>-1.3970639535363705</v>
      </c>
      <c r="E42">
        <f t="shared" si="8"/>
        <v>-1.1838121107174411</v>
      </c>
      <c r="F42">
        <f t="array" ref="F42">SQRT(SUM(($D42:$E42-$N$6:$O$6)^2))</f>
        <v>2.1726515773155195</v>
      </c>
      <c r="G42">
        <f t="array" ref="G42">SQRT(SUM(($D42:$E42-$N$7:$O$7)^2))</f>
        <v>0.15876041605536023</v>
      </c>
      <c r="H42">
        <f t="array" ref="H42">SQRT(SUM(($D42:$E42-$N$8:$O$8)^2))</f>
        <v>0.16944377500386737</v>
      </c>
      <c r="I42">
        <f t="array" ref="I42">SQRT(SUM(($D42:$E42-$N$9:$O$9)^2))</f>
        <v>3.3504189755001939</v>
      </c>
      <c r="J42">
        <f t="shared" si="3"/>
        <v>0.15876041605536023</v>
      </c>
      <c r="R42">
        <v>1.3</v>
      </c>
      <c r="S42">
        <v>0.3</v>
      </c>
      <c r="T42">
        <f>IF(W42=AA42,1,IF(X42=AA42,2,IF(Y42=AA42,3,4)))</f>
        <v>1</v>
      </c>
    </row>
    <row r="43" spans="1:20" x14ac:dyDescent="0.3">
      <c r="A43">
        <v>1.3</v>
      </c>
      <c r="B43">
        <v>0.3</v>
      </c>
      <c r="C43">
        <f t="shared" si="2"/>
        <v>2</v>
      </c>
      <c r="D43">
        <f t="shared" si="7"/>
        <v>-1.3970639535363705</v>
      </c>
      <c r="E43">
        <f t="shared" si="8"/>
        <v>-1.1838121107174411</v>
      </c>
      <c r="F43">
        <f t="array" ref="F43">SQRT(SUM(($D43:$E43-$N$6:$O$6)^2))</f>
        <v>2.1726515773155195</v>
      </c>
      <c r="G43">
        <f t="array" ref="G43">SQRT(SUM(($D43:$E43-$N$7:$O$7)^2))</f>
        <v>0.15876041605536023</v>
      </c>
      <c r="H43">
        <f t="array" ref="H43">SQRT(SUM(($D43:$E43-$N$8:$O$8)^2))</f>
        <v>0.16944377500386737</v>
      </c>
      <c r="I43">
        <f t="array" ref="I43">SQRT(SUM(($D43:$E43-$N$9:$O$9)^2))</f>
        <v>3.3504189755001939</v>
      </c>
      <c r="J43">
        <f t="shared" si="3"/>
        <v>0.15876041605536023</v>
      </c>
      <c r="R43">
        <v>1.3</v>
      </c>
      <c r="S43">
        <v>0.3</v>
      </c>
      <c r="T43">
        <f>IF(W43=AA43,1,IF(X43=AA43,2,IF(Y43=AA43,3,4)))</f>
        <v>1</v>
      </c>
    </row>
    <row r="44" spans="1:20" x14ac:dyDescent="0.3">
      <c r="A44">
        <v>1.3</v>
      </c>
      <c r="B44">
        <v>0.2</v>
      </c>
      <c r="C44">
        <f t="shared" si="2"/>
        <v>3</v>
      </c>
      <c r="D44">
        <f t="shared" si="7"/>
        <v>-1.3970639535363705</v>
      </c>
      <c r="E44">
        <f t="shared" si="8"/>
        <v>-1.3154442950077423</v>
      </c>
      <c r="F44">
        <f t="array" ref="F44">SQRT(SUM(($D44:$E44-$N$6:$O$6)^2))</f>
        <v>2.2567556498530994</v>
      </c>
      <c r="G44">
        <f t="array" ref="G44">SQRT(SUM(($D44:$E44-$N$7:$O$7)^2))</f>
        <v>0.26176793072998966</v>
      </c>
      <c r="H44">
        <f t="array" ref="H44">SQRT(SUM(($D44:$E44-$N$8:$O$8)^2))</f>
        <v>7.9296753284826701E-2</v>
      </c>
      <c r="I44">
        <f t="array" ref="I44">SQRT(SUM(($D44:$E44-$N$9:$O$9)^2))</f>
        <v>3.4425639195607811</v>
      </c>
      <c r="J44">
        <f t="shared" si="3"/>
        <v>7.9296753284826701E-2</v>
      </c>
      <c r="R44">
        <v>1.3</v>
      </c>
      <c r="S44">
        <v>0.2</v>
      </c>
      <c r="T44">
        <f>IF(W44=AA44,1,IF(X44=AA44,2,IF(Y44=AA44,3,4)))</f>
        <v>1</v>
      </c>
    </row>
    <row r="45" spans="1:20" x14ac:dyDescent="0.3">
      <c r="A45">
        <v>1.6</v>
      </c>
      <c r="B45">
        <v>0.6</v>
      </c>
      <c r="C45">
        <f t="shared" si="2"/>
        <v>2</v>
      </c>
      <c r="D45">
        <f t="shared" si="7"/>
        <v>-1.2265516727955603</v>
      </c>
      <c r="E45">
        <f t="shared" si="8"/>
        <v>-0.78891555784653822</v>
      </c>
      <c r="F45">
        <f t="array" ref="F45">SQRT(SUM(($D45:$E45-$N$6:$O$6)^2))</f>
        <v>1.8052913554684968</v>
      </c>
      <c r="G45">
        <f t="array" ref="G45">SQRT(SUM(($D45:$E45-$N$7:$O$7)^2))</f>
        <v>0.29975111244301494</v>
      </c>
      <c r="H45">
        <f t="array" ref="H45">SQRT(SUM(($D45:$E45-$N$8:$O$8)^2))</f>
        <v>0.55385527413281954</v>
      </c>
      <c r="I45">
        <f t="array" ref="I45">SQRT(SUM(($D45:$E45-$N$9:$O$9)^2))</f>
        <v>2.9593044474722641</v>
      </c>
      <c r="J45">
        <f t="shared" si="3"/>
        <v>0.29975111244301494</v>
      </c>
      <c r="R45">
        <v>1.6</v>
      </c>
      <c r="S45">
        <v>0.6</v>
      </c>
      <c r="T45">
        <f>IF(W45=AA45,1,IF(X45=AA45,2,IF(Y45=AA45,3,4)))</f>
        <v>1</v>
      </c>
    </row>
    <row r="46" spans="1:20" x14ac:dyDescent="0.3">
      <c r="A46">
        <v>1.9</v>
      </c>
      <c r="B46">
        <v>0.4</v>
      </c>
      <c r="C46">
        <f t="shared" si="2"/>
        <v>2</v>
      </c>
      <c r="D46">
        <f t="shared" si="7"/>
        <v>-1.0560393920547506</v>
      </c>
      <c r="E46">
        <f t="shared" si="8"/>
        <v>-1.0521799264271401</v>
      </c>
      <c r="F46">
        <f t="array" ref="F46">SQRT(SUM(($D46:$E46-$N$6:$O$6)^2))</f>
        <v>1.8268412592703214</v>
      </c>
      <c r="G46">
        <f t="array" ref="G46">SQRT(SUM(($D46:$E46-$N$7:$O$7)^2))</f>
        <v>0.21917723751020571</v>
      </c>
      <c r="H46">
        <f t="array" ref="H46">SQRT(SUM(($D46:$E46-$N$8:$O$8)^2))</f>
        <v>0.38683099735642479</v>
      </c>
      <c r="I46">
        <f t="array" ref="I46">SQRT(SUM(($D46:$E46-$N$9:$O$9)^2))</f>
        <v>3.0160085596165249</v>
      </c>
      <c r="J46">
        <f t="shared" si="3"/>
        <v>0.21917723751020571</v>
      </c>
      <c r="R46">
        <v>1.9</v>
      </c>
      <c r="S46">
        <v>0.4</v>
      </c>
      <c r="T46">
        <f>IF(W46=AA46,1,IF(X46=AA46,2,IF(Y46=AA46,3,4)))</f>
        <v>1</v>
      </c>
    </row>
    <row r="47" spans="1:20" x14ac:dyDescent="0.3">
      <c r="A47">
        <v>1.4</v>
      </c>
      <c r="B47">
        <v>0.3</v>
      </c>
      <c r="C47">
        <f t="shared" si="2"/>
        <v>2</v>
      </c>
      <c r="D47">
        <f t="shared" si="7"/>
        <v>-1.3402265266227671</v>
      </c>
      <c r="E47">
        <f t="shared" si="8"/>
        <v>-1.1838121107174411</v>
      </c>
      <c r="F47">
        <f t="array" ref="F47">SQRT(SUM(($D47:$E47-$N$6:$O$6)^2))</f>
        <v>2.1283947667407266</v>
      </c>
      <c r="G47">
        <f t="array" ref="G47">SQRT(SUM(($D47:$E47-$N$7:$O$7)^2))</f>
        <v>0.11959078350685619</v>
      </c>
      <c r="H47">
        <f t="array" ref="H47">SQRT(SUM(($D47:$E47-$N$8:$O$8)^2))</f>
        <v>0.15231661669073757</v>
      </c>
      <c r="I47">
        <f t="array" ref="I47">SQRT(SUM(($D47:$E47-$N$9:$O$9)^2))</f>
        <v>3.3095119066281775</v>
      </c>
      <c r="J47">
        <f t="shared" si="3"/>
        <v>0.11959078350685619</v>
      </c>
      <c r="R47">
        <v>1.4</v>
      </c>
      <c r="S47">
        <v>0.3</v>
      </c>
      <c r="T47">
        <f>IF(W47=AA47,1,IF(X47=AA47,2,IF(Y47=AA47,3,4)))</f>
        <v>1</v>
      </c>
    </row>
    <row r="48" spans="1:20" x14ac:dyDescent="0.3">
      <c r="A48">
        <v>1.6</v>
      </c>
      <c r="B48">
        <v>0.2</v>
      </c>
      <c r="C48">
        <f t="shared" si="2"/>
        <v>3</v>
      </c>
      <c r="D48">
        <f t="shared" si="7"/>
        <v>-1.2265516727955603</v>
      </c>
      <c r="E48">
        <f t="shared" si="8"/>
        <v>-1.3154442950077423</v>
      </c>
      <c r="F48">
        <f t="array" ref="F48">SQRT(SUM(($D48:$E48-$N$6:$O$6)^2))</f>
        <v>2.1310272738202882</v>
      </c>
      <c r="G48">
        <f t="array" ref="G48">SQRT(SUM(($D48:$E48-$N$7:$O$7)^2))</f>
        <v>0.23493970615618356</v>
      </c>
      <c r="H48">
        <f t="array" ref="H48">SQRT(SUM(($D48:$E48-$N$8:$O$8)^2))</f>
        <v>9.5595032130992269E-2</v>
      </c>
      <c r="I48">
        <f t="array" ref="I48">SQRT(SUM(($D48:$E48-$N$9:$O$9)^2))</f>
        <v>3.3246525450062241</v>
      </c>
      <c r="J48">
        <f t="shared" si="3"/>
        <v>9.5595032130992269E-2</v>
      </c>
      <c r="R48">
        <v>1.6</v>
      </c>
      <c r="S48">
        <v>0.2</v>
      </c>
      <c r="T48">
        <f>IF(W48=AA48,1,IF(X48=AA48,2,IF(Y48=AA48,3,4)))</f>
        <v>1</v>
      </c>
    </row>
    <row r="49" spans="1:20" x14ac:dyDescent="0.3">
      <c r="A49">
        <v>1.4</v>
      </c>
      <c r="B49">
        <v>0.2</v>
      </c>
      <c r="C49">
        <f t="shared" si="2"/>
        <v>3</v>
      </c>
      <c r="D49">
        <f t="shared" si="7"/>
        <v>-1.3402265266227671</v>
      </c>
      <c r="E49">
        <f t="shared" si="8"/>
        <v>-1.3154442950077423</v>
      </c>
      <c r="F49">
        <f t="array" ref="F49">SQRT(SUM(($D49:$E49-$N$6:$O$6)^2))</f>
        <v>2.2141805413790405</v>
      </c>
      <c r="G49">
        <f t="array" ref="G49">SQRT(SUM(($D49:$E49-$N$7:$O$7)^2))</f>
        <v>0.24004069520057075</v>
      </c>
      <c r="H49">
        <f t="array" ref="H49">SQRT(SUM(($D49:$E49-$N$8:$O$8)^2))</f>
        <v>2.7877121696231816E-2</v>
      </c>
      <c r="I49">
        <f t="array" ref="I49">SQRT(SUM(($D49:$E49-$N$9:$O$9)^2))</f>
        <v>3.4027647713269267</v>
      </c>
      <c r="J49">
        <f t="shared" si="3"/>
        <v>2.7877121696231816E-2</v>
      </c>
      <c r="R49">
        <v>1.4</v>
      </c>
      <c r="S49">
        <v>0.2</v>
      </c>
      <c r="T49">
        <f>IF(W49=AA49,1,IF(X49=AA49,2,IF(Y49=AA49,3,4)))</f>
        <v>1</v>
      </c>
    </row>
    <row r="50" spans="1:20" x14ac:dyDescent="0.3">
      <c r="A50">
        <v>1.5</v>
      </c>
      <c r="B50">
        <v>0.2</v>
      </c>
      <c r="C50">
        <f t="shared" si="2"/>
        <v>3</v>
      </c>
      <c r="D50">
        <f t="shared" si="7"/>
        <v>-1.2833890997091637</v>
      </c>
      <c r="E50">
        <f t="shared" si="8"/>
        <v>-1.3154442950077423</v>
      </c>
      <c r="F50">
        <f t="array" ref="F50">SQRT(SUM(($D50:$E50-$N$6:$O$6)^2))</f>
        <v>2.1722582403332242</v>
      </c>
      <c r="G50">
        <f t="array" ref="G50">SQRT(SUM(($D50:$E50-$N$7:$O$7)^2))</f>
        <v>0.23060270454269263</v>
      </c>
      <c r="H50">
        <f t="array" ref="H50">SQRT(SUM(($D50:$E50-$N$8:$O$8)^2))</f>
        <v>4.1560545508171273E-2</v>
      </c>
      <c r="I50">
        <f t="array" ref="I50">SQRT(SUM(($D50:$E50-$N$9:$O$9)^2))</f>
        <v>3.3634551913028097</v>
      </c>
      <c r="J50">
        <f t="shared" si="3"/>
        <v>4.1560545508171273E-2</v>
      </c>
      <c r="R50">
        <v>1.5</v>
      </c>
      <c r="S50">
        <v>0.2</v>
      </c>
      <c r="T50">
        <f>IF(W50=AA50,1,IF(X50=AA50,2,IF(Y50=AA50,3,4)))</f>
        <v>1</v>
      </c>
    </row>
    <row r="51" spans="1:20" x14ac:dyDescent="0.3">
      <c r="A51">
        <v>1.4</v>
      </c>
      <c r="B51">
        <v>0.2</v>
      </c>
      <c r="C51">
        <f t="shared" si="2"/>
        <v>3</v>
      </c>
      <c r="D51">
        <f t="shared" si="7"/>
        <v>-1.3402265266227671</v>
      </c>
      <c r="E51">
        <f t="shared" si="8"/>
        <v>-1.3154442950077423</v>
      </c>
      <c r="F51">
        <f t="array" ref="F51">SQRT(SUM(($D51:$E51-$N$6:$O$6)^2))</f>
        <v>2.2141805413790405</v>
      </c>
      <c r="G51">
        <f t="array" ref="G51">SQRT(SUM(($D51:$E51-$N$7:$O$7)^2))</f>
        <v>0.24004069520057075</v>
      </c>
      <c r="H51">
        <f t="array" ref="H51">SQRT(SUM(($D51:$E51-$N$8:$O$8)^2))</f>
        <v>2.7877121696231816E-2</v>
      </c>
      <c r="I51">
        <f t="array" ref="I51">SQRT(SUM(($D51:$E51-$N$9:$O$9)^2))</f>
        <v>3.4027647713269267</v>
      </c>
      <c r="J51">
        <f t="shared" si="3"/>
        <v>2.7877121696231816E-2</v>
      </c>
      <c r="R51">
        <v>1.4</v>
      </c>
      <c r="S51">
        <v>0.2</v>
      </c>
      <c r="T51">
        <f>IF(W51=AA51,1,IF(X51=AA51,2,IF(Y51=AA51,3,4)))</f>
        <v>1</v>
      </c>
    </row>
    <row r="52" spans="1:20" x14ac:dyDescent="0.3">
      <c r="A52">
        <v>4.7</v>
      </c>
      <c r="B52">
        <v>1.4</v>
      </c>
      <c r="C52">
        <f t="shared" si="2"/>
        <v>1</v>
      </c>
      <c r="D52">
        <f t="shared" si="7"/>
        <v>0.53540856152614158</v>
      </c>
      <c r="E52">
        <f t="shared" si="8"/>
        <v>0.2641419164758696</v>
      </c>
      <c r="F52">
        <f t="array" ref="F52">SQRT(SUM(($D52:$E52-$N$6:$O$6)^2))</f>
        <v>0.24986620769860102</v>
      </c>
      <c r="G52">
        <f t="array" ref="G52">SQRT(SUM(($D52:$E52-$N$7:$O$7)^2))</f>
        <v>2.2560571536787708</v>
      </c>
      <c r="H52">
        <f t="array" ref="H52">SQRT(SUM(($D52:$E52-$N$8:$O$8)^2))</f>
        <v>2.4494447251187714</v>
      </c>
      <c r="I52">
        <f t="array" ref="I52">SQRT(SUM(($D52:$E52-$N$9:$O$9)^2))</f>
        <v>0.99441385887309774</v>
      </c>
      <c r="J52">
        <f t="shared" si="3"/>
        <v>0.24986620769860102</v>
      </c>
      <c r="R52">
        <v>4.7</v>
      </c>
      <c r="S52">
        <v>1.4</v>
      </c>
      <c r="T52">
        <f>IF(W52=AA52,1,IF(X52=AA52,2,IF(Y52=AA52,3,4)))</f>
        <v>1</v>
      </c>
    </row>
    <row r="53" spans="1:20" x14ac:dyDescent="0.3">
      <c r="A53">
        <v>4.5</v>
      </c>
      <c r="B53">
        <v>1.5</v>
      </c>
      <c r="C53">
        <f t="shared" si="2"/>
        <v>1</v>
      </c>
      <c r="D53">
        <f t="shared" si="7"/>
        <v>0.42173370769893487</v>
      </c>
      <c r="E53">
        <f t="shared" si="8"/>
        <v>0.3957741007661707</v>
      </c>
      <c r="F53">
        <f t="array" ref="F53">SQRT(SUM(($D53:$E53-$N$6:$O$6)^2))</f>
        <v>0.25785225515046617</v>
      </c>
      <c r="G53">
        <f t="array" ref="G53">SQRT(SUM(($D53:$E53-$N$7:$O$7)^2))</f>
        <v>2.2503703679726375</v>
      </c>
      <c r="H53">
        <f t="array" ref="H53">SQRT(SUM(($D53:$E53-$N$8:$O$8)^2))</f>
        <v>2.4554244084021972</v>
      </c>
      <c r="I53">
        <f t="array" ref="I53">SQRT(SUM(($D53:$E53-$N$9:$O$9)^2))</f>
        <v>0.9506214074116548</v>
      </c>
      <c r="J53">
        <f t="shared" si="3"/>
        <v>0.25785225515046617</v>
      </c>
      <c r="R53">
        <v>4.5</v>
      </c>
      <c r="S53">
        <v>1.5</v>
      </c>
      <c r="T53">
        <f>IF(W53=AA53,1,IF(X53=AA53,2,IF(Y53=AA53,3,4)))</f>
        <v>1</v>
      </c>
    </row>
    <row r="54" spans="1:20" x14ac:dyDescent="0.3">
      <c r="A54">
        <v>4.9000000000000004</v>
      </c>
      <c r="B54">
        <v>1.5</v>
      </c>
      <c r="C54">
        <f t="shared" si="2"/>
        <v>1</v>
      </c>
      <c r="D54">
        <f t="shared" si="7"/>
        <v>0.64908341535334824</v>
      </c>
      <c r="E54">
        <f t="shared" si="8"/>
        <v>0.3957741007661707</v>
      </c>
      <c r="F54">
        <f t="array" ref="F54">SQRT(SUM(($D54:$E54-$N$6:$O$6)^2))</f>
        <v>0.41334920164871752</v>
      </c>
      <c r="G54">
        <f t="array" ref="G54">SQRT(SUM(($D54:$E54-$N$7:$O$7)^2))</f>
        <v>2.426175444301343</v>
      </c>
      <c r="H54">
        <f t="array" ref="H54">SQRT(SUM(($D54:$E54-$N$8:$O$8)^2))</f>
        <v>2.6216097747403508</v>
      </c>
      <c r="I54">
        <f t="array" ref="I54">SQRT(SUM(($D54:$E54-$N$9:$O$9)^2))</f>
        <v>0.82443932792147345</v>
      </c>
      <c r="J54">
        <f t="shared" si="3"/>
        <v>0.41334920164871752</v>
      </c>
      <c r="R54">
        <v>4.9000000000000004</v>
      </c>
      <c r="S54">
        <v>1.5</v>
      </c>
      <c r="T54">
        <f>IF(W54=AA54,1,IF(X54=AA54,2,IF(Y54=AA54,3,4)))</f>
        <v>1</v>
      </c>
    </row>
    <row r="55" spans="1:20" x14ac:dyDescent="0.3">
      <c r="A55">
        <v>4</v>
      </c>
      <c r="B55">
        <v>1.3</v>
      </c>
      <c r="C55">
        <f t="shared" si="2"/>
        <v>1</v>
      </c>
      <c r="D55">
        <f t="shared" si="7"/>
        <v>0.13754657313091845</v>
      </c>
      <c r="E55">
        <f t="shared" si="8"/>
        <v>0.1325097321855688</v>
      </c>
      <c r="F55">
        <f t="array" ref="F55">SQRT(SUM(($D55:$E55-$N$6:$O$6)^2))</f>
        <v>0.17151285027199575</v>
      </c>
      <c r="G55">
        <f t="array" ref="G55">SQRT(SUM(($D55:$E55-$N$7:$O$7)^2))</f>
        <v>1.86317740863078</v>
      </c>
      <c r="H55">
        <f t="array" ref="H55">SQRT(SUM(($D55:$E55-$N$8:$O$8)^2))</f>
        <v>2.0683158191747739</v>
      </c>
      <c r="I55">
        <f t="array" ref="I55">SQRT(SUM(($D55:$E55-$N$9:$O$9)^2))</f>
        <v>1.335613681648177</v>
      </c>
      <c r="J55">
        <f t="shared" si="3"/>
        <v>0.17151285027199575</v>
      </c>
      <c r="R55">
        <v>4</v>
      </c>
      <c r="S55">
        <v>1.3</v>
      </c>
      <c r="T55">
        <f>IF(W55=AA55,1,IF(X55=AA55,2,IF(Y55=AA55,3,4)))</f>
        <v>1</v>
      </c>
    </row>
    <row r="56" spans="1:20" x14ac:dyDescent="0.3">
      <c r="A56">
        <v>4.5999999999999996</v>
      </c>
      <c r="B56">
        <v>1.5</v>
      </c>
      <c r="C56">
        <f t="shared" si="2"/>
        <v>1</v>
      </c>
      <c r="D56">
        <f t="shared" si="7"/>
        <v>0.47857113461253797</v>
      </c>
      <c r="E56">
        <f t="shared" si="8"/>
        <v>0.3957741007661707</v>
      </c>
      <c r="F56">
        <f t="array" ref="F56">SQRT(SUM(($D56:$E56-$N$6:$O$6)^2))</f>
        <v>0.28790406465707663</v>
      </c>
      <c r="G56">
        <f t="array" ref="G56">SQRT(SUM(($D56:$E56-$N$7:$O$7)^2))</f>
        <v>2.2934723536866986</v>
      </c>
      <c r="H56">
        <f t="array" ref="H56">SQRT(SUM(($D56:$E56-$N$8:$O$8)^2))</f>
        <v>2.4960668545718123</v>
      </c>
      <c r="I56">
        <f t="array" ref="I56">SQRT(SUM(($D56:$E56-$N$9:$O$9)^2))</f>
        <v>0.91542032271160112</v>
      </c>
      <c r="J56">
        <f t="shared" si="3"/>
        <v>0.28790406465707663</v>
      </c>
      <c r="R56">
        <v>4.5999999999999996</v>
      </c>
      <c r="S56">
        <v>1.5</v>
      </c>
      <c r="T56">
        <f>IF(W56=AA56,1,IF(X56=AA56,2,IF(Y56=AA56,3,4)))</f>
        <v>1</v>
      </c>
    </row>
    <row r="57" spans="1:20" x14ac:dyDescent="0.3">
      <c r="A57">
        <v>4.5</v>
      </c>
      <c r="B57">
        <v>1.3</v>
      </c>
      <c r="C57">
        <f t="shared" si="2"/>
        <v>1</v>
      </c>
      <c r="D57">
        <f t="shared" si="7"/>
        <v>0.42173370769893487</v>
      </c>
      <c r="E57">
        <f t="shared" si="8"/>
        <v>0.1325097321855688</v>
      </c>
      <c r="F57">
        <f t="array" ref="F57">SQRT(SUM(($D57:$E57-$N$6:$O$6)^2))</f>
        <v>0.12044371989885506</v>
      </c>
      <c r="G57">
        <f t="array" ref="G57">SQRT(SUM(($D57:$E57-$N$7:$O$7)^2))</f>
        <v>2.086566194365</v>
      </c>
      <c r="H57">
        <f t="array" ref="H57">SQRT(SUM(($D57:$E57-$N$8:$O$8)^2))</f>
        <v>2.2775467328855279</v>
      </c>
      <c r="I57">
        <f t="array" ref="I57">SQRT(SUM(($D57:$E57-$N$9:$O$9)^2))</f>
        <v>1.165553794846683</v>
      </c>
      <c r="J57">
        <f t="shared" si="3"/>
        <v>0.12044371989885506</v>
      </c>
      <c r="R57">
        <v>4.5</v>
      </c>
      <c r="S57">
        <v>1.3</v>
      </c>
      <c r="T57">
        <f>IF(W57=AA57,1,IF(X57=AA57,2,IF(Y57=AA57,3,4)))</f>
        <v>1</v>
      </c>
    </row>
    <row r="58" spans="1:20" x14ac:dyDescent="0.3">
      <c r="A58">
        <v>4.7</v>
      </c>
      <c r="B58">
        <v>1.6</v>
      </c>
      <c r="C58">
        <f t="shared" si="2"/>
        <v>1</v>
      </c>
      <c r="D58">
        <f t="shared" si="7"/>
        <v>0.53540856152614158</v>
      </c>
      <c r="E58">
        <f t="shared" si="8"/>
        <v>0.5274062850564718</v>
      </c>
      <c r="F58">
        <f t="array" ref="F58">SQRT(SUM(($D58:$E58-$N$6:$O$6)^2))</f>
        <v>0.42862844671921951</v>
      </c>
      <c r="G58">
        <f t="array" ref="G58">SQRT(SUM(($D58:$E58-$N$7:$O$7)^2))</f>
        <v>2.4227072291161731</v>
      </c>
      <c r="H58">
        <f t="array" ref="H58">SQRT(SUM(($D58:$E58-$N$8:$O$8)^2))</f>
        <v>2.6288738071798075</v>
      </c>
      <c r="I58">
        <f t="array" ref="I58">SQRT(SUM(($D58:$E58-$N$9:$O$9)^2))</f>
        <v>0.77674478564766636</v>
      </c>
      <c r="J58">
        <f t="shared" si="3"/>
        <v>0.42862844671921951</v>
      </c>
      <c r="R58">
        <v>4.7</v>
      </c>
      <c r="S58">
        <v>1.6</v>
      </c>
      <c r="T58">
        <f>IF(W58=AA58,1,IF(X58=AA58,2,IF(Y58=AA58,3,4)))</f>
        <v>1</v>
      </c>
    </row>
    <row r="59" spans="1:20" x14ac:dyDescent="0.3">
      <c r="A59">
        <v>3.3</v>
      </c>
      <c r="B59">
        <v>1</v>
      </c>
      <c r="C59">
        <f t="shared" si="2"/>
        <v>1</v>
      </c>
      <c r="D59">
        <f t="shared" si="7"/>
        <v>-0.26031541526430468</v>
      </c>
      <c r="E59">
        <f t="shared" si="8"/>
        <v>-0.2623868206853342</v>
      </c>
      <c r="F59">
        <f t="array" ref="F59">SQRT(SUM(($D59:$E59-$N$6:$O$6)^2))</f>
        <v>0.70963784343717351</v>
      </c>
      <c r="G59">
        <f t="array" ref="G59">SQRT(SUM(($D59:$E59-$N$7:$O$7)^2))</f>
        <v>1.3045400310495248</v>
      </c>
      <c r="H59">
        <f t="array" ref="H59">SQRT(SUM(($D59:$E59-$N$8:$O$8)^2))</f>
        <v>1.5077659169046838</v>
      </c>
      <c r="I59">
        <f t="array" ref="I59">SQRT(SUM(($D59:$E59-$N$9:$O$9)^2))</f>
        <v>1.8954868107531115</v>
      </c>
      <c r="J59">
        <f t="shared" si="3"/>
        <v>0.70963784343717351</v>
      </c>
      <c r="R59">
        <v>3.3</v>
      </c>
      <c r="S59">
        <v>1</v>
      </c>
      <c r="T59">
        <f>IF(W59=AA59,1,IF(X59=AA59,2,IF(Y59=AA59,3,4)))</f>
        <v>1</v>
      </c>
    </row>
    <row r="60" spans="1:20" x14ac:dyDescent="0.3">
      <c r="A60">
        <v>4.5999999999999996</v>
      </c>
      <c r="B60">
        <v>1.3</v>
      </c>
      <c r="C60">
        <f t="shared" si="2"/>
        <v>1</v>
      </c>
      <c r="D60">
        <f t="shared" si="7"/>
        <v>0.47857113461253797</v>
      </c>
      <c r="E60">
        <f t="shared" si="8"/>
        <v>0.1325097321855688</v>
      </c>
      <c r="F60">
        <f t="array" ref="F60">SQRT(SUM(($D60:$E60-$N$6:$O$6)^2))</f>
        <v>0.17580572977852266</v>
      </c>
      <c r="G60">
        <f t="array" ref="G60">SQRT(SUM(($D60:$E60-$N$7:$O$7)^2))</f>
        <v>2.1329808080577606</v>
      </c>
      <c r="H60">
        <f t="array" ref="H60">SQRT(SUM(($D60:$E60-$N$8:$O$8)^2))</f>
        <v>2.321305632094206</v>
      </c>
      <c r="I60">
        <f t="array" ref="I60">SQRT(SUM(($D60:$E60-$N$9:$O$9)^2))</f>
        <v>1.137026365431163</v>
      </c>
      <c r="J60">
        <f t="shared" si="3"/>
        <v>0.17580572977852266</v>
      </c>
      <c r="R60">
        <v>4.5999999999999996</v>
      </c>
      <c r="S60">
        <v>1.3</v>
      </c>
      <c r="T60">
        <f>IF(W60=AA60,1,IF(X60=AA60,2,IF(Y60=AA60,3,4)))</f>
        <v>1</v>
      </c>
    </row>
    <row r="61" spans="1:20" x14ac:dyDescent="0.3">
      <c r="A61">
        <v>3.9</v>
      </c>
      <c r="B61">
        <v>1.4</v>
      </c>
      <c r="C61">
        <f t="shared" si="2"/>
        <v>1</v>
      </c>
      <c r="D61">
        <f t="shared" si="7"/>
        <v>8.0709146217315106E-2</v>
      </c>
      <c r="E61">
        <f t="shared" si="8"/>
        <v>0.2641419164758696</v>
      </c>
      <c r="F61">
        <f t="array" ref="F61">SQRT(SUM(($D61:$E61-$N$6:$O$6)^2))</f>
        <v>0.2458559049463061</v>
      </c>
      <c r="G61">
        <f t="array" ref="G61">SQRT(SUM(($D61:$E61-$N$7:$O$7)^2))</f>
        <v>1.9110793944743147</v>
      </c>
      <c r="H61">
        <f t="array" ref="H61">SQRT(SUM(($D61:$E61-$N$8:$O$8)^2))</f>
        <v>2.1258112447770658</v>
      </c>
      <c r="I61">
        <f t="array" ref="I61">SQRT(SUM(($D61:$E61-$N$9:$O$9)^2))</f>
        <v>1.2820187949528987</v>
      </c>
      <c r="J61">
        <f t="shared" si="3"/>
        <v>0.2458559049463061</v>
      </c>
      <c r="R61">
        <v>3.9</v>
      </c>
      <c r="S61">
        <v>1.4</v>
      </c>
      <c r="T61">
        <f>IF(W61=AA61,1,IF(X61=AA61,2,IF(Y61=AA61,3,4)))</f>
        <v>1</v>
      </c>
    </row>
    <row r="62" spans="1:20" x14ac:dyDescent="0.3">
      <c r="A62">
        <v>3.5</v>
      </c>
      <c r="B62">
        <v>1</v>
      </c>
      <c r="C62">
        <f t="shared" si="2"/>
        <v>1</v>
      </c>
      <c r="D62">
        <f t="shared" si="7"/>
        <v>-0.146640561437098</v>
      </c>
      <c r="E62">
        <f t="shared" si="8"/>
        <v>-0.2623868206853342</v>
      </c>
      <c r="F62">
        <f t="array" ref="F62">SQRT(SUM(($D62:$E62-$N$6:$O$6)^2))</f>
        <v>0.62272394866634884</v>
      </c>
      <c r="G62">
        <f t="array" ref="G62">SQRT(SUM(($D62:$E62-$N$7:$O$7)^2))</f>
        <v>1.3946036348178557</v>
      </c>
      <c r="H62">
        <f t="array" ref="H62">SQRT(SUM(($D62:$E62-$N$8:$O$8)^2))</f>
        <v>1.5897285340250955</v>
      </c>
      <c r="I62">
        <f t="array" ref="I62">SQRT(SUM(($D62:$E62-$N$9:$O$9)^2))</f>
        <v>1.8201357590113632</v>
      </c>
      <c r="J62">
        <f t="shared" si="3"/>
        <v>0.62272394866634884</v>
      </c>
      <c r="R62">
        <v>3.5</v>
      </c>
      <c r="S62">
        <v>1</v>
      </c>
      <c r="T62">
        <f>IF(W62=AA62,1,IF(X62=AA62,2,IF(Y62=AA62,3,4)))</f>
        <v>1</v>
      </c>
    </row>
    <row r="63" spans="1:20" x14ac:dyDescent="0.3">
      <c r="A63">
        <v>4.2</v>
      </c>
      <c r="B63">
        <v>1.5</v>
      </c>
      <c r="C63">
        <f t="shared" si="2"/>
        <v>1</v>
      </c>
      <c r="D63">
        <f t="shared" si="7"/>
        <v>0.2512214269581251</v>
      </c>
      <c r="E63">
        <f t="shared" si="8"/>
        <v>0.3957741007661707</v>
      </c>
      <c r="F63">
        <f t="array" ref="F63">SQRT(SUM(($D63:$E63-$N$6:$O$6)^2))</f>
        <v>0.2367505180235854</v>
      </c>
      <c r="G63">
        <f t="array" ref="G63">SQRT(SUM(($D63:$E63-$N$7:$O$7)^2))</f>
        <v>2.124943947025312</v>
      </c>
      <c r="H63">
        <f t="array" ref="H63">SQRT(SUM(($D63:$E63-$N$8:$O$8)^2))</f>
        <v>2.3375527354930346</v>
      </c>
      <c r="I63">
        <f t="array" ref="I63">SQRT(SUM(($D63:$E63-$N$9:$O$9)^2))</f>
        <v>1.0674769582501238</v>
      </c>
      <c r="J63">
        <f t="shared" si="3"/>
        <v>0.2367505180235854</v>
      </c>
      <c r="R63">
        <v>4.2</v>
      </c>
      <c r="S63">
        <v>1.5</v>
      </c>
      <c r="T63">
        <f>IF(W63=AA63,1,IF(X63=AA63,2,IF(Y63=AA63,3,4)))</f>
        <v>1</v>
      </c>
    </row>
    <row r="64" spans="1:20" x14ac:dyDescent="0.3">
      <c r="A64">
        <v>4</v>
      </c>
      <c r="B64">
        <v>1</v>
      </c>
      <c r="C64">
        <f t="shared" si="2"/>
        <v>1</v>
      </c>
      <c r="D64">
        <f t="shared" si="7"/>
        <v>0.13754657313091845</v>
      </c>
      <c r="E64">
        <f t="shared" si="8"/>
        <v>-0.2623868206853342</v>
      </c>
      <c r="F64">
        <f t="array" ref="F64">SQRT(SUM(($D64:$E64-$N$6:$O$6)^2))</f>
        <v>0.45972871695087697</v>
      </c>
      <c r="G64">
        <f t="array" ref="G64">SQRT(SUM(($D64:$E64-$N$7:$O$7)^2))</f>
        <v>1.6327042202352344</v>
      </c>
      <c r="H64">
        <f t="array" ref="H64">SQRT(SUM(($D64:$E64-$N$8:$O$8)^2))</f>
        <v>1.8096963694538775</v>
      </c>
      <c r="I64">
        <f t="array" ref="I64">SQRT(SUM(($D64:$E64-$N$9:$O$9)^2))</f>
        <v>1.6510667062234698</v>
      </c>
      <c r="J64">
        <f t="shared" si="3"/>
        <v>0.45972871695087697</v>
      </c>
      <c r="R64">
        <v>4</v>
      </c>
      <c r="S64">
        <v>1</v>
      </c>
      <c r="T64">
        <f>IF(W64=AA64,1,IF(X64=AA64,2,IF(Y64=AA64,3,4)))</f>
        <v>1</v>
      </c>
    </row>
    <row r="65" spans="1:20" x14ac:dyDescent="0.3">
      <c r="A65">
        <v>4.7</v>
      </c>
      <c r="B65">
        <v>1.4</v>
      </c>
      <c r="C65">
        <f t="shared" si="2"/>
        <v>1</v>
      </c>
      <c r="D65">
        <f t="shared" si="7"/>
        <v>0.53540856152614158</v>
      </c>
      <c r="E65">
        <f t="shared" si="8"/>
        <v>0.2641419164758696</v>
      </c>
      <c r="F65">
        <f t="array" ref="F65">SQRT(SUM(($D65:$E65-$N$6:$O$6)^2))</f>
        <v>0.24986620769860102</v>
      </c>
      <c r="G65">
        <f t="array" ref="G65">SQRT(SUM(($D65:$E65-$N$7:$O$7)^2))</f>
        <v>2.2560571536787708</v>
      </c>
      <c r="H65">
        <f t="array" ref="H65">SQRT(SUM(($D65:$E65-$N$8:$O$8)^2))</f>
        <v>2.4494447251187714</v>
      </c>
      <c r="I65">
        <f t="array" ref="I65">SQRT(SUM(($D65:$E65-$N$9:$O$9)^2))</f>
        <v>0.99441385887309774</v>
      </c>
      <c r="J65">
        <f t="shared" si="3"/>
        <v>0.24986620769860102</v>
      </c>
      <c r="R65">
        <v>4.7</v>
      </c>
      <c r="S65">
        <v>1.4</v>
      </c>
      <c r="T65">
        <f>IF(W65=AA65,1,IF(X65=AA65,2,IF(Y65=AA65,3,4)))</f>
        <v>1</v>
      </c>
    </row>
    <row r="66" spans="1:20" x14ac:dyDescent="0.3">
      <c r="A66">
        <v>3.6</v>
      </c>
      <c r="B66">
        <v>1.3</v>
      </c>
      <c r="C66">
        <f t="shared" si="2"/>
        <v>1</v>
      </c>
      <c r="D66">
        <f t="shared" ref="D66:D97" si="9">(A66-M$2)/M$3</f>
        <v>-8.9803134523494657E-2</v>
      </c>
      <c r="E66">
        <f t="shared" ref="E66:E97" si="10">(B66-N$2)/N$3</f>
        <v>0.1325097321855688</v>
      </c>
      <c r="F66">
        <f t="array" ref="F66">SQRT(SUM(($D66:$E66-$N$6:$O$6)^2))</f>
        <v>0.39704204293555007</v>
      </c>
      <c r="G66">
        <f t="array" ref="G66">SQRT(SUM(($D66:$E66-$N$7:$O$7)^2))</f>
        <v>1.697605686140941</v>
      </c>
      <c r="H66">
        <f t="array" ref="H66">SQRT(SUM(($D66:$E66-$N$8:$O$8)^2))</f>
        <v>1.9148882592149357</v>
      </c>
      <c r="I66">
        <f t="array" ref="I66">SQRT(SUM(($D66:$E66-$N$9:$O$9)^2))</f>
        <v>1.4968100295224389</v>
      </c>
      <c r="J66">
        <f t="shared" si="3"/>
        <v>0.39704204293555007</v>
      </c>
      <c r="R66">
        <v>3.6</v>
      </c>
      <c r="S66">
        <v>1.3</v>
      </c>
      <c r="T66">
        <f>IF(W66=AA66,1,IF(X66=AA66,2,IF(Y66=AA66,3,4)))</f>
        <v>1</v>
      </c>
    </row>
    <row r="67" spans="1:20" x14ac:dyDescent="0.3">
      <c r="A67">
        <v>4.4000000000000004</v>
      </c>
      <c r="B67">
        <v>1.4</v>
      </c>
      <c r="C67">
        <f t="shared" ref="C67:C130" si="11">IF(F67=J67,1,IF(G67=J67,2,IF(H67=J67,3,4)))</f>
        <v>1</v>
      </c>
      <c r="D67">
        <f t="shared" si="9"/>
        <v>0.36489628078533176</v>
      </c>
      <c r="E67">
        <f t="shared" si="10"/>
        <v>0.2641419164758696</v>
      </c>
      <c r="F67">
        <f t="array" ref="F67">SQRT(SUM(($D67:$E67-$N$6:$O$6)^2))</f>
        <v>0.1150227232768594</v>
      </c>
      <c r="G67">
        <f t="array" ref="G67">SQRT(SUM(($D67:$E67-$N$7:$O$7)^2))</f>
        <v>2.1218501239336987</v>
      </c>
      <c r="H67">
        <f t="array" ref="H67">SQRT(SUM(($D67:$E67-$N$8:$O$8)^2))</f>
        <v>2.3229415210176843</v>
      </c>
      <c r="I67">
        <f t="array" ref="I67">SQRT(SUM(($D67:$E67-$N$9:$O$9)^2))</f>
        <v>1.088999082509529</v>
      </c>
      <c r="J67">
        <f t="shared" ref="J67:J130" si="12">MIN(F67:I67)</f>
        <v>0.1150227232768594</v>
      </c>
      <c r="R67">
        <v>4.4000000000000004</v>
      </c>
      <c r="S67">
        <v>1.4</v>
      </c>
      <c r="T67">
        <f>IF(W67=AA67,1,IF(X67=AA67,2,IF(Y67=AA67,3,4)))</f>
        <v>1</v>
      </c>
    </row>
    <row r="68" spans="1:20" x14ac:dyDescent="0.3">
      <c r="A68">
        <v>4.5</v>
      </c>
      <c r="B68">
        <v>1.5</v>
      </c>
      <c r="C68">
        <f t="shared" si="11"/>
        <v>1</v>
      </c>
      <c r="D68">
        <f t="shared" si="9"/>
        <v>0.42173370769893487</v>
      </c>
      <c r="E68">
        <f t="shared" si="10"/>
        <v>0.3957741007661707</v>
      </c>
      <c r="F68">
        <f t="array" ref="F68">SQRT(SUM(($D68:$E68-$N$6:$O$6)^2))</f>
        <v>0.25785225515046617</v>
      </c>
      <c r="G68">
        <f t="array" ref="G68">SQRT(SUM(($D68:$E68-$N$7:$O$7)^2))</f>
        <v>2.2503703679726375</v>
      </c>
      <c r="H68">
        <f t="array" ref="H68">SQRT(SUM(($D68:$E68-$N$8:$O$8)^2))</f>
        <v>2.4554244084021972</v>
      </c>
      <c r="I68">
        <f t="array" ref="I68">SQRT(SUM(($D68:$E68-$N$9:$O$9)^2))</f>
        <v>0.9506214074116548</v>
      </c>
      <c r="J68">
        <f t="shared" si="12"/>
        <v>0.25785225515046617</v>
      </c>
      <c r="R68">
        <v>4.5</v>
      </c>
      <c r="S68">
        <v>1.5</v>
      </c>
      <c r="T68">
        <f>IF(W68=AA68,1,IF(X68=AA68,2,IF(Y68=AA68,3,4)))</f>
        <v>1</v>
      </c>
    </row>
    <row r="69" spans="1:20" x14ac:dyDescent="0.3">
      <c r="A69">
        <v>4.0999999999999996</v>
      </c>
      <c r="B69">
        <v>1</v>
      </c>
      <c r="C69">
        <f t="shared" si="11"/>
        <v>1</v>
      </c>
      <c r="D69">
        <f t="shared" si="9"/>
        <v>0.19438400004452153</v>
      </c>
      <c r="E69">
        <f t="shared" si="10"/>
        <v>-0.2623868206853342</v>
      </c>
      <c r="F69">
        <f t="array" ref="F69">SQRT(SUM(($D69:$E69-$N$6:$O$6)^2))</f>
        <v>0.44209334666741229</v>
      </c>
      <c r="G69">
        <f t="array" ref="G69">SQRT(SUM(($D69:$E69-$N$7:$O$7)^2))</f>
        <v>1.6820424441339921</v>
      </c>
      <c r="H69">
        <f t="array" ref="H69">SQRT(SUM(($D69:$E69-$N$8:$O$8)^2))</f>
        <v>1.8557846684752231</v>
      </c>
      <c r="I69">
        <f t="array" ref="I69">SQRT(SUM(($D69:$E69-$N$9:$O$9)^2))</f>
        <v>1.6211198735510346</v>
      </c>
      <c r="J69">
        <f t="shared" si="12"/>
        <v>0.44209334666741229</v>
      </c>
      <c r="R69">
        <v>4.0999999999999996</v>
      </c>
      <c r="S69">
        <v>1</v>
      </c>
      <c r="T69">
        <f>IF(W69=AA69,1,IF(X69=AA69,2,IF(Y69=AA69,3,4)))</f>
        <v>1</v>
      </c>
    </row>
    <row r="70" spans="1:20" x14ac:dyDescent="0.3">
      <c r="A70">
        <v>4.5</v>
      </c>
      <c r="B70">
        <v>1.5</v>
      </c>
      <c r="C70">
        <f t="shared" si="11"/>
        <v>1</v>
      </c>
      <c r="D70">
        <f t="shared" si="9"/>
        <v>0.42173370769893487</v>
      </c>
      <c r="E70">
        <f t="shared" si="10"/>
        <v>0.3957741007661707</v>
      </c>
      <c r="F70">
        <f t="array" ref="F70">SQRT(SUM(($D70:$E70-$N$6:$O$6)^2))</f>
        <v>0.25785225515046617</v>
      </c>
      <c r="G70">
        <f t="array" ref="G70">SQRT(SUM(($D70:$E70-$N$7:$O$7)^2))</f>
        <v>2.2503703679726375</v>
      </c>
      <c r="H70">
        <f t="array" ref="H70">SQRT(SUM(($D70:$E70-$N$8:$O$8)^2))</f>
        <v>2.4554244084021972</v>
      </c>
      <c r="I70">
        <f t="array" ref="I70">SQRT(SUM(($D70:$E70-$N$9:$O$9)^2))</f>
        <v>0.9506214074116548</v>
      </c>
      <c r="J70">
        <f t="shared" si="12"/>
        <v>0.25785225515046617</v>
      </c>
      <c r="R70">
        <v>4.5</v>
      </c>
      <c r="S70">
        <v>1.5</v>
      </c>
      <c r="T70">
        <f>IF(W70=AA70,1,IF(X70=AA70,2,IF(Y70=AA70,3,4)))</f>
        <v>1</v>
      </c>
    </row>
    <row r="71" spans="1:20" x14ac:dyDescent="0.3">
      <c r="A71">
        <v>3.9</v>
      </c>
      <c r="B71">
        <v>1.1000000000000001</v>
      </c>
      <c r="C71">
        <f t="shared" si="11"/>
        <v>1</v>
      </c>
      <c r="D71">
        <f t="shared" si="9"/>
        <v>8.0709146217315106E-2</v>
      </c>
      <c r="E71">
        <f t="shared" si="10"/>
        <v>-0.13075463639503312</v>
      </c>
      <c r="F71">
        <f t="array" ref="F71">SQRT(SUM(($D71:$E71-$N$6:$O$6)^2))</f>
        <v>0.37204404273100256</v>
      </c>
      <c r="G71">
        <f t="array" ref="G71">SQRT(SUM(($D71:$E71-$N$7:$O$7)^2))</f>
        <v>1.656066204920545</v>
      </c>
      <c r="H71">
        <f t="array" ref="H71">SQRT(SUM(($D71:$E71-$N$8:$O$8)^2))</f>
        <v>1.8472092135273508</v>
      </c>
      <c r="I71">
        <f t="array" ref="I71">SQRT(SUM(($D71:$E71-$N$9:$O$9)^2))</f>
        <v>1.5753626124673921</v>
      </c>
      <c r="J71">
        <f t="shared" si="12"/>
        <v>0.37204404273100256</v>
      </c>
      <c r="R71">
        <v>3.9</v>
      </c>
      <c r="S71">
        <v>1.1000000000000001</v>
      </c>
      <c r="T71">
        <f>IF(W71=AA71,1,IF(X71=AA71,2,IF(Y71=AA71,3,4)))</f>
        <v>1</v>
      </c>
    </row>
    <row r="72" spans="1:20" x14ac:dyDescent="0.3">
      <c r="A72">
        <v>4.8</v>
      </c>
      <c r="B72">
        <v>1.8</v>
      </c>
      <c r="C72">
        <f t="shared" si="11"/>
        <v>4</v>
      </c>
      <c r="D72">
        <f t="shared" si="9"/>
        <v>0.59224598843974463</v>
      </c>
      <c r="E72">
        <f t="shared" si="10"/>
        <v>0.79067065363707378</v>
      </c>
      <c r="F72">
        <f t="array" ref="F72">SQRT(SUM(($D72:$E72-$N$6:$O$6)^2))</f>
        <v>0.68771415704854366</v>
      </c>
      <c r="G72">
        <f t="array" ref="G72">SQRT(SUM(($D72:$E72-$N$7:$O$7)^2))</f>
        <v>2.6451112693713283</v>
      </c>
      <c r="H72">
        <f t="array" ref="H72">SQRT(SUM(($D72:$E72-$N$8:$O$8)^2))</f>
        <v>2.8591877293692347</v>
      </c>
      <c r="I72">
        <f t="array" ref="I72">SQRT(SUM(($D72:$E72-$N$9:$O$9)^2))</f>
        <v>0.55105130094013288</v>
      </c>
      <c r="J72">
        <f t="shared" si="12"/>
        <v>0.55105130094013288</v>
      </c>
      <c r="R72">
        <v>4.8</v>
      </c>
      <c r="S72">
        <v>1.8</v>
      </c>
      <c r="T72">
        <f>IF(W72=AA72,1,IF(X72=AA72,2,IF(Y72=AA72,3,4)))</f>
        <v>1</v>
      </c>
    </row>
    <row r="73" spans="1:20" x14ac:dyDescent="0.3">
      <c r="A73">
        <v>4</v>
      </c>
      <c r="B73">
        <v>1.3</v>
      </c>
      <c r="C73">
        <f t="shared" si="11"/>
        <v>1</v>
      </c>
      <c r="D73">
        <f t="shared" si="9"/>
        <v>0.13754657313091845</v>
      </c>
      <c r="E73">
        <f t="shared" si="10"/>
        <v>0.1325097321855688</v>
      </c>
      <c r="F73">
        <f t="array" ref="F73">SQRT(SUM(($D73:$E73-$N$6:$O$6)^2))</f>
        <v>0.17151285027199575</v>
      </c>
      <c r="G73">
        <f t="array" ref="G73">SQRT(SUM(($D73:$E73-$N$7:$O$7)^2))</f>
        <v>1.86317740863078</v>
      </c>
      <c r="H73">
        <f t="array" ref="H73">SQRT(SUM(($D73:$E73-$N$8:$O$8)^2))</f>
        <v>2.0683158191747739</v>
      </c>
      <c r="I73">
        <f t="array" ref="I73">SQRT(SUM(($D73:$E73-$N$9:$O$9)^2))</f>
        <v>1.335613681648177</v>
      </c>
      <c r="J73">
        <f t="shared" si="12"/>
        <v>0.17151285027199575</v>
      </c>
      <c r="R73">
        <v>4</v>
      </c>
      <c r="S73">
        <v>1.3</v>
      </c>
      <c r="T73">
        <f>IF(W73=AA73,1,IF(X73=AA73,2,IF(Y73=AA73,3,4)))</f>
        <v>1</v>
      </c>
    </row>
    <row r="74" spans="1:20" x14ac:dyDescent="0.3">
      <c r="A74">
        <v>4.9000000000000004</v>
      </c>
      <c r="B74">
        <v>1.5</v>
      </c>
      <c r="C74">
        <f t="shared" si="11"/>
        <v>1</v>
      </c>
      <c r="D74">
        <f t="shared" si="9"/>
        <v>0.64908341535334824</v>
      </c>
      <c r="E74">
        <f t="shared" si="10"/>
        <v>0.3957741007661707</v>
      </c>
      <c r="F74">
        <f t="array" ref="F74">SQRT(SUM(($D74:$E74-$N$6:$O$6)^2))</f>
        <v>0.41334920164871752</v>
      </c>
      <c r="G74">
        <f t="array" ref="G74">SQRT(SUM(($D74:$E74-$N$7:$O$7)^2))</f>
        <v>2.426175444301343</v>
      </c>
      <c r="H74">
        <f t="array" ref="H74">SQRT(SUM(($D74:$E74-$N$8:$O$8)^2))</f>
        <v>2.6216097747403508</v>
      </c>
      <c r="I74">
        <f t="array" ref="I74">SQRT(SUM(($D74:$E74-$N$9:$O$9)^2))</f>
        <v>0.82443932792147345</v>
      </c>
      <c r="J74">
        <f t="shared" si="12"/>
        <v>0.41334920164871752</v>
      </c>
      <c r="R74">
        <v>4.9000000000000004</v>
      </c>
      <c r="S74">
        <v>1.5</v>
      </c>
      <c r="T74">
        <f>IF(W74=AA74,1,IF(X74=AA74,2,IF(Y74=AA74,3,4)))</f>
        <v>1</v>
      </c>
    </row>
    <row r="75" spans="1:20" x14ac:dyDescent="0.3">
      <c r="A75">
        <v>4.7</v>
      </c>
      <c r="B75">
        <v>1.2</v>
      </c>
      <c r="C75">
        <f t="shared" si="11"/>
        <v>1</v>
      </c>
      <c r="D75">
        <f t="shared" si="9"/>
        <v>0.53540856152614158</v>
      </c>
      <c r="E75">
        <f t="shared" si="10"/>
        <v>8.7754789526769972E-4</v>
      </c>
      <c r="F75">
        <f t="array" ref="F75">SQRT(SUM(($D75:$E75-$N$6:$O$6)^2))</f>
        <v>0.28241840182735306</v>
      </c>
      <c r="G75">
        <f t="array" ref="G75">SQRT(SUM(($D75:$E75-$N$7:$O$7)^2))</f>
        <v>2.1091926651794601</v>
      </c>
      <c r="H75">
        <f t="array" ref="H75">SQRT(SUM(($D75:$E75-$N$8:$O$8)^2))</f>
        <v>2.2863065595577026</v>
      </c>
      <c r="I75">
        <f t="array" ref="I75">SQRT(SUM(($D75:$E75-$N$9:$O$9)^2))</f>
        <v>1.2300413159464265</v>
      </c>
      <c r="J75">
        <f t="shared" si="12"/>
        <v>0.28241840182735306</v>
      </c>
      <c r="R75">
        <v>4.7</v>
      </c>
      <c r="S75">
        <v>1.2</v>
      </c>
      <c r="T75">
        <f>IF(W75=AA75,1,IF(X75=AA75,2,IF(Y75=AA75,3,4)))</f>
        <v>1</v>
      </c>
    </row>
    <row r="76" spans="1:20" x14ac:dyDescent="0.3">
      <c r="A76">
        <v>4.3</v>
      </c>
      <c r="B76">
        <v>1.3</v>
      </c>
      <c r="C76">
        <f t="shared" si="11"/>
        <v>1</v>
      </c>
      <c r="D76">
        <f t="shared" si="9"/>
        <v>0.30805885387172821</v>
      </c>
      <c r="E76">
        <f t="shared" si="10"/>
        <v>0.1325097321855688</v>
      </c>
      <c r="F76">
        <f t="array" ref="F76">SQRT(SUM(($D76:$E76-$N$6:$O$6)^2))</f>
        <v>3.2980575074712644E-2</v>
      </c>
      <c r="G76">
        <f t="array" ref="G76">SQRT(SUM(($D76:$E76-$N$7:$O$7)^2))</f>
        <v>1.9953556459699084</v>
      </c>
      <c r="H76">
        <f t="array" ref="H76">SQRT(SUM(($D76:$E76-$N$8:$O$8)^2))</f>
        <v>2.1918304325008848</v>
      </c>
      <c r="I76">
        <f t="array" ref="I76">SQRT(SUM(($D76:$E76-$N$9:$O$9)^2))</f>
        <v>1.2285243152914258</v>
      </c>
      <c r="J76">
        <f t="shared" si="12"/>
        <v>3.2980575074712644E-2</v>
      </c>
      <c r="R76">
        <v>4.3</v>
      </c>
      <c r="S76">
        <v>1.3</v>
      </c>
      <c r="T76">
        <f>IF(W76=AA76,1,IF(X76=AA76,2,IF(Y76=AA76,3,4)))</f>
        <v>1</v>
      </c>
    </row>
    <row r="77" spans="1:20" x14ac:dyDescent="0.3">
      <c r="A77">
        <v>4.4000000000000004</v>
      </c>
      <c r="B77">
        <v>1.4</v>
      </c>
      <c r="C77">
        <f t="shared" si="11"/>
        <v>1</v>
      </c>
      <c r="D77">
        <f t="shared" si="9"/>
        <v>0.36489628078533176</v>
      </c>
      <c r="E77">
        <f t="shared" si="10"/>
        <v>0.2641419164758696</v>
      </c>
      <c r="F77">
        <f t="array" ref="F77">SQRT(SUM(($D77:$E77-$N$6:$O$6)^2))</f>
        <v>0.1150227232768594</v>
      </c>
      <c r="G77">
        <f t="array" ref="G77">SQRT(SUM(($D77:$E77-$N$7:$O$7)^2))</f>
        <v>2.1218501239336987</v>
      </c>
      <c r="H77">
        <f t="array" ref="H77">SQRT(SUM(($D77:$E77-$N$8:$O$8)^2))</f>
        <v>2.3229415210176843</v>
      </c>
      <c r="I77">
        <f t="array" ref="I77">SQRT(SUM(($D77:$E77-$N$9:$O$9)^2))</f>
        <v>1.088999082509529</v>
      </c>
      <c r="J77">
        <f t="shared" si="12"/>
        <v>0.1150227232768594</v>
      </c>
      <c r="R77">
        <v>4.4000000000000004</v>
      </c>
      <c r="S77">
        <v>1.4</v>
      </c>
      <c r="T77">
        <f>IF(W77=AA77,1,IF(X77=AA77,2,IF(Y77=AA77,3,4)))</f>
        <v>1</v>
      </c>
    </row>
    <row r="78" spans="1:20" x14ac:dyDescent="0.3">
      <c r="A78">
        <v>4.8</v>
      </c>
      <c r="B78">
        <v>1.4</v>
      </c>
      <c r="C78">
        <f t="shared" si="11"/>
        <v>1</v>
      </c>
      <c r="D78">
        <f t="shared" si="9"/>
        <v>0.59224598843974463</v>
      </c>
      <c r="E78">
        <f t="shared" si="10"/>
        <v>0.2641419164758696</v>
      </c>
      <c r="F78">
        <f t="array" ref="F78">SQRT(SUM(($D78:$E78-$N$6:$O$6)^2))</f>
        <v>0.30291262618484921</v>
      </c>
      <c r="G78">
        <f t="array" ref="G78">SQRT(SUM(($D78:$E78-$N$7:$O$7)^2))</f>
        <v>2.3018610942308602</v>
      </c>
      <c r="H78">
        <f t="array" ref="H78">SQRT(SUM(($D78:$E78-$N$8:$O$8)^2))</f>
        <v>2.4927779987234224</v>
      </c>
      <c r="I78">
        <f t="array" ref="I78">SQRT(SUM(($D78:$E78-$N$9:$O$9)^2))</f>
        <v>0.96751961329764191</v>
      </c>
      <c r="J78">
        <f t="shared" si="12"/>
        <v>0.30291262618484921</v>
      </c>
      <c r="R78">
        <v>4.8</v>
      </c>
      <c r="S78">
        <v>1.4</v>
      </c>
      <c r="T78">
        <f>IF(W78=AA78,1,IF(X78=AA78,2,IF(Y78=AA78,3,4)))</f>
        <v>1</v>
      </c>
    </row>
    <row r="79" spans="1:20" x14ac:dyDescent="0.3">
      <c r="A79">
        <v>5</v>
      </c>
      <c r="B79">
        <v>1.7</v>
      </c>
      <c r="C79">
        <f t="shared" si="11"/>
        <v>4</v>
      </c>
      <c r="D79">
        <f t="shared" si="9"/>
        <v>0.70592084226695129</v>
      </c>
      <c r="E79">
        <f t="shared" si="10"/>
        <v>0.65903846934677268</v>
      </c>
      <c r="F79">
        <f t="array" ref="F79">SQRT(SUM(($D79:$E79-$N$6:$O$6)^2))</f>
        <v>0.63537376684923341</v>
      </c>
      <c r="G79">
        <f t="array" ref="G79">SQRT(SUM(($D79:$E79-$N$7:$O$7)^2))</f>
        <v>2.6376209812068803</v>
      </c>
      <c r="H79">
        <f t="array" ref="H79">SQRT(SUM(($D79:$E79-$N$8:$O$8)^2))</f>
        <v>2.8426094760522753</v>
      </c>
      <c r="I79">
        <f t="array" ref="I79">SQRT(SUM(($D79:$E79-$N$9:$O$9)^2))</f>
        <v>0.56889289351254724</v>
      </c>
      <c r="J79">
        <f t="shared" si="12"/>
        <v>0.56889289351254724</v>
      </c>
      <c r="R79">
        <v>5</v>
      </c>
      <c r="S79">
        <v>1.7</v>
      </c>
      <c r="T79">
        <f>IF(W79=AA79,1,IF(X79=AA79,2,IF(Y79=AA79,3,4)))</f>
        <v>1</v>
      </c>
    </row>
    <row r="80" spans="1:20" x14ac:dyDescent="0.3">
      <c r="A80">
        <v>4.5</v>
      </c>
      <c r="B80">
        <v>1.5</v>
      </c>
      <c r="C80">
        <f t="shared" si="11"/>
        <v>1</v>
      </c>
      <c r="D80">
        <f t="shared" si="9"/>
        <v>0.42173370769893487</v>
      </c>
      <c r="E80">
        <f t="shared" si="10"/>
        <v>0.3957741007661707</v>
      </c>
      <c r="F80">
        <f t="array" ref="F80">SQRT(SUM(($D80:$E80-$N$6:$O$6)^2))</f>
        <v>0.25785225515046617</v>
      </c>
      <c r="G80">
        <f t="array" ref="G80">SQRT(SUM(($D80:$E80-$N$7:$O$7)^2))</f>
        <v>2.2503703679726375</v>
      </c>
      <c r="H80">
        <f t="array" ref="H80">SQRT(SUM(($D80:$E80-$N$8:$O$8)^2))</f>
        <v>2.4554244084021972</v>
      </c>
      <c r="I80">
        <f t="array" ref="I80">SQRT(SUM(($D80:$E80-$N$9:$O$9)^2))</f>
        <v>0.9506214074116548</v>
      </c>
      <c r="J80">
        <f t="shared" si="12"/>
        <v>0.25785225515046617</v>
      </c>
      <c r="R80">
        <v>4.5</v>
      </c>
      <c r="S80">
        <v>1.5</v>
      </c>
      <c r="T80">
        <f>IF(W80=AA80,1,IF(X80=AA80,2,IF(Y80=AA80,3,4)))</f>
        <v>1</v>
      </c>
    </row>
    <row r="81" spans="1:20" x14ac:dyDescent="0.3">
      <c r="A81">
        <v>3.5</v>
      </c>
      <c r="B81">
        <v>1</v>
      </c>
      <c r="C81">
        <f t="shared" si="11"/>
        <v>1</v>
      </c>
      <c r="D81">
        <f t="shared" si="9"/>
        <v>-0.146640561437098</v>
      </c>
      <c r="E81">
        <f t="shared" si="10"/>
        <v>-0.2623868206853342</v>
      </c>
      <c r="F81">
        <f t="array" ref="F81">SQRT(SUM(($D81:$E81-$N$6:$O$6)^2))</f>
        <v>0.62272394866634884</v>
      </c>
      <c r="G81">
        <f t="array" ref="G81">SQRT(SUM(($D81:$E81-$N$7:$O$7)^2))</f>
        <v>1.3946036348178557</v>
      </c>
      <c r="H81">
        <f t="array" ref="H81">SQRT(SUM(($D81:$E81-$N$8:$O$8)^2))</f>
        <v>1.5897285340250955</v>
      </c>
      <c r="I81">
        <f t="array" ref="I81">SQRT(SUM(($D81:$E81-$N$9:$O$9)^2))</f>
        <v>1.8201357590113632</v>
      </c>
      <c r="J81">
        <f t="shared" si="12"/>
        <v>0.62272394866634884</v>
      </c>
      <c r="R81">
        <v>3.5</v>
      </c>
      <c r="S81">
        <v>1</v>
      </c>
      <c r="T81">
        <f>IF(W81=AA81,1,IF(X81=AA81,2,IF(Y81=AA81,3,4)))</f>
        <v>1</v>
      </c>
    </row>
    <row r="82" spans="1:20" x14ac:dyDescent="0.3">
      <c r="A82">
        <v>3.8</v>
      </c>
      <c r="B82">
        <v>1.1000000000000001</v>
      </c>
      <c r="C82">
        <f t="shared" si="11"/>
        <v>1</v>
      </c>
      <c r="D82">
        <f t="shared" si="9"/>
        <v>2.387171930371176E-2</v>
      </c>
      <c r="E82">
        <f t="shared" si="10"/>
        <v>-0.13075463639503312</v>
      </c>
      <c r="F82">
        <f t="array" ref="F82">SQRT(SUM(($D82:$E82-$N$6:$O$6)^2))</f>
        <v>0.4089531857633239</v>
      </c>
      <c r="G82">
        <f t="array" ref="G82">SQRT(SUM(($D82:$E82-$N$7:$O$7)^2))</f>
        <v>1.6099483017719123</v>
      </c>
      <c r="H82">
        <f t="array" ref="H82">SQRT(SUM(($D82:$E82-$N$8:$O$8)^2))</f>
        <v>1.8044855402024762</v>
      </c>
      <c r="I82">
        <f t="array" ref="I82">SQRT(SUM(($D82:$E82-$N$9:$O$9)^2))</f>
        <v>1.6101804113608571</v>
      </c>
      <c r="J82">
        <f t="shared" si="12"/>
        <v>0.4089531857633239</v>
      </c>
      <c r="R82">
        <v>3.8</v>
      </c>
      <c r="S82">
        <v>1.1000000000000001</v>
      </c>
      <c r="T82">
        <f>IF(W82=AA82,1,IF(X82=AA82,2,IF(Y82=AA82,3,4)))</f>
        <v>1</v>
      </c>
    </row>
    <row r="83" spans="1:20" x14ac:dyDescent="0.3">
      <c r="A83">
        <v>3.7</v>
      </c>
      <c r="B83">
        <v>1</v>
      </c>
      <c r="C83">
        <f t="shared" si="11"/>
        <v>1</v>
      </c>
      <c r="D83">
        <f t="shared" si="9"/>
        <v>-3.2965707609891322E-2</v>
      </c>
      <c r="E83">
        <f t="shared" si="10"/>
        <v>-0.2623868206853342</v>
      </c>
      <c r="F83">
        <f t="array" ref="F83">SQRT(SUM(($D83:$E83-$N$6:$O$6)^2))</f>
        <v>0.54573648259240493</v>
      </c>
      <c r="G83">
        <f t="array" ref="G83">SQRT(SUM(($D83:$E83-$N$7:$O$7)^2))</f>
        <v>1.4879038438921139</v>
      </c>
      <c r="H83">
        <f t="array" ref="H83">SQRT(SUM(($D83:$E83-$N$8:$O$8)^2))</f>
        <v>1.6753983133550692</v>
      </c>
      <c r="I83">
        <f t="array" ref="I83">SQRT(SUM(($D83:$E83-$N$9:$O$9)^2))</f>
        <v>1.7489316903498588</v>
      </c>
      <c r="J83">
        <f t="shared" si="12"/>
        <v>0.54573648259240493</v>
      </c>
      <c r="R83">
        <v>3.7</v>
      </c>
      <c r="S83">
        <v>1</v>
      </c>
      <c r="T83">
        <f>IF(W83=AA83,1,IF(X83=AA83,2,IF(Y83=AA83,3,4)))</f>
        <v>1</v>
      </c>
    </row>
    <row r="84" spans="1:20" x14ac:dyDescent="0.3">
      <c r="A84">
        <v>3.9</v>
      </c>
      <c r="B84">
        <v>1.2</v>
      </c>
      <c r="C84">
        <f t="shared" si="11"/>
        <v>1</v>
      </c>
      <c r="D84">
        <f t="shared" si="9"/>
        <v>8.0709146217315106E-2</v>
      </c>
      <c r="E84">
        <f t="shared" si="10"/>
        <v>8.7754789526769972E-4</v>
      </c>
      <c r="F84">
        <f t="array" ref="F84">SQRT(SUM(($D84:$E84-$N$6:$O$6)^2))</f>
        <v>0.27887659983943247</v>
      </c>
      <c r="G84">
        <f t="array" ref="G84">SQRT(SUM(($D84:$E84-$N$7:$O$7)^2))</f>
        <v>1.7352591363153778</v>
      </c>
      <c r="H84">
        <f t="array" ref="H84">SQRT(SUM(($D84:$E84-$N$8:$O$8)^2))</f>
        <v>1.9355856145582977</v>
      </c>
      <c r="I84">
        <f t="array" ref="I84">SQRT(SUM(($D84:$E84-$N$9:$O$9)^2))</f>
        <v>1.4723161708100656</v>
      </c>
      <c r="J84">
        <f t="shared" si="12"/>
        <v>0.27887659983943247</v>
      </c>
      <c r="R84">
        <v>3.9</v>
      </c>
      <c r="S84">
        <v>1.2</v>
      </c>
      <c r="T84">
        <f>IF(W84=AA84,1,IF(X84=AA84,2,IF(Y84=AA84,3,4)))</f>
        <v>1</v>
      </c>
    </row>
    <row r="85" spans="1:20" x14ac:dyDescent="0.3">
      <c r="A85">
        <v>5.0999999999999996</v>
      </c>
      <c r="B85">
        <v>1.6</v>
      </c>
      <c r="C85">
        <f t="shared" si="11"/>
        <v>1</v>
      </c>
      <c r="D85">
        <f t="shared" si="9"/>
        <v>0.76275826918055445</v>
      </c>
      <c r="E85">
        <f t="shared" si="10"/>
        <v>0.5274062850564718</v>
      </c>
      <c r="F85">
        <f t="array" ref="F85">SQRT(SUM(($D85:$E85-$N$6:$O$6)^2))</f>
        <v>0.58290652074318794</v>
      </c>
      <c r="G85">
        <f t="array" ref="G85">SQRT(SUM(($D85:$E85-$N$7:$O$7)^2))</f>
        <v>2.5967977782383875</v>
      </c>
      <c r="H85">
        <f t="array" ref="H85">SQRT(SUM(($D85:$E85-$N$8:$O$8)^2))</f>
        <v>2.7939925141781381</v>
      </c>
      <c r="I85">
        <f t="array" ref="I85">SQRT(SUM(($D85:$E85-$N$9:$O$9)^2))</f>
        <v>0.65653598286436832</v>
      </c>
      <c r="J85">
        <f t="shared" si="12"/>
        <v>0.58290652074318794</v>
      </c>
      <c r="R85">
        <v>5.0999999999999996</v>
      </c>
      <c r="S85">
        <v>1.6</v>
      </c>
      <c r="T85">
        <f>IF(W85=AA85,1,IF(X85=AA85,2,IF(Y85=AA85,3,4)))</f>
        <v>1</v>
      </c>
    </row>
    <row r="86" spans="1:20" x14ac:dyDescent="0.3">
      <c r="A86">
        <v>4.5</v>
      </c>
      <c r="B86">
        <v>1.5</v>
      </c>
      <c r="C86">
        <f t="shared" si="11"/>
        <v>1</v>
      </c>
      <c r="D86">
        <f t="shared" si="9"/>
        <v>0.42173370769893487</v>
      </c>
      <c r="E86">
        <f t="shared" si="10"/>
        <v>0.3957741007661707</v>
      </c>
      <c r="F86">
        <f t="array" ref="F86">SQRT(SUM(($D86:$E86-$N$6:$O$6)^2))</f>
        <v>0.25785225515046617</v>
      </c>
      <c r="G86">
        <f t="array" ref="G86">SQRT(SUM(($D86:$E86-$N$7:$O$7)^2))</f>
        <v>2.2503703679726375</v>
      </c>
      <c r="H86">
        <f t="array" ref="H86">SQRT(SUM(($D86:$E86-$N$8:$O$8)^2))</f>
        <v>2.4554244084021972</v>
      </c>
      <c r="I86">
        <f t="array" ref="I86">SQRT(SUM(($D86:$E86-$N$9:$O$9)^2))</f>
        <v>0.9506214074116548</v>
      </c>
      <c r="J86">
        <f t="shared" si="12"/>
        <v>0.25785225515046617</v>
      </c>
      <c r="R86">
        <v>4.5</v>
      </c>
      <c r="S86">
        <v>1.5</v>
      </c>
      <c r="T86">
        <f>IF(W86=AA86,1,IF(X86=AA86,2,IF(Y86=AA86,3,4)))</f>
        <v>1</v>
      </c>
    </row>
    <row r="87" spans="1:20" x14ac:dyDescent="0.3">
      <c r="A87">
        <v>4.5</v>
      </c>
      <c r="B87">
        <v>1.6</v>
      </c>
      <c r="C87">
        <f t="shared" si="11"/>
        <v>1</v>
      </c>
      <c r="D87">
        <f t="shared" si="9"/>
        <v>0.42173370769893487</v>
      </c>
      <c r="E87">
        <f t="shared" si="10"/>
        <v>0.5274062850564718</v>
      </c>
      <c r="F87">
        <f t="array" ref="F87">SQRT(SUM(($D87:$E87-$N$6:$O$6)^2))</f>
        <v>0.38007818829925255</v>
      </c>
      <c r="G87">
        <f t="array" ref="G87">SQRT(SUM(($D87:$E87-$N$7:$O$7)^2))</f>
        <v>2.3390921409092984</v>
      </c>
      <c r="H87">
        <f t="array" ref="H87">SQRT(SUM(($D87:$E87-$N$8:$O$8)^2))</f>
        <v>2.5499088363410674</v>
      </c>
      <c r="I87">
        <f t="array" ref="I87">SQRT(SUM(($D87:$E87-$N$9:$O$9)^2))</f>
        <v>0.85337263948777276</v>
      </c>
      <c r="J87">
        <f t="shared" si="12"/>
        <v>0.38007818829925255</v>
      </c>
      <c r="R87">
        <v>4.5</v>
      </c>
      <c r="S87">
        <v>1.6</v>
      </c>
      <c r="T87">
        <f>IF(W87=AA87,1,IF(X87=AA87,2,IF(Y87=AA87,3,4)))</f>
        <v>1</v>
      </c>
    </row>
    <row r="88" spans="1:20" x14ac:dyDescent="0.3">
      <c r="A88">
        <v>4.7</v>
      </c>
      <c r="B88">
        <v>1.5</v>
      </c>
      <c r="C88">
        <f t="shared" si="11"/>
        <v>1</v>
      </c>
      <c r="D88">
        <f t="shared" si="9"/>
        <v>0.53540856152614158</v>
      </c>
      <c r="E88">
        <f t="shared" si="10"/>
        <v>0.3957741007661707</v>
      </c>
      <c r="F88">
        <f t="array" ref="F88">SQRT(SUM(($D88:$E88-$N$6:$O$6)^2))</f>
        <v>0.32519332957837532</v>
      </c>
      <c r="G88">
        <f t="array" ref="G88">SQRT(SUM(($D88:$E88-$N$7:$O$7)^2))</f>
        <v>2.3371617546497347</v>
      </c>
      <c r="H88">
        <f t="array" ref="H88">SQRT(SUM(($D88:$E88-$N$8:$O$8)^2))</f>
        <v>2.5373315600849407</v>
      </c>
      <c r="I88">
        <f t="array" ref="I88">SQRT(SUM(($D88:$E88-$N$9:$O$9)^2))</f>
        <v>0.88247870253838212</v>
      </c>
      <c r="J88">
        <f t="shared" si="12"/>
        <v>0.32519332957837532</v>
      </c>
      <c r="R88">
        <v>4.7</v>
      </c>
      <c r="S88">
        <v>1.5</v>
      </c>
      <c r="T88">
        <f>IF(W88=AA88,1,IF(X88=AA88,2,IF(Y88=AA88,3,4)))</f>
        <v>1</v>
      </c>
    </row>
    <row r="89" spans="1:20" x14ac:dyDescent="0.3">
      <c r="A89">
        <v>4.4000000000000004</v>
      </c>
      <c r="B89">
        <v>1.3</v>
      </c>
      <c r="C89">
        <f t="shared" si="11"/>
        <v>1</v>
      </c>
      <c r="D89">
        <f t="shared" si="9"/>
        <v>0.36489628078533176</v>
      </c>
      <c r="E89">
        <f t="shared" si="10"/>
        <v>0.1325097321855688</v>
      </c>
      <c r="F89">
        <f t="array" ref="F89">SQRT(SUM(($D89:$E89-$N$6:$O$6)^2))</f>
        <v>6.7577443718352739E-2</v>
      </c>
      <c r="G89">
        <f t="array" ref="G89">SQRT(SUM(($D89:$E89-$N$7:$O$7)^2))</f>
        <v>2.0406790109145669</v>
      </c>
      <c r="H89">
        <f t="array" ref="H89">SQRT(SUM(($D89:$E89-$N$8:$O$8)^2))</f>
        <v>2.2343767340265428</v>
      </c>
      <c r="I89">
        <f t="array" ref="I89">SQRT(SUM(($D89:$E89-$N$9:$O$9)^2))</f>
        <v>1.1961033934713694</v>
      </c>
      <c r="J89">
        <f t="shared" si="12"/>
        <v>6.7577443718352739E-2</v>
      </c>
      <c r="R89">
        <v>4.4000000000000004</v>
      </c>
      <c r="S89">
        <v>1.3</v>
      </c>
      <c r="T89">
        <f>IF(W89=AA89,1,IF(X89=AA89,2,IF(Y89=AA89,3,4)))</f>
        <v>1</v>
      </c>
    </row>
    <row r="90" spans="1:20" x14ac:dyDescent="0.3">
      <c r="A90">
        <v>4.0999999999999996</v>
      </c>
      <c r="B90">
        <v>1.3</v>
      </c>
      <c r="C90">
        <f t="shared" si="11"/>
        <v>1</v>
      </c>
      <c r="D90">
        <f t="shared" si="9"/>
        <v>0.19438400004452153</v>
      </c>
      <c r="E90">
        <f t="shared" si="10"/>
        <v>0.1325097321855688</v>
      </c>
      <c r="F90">
        <f t="array" ref="F90">SQRT(SUM(($D90:$E90-$N$6:$O$6)^2))</f>
        <v>0.11624410430949721</v>
      </c>
      <c r="G90">
        <f t="array" ref="G90">SQRT(SUM(($D90:$E90-$N$7:$O$7)^2))</f>
        <v>1.9065607173983252</v>
      </c>
      <c r="H90">
        <f t="array" ref="H90">SQRT(SUM(($D90:$E90-$N$8:$O$8)^2))</f>
        <v>2.1087593779238456</v>
      </c>
      <c r="I90">
        <f t="array" ref="I90">SQRT(SUM(($D90:$E90-$N$9:$O$9)^2))</f>
        <v>1.2984114458168885</v>
      </c>
      <c r="J90">
        <f t="shared" si="12"/>
        <v>0.11624410430949721</v>
      </c>
      <c r="R90">
        <v>4.0999999999999996</v>
      </c>
      <c r="S90">
        <v>1.3</v>
      </c>
      <c r="T90">
        <f>IF(W90=AA90,1,IF(X90=AA90,2,IF(Y90=AA90,3,4)))</f>
        <v>1</v>
      </c>
    </row>
    <row r="91" spans="1:20" x14ac:dyDescent="0.3">
      <c r="A91">
        <v>4</v>
      </c>
      <c r="B91">
        <v>1.3</v>
      </c>
      <c r="C91">
        <f t="shared" si="11"/>
        <v>1</v>
      </c>
      <c r="D91">
        <f t="shared" si="9"/>
        <v>0.13754657313091845</v>
      </c>
      <c r="E91">
        <f t="shared" si="10"/>
        <v>0.1325097321855688</v>
      </c>
      <c r="F91">
        <f t="array" ref="F91">SQRT(SUM(($D91:$E91-$N$6:$O$6)^2))</f>
        <v>0.17151285027199575</v>
      </c>
      <c r="G91">
        <f t="array" ref="G91">SQRT(SUM(($D91:$E91-$N$7:$O$7)^2))</f>
        <v>1.86317740863078</v>
      </c>
      <c r="H91">
        <f t="array" ref="H91">SQRT(SUM(($D91:$E91-$N$8:$O$8)^2))</f>
        <v>2.0683158191747739</v>
      </c>
      <c r="I91">
        <f t="array" ref="I91">SQRT(SUM(($D91:$E91-$N$9:$O$9)^2))</f>
        <v>1.335613681648177</v>
      </c>
      <c r="J91">
        <f t="shared" si="12"/>
        <v>0.17151285027199575</v>
      </c>
      <c r="R91">
        <v>4</v>
      </c>
      <c r="S91">
        <v>1.3</v>
      </c>
      <c r="T91">
        <f>IF(W91=AA91,1,IF(X91=AA91,2,IF(Y91=AA91,3,4)))</f>
        <v>1</v>
      </c>
    </row>
    <row r="92" spans="1:20" x14ac:dyDescent="0.3">
      <c r="A92">
        <v>4.4000000000000004</v>
      </c>
      <c r="B92">
        <v>1.2</v>
      </c>
      <c r="C92">
        <f t="shared" si="11"/>
        <v>1</v>
      </c>
      <c r="D92">
        <f t="shared" si="9"/>
        <v>0.36489628078533176</v>
      </c>
      <c r="E92">
        <f t="shared" si="10"/>
        <v>8.7754789526769972E-4</v>
      </c>
      <c r="F92">
        <f t="array" ref="F92">SQRT(SUM(($D92:$E92-$N$6:$O$6)^2))</f>
        <v>0.17480634659834526</v>
      </c>
      <c r="G92">
        <f t="array" ref="G92">SQRT(SUM(($D92:$E92-$N$7:$O$7)^2))</f>
        <v>1.9649803476419629</v>
      </c>
      <c r="H92">
        <f t="array" ref="H92">SQRT(SUM(($D92:$E92-$N$8:$O$8)^2))</f>
        <v>2.1502268561554985</v>
      </c>
      <c r="I92">
        <f t="array" ref="I92">SQRT(SUM(($D92:$E92-$N$9:$O$9)^2))</f>
        <v>1.3076932812869109</v>
      </c>
      <c r="J92">
        <f t="shared" si="12"/>
        <v>0.17480634659834526</v>
      </c>
      <c r="R92">
        <v>4.4000000000000004</v>
      </c>
      <c r="S92">
        <v>1.2</v>
      </c>
      <c r="T92">
        <f>IF(W92=AA92,1,IF(X92=AA92,2,IF(Y92=AA92,3,4)))</f>
        <v>1</v>
      </c>
    </row>
    <row r="93" spans="1:20" x14ac:dyDescent="0.3">
      <c r="A93">
        <v>4.5999999999999996</v>
      </c>
      <c r="B93">
        <v>1.4</v>
      </c>
      <c r="C93">
        <f t="shared" si="11"/>
        <v>1</v>
      </c>
      <c r="D93">
        <f t="shared" si="9"/>
        <v>0.47857113461253797</v>
      </c>
      <c r="E93">
        <f t="shared" si="10"/>
        <v>0.2641419164758696</v>
      </c>
      <c r="F93">
        <f t="array" ref="F93">SQRT(SUM(($D93:$E93-$N$6:$O$6)^2))</f>
        <v>0.19892503762341424</v>
      </c>
      <c r="G93">
        <f t="array" ref="G93">SQRT(SUM(($D93:$E93-$N$7:$O$7)^2))</f>
        <v>2.2107655349206383</v>
      </c>
      <c r="H93">
        <f t="array" ref="H93">SQRT(SUM(($D93:$E93-$N$8:$O$8)^2))</f>
        <v>2.4066735877765217</v>
      </c>
      <c r="I93">
        <f t="array" ref="I93">SQRT(SUM(($D93:$E93-$N$9:$O$9)^2))</f>
        <v>1.0237600448925865</v>
      </c>
      <c r="J93">
        <f t="shared" si="12"/>
        <v>0.19892503762341424</v>
      </c>
      <c r="R93">
        <v>4.5999999999999996</v>
      </c>
      <c r="S93">
        <v>1.4</v>
      </c>
      <c r="T93">
        <f>IF(W93=AA93,1,IF(X93=AA93,2,IF(Y93=AA93,3,4)))</f>
        <v>1</v>
      </c>
    </row>
    <row r="94" spans="1:20" x14ac:dyDescent="0.3">
      <c r="A94">
        <v>4</v>
      </c>
      <c r="B94">
        <v>1.2</v>
      </c>
      <c r="C94">
        <f t="shared" si="11"/>
        <v>1</v>
      </c>
      <c r="D94">
        <f t="shared" si="9"/>
        <v>0.13754657313091845</v>
      </c>
      <c r="E94">
        <f t="shared" si="10"/>
        <v>8.7754789526769972E-4</v>
      </c>
      <c r="F94">
        <f t="array" ref="F94">SQRT(SUM(($D94:$E94-$N$6:$O$6)^2))</f>
        <v>0.23538735250641168</v>
      </c>
      <c r="G94">
        <f t="array" ref="G94">SQRT(SUM(($D94:$E94-$N$7:$O$7)^2))</f>
        <v>1.7799457848664892</v>
      </c>
      <c r="H94">
        <f t="array" ref="H94">SQRT(SUM(($D94:$E94-$N$8:$O$8)^2))</f>
        <v>1.9771106370716469</v>
      </c>
      <c r="I94">
        <f t="array" ref="I94">SQRT(SUM(($D94:$E94-$N$9:$O$9)^2))</f>
        <v>1.436406034746095</v>
      </c>
      <c r="J94">
        <f t="shared" si="12"/>
        <v>0.23538735250641168</v>
      </c>
      <c r="R94">
        <v>4</v>
      </c>
      <c r="S94">
        <v>1.2</v>
      </c>
      <c r="T94">
        <f>IF(W94=AA94,1,IF(X94=AA94,2,IF(Y94=AA94,3,4)))</f>
        <v>1</v>
      </c>
    </row>
    <row r="95" spans="1:20" x14ac:dyDescent="0.3">
      <c r="A95">
        <v>3.3</v>
      </c>
      <c r="B95">
        <v>1</v>
      </c>
      <c r="C95">
        <f t="shared" si="11"/>
        <v>1</v>
      </c>
      <c r="D95">
        <f t="shared" si="9"/>
        <v>-0.26031541526430468</v>
      </c>
      <c r="E95">
        <f t="shared" si="10"/>
        <v>-0.2623868206853342</v>
      </c>
      <c r="F95">
        <f t="array" ref="F95">SQRT(SUM(($D95:$E95-$N$6:$O$6)^2))</f>
        <v>0.70963784343717351</v>
      </c>
      <c r="G95">
        <f t="array" ref="G95">SQRT(SUM(($D95:$E95-$N$7:$O$7)^2))</f>
        <v>1.3045400310495248</v>
      </c>
      <c r="H95">
        <f t="array" ref="H95">SQRT(SUM(($D95:$E95-$N$8:$O$8)^2))</f>
        <v>1.5077659169046838</v>
      </c>
      <c r="I95">
        <f t="array" ref="I95">SQRT(SUM(($D95:$E95-$N$9:$O$9)^2))</f>
        <v>1.8954868107531115</v>
      </c>
      <c r="J95">
        <f t="shared" si="12"/>
        <v>0.70963784343717351</v>
      </c>
      <c r="R95">
        <v>3.3</v>
      </c>
      <c r="S95">
        <v>1</v>
      </c>
      <c r="T95">
        <f>IF(W95=AA95,1,IF(X95=AA95,2,IF(Y95=AA95,3,4)))</f>
        <v>1</v>
      </c>
    </row>
    <row r="96" spans="1:20" x14ac:dyDescent="0.3">
      <c r="A96">
        <v>4.2</v>
      </c>
      <c r="B96">
        <v>1.3</v>
      </c>
      <c r="C96">
        <f t="shared" si="11"/>
        <v>1</v>
      </c>
      <c r="D96">
        <f t="shared" si="9"/>
        <v>0.2512214269581251</v>
      </c>
      <c r="E96">
        <f t="shared" si="10"/>
        <v>0.1325097321855688</v>
      </c>
      <c r="F96">
        <f t="array" ref="F96">SQRT(SUM(($D96:$E96-$N$6:$O$6)^2))</f>
        <v>6.3794294112630351E-2</v>
      </c>
      <c r="G96">
        <f t="array" ref="G96">SQRT(SUM(($D96:$E96-$N$7:$O$7)^2))</f>
        <v>1.9506354012006051</v>
      </c>
      <c r="H96">
        <f t="array" ref="H96">SQRT(SUM(($D96:$E96-$N$8:$O$8)^2))</f>
        <v>2.1499448565745194</v>
      </c>
      <c r="I96">
        <f t="array" ref="I96">SQRT(SUM(($D96:$E96-$N$9:$O$9)^2))</f>
        <v>1.2626724218288468</v>
      </c>
      <c r="J96">
        <f t="shared" si="12"/>
        <v>6.3794294112630351E-2</v>
      </c>
      <c r="R96">
        <v>4.2</v>
      </c>
      <c r="S96">
        <v>1.3</v>
      </c>
      <c r="T96">
        <f>IF(W96=AA96,1,IF(X96=AA96,2,IF(Y96=AA96,3,4)))</f>
        <v>1</v>
      </c>
    </row>
    <row r="97" spans="1:20" x14ac:dyDescent="0.3">
      <c r="A97">
        <v>4.2</v>
      </c>
      <c r="B97">
        <v>1.2</v>
      </c>
      <c r="C97">
        <f t="shared" si="11"/>
        <v>1</v>
      </c>
      <c r="D97">
        <f t="shared" si="9"/>
        <v>0.2512214269581251</v>
      </c>
      <c r="E97">
        <f t="shared" si="10"/>
        <v>8.7754789526769972E-4</v>
      </c>
      <c r="F97">
        <f t="array" ref="F97">SQRT(SUM(($D97:$E97-$N$6:$O$6)^2))</f>
        <v>0.17337894875930718</v>
      </c>
      <c r="G97">
        <f t="array" ref="G97">SQRT(SUM(($D97:$E97-$N$7:$O$7)^2))</f>
        <v>1.8712977874857115</v>
      </c>
      <c r="H97">
        <f t="array" ref="H97">SQRT(SUM(($D97:$E97-$N$8:$O$8)^2))</f>
        <v>2.0623527898214866</v>
      </c>
      <c r="I97">
        <f t="array" ref="I97">SQRT(SUM(($D97:$E97-$N$9:$O$9)^2))</f>
        <v>1.3688462422406422</v>
      </c>
      <c r="J97">
        <f t="shared" si="12"/>
        <v>0.17337894875930718</v>
      </c>
      <c r="R97">
        <v>4.2</v>
      </c>
      <c r="S97">
        <v>1.2</v>
      </c>
      <c r="T97">
        <f>IF(W97=AA97,1,IF(X97=AA97,2,IF(Y97=AA97,3,4)))</f>
        <v>1</v>
      </c>
    </row>
    <row r="98" spans="1:20" x14ac:dyDescent="0.3">
      <c r="A98">
        <v>4.2</v>
      </c>
      <c r="B98">
        <v>1.3</v>
      </c>
      <c r="C98">
        <f t="shared" si="11"/>
        <v>1</v>
      </c>
      <c r="D98">
        <f t="shared" ref="D98:D129" si="13">(A98-M$2)/M$3</f>
        <v>0.2512214269581251</v>
      </c>
      <c r="E98">
        <f t="shared" ref="E98:E129" si="14">(B98-N$2)/N$3</f>
        <v>0.1325097321855688</v>
      </c>
      <c r="F98">
        <f t="array" ref="F98">SQRT(SUM(($D98:$E98-$N$6:$O$6)^2))</f>
        <v>6.3794294112630351E-2</v>
      </c>
      <c r="G98">
        <f t="array" ref="G98">SQRT(SUM(($D98:$E98-$N$7:$O$7)^2))</f>
        <v>1.9506354012006051</v>
      </c>
      <c r="H98">
        <f t="array" ref="H98">SQRT(SUM(($D98:$E98-$N$8:$O$8)^2))</f>
        <v>2.1499448565745194</v>
      </c>
      <c r="I98">
        <f t="array" ref="I98">SQRT(SUM(($D98:$E98-$N$9:$O$9)^2))</f>
        <v>1.2626724218288468</v>
      </c>
      <c r="J98">
        <f t="shared" si="12"/>
        <v>6.3794294112630351E-2</v>
      </c>
      <c r="R98">
        <v>4.2</v>
      </c>
      <c r="S98">
        <v>1.3</v>
      </c>
      <c r="T98">
        <f>IF(W98=AA98,1,IF(X98=AA98,2,IF(Y98=AA98,3,4)))</f>
        <v>1</v>
      </c>
    </row>
    <row r="99" spans="1:20" x14ac:dyDescent="0.3">
      <c r="A99">
        <v>4.3</v>
      </c>
      <c r="B99">
        <v>1.3</v>
      </c>
      <c r="C99">
        <f t="shared" si="11"/>
        <v>1</v>
      </c>
      <c r="D99">
        <f t="shared" si="13"/>
        <v>0.30805885387172821</v>
      </c>
      <c r="E99">
        <f t="shared" si="14"/>
        <v>0.1325097321855688</v>
      </c>
      <c r="F99">
        <f t="array" ref="F99">SQRT(SUM(($D99:$E99-$N$6:$O$6)^2))</f>
        <v>3.2980575074712644E-2</v>
      </c>
      <c r="G99">
        <f t="array" ref="G99">SQRT(SUM(($D99:$E99-$N$7:$O$7)^2))</f>
        <v>1.9953556459699084</v>
      </c>
      <c r="H99">
        <f t="array" ref="H99">SQRT(SUM(($D99:$E99-$N$8:$O$8)^2))</f>
        <v>2.1918304325008848</v>
      </c>
      <c r="I99">
        <f t="array" ref="I99">SQRT(SUM(($D99:$E99-$N$9:$O$9)^2))</f>
        <v>1.2285243152914258</v>
      </c>
      <c r="J99">
        <f t="shared" si="12"/>
        <v>3.2980575074712644E-2</v>
      </c>
      <c r="R99">
        <v>4.3</v>
      </c>
      <c r="S99">
        <v>1.3</v>
      </c>
      <c r="T99">
        <f>IF(W99=AA99,1,IF(X99=AA99,2,IF(Y99=AA99,3,4)))</f>
        <v>1</v>
      </c>
    </row>
    <row r="100" spans="1:20" x14ac:dyDescent="0.3">
      <c r="A100">
        <v>3</v>
      </c>
      <c r="B100">
        <v>1.1000000000000001</v>
      </c>
      <c r="C100">
        <f t="shared" si="11"/>
        <v>1</v>
      </c>
      <c r="D100">
        <f t="shared" si="13"/>
        <v>-0.43082769600511445</v>
      </c>
      <c r="E100">
        <f t="shared" si="14"/>
        <v>-0.13075463639503312</v>
      </c>
      <c r="F100">
        <f t="array" ref="F100">SQRT(SUM(($D100:$E100-$N$6:$O$6)^2))</f>
        <v>0.79400611995637838</v>
      </c>
      <c r="G100">
        <f t="array" ref="G100">SQRT(SUM(($D100:$E100-$N$7:$O$7)^2))</f>
        <v>1.272617425557401</v>
      </c>
      <c r="H100">
        <f t="array" ref="H100">SQRT(SUM(($D100:$E100-$N$8:$O$8)^2))</f>
        <v>1.496881110156445</v>
      </c>
      <c r="I100">
        <f t="array" ref="I100">SQRT(SUM(($D100:$E100-$N$9:$O$9)^2))</f>
        <v>1.9268070041285246</v>
      </c>
      <c r="J100">
        <f t="shared" si="12"/>
        <v>0.79400611995637838</v>
      </c>
      <c r="R100">
        <v>3</v>
      </c>
      <c r="S100">
        <v>1.1000000000000001</v>
      </c>
      <c r="T100">
        <f>IF(W100=AA100,1,IF(X100=AA100,2,IF(Y100=AA100,3,4)))</f>
        <v>1</v>
      </c>
    </row>
    <row r="101" spans="1:20" x14ac:dyDescent="0.3">
      <c r="A101">
        <v>4.0999999999999996</v>
      </c>
      <c r="B101">
        <v>1.3</v>
      </c>
      <c r="C101">
        <f t="shared" si="11"/>
        <v>1</v>
      </c>
      <c r="D101">
        <f t="shared" si="13"/>
        <v>0.19438400004452153</v>
      </c>
      <c r="E101">
        <f t="shared" si="14"/>
        <v>0.1325097321855688</v>
      </c>
      <c r="F101">
        <f t="array" ref="F101">SQRT(SUM(($D101:$E101-$N$6:$O$6)^2))</f>
        <v>0.11624410430949721</v>
      </c>
      <c r="G101">
        <f t="array" ref="G101">SQRT(SUM(($D101:$E101-$N$7:$O$7)^2))</f>
        <v>1.9065607173983252</v>
      </c>
      <c r="H101">
        <f t="array" ref="H101">SQRT(SUM(($D101:$E101-$N$8:$O$8)^2))</f>
        <v>2.1087593779238456</v>
      </c>
      <c r="I101">
        <f t="array" ref="I101">SQRT(SUM(($D101:$E101-$N$9:$O$9)^2))</f>
        <v>1.2984114458168885</v>
      </c>
      <c r="J101">
        <f t="shared" si="12"/>
        <v>0.11624410430949721</v>
      </c>
      <c r="R101">
        <v>4.0999999999999996</v>
      </c>
      <c r="S101">
        <v>1.3</v>
      </c>
      <c r="T101">
        <f>IF(W101=AA101,1,IF(X101=AA101,2,IF(Y101=AA101,3,4)))</f>
        <v>1</v>
      </c>
    </row>
    <row r="102" spans="1:20" x14ac:dyDescent="0.3">
      <c r="A102">
        <v>6</v>
      </c>
      <c r="B102">
        <v>2.5</v>
      </c>
      <c r="C102">
        <f t="shared" si="11"/>
        <v>4</v>
      </c>
      <c r="D102">
        <f t="shared" si="13"/>
        <v>1.2742951114029841</v>
      </c>
      <c r="E102">
        <f t="shared" si="14"/>
        <v>1.7120959436691805</v>
      </c>
      <c r="F102">
        <f t="array" ref="F102">SQRT(SUM(($D102:$E102-$N$6:$O$6)^2))</f>
        <v>1.8248438625092602</v>
      </c>
      <c r="G102">
        <f t="array" ref="G102">SQRT(SUM(($D102:$E102-$N$7:$O$7)^2))</f>
        <v>3.7830656068376443</v>
      </c>
      <c r="H102">
        <f t="array" ref="H102">SQRT(SUM(($D102:$E102-$N$8:$O$8)^2))</f>
        <v>4.0018516576873253</v>
      </c>
      <c r="I102">
        <f t="array" ref="I102">SQRT(SUM(($D102:$E102-$N$9:$O$9)^2))</f>
        <v>0.63392042605325427</v>
      </c>
      <c r="J102">
        <f t="shared" si="12"/>
        <v>0.63392042605325427</v>
      </c>
      <c r="R102">
        <v>6</v>
      </c>
      <c r="S102">
        <v>2.5</v>
      </c>
      <c r="T102">
        <f>IF(W102=AA102,1,IF(X102=AA102,2,IF(Y102=AA102,3,4)))</f>
        <v>1</v>
      </c>
    </row>
    <row r="103" spans="1:20" x14ac:dyDescent="0.3">
      <c r="A103">
        <v>5.0999999999999996</v>
      </c>
      <c r="B103">
        <v>1.9</v>
      </c>
      <c r="C103">
        <f t="shared" si="11"/>
        <v>4</v>
      </c>
      <c r="D103">
        <f t="shared" si="13"/>
        <v>0.76275826918055445</v>
      </c>
      <c r="E103">
        <f t="shared" si="14"/>
        <v>0.92230283792737455</v>
      </c>
      <c r="F103">
        <f t="array" ref="F103">SQRT(SUM(($D103:$E103-$N$6:$O$6)^2))</f>
        <v>0.88409237437121935</v>
      </c>
      <c r="G103">
        <f t="array" ref="G103">SQRT(SUM(($D103:$E103-$N$7:$O$7)^2))</f>
        <v>2.8588177339941203</v>
      </c>
      <c r="H103">
        <f t="array" ref="H103">SQRT(SUM(($D103:$E103-$N$8:$O$8)^2))</f>
        <v>3.0713346768782515</v>
      </c>
      <c r="I103">
        <f t="array" ref="I103">SQRT(SUM(($D103:$E103-$N$9:$O$9)^2))</f>
        <v>0.33564160183021158</v>
      </c>
      <c r="J103">
        <f t="shared" si="12"/>
        <v>0.33564160183021158</v>
      </c>
      <c r="R103">
        <v>5.0999999999999996</v>
      </c>
      <c r="S103">
        <v>1.9</v>
      </c>
      <c r="T103">
        <f>IF(W103=AA103,1,IF(X103=AA103,2,IF(Y103=AA103,3,4)))</f>
        <v>1</v>
      </c>
    </row>
    <row r="104" spans="1:20" x14ac:dyDescent="0.3">
      <c r="A104">
        <v>5.9</v>
      </c>
      <c r="B104">
        <v>2.1</v>
      </c>
      <c r="C104">
        <f t="shared" si="11"/>
        <v>4</v>
      </c>
      <c r="D104">
        <f t="shared" si="13"/>
        <v>1.2174576844893812</v>
      </c>
      <c r="E104">
        <f t="shared" si="14"/>
        <v>1.1855672065079768</v>
      </c>
      <c r="F104">
        <f t="array" ref="F104">SQRT(SUM(($D104:$E104-$N$6:$O$6)^2))</f>
        <v>1.3680978983349785</v>
      </c>
      <c r="G104">
        <f t="array" ref="G104">SQRT(SUM(($D104:$E104-$N$7:$O$7)^2))</f>
        <v>3.3700029697159035</v>
      </c>
      <c r="H104">
        <f t="array" ref="H104">SQRT(SUM(($D104:$E104-$N$8:$O$8)^2))</f>
        <v>3.5765620442986239</v>
      </c>
      <c r="I104">
        <f t="array" ref="I104">SQRT(SUM(($D104:$E104-$N$9:$O$9)^2))</f>
        <v>0.19801734763597945</v>
      </c>
      <c r="J104">
        <f t="shared" si="12"/>
        <v>0.19801734763597945</v>
      </c>
      <c r="R104">
        <v>5.9</v>
      </c>
      <c r="S104">
        <v>2.1</v>
      </c>
      <c r="T104">
        <f>IF(W104=AA104,1,IF(X104=AA104,2,IF(Y104=AA104,3,4)))</f>
        <v>1</v>
      </c>
    </row>
    <row r="105" spans="1:20" x14ac:dyDescent="0.3">
      <c r="A105">
        <v>5.6</v>
      </c>
      <c r="B105">
        <v>1.8</v>
      </c>
      <c r="C105">
        <f t="shared" si="11"/>
        <v>4</v>
      </c>
      <c r="D105">
        <f t="shared" si="13"/>
        <v>1.0469454037485708</v>
      </c>
      <c r="E105">
        <f t="shared" si="14"/>
        <v>0.79067065363707378</v>
      </c>
      <c r="F105">
        <f t="array" ref="F105">SQRT(SUM(($D105:$E105-$N$6:$O$6)^2))</f>
        <v>0.96960288968867359</v>
      </c>
      <c r="G105">
        <f t="array" ref="G105">SQRT(SUM(($D105:$E105-$N$7:$O$7)^2))</f>
        <v>2.983181868772161</v>
      </c>
      <c r="H105">
        <f t="array" ref="H105">SQRT(SUM(($D105:$E105-$N$8:$O$8)^2))</f>
        <v>3.1813285732382437</v>
      </c>
      <c r="I105">
        <f t="array" ref="I105">SQRT(SUM(($D105:$E105-$N$9:$O$9)^2))</f>
        <v>0.33783912518999321</v>
      </c>
      <c r="J105">
        <f t="shared" si="12"/>
        <v>0.33783912518999321</v>
      </c>
      <c r="R105">
        <v>5.6</v>
      </c>
      <c r="S105">
        <v>1.8</v>
      </c>
      <c r="T105">
        <f>IF(W105=AA105,1,IF(X105=AA105,2,IF(Y105=AA105,3,4)))</f>
        <v>1</v>
      </c>
    </row>
    <row r="106" spans="1:20" x14ac:dyDescent="0.3">
      <c r="A106">
        <v>5.8</v>
      </c>
      <c r="B106">
        <v>2.2000000000000002</v>
      </c>
      <c r="C106">
        <f t="shared" si="11"/>
        <v>4</v>
      </c>
      <c r="D106">
        <f t="shared" si="13"/>
        <v>1.1606202575757776</v>
      </c>
      <c r="E106">
        <f t="shared" si="14"/>
        <v>1.317199390798278</v>
      </c>
      <c r="F106">
        <f t="array" ref="F106">SQRT(SUM(($D106:$E106-$N$6:$O$6)^2))</f>
        <v>1.4342921951065799</v>
      </c>
      <c r="G106">
        <f t="array" ref="G106">SQRT(SUM(($D106:$E106-$N$7:$O$7)^2))</f>
        <v>3.4193841821551345</v>
      </c>
      <c r="H106">
        <f t="array" ref="H106">SQRT(SUM(($D106:$E106-$N$8:$O$8)^2))</f>
        <v>3.6314477761102495</v>
      </c>
      <c r="I106">
        <f t="array" ref="I106">SQRT(SUM(($D106:$E106-$N$9:$O$9)^2))</f>
        <v>0.23106909637161568</v>
      </c>
      <c r="J106">
        <f t="shared" si="12"/>
        <v>0.23106909637161568</v>
      </c>
      <c r="R106">
        <v>5.8</v>
      </c>
      <c r="S106">
        <v>2.2000000000000002</v>
      </c>
      <c r="T106">
        <f>IF(W106=AA106,1,IF(X106=AA106,2,IF(Y106=AA106,3,4)))</f>
        <v>1</v>
      </c>
    </row>
    <row r="107" spans="1:20" x14ac:dyDescent="0.3">
      <c r="A107">
        <v>6.6</v>
      </c>
      <c r="B107">
        <v>2.1</v>
      </c>
      <c r="C107">
        <f t="shared" si="11"/>
        <v>4</v>
      </c>
      <c r="D107">
        <f t="shared" si="13"/>
        <v>1.6153196728846038</v>
      </c>
      <c r="E107">
        <f t="shared" si="14"/>
        <v>1.1855672065079768</v>
      </c>
      <c r="F107">
        <f t="array" ref="F107">SQRT(SUM(($D107:$E107-$N$6:$O$6)^2))</f>
        <v>1.6599264958153024</v>
      </c>
      <c r="G107">
        <f t="array" ref="G107">SQRT(SUM(($D107:$E107-$N$7:$O$7)^2))</f>
        <v>3.6737879473082282</v>
      </c>
      <c r="H107">
        <f t="array" ref="H107">SQRT(SUM(($D107:$E107-$N$8:$O$8)^2))</f>
        <v>3.8690229301314076</v>
      </c>
      <c r="I107">
        <f t="array" ref="I107">SQRT(SUM(($D107:$E107-$N$9:$O$9)^2))</f>
        <v>0.59013674377668679</v>
      </c>
      <c r="J107">
        <f t="shared" si="12"/>
        <v>0.59013674377668679</v>
      </c>
      <c r="R107">
        <v>6.6</v>
      </c>
      <c r="S107">
        <v>2.1</v>
      </c>
      <c r="T107">
        <f>IF(W107=AA107,1,IF(X107=AA107,2,IF(Y107=AA107,3,4)))</f>
        <v>1</v>
      </c>
    </row>
    <row r="108" spans="1:20" x14ac:dyDescent="0.3">
      <c r="A108">
        <v>4.5</v>
      </c>
      <c r="B108">
        <v>1.7</v>
      </c>
      <c r="C108">
        <f t="shared" si="11"/>
        <v>1</v>
      </c>
      <c r="D108">
        <f t="shared" si="13"/>
        <v>0.42173370769893487</v>
      </c>
      <c r="E108">
        <f t="shared" si="14"/>
        <v>0.65903846934677268</v>
      </c>
      <c r="F108">
        <f t="array" ref="F108">SQRT(SUM(($D108:$E108-$N$6:$O$6)^2))</f>
        <v>0.50703563665444107</v>
      </c>
      <c r="G108">
        <f t="array" ref="G108">SQRT(SUM(($D108:$E108-$N$7:$O$7)^2))</f>
        <v>2.4317054423099966</v>
      </c>
      <c r="H108">
        <f t="array" ref="H108">SQRT(SUM(($D108:$E108-$N$8:$O$8)^2))</f>
        <v>2.6475677868196885</v>
      </c>
      <c r="I108">
        <f t="array" ref="I108">SQRT(SUM(($D108:$E108-$N$9:$O$9)^2))</f>
        <v>0.76646117142710679</v>
      </c>
      <c r="J108">
        <f t="shared" si="12"/>
        <v>0.50703563665444107</v>
      </c>
      <c r="R108">
        <v>4.5</v>
      </c>
      <c r="S108">
        <v>1.7</v>
      </c>
      <c r="T108">
        <f>IF(W108=AA108,1,IF(X108=AA108,2,IF(Y108=AA108,3,4)))</f>
        <v>1</v>
      </c>
    </row>
    <row r="109" spans="1:20" x14ac:dyDescent="0.3">
      <c r="A109">
        <v>6.3</v>
      </c>
      <c r="B109">
        <v>1.8</v>
      </c>
      <c r="C109">
        <f t="shared" si="11"/>
        <v>4</v>
      </c>
      <c r="D109">
        <f t="shared" si="13"/>
        <v>1.4448073921437941</v>
      </c>
      <c r="E109">
        <f t="shared" si="14"/>
        <v>0.79067065363707378</v>
      </c>
      <c r="F109">
        <f t="array" ref="F109">SQRT(SUM(($D109:$E109-$N$6:$O$6)^2))</f>
        <v>1.2992740918108945</v>
      </c>
      <c r="G109">
        <f t="array" ref="G109">SQRT(SUM(($D109:$E109-$N$7:$O$7)^2))</f>
        <v>3.3020434912250134</v>
      </c>
      <c r="H109">
        <f t="array" ref="H109">SQRT(SUM(($D109:$E109-$N$8:$O$8)^2))</f>
        <v>3.4875081588355412</v>
      </c>
      <c r="I109">
        <f t="array" ref="I109">SQRT(SUM(($D109:$E109-$N$9:$O$9)^2))</f>
        <v>0.53619499324128028</v>
      </c>
      <c r="J109">
        <f t="shared" si="12"/>
        <v>0.53619499324128028</v>
      </c>
      <c r="R109">
        <v>6.3</v>
      </c>
      <c r="S109">
        <v>1.8</v>
      </c>
      <c r="T109">
        <f>IF(W109=AA109,1,IF(X109=AA109,2,IF(Y109=AA109,3,4)))</f>
        <v>1</v>
      </c>
    </row>
    <row r="110" spans="1:20" x14ac:dyDescent="0.3">
      <c r="A110">
        <v>5.8</v>
      </c>
      <c r="B110">
        <v>1.8</v>
      </c>
      <c r="C110">
        <f t="shared" si="11"/>
        <v>4</v>
      </c>
      <c r="D110">
        <f t="shared" si="13"/>
        <v>1.1606202575757776</v>
      </c>
      <c r="E110">
        <f t="shared" si="14"/>
        <v>0.79067065363707378</v>
      </c>
      <c r="F110">
        <f t="array" ref="F110">SQRT(SUM(($D110:$E110-$N$6:$O$6)^2))</f>
        <v>1.0590252008935952</v>
      </c>
      <c r="G110">
        <f t="array" ref="G110">SQRT(SUM(($D110:$E110-$N$7:$O$7)^2))</f>
        <v>3.0724052520522238</v>
      </c>
      <c r="H110">
        <f t="array" ref="H110">SQRT(SUM(($D110:$E110-$N$8:$O$8)^2))</f>
        <v>3.2667928626784533</v>
      </c>
      <c r="I110">
        <f t="array" ref="I110">SQRT(SUM(($D110:$E110-$N$9:$O$9)^2))</f>
        <v>0.36244250720997884</v>
      </c>
      <c r="J110">
        <f t="shared" si="12"/>
        <v>0.36244250720997884</v>
      </c>
      <c r="R110">
        <v>5.8</v>
      </c>
      <c r="S110">
        <v>1.8</v>
      </c>
      <c r="T110">
        <f>IF(W110=AA110,1,IF(X110=AA110,2,IF(Y110=AA110,3,4)))</f>
        <v>1</v>
      </c>
    </row>
    <row r="111" spans="1:20" x14ac:dyDescent="0.3">
      <c r="A111">
        <v>6.1</v>
      </c>
      <c r="B111">
        <v>2.5</v>
      </c>
      <c r="C111">
        <f t="shared" si="11"/>
        <v>4</v>
      </c>
      <c r="D111">
        <f t="shared" si="13"/>
        <v>1.3311325383165873</v>
      </c>
      <c r="E111">
        <f t="shared" si="14"/>
        <v>1.7120959436691805</v>
      </c>
      <c r="F111">
        <f t="array" ref="F111">SQRT(SUM(($D111:$E111-$N$6:$O$6)^2))</f>
        <v>1.8556322050563729</v>
      </c>
      <c r="G111">
        <f t="array" ref="G111">SQRT(SUM(($D111:$E111-$N$7:$O$7)^2))</f>
        <v>3.8215636619921107</v>
      </c>
      <c r="H111">
        <f t="array" ref="H111">SQRT(SUM(($D111:$E111-$N$8:$O$8)^2))</f>
        <v>4.038932061844358</v>
      </c>
      <c r="I111">
        <f t="array" ref="I111">SQRT(SUM(($D111:$E111-$N$9:$O$9)^2))</f>
        <v>0.65809057622519673</v>
      </c>
      <c r="J111">
        <f t="shared" si="12"/>
        <v>0.65809057622519673</v>
      </c>
      <c r="R111">
        <v>6.1</v>
      </c>
      <c r="S111">
        <v>2.5</v>
      </c>
      <c r="T111">
        <f>IF(W111=AA111,1,IF(X111=AA111,2,IF(Y111=AA111,3,4)))</f>
        <v>1</v>
      </c>
    </row>
    <row r="112" spans="1:20" x14ac:dyDescent="0.3">
      <c r="A112">
        <v>5.0999999999999996</v>
      </c>
      <c r="B112">
        <v>2</v>
      </c>
      <c r="C112">
        <f t="shared" si="11"/>
        <v>4</v>
      </c>
      <c r="D112">
        <f t="shared" si="13"/>
        <v>0.76275826918055445</v>
      </c>
      <c r="E112">
        <f t="shared" si="14"/>
        <v>1.0539350222176758</v>
      </c>
      <c r="F112">
        <f t="array" ref="F112">SQRT(SUM(($D112:$E112-$N$6:$O$6)^2))</f>
        <v>0.99910321072664332</v>
      </c>
      <c r="G112">
        <f t="array" ref="G112">SQRT(SUM(($D112:$E112-$N$7:$O$7)^2))</f>
        <v>2.9527343839807032</v>
      </c>
      <c r="H112">
        <f t="array" ref="H112">SQRT(SUM(($D112:$E112-$N$8:$O$8)^2))</f>
        <v>3.1693278469095141</v>
      </c>
      <c r="I112">
        <f t="array" ref="I112">SQRT(SUM(($D112:$E112-$N$9:$O$9)^2))</f>
        <v>0.27538217444934465</v>
      </c>
      <c r="J112">
        <f t="shared" si="12"/>
        <v>0.27538217444934465</v>
      </c>
      <c r="R112">
        <v>5.0999999999999996</v>
      </c>
      <c r="S112">
        <v>2</v>
      </c>
      <c r="T112">
        <f>IF(W112=AA112,1,IF(X112=AA112,2,IF(Y112=AA112,3,4)))</f>
        <v>1</v>
      </c>
    </row>
    <row r="113" spans="1:20" x14ac:dyDescent="0.3">
      <c r="A113">
        <v>5.3</v>
      </c>
      <c r="B113">
        <v>1.9</v>
      </c>
      <c r="C113">
        <f t="shared" si="11"/>
        <v>4</v>
      </c>
      <c r="D113">
        <f t="shared" si="13"/>
        <v>0.87643312300776111</v>
      </c>
      <c r="E113">
        <f t="shared" si="14"/>
        <v>0.92230283792737455</v>
      </c>
      <c r="F113">
        <f t="array" ref="F113">SQRT(SUM(($D113:$E113-$N$6:$O$6)^2))</f>
        <v>0.94784707463453699</v>
      </c>
      <c r="G113">
        <f t="array" ref="G113">SQRT(SUM(($D113:$E113-$N$7:$O$7)^2))</f>
        <v>2.9408381364677689</v>
      </c>
      <c r="H113">
        <f t="array" ref="H113">SQRT(SUM(($D113:$E113-$N$8:$O$8)^2))</f>
        <v>3.1495350374581408</v>
      </c>
      <c r="I113">
        <f t="array" ref="I113">SQRT(SUM(($D113:$E113-$N$9:$O$9)^2))</f>
        <v>0.25548917675604582</v>
      </c>
      <c r="J113">
        <f t="shared" si="12"/>
        <v>0.25548917675604582</v>
      </c>
      <c r="R113">
        <v>5.3</v>
      </c>
      <c r="S113">
        <v>1.9</v>
      </c>
      <c r="T113">
        <f>IF(W113=AA113,1,IF(X113=AA113,2,IF(Y113=AA113,3,4)))</f>
        <v>1</v>
      </c>
    </row>
    <row r="114" spans="1:20" x14ac:dyDescent="0.3">
      <c r="A114">
        <v>5.5</v>
      </c>
      <c r="B114">
        <v>2.1</v>
      </c>
      <c r="C114">
        <f t="shared" si="11"/>
        <v>4</v>
      </c>
      <c r="D114">
        <f t="shared" si="13"/>
        <v>0.99010797683496776</v>
      </c>
      <c r="E114">
        <f t="shared" si="14"/>
        <v>1.1855672065079768</v>
      </c>
      <c r="F114">
        <f t="array" ref="F114">SQRT(SUM(($D114:$E114-$N$6:$O$6)^2))</f>
        <v>1.2283658390554495</v>
      </c>
      <c r="G114">
        <f t="array" ref="G114">SQRT(SUM(($D114:$E114-$N$7:$O$7)^2))</f>
        <v>3.2056699884048823</v>
      </c>
      <c r="H114">
        <f t="array" ref="H114">SQRT(SUM(($D114:$E114-$N$8:$O$8)^2))</f>
        <v>3.4190097723212114</v>
      </c>
      <c r="I114">
        <f t="array" ref="I114">SQRT(SUM(($D114:$E114-$N$9:$O$9)^2))</f>
        <v>6.8936760278946213E-2</v>
      </c>
      <c r="J114">
        <f t="shared" si="12"/>
        <v>6.8936760278946213E-2</v>
      </c>
      <c r="R114">
        <v>5.5</v>
      </c>
      <c r="S114">
        <v>2.1</v>
      </c>
      <c r="T114">
        <f>IF(W114=AA114,1,IF(X114=AA114,2,IF(Y114=AA114,3,4)))</f>
        <v>1</v>
      </c>
    </row>
    <row r="115" spans="1:20" x14ac:dyDescent="0.3">
      <c r="A115">
        <v>5</v>
      </c>
      <c r="B115">
        <v>2</v>
      </c>
      <c r="C115">
        <f t="shared" si="11"/>
        <v>4</v>
      </c>
      <c r="D115">
        <f t="shared" si="13"/>
        <v>0.70592084226695129</v>
      </c>
      <c r="E115">
        <f t="shared" si="14"/>
        <v>1.0539350222176758</v>
      </c>
      <c r="F115">
        <f t="array" ref="F115">SQRT(SUM(($D115:$E115-$N$6:$O$6)^2))</f>
        <v>0.97442358845771515</v>
      </c>
      <c r="G115">
        <f t="array" ref="G115">SQRT(SUM(($D115:$E115-$N$7:$O$7)^2))</f>
        <v>2.9138439847192252</v>
      </c>
      <c r="H115">
        <f t="array" ref="H115">SQRT(SUM(($D115:$E115-$N$8:$O$8)^2))</f>
        <v>3.1322664881998405</v>
      </c>
      <c r="I115">
        <f t="array" ref="I115">SQRT(SUM(($D115:$E115-$N$9:$O$9)^2))</f>
        <v>0.33048011138154887</v>
      </c>
      <c r="J115">
        <f t="shared" si="12"/>
        <v>0.33048011138154887</v>
      </c>
      <c r="R115">
        <v>5</v>
      </c>
      <c r="S115">
        <v>2</v>
      </c>
      <c r="T115">
        <f>IF(W115=AA115,1,IF(X115=AA115,2,IF(Y115=AA115,3,4)))</f>
        <v>1</v>
      </c>
    </row>
    <row r="116" spans="1:20" x14ac:dyDescent="0.3">
      <c r="A116">
        <v>5.0999999999999996</v>
      </c>
      <c r="B116">
        <v>2.4</v>
      </c>
      <c r="C116">
        <f t="shared" si="11"/>
        <v>4</v>
      </c>
      <c r="D116">
        <f t="shared" si="13"/>
        <v>0.76275826918055445</v>
      </c>
      <c r="E116">
        <f t="shared" si="14"/>
        <v>1.5804637593788795</v>
      </c>
      <c r="F116">
        <f t="array" ref="F116">SQRT(SUM(($D116:$E116-$N$6:$O$6)^2))</f>
        <v>1.4869766176899994</v>
      </c>
      <c r="G116">
        <f t="array" ref="G116">SQRT(SUM(($D116:$E116-$N$7:$O$7)^2))</f>
        <v>3.3538615066417283</v>
      </c>
      <c r="H116">
        <f t="array" ref="H116">SQRT(SUM(($D116:$E116-$N$8:$O$8)^2))</f>
        <v>3.5829246231565994</v>
      </c>
      <c r="I116">
        <f t="array" ref="I116">SQRT(SUM(($D116:$E116-$N$9:$O$9)^2))</f>
        <v>0.52449614805674283</v>
      </c>
      <c r="J116">
        <f t="shared" si="12"/>
        <v>0.52449614805674283</v>
      </c>
      <c r="R116">
        <v>5.0999999999999996</v>
      </c>
      <c r="S116">
        <v>2.4</v>
      </c>
      <c r="T116">
        <f>IF(W116=AA116,1,IF(X116=AA116,2,IF(Y116=AA116,3,4)))</f>
        <v>1</v>
      </c>
    </row>
    <row r="117" spans="1:20" x14ac:dyDescent="0.3">
      <c r="A117">
        <v>5.3</v>
      </c>
      <c r="B117">
        <v>2.2999999999999998</v>
      </c>
      <c r="C117">
        <f t="shared" si="11"/>
        <v>4</v>
      </c>
      <c r="D117">
        <f t="shared" si="13"/>
        <v>0.87643312300776111</v>
      </c>
      <c r="E117">
        <f t="shared" si="14"/>
        <v>1.4488315750885783</v>
      </c>
      <c r="F117">
        <f t="array" ref="F117">SQRT(SUM(($D117:$E117-$N$6:$O$6)^2))</f>
        <v>1.404524851057277</v>
      </c>
      <c r="G117">
        <f t="array" ref="G117">SQRT(SUM(($D117:$E117-$N$7:$O$7)^2))</f>
        <v>3.3225982833869869</v>
      </c>
      <c r="H117">
        <f t="array" ref="H117">SQRT(SUM(($D117:$E117-$N$8:$O$8)^2))</f>
        <v>3.5459363432912796</v>
      </c>
      <c r="I117">
        <f t="array" ref="I117">SQRT(SUM(($D117:$E117-$N$9:$O$9)^2))</f>
        <v>0.35485113954038122</v>
      </c>
      <c r="J117">
        <f t="shared" si="12"/>
        <v>0.35485113954038122</v>
      </c>
      <c r="R117">
        <v>5.3</v>
      </c>
      <c r="S117">
        <v>2.2999999999999998</v>
      </c>
      <c r="T117">
        <f>IF(W117=AA117,1,IF(X117=AA117,2,IF(Y117=AA117,3,4)))</f>
        <v>1</v>
      </c>
    </row>
    <row r="118" spans="1:20" x14ac:dyDescent="0.3">
      <c r="A118">
        <v>5.5</v>
      </c>
      <c r="B118">
        <v>1.8</v>
      </c>
      <c r="C118">
        <f t="shared" si="11"/>
        <v>4</v>
      </c>
      <c r="D118">
        <f t="shared" si="13"/>
        <v>0.99010797683496776</v>
      </c>
      <c r="E118">
        <f t="shared" si="14"/>
        <v>0.79067065363707378</v>
      </c>
      <c r="F118">
        <f t="array" ref="F118">SQRT(SUM(($D118:$E118-$N$6:$O$6)^2))</f>
        <v>0.92688669036164151</v>
      </c>
      <c r="G118">
        <f t="array" ref="G118">SQRT(SUM(($D118:$E118-$N$7:$O$7)^2))</f>
        <v>2.9392032179030902</v>
      </c>
      <c r="H118">
        <f t="array" ref="H118">SQRT(SUM(($D118:$E118-$N$8:$O$8)^2))</f>
        <v>3.1392675756972608</v>
      </c>
      <c r="I118">
        <f t="array" ref="I118">SQRT(SUM(($D118:$E118-$N$9:$O$9)^2))</f>
        <v>0.33942908764845076</v>
      </c>
      <c r="J118">
        <f t="shared" si="12"/>
        <v>0.33942908764845076</v>
      </c>
      <c r="R118">
        <v>5.5</v>
      </c>
      <c r="S118">
        <v>1.8</v>
      </c>
      <c r="T118">
        <f>IF(W118=AA118,1,IF(X118=AA118,2,IF(Y118=AA118,3,4)))</f>
        <v>1</v>
      </c>
    </row>
    <row r="119" spans="1:20" x14ac:dyDescent="0.3">
      <c r="A119">
        <v>6.7</v>
      </c>
      <c r="B119">
        <v>2.2000000000000002</v>
      </c>
      <c r="C119">
        <f t="shared" si="11"/>
        <v>4</v>
      </c>
      <c r="D119">
        <f t="shared" si="13"/>
        <v>1.6721570997982074</v>
      </c>
      <c r="E119">
        <f t="shared" si="14"/>
        <v>1.317199390798278</v>
      </c>
      <c r="F119">
        <f t="array" ref="F119">SQRT(SUM(($D119:$E119-$N$6:$O$6)^2))</f>
        <v>1.786990115702751</v>
      </c>
      <c r="G119">
        <f t="array" ref="G119">SQRT(SUM(($D119:$E119-$N$7:$O$7)^2))</f>
        <v>3.8004416677397597</v>
      </c>
      <c r="H119">
        <f t="array" ref="H119">SQRT(SUM(($D119:$E119-$N$8:$O$8)^2))</f>
        <v>3.9983884619538226</v>
      </c>
      <c r="I119">
        <f t="array" ref="I119">SQRT(SUM(($D119:$E119-$N$9:$O$9)^2))</f>
        <v>0.67137439508189178</v>
      </c>
      <c r="J119">
        <f t="shared" si="12"/>
        <v>0.67137439508189178</v>
      </c>
      <c r="R119">
        <v>6.7</v>
      </c>
      <c r="S119">
        <v>2.2000000000000002</v>
      </c>
      <c r="T119">
        <f>IF(W119=AA119,1,IF(X119=AA119,2,IF(Y119=AA119,3,4)))</f>
        <v>1</v>
      </c>
    </row>
    <row r="120" spans="1:20" x14ac:dyDescent="0.3">
      <c r="A120">
        <v>6.9</v>
      </c>
      <c r="B120">
        <v>2.2999999999999998</v>
      </c>
      <c r="C120">
        <f t="shared" si="11"/>
        <v>4</v>
      </c>
      <c r="D120">
        <f t="shared" si="13"/>
        <v>1.7858319536254139</v>
      </c>
      <c r="E120">
        <f t="shared" si="14"/>
        <v>1.4488315750885783</v>
      </c>
      <c r="F120">
        <f t="array" ref="F120">SQRT(SUM(($D120:$E120-$N$6:$O$6)^2))</f>
        <v>1.9589359543595573</v>
      </c>
      <c r="G120">
        <f t="array" ref="G120">SQRT(SUM(($D120:$E120-$N$7:$O$7)^2))</f>
        <v>3.9718461997750532</v>
      </c>
      <c r="H120">
        <f t="array" ref="H120">SQRT(SUM(($D120:$E120-$N$8:$O$8)^2))</f>
        <v>4.1708321233534127</v>
      </c>
      <c r="I120">
        <f t="array" ref="I120">SQRT(SUM(($D120:$E120-$N$9:$O$9)^2))</f>
        <v>0.82295614706107489</v>
      </c>
      <c r="J120">
        <f t="shared" si="12"/>
        <v>0.82295614706107489</v>
      </c>
      <c r="R120">
        <v>6.9</v>
      </c>
      <c r="S120">
        <v>2.2999999999999998</v>
      </c>
      <c r="T120">
        <f>IF(W120=AA120,1,IF(X120=AA120,2,IF(Y120=AA120,3,4)))</f>
        <v>1</v>
      </c>
    </row>
    <row r="121" spans="1:20" x14ac:dyDescent="0.3">
      <c r="A121">
        <v>5</v>
      </c>
      <c r="B121">
        <v>1.5</v>
      </c>
      <c r="C121">
        <f t="shared" si="11"/>
        <v>1</v>
      </c>
      <c r="D121">
        <f t="shared" si="13"/>
        <v>0.70592084226695129</v>
      </c>
      <c r="E121">
        <f t="shared" si="14"/>
        <v>0.3957741007661707</v>
      </c>
      <c r="F121">
        <f t="array" ref="F121">SQRT(SUM(($D121:$E121-$N$6:$O$6)^2))</f>
        <v>0.46163023324820335</v>
      </c>
      <c r="G121">
        <f t="array" ref="G121">SQRT(SUM(($D121:$E121-$N$7:$O$7)^2))</f>
        <v>2.4714408500694476</v>
      </c>
      <c r="H121">
        <f t="array" ref="H121">SQRT(SUM(($D121:$E121-$N$8:$O$8)^2))</f>
        <v>2.6645679711567061</v>
      </c>
      <c r="I121">
        <f t="array" ref="I121">SQRT(SUM(($D121:$E121-$N$9:$O$9)^2))</f>
        <v>0.79991090579700241</v>
      </c>
      <c r="J121">
        <f t="shared" si="12"/>
        <v>0.46163023324820335</v>
      </c>
      <c r="R121">
        <v>5</v>
      </c>
      <c r="S121">
        <v>1.5</v>
      </c>
      <c r="T121">
        <f>IF(W121=AA121,1,IF(X121=AA121,2,IF(Y121=AA121,3,4)))</f>
        <v>1</v>
      </c>
    </row>
    <row r="122" spans="1:20" x14ac:dyDescent="0.3">
      <c r="A122">
        <v>5.7</v>
      </c>
      <c r="B122">
        <v>2.2999999999999998</v>
      </c>
      <c r="C122">
        <f t="shared" si="11"/>
        <v>4</v>
      </c>
      <c r="D122">
        <f t="shared" si="13"/>
        <v>1.1037828306621744</v>
      </c>
      <c r="E122">
        <f t="shared" si="14"/>
        <v>1.4488315750885783</v>
      </c>
      <c r="F122">
        <f t="array" ref="F122">SQRT(SUM(($D122:$E122-$N$6:$O$6)^2))</f>
        <v>1.5112284382372856</v>
      </c>
      <c r="G122">
        <f t="array" ref="G122">SQRT(SUM(($D122:$E122-$N$7:$O$7)^2))</f>
        <v>3.4739849459273504</v>
      </c>
      <c r="H122">
        <f t="array" ref="H122">SQRT(SUM(($D122:$E122-$N$8:$O$8)^2))</f>
        <v>3.6910899331488785</v>
      </c>
      <c r="I122">
        <f t="array" ref="I122">SQRT(SUM(($D122:$E122-$N$9:$O$9)^2))</f>
        <v>0.32968171728136714</v>
      </c>
      <c r="J122">
        <f t="shared" si="12"/>
        <v>0.32968171728136714</v>
      </c>
      <c r="R122">
        <v>5.7</v>
      </c>
      <c r="S122">
        <v>2.2999999999999998</v>
      </c>
      <c r="T122">
        <f>IF(W122=AA122,1,IF(X122=AA122,2,IF(Y122=AA122,3,4)))</f>
        <v>1</v>
      </c>
    </row>
    <row r="123" spans="1:20" x14ac:dyDescent="0.3">
      <c r="A123">
        <v>4.9000000000000004</v>
      </c>
      <c r="B123">
        <v>2</v>
      </c>
      <c r="C123">
        <f t="shared" si="11"/>
        <v>4</v>
      </c>
      <c r="D123">
        <f t="shared" si="13"/>
        <v>0.64908341535334824</v>
      </c>
      <c r="E123">
        <f t="shared" si="14"/>
        <v>1.0539350222176758</v>
      </c>
      <c r="F123">
        <f t="array" ref="F123">SQRT(SUM(($D123:$E123-$N$6:$O$6)^2))</f>
        <v>0.95250008923760843</v>
      </c>
      <c r="G123">
        <f t="array" ref="G123">SQRT(SUM(($D123:$E123-$N$7:$O$7)^2))</f>
        <v>2.8755511086439132</v>
      </c>
      <c r="H123">
        <f t="array" ref="H123">SQRT(SUM(($D123:$E123-$N$8:$O$8)^2))</f>
        <v>3.0958050150485494</v>
      </c>
      <c r="I123">
        <f t="array" ref="I123">SQRT(SUM(($D123:$E123-$N$9:$O$9)^2))</f>
        <v>0.38608270128223937</v>
      </c>
      <c r="J123">
        <f t="shared" si="12"/>
        <v>0.38608270128223937</v>
      </c>
      <c r="R123">
        <v>4.9000000000000004</v>
      </c>
      <c r="S123">
        <v>2</v>
      </c>
      <c r="T123">
        <f>IF(W123=AA123,1,IF(X123=AA123,2,IF(Y123=AA123,3,4)))</f>
        <v>1</v>
      </c>
    </row>
    <row r="124" spans="1:20" x14ac:dyDescent="0.3">
      <c r="A124">
        <v>6.7</v>
      </c>
      <c r="B124">
        <v>2</v>
      </c>
      <c r="C124">
        <f t="shared" si="11"/>
        <v>4</v>
      </c>
      <c r="D124">
        <f t="shared" si="13"/>
        <v>1.6721570997982074</v>
      </c>
      <c r="E124">
        <f t="shared" si="14"/>
        <v>1.0539350222176758</v>
      </c>
      <c r="F124">
        <f t="array" ref="F124">SQRT(SUM(($D124:$E124-$N$6:$O$6)^2))</f>
        <v>1.6297839376577568</v>
      </c>
      <c r="G124">
        <f t="array" ref="G124">SQRT(SUM(($D124:$E124-$N$7:$O$7)^2))</f>
        <v>3.6397515939911469</v>
      </c>
      <c r="H124">
        <f t="array" ref="H124">SQRT(SUM(($D124:$E124-$N$8:$O$8)^2))</f>
        <v>3.8288462352824659</v>
      </c>
      <c r="I124">
        <f t="array" ref="I124">SQRT(SUM(($D124:$E124-$N$9:$O$9)^2))</f>
        <v>0.64839900715127818</v>
      </c>
      <c r="J124">
        <f t="shared" si="12"/>
        <v>0.64839900715127818</v>
      </c>
      <c r="R124">
        <v>6.7</v>
      </c>
      <c r="S124">
        <v>2</v>
      </c>
      <c r="T124">
        <f>IF(W124=AA124,1,IF(X124=AA124,2,IF(Y124=AA124,3,4)))</f>
        <v>1</v>
      </c>
    </row>
    <row r="125" spans="1:20" x14ac:dyDescent="0.3">
      <c r="A125">
        <v>4.9000000000000004</v>
      </c>
      <c r="B125">
        <v>1.8</v>
      </c>
      <c r="C125">
        <f t="shared" si="11"/>
        <v>4</v>
      </c>
      <c r="D125">
        <f t="shared" si="13"/>
        <v>0.64908341535334824</v>
      </c>
      <c r="E125">
        <f t="shared" si="14"/>
        <v>0.79067065363707378</v>
      </c>
      <c r="F125">
        <f t="array" ref="F125">SQRT(SUM(($D125:$E125-$N$6:$O$6)^2))</f>
        <v>0.71325639524215234</v>
      </c>
      <c r="G125">
        <f t="array" ref="G125">SQRT(SUM(($D125:$E125-$N$7:$O$7)^2))</f>
        <v>2.6854878942233302</v>
      </c>
      <c r="H125">
        <f t="array" ref="H125">SQRT(SUM(($D125:$E125-$N$8:$O$8)^2))</f>
        <v>2.897512406786086</v>
      </c>
      <c r="I125">
        <f t="array" ref="I125">SQRT(SUM(($D125:$E125-$N$9:$O$9)^2))</f>
        <v>0.50730050449498298</v>
      </c>
      <c r="J125">
        <f t="shared" si="12"/>
        <v>0.50730050449498298</v>
      </c>
      <c r="R125">
        <v>4.9000000000000004</v>
      </c>
      <c r="S125">
        <v>1.8</v>
      </c>
      <c r="T125">
        <f>IF(W125=AA125,1,IF(X125=AA125,2,IF(Y125=AA125,3,4)))</f>
        <v>1</v>
      </c>
    </row>
    <row r="126" spans="1:20" x14ac:dyDescent="0.3">
      <c r="A126">
        <v>5.7</v>
      </c>
      <c r="B126">
        <v>2.1</v>
      </c>
      <c r="C126">
        <f t="shared" si="11"/>
        <v>4</v>
      </c>
      <c r="D126">
        <f t="shared" si="13"/>
        <v>1.1037828306621744</v>
      </c>
      <c r="E126">
        <f t="shared" si="14"/>
        <v>1.1855672065079768</v>
      </c>
      <c r="F126">
        <f t="array" ref="F126">SQRT(SUM(($D126:$E126-$N$6:$O$6)^2))</f>
        <v>1.2951313734910659</v>
      </c>
      <c r="G126">
        <f t="array" ref="G126">SQRT(SUM(($D126:$E126-$N$7:$O$7)^2))</f>
        <v>3.2868979407389953</v>
      </c>
      <c r="H126">
        <f t="array" ref="H126">SQRT(SUM(($D126:$E126-$N$8:$O$8)^2))</f>
        <v>3.4968256987702588</v>
      </c>
      <c r="I126">
        <f t="array" ref="I126">SQRT(SUM(($D126:$E126-$N$9:$O$9)^2))</f>
        <v>9.5181936566954742E-2</v>
      </c>
      <c r="J126">
        <f t="shared" si="12"/>
        <v>9.5181936566954742E-2</v>
      </c>
      <c r="R126">
        <v>5.7</v>
      </c>
      <c r="S126">
        <v>2.1</v>
      </c>
      <c r="T126">
        <f>IF(W126=AA126,1,IF(X126=AA126,2,IF(Y126=AA126,3,4)))</f>
        <v>1</v>
      </c>
    </row>
    <row r="127" spans="1:20" x14ac:dyDescent="0.3">
      <c r="A127">
        <v>6</v>
      </c>
      <c r="B127">
        <v>1.8</v>
      </c>
      <c r="C127">
        <f t="shared" si="11"/>
        <v>4</v>
      </c>
      <c r="D127">
        <f t="shared" si="13"/>
        <v>1.2742951114029841</v>
      </c>
      <c r="E127">
        <f t="shared" si="14"/>
        <v>0.79067065363707378</v>
      </c>
      <c r="F127">
        <f t="array" ref="F127">SQRT(SUM(($D127:$E127-$N$6:$O$6)^2))</f>
        <v>1.15272847338308</v>
      </c>
      <c r="G127">
        <f t="array" ref="G127">SQRT(SUM(($D127:$E127-$N$7:$O$7)^2))</f>
        <v>3.1631974248046055</v>
      </c>
      <c r="H127">
        <f t="array" ref="H127">SQRT(SUM(($D127:$E127-$N$8:$O$8)^2))</f>
        <v>3.3539325677742777</v>
      </c>
      <c r="I127">
        <f t="array" ref="I127">SQRT(SUM(($D127:$E127-$N$9:$O$9)^2))</f>
        <v>0.41765752997096173</v>
      </c>
      <c r="J127">
        <f t="shared" si="12"/>
        <v>0.41765752997096173</v>
      </c>
      <c r="R127">
        <v>6</v>
      </c>
      <c r="S127">
        <v>1.8</v>
      </c>
      <c r="T127">
        <f>IF(W127=AA127,1,IF(X127=AA127,2,IF(Y127=AA127,3,4)))</f>
        <v>1</v>
      </c>
    </row>
    <row r="128" spans="1:20" x14ac:dyDescent="0.3">
      <c r="A128">
        <v>4.8</v>
      </c>
      <c r="B128">
        <v>1.8</v>
      </c>
      <c r="C128">
        <f t="shared" si="11"/>
        <v>4</v>
      </c>
      <c r="D128">
        <f t="shared" si="13"/>
        <v>0.59224598843974463</v>
      </c>
      <c r="E128">
        <f t="shared" si="14"/>
        <v>0.79067065363707378</v>
      </c>
      <c r="F128">
        <f t="array" ref="F128">SQRT(SUM(($D128:$E128-$N$6:$O$6)^2))</f>
        <v>0.68771415704854366</v>
      </c>
      <c r="G128">
        <f t="array" ref="G128">SQRT(SUM(($D128:$E128-$N$7:$O$7)^2))</f>
        <v>2.6451112693713283</v>
      </c>
      <c r="H128">
        <f t="array" ref="H128">SQRT(SUM(($D128:$E128-$N$8:$O$8)^2))</f>
        <v>2.8591877293692347</v>
      </c>
      <c r="I128">
        <f t="array" ref="I128">SQRT(SUM(($D128:$E128-$N$9:$O$9)^2))</f>
        <v>0.55105130094013288</v>
      </c>
      <c r="J128">
        <f t="shared" si="12"/>
        <v>0.55105130094013288</v>
      </c>
      <c r="R128">
        <v>4.8</v>
      </c>
      <c r="S128">
        <v>1.8</v>
      </c>
      <c r="T128">
        <f>IF(W128=AA128,1,IF(X128=AA128,2,IF(Y128=AA128,3,4)))</f>
        <v>1</v>
      </c>
    </row>
    <row r="129" spans="1:20" x14ac:dyDescent="0.3">
      <c r="A129">
        <v>4.9000000000000004</v>
      </c>
      <c r="B129">
        <v>1.8</v>
      </c>
      <c r="C129">
        <f t="shared" si="11"/>
        <v>4</v>
      </c>
      <c r="D129">
        <f t="shared" si="13"/>
        <v>0.64908341535334824</v>
      </c>
      <c r="E129">
        <f t="shared" si="14"/>
        <v>0.79067065363707378</v>
      </c>
      <c r="F129">
        <f t="array" ref="F129">SQRT(SUM(($D129:$E129-$N$6:$O$6)^2))</f>
        <v>0.71325639524215234</v>
      </c>
      <c r="G129">
        <f t="array" ref="G129">SQRT(SUM(($D129:$E129-$N$7:$O$7)^2))</f>
        <v>2.6854878942233302</v>
      </c>
      <c r="H129">
        <f t="array" ref="H129">SQRT(SUM(($D129:$E129-$N$8:$O$8)^2))</f>
        <v>2.897512406786086</v>
      </c>
      <c r="I129">
        <f t="array" ref="I129">SQRT(SUM(($D129:$E129-$N$9:$O$9)^2))</f>
        <v>0.50730050449498298</v>
      </c>
      <c r="J129">
        <f t="shared" si="12"/>
        <v>0.50730050449498298</v>
      </c>
      <c r="R129">
        <v>4.9000000000000004</v>
      </c>
      <c r="S129">
        <v>1.8</v>
      </c>
      <c r="T129">
        <f>IF(W129=AA129,1,IF(X129=AA129,2,IF(Y129=AA129,3,4)))</f>
        <v>1</v>
      </c>
    </row>
    <row r="130" spans="1:20" x14ac:dyDescent="0.3">
      <c r="A130">
        <v>5.6</v>
      </c>
      <c r="B130">
        <v>2.1</v>
      </c>
      <c r="C130">
        <f t="shared" si="11"/>
        <v>4</v>
      </c>
      <c r="D130">
        <f t="shared" ref="D130:D151" si="15">(A130-M$2)/M$3</f>
        <v>1.0469454037485708</v>
      </c>
      <c r="E130">
        <f t="shared" ref="E130:E151" si="16">(B130-N$2)/N$3</f>
        <v>1.1855672065079768</v>
      </c>
      <c r="F130">
        <f t="array" ref="F130">SQRT(SUM(($D130:$E130-$N$6:$O$6)^2))</f>
        <v>1.2609097753136294</v>
      </c>
      <c r="G130">
        <f t="array" ref="G130">SQRT(SUM(($D130:$E130-$N$7:$O$7)^2))</f>
        <v>3.2460404465438879</v>
      </c>
      <c r="H130">
        <f t="array" ref="H130">SQRT(SUM(($D130:$E130-$N$8:$O$8)^2))</f>
        <v>3.4576695044937229</v>
      </c>
      <c r="I130">
        <f t="array" ref="I130">SQRT(SUM(($D130:$E130-$N$9:$O$9)^2))</f>
        <v>6.0625455751170537E-2</v>
      </c>
      <c r="J130">
        <f t="shared" si="12"/>
        <v>6.0625455751170537E-2</v>
      </c>
      <c r="R130">
        <v>5.6</v>
      </c>
      <c r="S130">
        <v>2.1</v>
      </c>
      <c r="T130">
        <f>IF(W130=AA130,1,IF(X130=AA130,2,IF(Y130=AA130,3,4)))</f>
        <v>1</v>
      </c>
    </row>
    <row r="131" spans="1:20" x14ac:dyDescent="0.3">
      <c r="A131">
        <v>5.8</v>
      </c>
      <c r="B131">
        <v>1.6</v>
      </c>
      <c r="C131">
        <f t="shared" ref="C131:C151" si="17">IF(F131=J131,1,IF(G131=J131,2,IF(H131=J131,3,4)))</f>
        <v>4</v>
      </c>
      <c r="D131">
        <f t="shared" si="15"/>
        <v>1.1606202575757776</v>
      </c>
      <c r="E131">
        <f t="shared" si="16"/>
        <v>0.5274062850564718</v>
      </c>
      <c r="F131">
        <f t="array" ref="F131">SQRT(SUM(($D131:$E131-$N$6:$O$6)^2))</f>
        <v>0.928239676491036</v>
      </c>
      <c r="G131">
        <f t="array" ref="G131">SQRT(SUM(($D131:$E131-$N$7:$O$7)^2))</f>
        <v>2.9191336625723725</v>
      </c>
      <c r="H131">
        <f t="array" ref="H131">SQRT(SUM(($D131:$E131-$N$8:$O$8)^2))</f>
        <v>3.1019544354253039</v>
      </c>
      <c r="I131">
        <f t="array" ref="I131">SQRT(SUM(($D131:$E131-$N$9:$O$9)^2))</f>
        <v>0.61504046711774585</v>
      </c>
      <c r="J131">
        <f t="shared" ref="J131:J151" si="18">MIN(F131:I131)</f>
        <v>0.61504046711774585</v>
      </c>
      <c r="R131">
        <v>5.8</v>
      </c>
      <c r="S131">
        <v>1.6</v>
      </c>
      <c r="T131">
        <f>IF(W131=AA131,1,IF(X131=AA131,2,IF(Y131=AA131,3,4)))</f>
        <v>1</v>
      </c>
    </row>
    <row r="132" spans="1:20" x14ac:dyDescent="0.3">
      <c r="A132">
        <v>6.1</v>
      </c>
      <c r="B132">
        <v>1.9</v>
      </c>
      <c r="C132">
        <f t="shared" si="17"/>
        <v>4</v>
      </c>
      <c r="D132">
        <f t="shared" si="15"/>
        <v>1.3311325383165873</v>
      </c>
      <c r="E132">
        <f t="shared" si="16"/>
        <v>0.92230283792737455</v>
      </c>
      <c r="F132">
        <f t="array" ref="F132">SQRT(SUM(($D132:$E132-$N$6:$O$6)^2))</f>
        <v>1.2743753476247186</v>
      </c>
      <c r="G132">
        <f t="array" ref="G132">SQRT(SUM(($D132:$E132-$N$7:$O$7)^2))</f>
        <v>3.2878152058124739</v>
      </c>
      <c r="H132">
        <f t="array" ref="H132">SQRT(SUM(($D132:$E132-$N$8:$O$8)^2))</f>
        <v>3.4819401802954149</v>
      </c>
      <c r="I132">
        <f t="array" ref="I132">SQRT(SUM(($D132:$E132-$N$9:$O$9)^2))</f>
        <v>0.36632213355671611</v>
      </c>
      <c r="J132">
        <f t="shared" si="18"/>
        <v>0.36632213355671611</v>
      </c>
      <c r="R132">
        <v>6.1</v>
      </c>
      <c r="S132">
        <v>1.9</v>
      </c>
      <c r="T132">
        <f>IF(W132=AA132,1,IF(X132=AA132,2,IF(Y132=AA132,3,4)))</f>
        <v>1</v>
      </c>
    </row>
    <row r="133" spans="1:20" x14ac:dyDescent="0.3">
      <c r="A133">
        <v>6.4</v>
      </c>
      <c r="B133">
        <v>2</v>
      </c>
      <c r="C133">
        <f t="shared" si="17"/>
        <v>4</v>
      </c>
      <c r="D133">
        <f t="shared" si="15"/>
        <v>1.5016448190573974</v>
      </c>
      <c r="E133">
        <f t="shared" si="16"/>
        <v>1.0539350222176758</v>
      </c>
      <c r="F133">
        <f t="array" ref="F133">SQRT(SUM(($D133:$E133-$N$6:$O$6)^2))</f>
        <v>1.4897428022274395</v>
      </c>
      <c r="G133">
        <f t="array" ref="G133">SQRT(SUM(($D133:$E133-$N$7:$O$7)^2))</f>
        <v>3.5032251657514522</v>
      </c>
      <c r="H133">
        <f t="array" ref="H133">SQRT(SUM(($D133:$E133-$N$8:$O$8)^2))</f>
        <v>3.6971180898523364</v>
      </c>
      <c r="I133">
        <f t="array" ref="I133">SQRT(SUM(($D133:$E133-$N$9:$O$9)^2))</f>
        <v>0.47939772598894403</v>
      </c>
      <c r="J133">
        <f t="shared" si="18"/>
        <v>0.47939772598894403</v>
      </c>
      <c r="R133">
        <v>6.4</v>
      </c>
      <c r="S133">
        <v>2</v>
      </c>
      <c r="T133">
        <f>IF(W133=AA133,1,IF(X133=AA133,2,IF(Y133=AA133,3,4)))</f>
        <v>1</v>
      </c>
    </row>
    <row r="134" spans="1:20" x14ac:dyDescent="0.3">
      <c r="A134">
        <v>5.6</v>
      </c>
      <c r="B134">
        <v>2.2000000000000002</v>
      </c>
      <c r="C134">
        <f t="shared" si="17"/>
        <v>4</v>
      </c>
      <c r="D134">
        <f t="shared" si="15"/>
        <v>1.0469454037485708</v>
      </c>
      <c r="E134">
        <f t="shared" si="16"/>
        <v>1.317199390798278</v>
      </c>
      <c r="F134">
        <f t="array" ref="F134">SQRT(SUM(($D134:$E134-$N$6:$O$6)^2))</f>
        <v>1.3695946438667748</v>
      </c>
      <c r="G134">
        <f t="array" ref="G134">SQRT(SUM(($D134:$E134-$N$7:$O$7)^2))</f>
        <v>3.3394442972604907</v>
      </c>
      <c r="H134">
        <f t="array" ref="H134">SQRT(SUM(($D134:$E134-$N$8:$O$8)^2))</f>
        <v>3.5547614313581257</v>
      </c>
      <c r="I134">
        <f t="array" ref="I134">SQRT(SUM(($D134:$E134-$N$9:$O$9)^2))</f>
        <v>0.19016737568384159</v>
      </c>
      <c r="J134">
        <f t="shared" si="18"/>
        <v>0.19016737568384159</v>
      </c>
      <c r="R134">
        <v>5.6</v>
      </c>
      <c r="S134">
        <v>2.2000000000000002</v>
      </c>
      <c r="T134">
        <f>IF(W134=AA134,1,IF(X134=AA134,2,IF(Y134=AA134,3,4)))</f>
        <v>1</v>
      </c>
    </row>
    <row r="135" spans="1:20" x14ac:dyDescent="0.3">
      <c r="A135">
        <v>5.0999999999999996</v>
      </c>
      <c r="B135">
        <v>1.5</v>
      </c>
      <c r="C135">
        <f t="shared" si="17"/>
        <v>1</v>
      </c>
      <c r="D135">
        <f t="shared" si="15"/>
        <v>0.76275826918055445</v>
      </c>
      <c r="E135">
        <f t="shared" si="16"/>
        <v>0.3957741007661707</v>
      </c>
      <c r="F135">
        <f t="array" ref="F135">SQRT(SUM(($D135:$E135-$N$6:$O$6)^2))</f>
        <v>0.51167212958130492</v>
      </c>
      <c r="G135">
        <f t="array" ref="G135">SQRT(SUM(($D135:$E135-$N$7:$O$7)^2))</f>
        <v>2.5171756892297936</v>
      </c>
      <c r="H135">
        <f t="array" ref="H135">SQRT(SUM(($D135:$E135-$N$8:$O$8)^2))</f>
        <v>2.7080376882551871</v>
      </c>
      <c r="I135">
        <f t="array" ref="I135">SQRT(SUM(($D135:$E135-$N$9:$O$9)^2))</f>
        <v>0.77876549435543774</v>
      </c>
      <c r="J135">
        <f t="shared" si="18"/>
        <v>0.51167212958130492</v>
      </c>
      <c r="R135">
        <v>5.0999999999999996</v>
      </c>
      <c r="S135">
        <v>1.5</v>
      </c>
      <c r="T135">
        <f>IF(W135=AA135,1,IF(X135=AA135,2,IF(Y135=AA135,3,4)))</f>
        <v>1</v>
      </c>
    </row>
    <row r="136" spans="1:20" x14ac:dyDescent="0.3">
      <c r="A136">
        <v>5.6</v>
      </c>
      <c r="B136">
        <v>1.4</v>
      </c>
      <c r="C136">
        <f t="shared" si="17"/>
        <v>1</v>
      </c>
      <c r="D136">
        <f t="shared" si="15"/>
        <v>1.0469454037485708</v>
      </c>
      <c r="E136">
        <f t="shared" si="16"/>
        <v>0.2641419164758696</v>
      </c>
      <c r="F136">
        <f t="array" ref="F136">SQRT(SUM(($D136:$E136-$N$6:$O$6)^2))</f>
        <v>0.74761959644583909</v>
      </c>
      <c r="G136">
        <f t="array" ref="G136">SQRT(SUM(($D136:$E136-$N$7:$O$7)^2))</f>
        <v>2.6835284481349286</v>
      </c>
      <c r="H136">
        <f t="array" ref="H136">SQRT(SUM(($D136:$E136-$N$8:$O$8)^2))</f>
        <v>2.8565432204057459</v>
      </c>
      <c r="I136">
        <f t="array" ref="I136">SQRT(SUM(($D136:$E136-$N$9:$O$9)^2))</f>
        <v>0.86404394584821054</v>
      </c>
      <c r="J136">
        <f t="shared" si="18"/>
        <v>0.74761959644583909</v>
      </c>
      <c r="R136">
        <v>5.6</v>
      </c>
      <c r="S136">
        <v>1.4</v>
      </c>
      <c r="T136">
        <f>IF(W136=AA136,1,IF(X136=AA136,2,IF(Y136=AA136,3,4)))</f>
        <v>1</v>
      </c>
    </row>
    <row r="137" spans="1:20" x14ac:dyDescent="0.3">
      <c r="A137">
        <v>6.1</v>
      </c>
      <c r="B137">
        <v>2.2999999999999998</v>
      </c>
      <c r="C137">
        <f t="shared" si="17"/>
        <v>4</v>
      </c>
      <c r="D137">
        <f t="shared" si="15"/>
        <v>1.3311325383165873</v>
      </c>
      <c r="E137">
        <f t="shared" si="16"/>
        <v>1.4488315750885783</v>
      </c>
      <c r="F137">
        <f t="array" ref="F137">SQRT(SUM(($D137:$E137-$N$6:$O$6)^2))</f>
        <v>1.642652886941681</v>
      </c>
      <c r="G137">
        <f t="array" ref="G137">SQRT(SUM(($D137:$E137-$N$7:$O$7)^2))</f>
        <v>3.6332986713776578</v>
      </c>
      <c r="H137">
        <f t="array" ref="H137">SQRT(SUM(($D137:$E137-$N$8:$O$8)^2))</f>
        <v>3.8442165674755038</v>
      </c>
      <c r="I137">
        <f t="array" ref="I137">SQRT(SUM(($D137:$E137-$N$9:$O$9)^2))</f>
        <v>0.44140289682688943</v>
      </c>
      <c r="J137">
        <f t="shared" si="18"/>
        <v>0.44140289682688943</v>
      </c>
      <c r="R137">
        <v>6.1</v>
      </c>
      <c r="S137">
        <v>2.2999999999999998</v>
      </c>
      <c r="T137">
        <f>IF(W137=AA137,1,IF(X137=AA137,2,IF(Y137=AA137,3,4)))</f>
        <v>1</v>
      </c>
    </row>
    <row r="138" spans="1:20" x14ac:dyDescent="0.3">
      <c r="A138">
        <v>5.6</v>
      </c>
      <c r="B138">
        <v>2.4</v>
      </c>
      <c r="C138">
        <f t="shared" si="17"/>
        <v>4</v>
      </c>
      <c r="D138">
        <f t="shared" si="15"/>
        <v>1.0469454037485708</v>
      </c>
      <c r="E138">
        <f t="shared" si="16"/>
        <v>1.5804637593788795</v>
      </c>
      <c r="F138">
        <f t="array" ref="F138">SQRT(SUM(($D138:$E138-$N$6:$O$6)^2))</f>
        <v>1.5973552310644465</v>
      </c>
      <c r="G138">
        <f t="array" ref="G138">SQRT(SUM(($D138:$E138-$N$7:$O$7)^2))</f>
        <v>3.5335633111584919</v>
      </c>
      <c r="H138">
        <f t="array" ref="H138">SQRT(SUM(($D138:$E138-$N$8:$O$8)^2))</f>
        <v>3.755261893483369</v>
      </c>
      <c r="I138">
        <f t="array" ref="I138">SQRT(SUM(($D138:$E138-$N$9:$O$9)^2))</f>
        <v>0.45288209525170886</v>
      </c>
      <c r="J138">
        <f t="shared" si="18"/>
        <v>0.45288209525170886</v>
      </c>
      <c r="R138">
        <v>5.6</v>
      </c>
      <c r="S138">
        <v>2.4</v>
      </c>
      <c r="T138">
        <f>IF(W138=AA138,1,IF(X138=AA138,2,IF(Y138=AA138,3,4)))</f>
        <v>1</v>
      </c>
    </row>
    <row r="139" spans="1:20" x14ac:dyDescent="0.3">
      <c r="A139">
        <v>5.5</v>
      </c>
      <c r="B139">
        <v>1.8</v>
      </c>
      <c r="C139">
        <f t="shared" si="17"/>
        <v>4</v>
      </c>
      <c r="D139">
        <f t="shared" si="15"/>
        <v>0.99010797683496776</v>
      </c>
      <c r="E139">
        <f t="shared" si="16"/>
        <v>0.79067065363707378</v>
      </c>
      <c r="F139">
        <f t="array" ref="F139">SQRT(SUM(($D139:$E139-$N$6:$O$6)^2))</f>
        <v>0.92688669036164151</v>
      </c>
      <c r="G139">
        <f t="array" ref="G139">SQRT(SUM(($D139:$E139-$N$7:$O$7)^2))</f>
        <v>2.9392032179030902</v>
      </c>
      <c r="H139">
        <f t="array" ref="H139">SQRT(SUM(($D139:$E139-$N$8:$O$8)^2))</f>
        <v>3.1392675756972608</v>
      </c>
      <c r="I139">
        <f t="array" ref="I139">SQRT(SUM(($D139:$E139-$N$9:$O$9)^2))</f>
        <v>0.33942908764845076</v>
      </c>
      <c r="J139">
        <f t="shared" si="18"/>
        <v>0.33942908764845076</v>
      </c>
      <c r="R139">
        <v>5.5</v>
      </c>
      <c r="S139">
        <v>1.8</v>
      </c>
      <c r="T139">
        <f>IF(W139=AA139,1,IF(X139=AA139,2,IF(Y139=AA139,3,4)))</f>
        <v>1</v>
      </c>
    </row>
    <row r="140" spans="1:20" x14ac:dyDescent="0.3">
      <c r="A140">
        <v>4.8</v>
      </c>
      <c r="B140">
        <v>1.8</v>
      </c>
      <c r="C140">
        <f t="shared" si="17"/>
        <v>4</v>
      </c>
      <c r="D140">
        <f t="shared" si="15"/>
        <v>0.59224598843974463</v>
      </c>
      <c r="E140">
        <f t="shared" si="16"/>
        <v>0.79067065363707378</v>
      </c>
      <c r="F140">
        <f t="array" ref="F140">SQRT(SUM(($D140:$E140-$N$6:$O$6)^2))</f>
        <v>0.68771415704854366</v>
      </c>
      <c r="G140">
        <f t="array" ref="G140">SQRT(SUM(($D140:$E140-$N$7:$O$7)^2))</f>
        <v>2.6451112693713283</v>
      </c>
      <c r="H140">
        <f t="array" ref="H140">SQRT(SUM(($D140:$E140-$N$8:$O$8)^2))</f>
        <v>2.8591877293692347</v>
      </c>
      <c r="I140">
        <f t="array" ref="I140">SQRT(SUM(($D140:$E140-$N$9:$O$9)^2))</f>
        <v>0.55105130094013288</v>
      </c>
      <c r="J140">
        <f t="shared" si="18"/>
        <v>0.55105130094013288</v>
      </c>
      <c r="R140">
        <v>4.8</v>
      </c>
      <c r="S140">
        <v>1.8</v>
      </c>
      <c r="T140">
        <f>IF(W140=AA140,1,IF(X140=AA140,2,IF(Y140=AA140,3,4)))</f>
        <v>1</v>
      </c>
    </row>
    <row r="141" spans="1:20" x14ac:dyDescent="0.3">
      <c r="A141">
        <v>5.4</v>
      </c>
      <c r="B141">
        <v>2.1</v>
      </c>
      <c r="C141">
        <f t="shared" si="17"/>
        <v>4</v>
      </c>
      <c r="D141">
        <f t="shared" si="15"/>
        <v>0.93327054992136471</v>
      </c>
      <c r="E141">
        <f t="shared" si="16"/>
        <v>1.1855672065079768</v>
      </c>
      <c r="F141">
        <f t="array" ref="F141">SQRT(SUM(($D141:$E141-$N$6:$O$6)^2))</f>
        <v>1.197636336218824</v>
      </c>
      <c r="G141">
        <f t="array" ref="G141">SQRT(SUM(($D141:$E141-$N$7:$O$7)^2))</f>
        <v>3.1658051984790525</v>
      </c>
      <c r="H141">
        <f t="array" ref="H141">SQRT(SUM(($D141:$E141-$N$8:$O$8)^2))</f>
        <v>3.3808635332332386</v>
      </c>
      <c r="I141">
        <f t="array" ref="I141">SQRT(SUM(($D141:$E141-$N$9:$O$9)^2))</f>
        <v>0.11086069703368726</v>
      </c>
      <c r="J141">
        <f t="shared" si="18"/>
        <v>0.11086069703368726</v>
      </c>
      <c r="R141">
        <v>5.4</v>
      </c>
      <c r="S141">
        <v>2.1</v>
      </c>
      <c r="T141">
        <f>IF(W141=AA141,1,IF(X141=AA141,2,IF(Y141=AA141,3,4)))</f>
        <v>1</v>
      </c>
    </row>
    <row r="142" spans="1:20" x14ac:dyDescent="0.3">
      <c r="A142">
        <v>5.6</v>
      </c>
      <c r="B142">
        <v>2.4</v>
      </c>
      <c r="C142">
        <f t="shared" si="17"/>
        <v>4</v>
      </c>
      <c r="D142">
        <f t="shared" si="15"/>
        <v>1.0469454037485708</v>
      </c>
      <c r="E142">
        <f t="shared" si="16"/>
        <v>1.5804637593788795</v>
      </c>
      <c r="F142">
        <f t="array" ref="F142">SQRT(SUM(($D142:$E142-$N$6:$O$6)^2))</f>
        <v>1.5973552310644465</v>
      </c>
      <c r="G142">
        <f t="array" ref="G142">SQRT(SUM(($D142:$E142-$N$7:$O$7)^2))</f>
        <v>3.5335633111584919</v>
      </c>
      <c r="H142">
        <f t="array" ref="H142">SQRT(SUM(($D142:$E142-$N$8:$O$8)^2))</f>
        <v>3.755261893483369</v>
      </c>
      <c r="I142">
        <f t="array" ref="I142">SQRT(SUM(($D142:$E142-$N$9:$O$9)^2))</f>
        <v>0.45288209525170886</v>
      </c>
      <c r="J142">
        <f t="shared" si="18"/>
        <v>0.45288209525170886</v>
      </c>
      <c r="R142">
        <v>5.6</v>
      </c>
      <c r="S142">
        <v>2.4</v>
      </c>
      <c r="T142">
        <f>IF(W142=AA142,1,IF(X142=AA142,2,IF(Y142=AA142,3,4)))</f>
        <v>1</v>
      </c>
    </row>
    <row r="143" spans="1:20" x14ac:dyDescent="0.3">
      <c r="A143">
        <v>5.0999999999999996</v>
      </c>
      <c r="B143">
        <v>2.2999999999999998</v>
      </c>
      <c r="C143">
        <f t="shared" si="17"/>
        <v>4</v>
      </c>
      <c r="D143">
        <f t="shared" si="15"/>
        <v>0.76275826918055445</v>
      </c>
      <c r="E143">
        <f t="shared" si="16"/>
        <v>1.4488315750885783</v>
      </c>
      <c r="F143">
        <f t="array" ref="F143">SQRT(SUM(($D143:$E143-$N$6:$O$6)^2))</f>
        <v>1.3623124849921755</v>
      </c>
      <c r="G143">
        <f t="array" ref="G143">SQRT(SUM(($D143:$E143-$N$7:$O$7)^2))</f>
        <v>3.2502260296881218</v>
      </c>
      <c r="H143">
        <f t="array" ref="H143">SQRT(SUM(($D143:$E143-$N$8:$O$8)^2))</f>
        <v>3.4766636731056271</v>
      </c>
      <c r="I143">
        <f t="array" ref="I143">SQRT(SUM(($D143:$E143-$N$9:$O$9)^2))</f>
        <v>0.41629304182603799</v>
      </c>
      <c r="J143">
        <f t="shared" si="18"/>
        <v>0.41629304182603799</v>
      </c>
      <c r="R143">
        <v>5.0999999999999996</v>
      </c>
      <c r="S143">
        <v>2.2999999999999998</v>
      </c>
      <c r="T143">
        <f>IF(W143=AA143,1,IF(X143=AA143,2,IF(Y143=AA143,3,4)))</f>
        <v>1</v>
      </c>
    </row>
    <row r="144" spans="1:20" x14ac:dyDescent="0.3">
      <c r="A144">
        <v>5.0999999999999996</v>
      </c>
      <c r="B144">
        <v>1.9</v>
      </c>
      <c r="C144">
        <f t="shared" si="17"/>
        <v>4</v>
      </c>
      <c r="D144">
        <f t="shared" si="15"/>
        <v>0.76275826918055445</v>
      </c>
      <c r="E144">
        <f t="shared" si="16"/>
        <v>0.92230283792737455</v>
      </c>
      <c r="F144">
        <f t="array" ref="F144">SQRT(SUM(($D144:$E144-$N$6:$O$6)^2))</f>
        <v>0.88409237437121935</v>
      </c>
      <c r="G144">
        <f t="array" ref="G144">SQRT(SUM(($D144:$E144-$N$7:$O$7)^2))</f>
        <v>2.8588177339941203</v>
      </c>
      <c r="H144">
        <f t="array" ref="H144">SQRT(SUM(($D144:$E144-$N$8:$O$8)^2))</f>
        <v>3.0713346768782515</v>
      </c>
      <c r="I144">
        <f t="array" ref="I144">SQRT(SUM(($D144:$E144-$N$9:$O$9)^2))</f>
        <v>0.33564160183021158</v>
      </c>
      <c r="J144">
        <f t="shared" si="18"/>
        <v>0.33564160183021158</v>
      </c>
      <c r="R144">
        <v>5.0999999999999996</v>
      </c>
      <c r="S144">
        <v>1.9</v>
      </c>
      <c r="T144">
        <f>IF(W144=AA144,1,IF(X144=AA144,2,IF(Y144=AA144,3,4)))</f>
        <v>1</v>
      </c>
    </row>
    <row r="145" spans="1:20" x14ac:dyDescent="0.3">
      <c r="A145">
        <v>5.9</v>
      </c>
      <c r="B145">
        <v>2.2999999999999998</v>
      </c>
      <c r="C145">
        <f t="shared" si="17"/>
        <v>4</v>
      </c>
      <c r="D145">
        <f t="shared" si="15"/>
        <v>1.2174576844893812</v>
      </c>
      <c r="E145">
        <f t="shared" si="16"/>
        <v>1.4488315750885783</v>
      </c>
      <c r="F145">
        <f t="array" ref="F145">SQRT(SUM(($D145:$E145-$N$6:$O$6)^2))</f>
        <v>1.5742102710136394</v>
      </c>
      <c r="G145">
        <f t="array" ref="G145">SQRT(SUM(($D145:$E145-$N$7:$O$7)^2))</f>
        <v>3.5527163336790091</v>
      </c>
      <c r="H145">
        <f t="array" ref="H145">SQRT(SUM(($D145:$E145-$N$8:$O$8)^2))</f>
        <v>3.7667162069540665</v>
      </c>
      <c r="I145">
        <f t="array" ref="I145">SQRT(SUM(($D145:$E145-$N$9:$O$9)^2))</f>
        <v>0.37261414845083896</v>
      </c>
      <c r="J145">
        <f t="shared" si="18"/>
        <v>0.37261414845083896</v>
      </c>
      <c r="R145">
        <v>5.9</v>
      </c>
      <c r="S145">
        <v>2.2999999999999998</v>
      </c>
      <c r="T145">
        <f>IF(W145=AA145,1,IF(X145=AA145,2,IF(Y145=AA145,3,4)))</f>
        <v>1</v>
      </c>
    </row>
    <row r="146" spans="1:20" x14ac:dyDescent="0.3">
      <c r="A146">
        <v>5.7</v>
      </c>
      <c r="B146">
        <v>2.5</v>
      </c>
      <c r="C146">
        <f t="shared" si="17"/>
        <v>4</v>
      </c>
      <c r="D146">
        <f t="shared" si="15"/>
        <v>1.1037828306621744</v>
      </c>
      <c r="E146">
        <f t="shared" si="16"/>
        <v>1.7120959436691805</v>
      </c>
      <c r="F146">
        <f t="array" ref="F146">SQRT(SUM(($D146:$E146-$N$6:$O$6)^2))</f>
        <v>1.7403659862229104</v>
      </c>
      <c r="G146">
        <f t="array" ref="G146">SQRT(SUM(($D146:$E146-$N$7:$O$7)^2))</f>
        <v>3.6704306275631682</v>
      </c>
      <c r="H146">
        <f t="array" ref="H146">SQRT(SUM(($D146:$E146-$N$8:$O$8)^2))</f>
        <v>3.8934709549621864</v>
      </c>
      <c r="I146">
        <f t="array" ref="I146">SQRT(SUM(($D146:$E146-$N$9:$O$9)^2))</f>
        <v>0.58901334781041526</v>
      </c>
      <c r="J146">
        <f t="shared" si="18"/>
        <v>0.58901334781041526</v>
      </c>
      <c r="R146">
        <v>5.7</v>
      </c>
      <c r="S146">
        <v>2.5</v>
      </c>
      <c r="T146">
        <f>IF(W146=AA146,1,IF(X146=AA146,2,IF(Y146=AA146,3,4)))</f>
        <v>1</v>
      </c>
    </row>
    <row r="147" spans="1:20" x14ac:dyDescent="0.3">
      <c r="A147">
        <v>5.2</v>
      </c>
      <c r="B147">
        <v>2.2999999999999998</v>
      </c>
      <c r="C147">
        <f t="shared" si="17"/>
        <v>4</v>
      </c>
      <c r="D147">
        <f t="shared" si="15"/>
        <v>0.81959569609415794</v>
      </c>
      <c r="E147">
        <f t="shared" si="16"/>
        <v>1.4488315750885783</v>
      </c>
      <c r="F147">
        <f t="array" ref="F147">SQRT(SUM(($D147:$E147-$N$6:$O$6)^2))</f>
        <v>1.3824117291542894</v>
      </c>
      <c r="G147">
        <f t="array" ref="G147">SQRT(SUM(($D147:$E147-$N$7:$O$7)^2))</f>
        <v>3.2861198708075183</v>
      </c>
      <c r="H147">
        <f t="array" ref="H147">SQRT(SUM(($D147:$E147-$N$8:$O$8)^2))</f>
        <v>3.5110108131683333</v>
      </c>
      <c r="I147">
        <f t="array" ref="I147">SQRT(SUM(($D147:$E147-$N$9:$O$9)^2))</f>
        <v>0.38259524416121793</v>
      </c>
      <c r="J147">
        <f t="shared" si="18"/>
        <v>0.38259524416121793</v>
      </c>
      <c r="R147">
        <v>5.2</v>
      </c>
      <c r="S147">
        <v>2.2999999999999998</v>
      </c>
      <c r="T147">
        <f>IF(W147=AA147,1,IF(X147=AA147,2,IF(Y147=AA147,3,4)))</f>
        <v>1</v>
      </c>
    </row>
    <row r="148" spans="1:20" x14ac:dyDescent="0.3">
      <c r="A148">
        <v>5</v>
      </c>
      <c r="B148">
        <v>1.9</v>
      </c>
      <c r="C148">
        <f t="shared" si="17"/>
        <v>4</v>
      </c>
      <c r="D148">
        <f t="shared" si="15"/>
        <v>0.70592084226695129</v>
      </c>
      <c r="E148">
        <f t="shared" si="16"/>
        <v>0.92230283792737455</v>
      </c>
      <c r="F148">
        <f t="array" ref="F148">SQRT(SUM(($D148:$E148-$N$6:$O$6)^2))</f>
        <v>0.85610363302573556</v>
      </c>
      <c r="G148">
        <f t="array" ref="G148">SQRT(SUM(($D148:$E148-$N$7:$O$7)^2))</f>
        <v>2.8186318065937215</v>
      </c>
      <c r="H148">
        <f t="array" ref="H148">SQRT(SUM(($D148:$E148-$N$8:$O$8)^2))</f>
        <v>3.0330761693862058</v>
      </c>
      <c r="I148">
        <f t="array" ref="I148">SQRT(SUM(($D148:$E148-$N$9:$O$9)^2))</f>
        <v>0.38214793849170764</v>
      </c>
      <c r="J148">
        <f t="shared" si="18"/>
        <v>0.38214793849170764</v>
      </c>
      <c r="R148">
        <v>5</v>
      </c>
      <c r="S148">
        <v>1.9</v>
      </c>
      <c r="T148">
        <f>IF(W148=AA148,1,IF(X148=AA148,2,IF(Y148=AA148,3,4)))</f>
        <v>1</v>
      </c>
    </row>
    <row r="149" spans="1:20" x14ac:dyDescent="0.3">
      <c r="A149">
        <v>5.2</v>
      </c>
      <c r="B149">
        <v>2</v>
      </c>
      <c r="C149">
        <f t="shared" si="17"/>
        <v>4</v>
      </c>
      <c r="D149">
        <f t="shared" si="15"/>
        <v>0.81959569609415794</v>
      </c>
      <c r="E149">
        <f t="shared" si="16"/>
        <v>1.0539350222176758</v>
      </c>
      <c r="F149">
        <f t="array" ref="F149">SQRT(SUM(($D149:$E149-$N$6:$O$6)^2))</f>
        <v>1.0263401521045949</v>
      </c>
      <c r="G149">
        <f t="array" ref="G149">SQRT(SUM(($D149:$E149-$N$7:$O$7)^2))</f>
        <v>2.9921990080199738</v>
      </c>
      <c r="H149">
        <f t="array" ref="H149">SQRT(SUM(($D149:$E149-$N$8:$O$8)^2))</f>
        <v>3.2069682934960158</v>
      </c>
      <c r="I149">
        <f t="array" ref="I149">SQRT(SUM(($D149:$E149-$N$9:$O$9)^2))</f>
        <v>0.22116637670870287</v>
      </c>
      <c r="J149">
        <f t="shared" si="18"/>
        <v>0.22116637670870287</v>
      </c>
      <c r="R149">
        <v>5.2</v>
      </c>
      <c r="S149">
        <v>2</v>
      </c>
      <c r="T149">
        <f>IF(W149=AA149,1,IF(X149=AA149,2,IF(Y149=AA149,3,4)))</f>
        <v>1</v>
      </c>
    </row>
    <row r="150" spans="1:20" x14ac:dyDescent="0.3">
      <c r="A150">
        <v>5.4</v>
      </c>
      <c r="B150">
        <v>2.2999999999999998</v>
      </c>
      <c r="C150">
        <f t="shared" si="17"/>
        <v>4</v>
      </c>
      <c r="D150">
        <f t="shared" si="15"/>
        <v>0.93327054992136471</v>
      </c>
      <c r="E150">
        <f t="shared" si="16"/>
        <v>1.4488315750885783</v>
      </c>
      <c r="F150">
        <f t="array" ref="F150">SQRT(SUM(($D150:$E150-$N$6:$O$6)^2))</f>
        <v>1.4285583333444591</v>
      </c>
      <c r="G150">
        <f t="array" ref="G150">SQRT(SUM(($D150:$E150-$N$7:$O$7)^2))</f>
        <v>3.3596422259539187</v>
      </c>
      <c r="H150">
        <f t="array" ref="H150">SQRT(SUM(($D150:$E150-$N$8:$O$8)^2))</f>
        <v>3.5814233423820783</v>
      </c>
      <c r="I150">
        <f t="array" ref="I150">SQRT(SUM(($D150:$E150-$N$9:$O$9)^2))</f>
        <v>0.33454525524620804</v>
      </c>
      <c r="J150">
        <f t="shared" si="18"/>
        <v>0.33454525524620804</v>
      </c>
      <c r="R150">
        <v>5.4</v>
      </c>
      <c r="S150">
        <v>2.2999999999999998</v>
      </c>
      <c r="T150">
        <f>IF(W150=AA150,1,IF(X150=AA150,2,IF(Y150=AA150,3,4)))</f>
        <v>1</v>
      </c>
    </row>
    <row r="151" spans="1:20" x14ac:dyDescent="0.3">
      <c r="A151">
        <v>5.0999999999999996</v>
      </c>
      <c r="B151">
        <v>1.8</v>
      </c>
      <c r="C151">
        <f t="shared" si="17"/>
        <v>4</v>
      </c>
      <c r="D151">
        <f t="shared" si="15"/>
        <v>0.76275826918055445</v>
      </c>
      <c r="E151">
        <f t="shared" si="16"/>
        <v>0.79067065363707378</v>
      </c>
      <c r="F151">
        <f t="array" ref="F151">SQRT(SUM(($D151:$E151-$N$6:$O$6)^2))</f>
        <v>0.77439362796995237</v>
      </c>
      <c r="G151">
        <f t="array" ref="G151">SQRT(SUM(($D151:$E151-$N$7:$O$7)^2))</f>
        <v>2.7679760464893337</v>
      </c>
      <c r="H151">
        <f t="array" ref="H151">SQRT(SUM(($D151:$E151-$N$8:$O$8)^2))</f>
        <v>2.9759382482631662</v>
      </c>
      <c r="I151">
        <f t="array" ref="I151">SQRT(SUM(($D151:$E151-$N$9:$O$9)^2))</f>
        <v>0.42910289166576665</v>
      </c>
      <c r="J151">
        <f t="shared" si="18"/>
        <v>0.42910289166576665</v>
      </c>
      <c r="R151">
        <v>5.0999999999999996</v>
      </c>
      <c r="S151">
        <v>1.8</v>
      </c>
      <c r="T151">
        <f>IF(W151=AA151,1,IF(X151=AA151,2,IF(Y151=AA151,3,4)))</f>
        <v>1</v>
      </c>
    </row>
  </sheetData>
  <sortState xmlns:xlrd2="http://schemas.microsoft.com/office/spreadsheetml/2017/richdata2" ref="R2:T151">
    <sortCondition ref="T2:T15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CJALIZACJA2">
                <anchor moveWithCells="1" sizeWithCells="1">
                  <from>
                    <xdr:col>11</xdr:col>
                    <xdr:colOff>15240</xdr:colOff>
                    <xdr:row>18</xdr:row>
                    <xdr:rowOff>137160</xdr:rowOff>
                  </from>
                  <to>
                    <xdr:col>13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Means2">
                <anchor moveWithCells="1" sizeWithCells="1">
                  <from>
                    <xdr:col>14</xdr:col>
                    <xdr:colOff>190500</xdr:colOff>
                    <xdr:row>18</xdr:row>
                    <xdr:rowOff>152400</xdr:rowOff>
                  </from>
                  <to>
                    <xdr:col>16</xdr:col>
                    <xdr:colOff>518160</xdr:colOff>
                    <xdr:row>21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AnalizaSkupień(k=2)</vt:lpstr>
      <vt:lpstr>AnalizaSkupień(k=4)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 FTIMS</dc:creator>
  <cp:lastModifiedBy>User</cp:lastModifiedBy>
  <dcterms:created xsi:type="dcterms:W3CDTF">2022-06-09T09:45:33Z</dcterms:created>
  <dcterms:modified xsi:type="dcterms:W3CDTF">2022-06-13T20:30:40Z</dcterms:modified>
</cp:coreProperties>
</file>