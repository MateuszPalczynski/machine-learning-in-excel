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PAD\"/>
    </mc:Choice>
  </mc:AlternateContent>
  <xr:revisionPtr revIDLastSave="0" documentId="13_ncr:1_{7CA04CBA-3AD7-4003-ADDC-805AB4208192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AnalizaSkupień(k=2)" sheetId="1" r:id="rId1"/>
    <sheet name="AnalizaSkupień(k=4)" sheetId="2" r:id="rId2"/>
    <sheet name="EM(k=2)" sheetId="5" r:id="rId3"/>
    <sheet name="EM(k=4)" sheetId="3" r:id="rId4"/>
    <sheet name="Podsumowanie" sheetId="4" r:id="rId5"/>
  </sheets>
  <functionGroups builtInGroupCount="19"/>
  <definedNames>
    <definedName name="_l1" localSheetId="0">OFFSET('AnalizaSkupień(k=2)'!$R$2,0,0,'AnalizaSkupień(k=2)'!$P$6,1)</definedName>
    <definedName name="_l1" localSheetId="1">OFFSET('AnalizaSkupień(k=4)'!$R$2,0,0,'AnalizaSkupień(k=4)'!$P$6,1)</definedName>
    <definedName name="_l1" localSheetId="3">OFFSET('EM(k=4)'!$R$2,0,0,'EM(k=4)'!$P$6,1)</definedName>
    <definedName name="_l2" localSheetId="3">OFFSET('EM(k=4)'!$R$2,'EM(k=4)'!$P$6,0,'EM(k=4)'!$P$7,1)</definedName>
    <definedName name="_l2">OFFSET('AnalizaSkupień(k=4)'!$R$2,'AnalizaSkupień(k=4)'!$P$6,0,'AnalizaSkupień(k=4)'!$P$7,1)</definedName>
    <definedName name="_l3" localSheetId="3">OFFSET('EM(k=4)'!$R$2,'EM(k=4)'!$P$6+'EM(k=4)'!$P$7,0,'EM(k=4)'!$P$8,1)</definedName>
    <definedName name="_l3">OFFSET('AnalizaSkupień(k=4)'!$R$2,'AnalizaSkupień(k=4)'!$P$6+'AnalizaSkupień(k=4)'!$P$7,0,'AnalizaSkupień(k=4)'!$P$8,1)</definedName>
    <definedName name="_l4" localSheetId="3">OFFSET('EM(k=4)'!$R$2,'EM(k=4)'!$P$6+'EM(k=4)'!$P$7+'EM(k=4)'!$P$8,0,'EM(k=4)'!$P$9,1)</definedName>
    <definedName name="_l4">OFFSET('AnalizaSkupień(k=4)'!$R$2,'AnalizaSkupień(k=4)'!$P$6+'AnalizaSkupień(k=4)'!$P$7+'AnalizaSkupień(k=4)'!$P$8,0,'AnalizaSkupień(k=4)'!$P$9,1)</definedName>
    <definedName name="_pl1" localSheetId="2">OFFSET('EM(k=2)'!$P$2,0,0,'EM(k=2)'!$O$6)</definedName>
    <definedName name="_pl1">OFFSET('AnalizaSkupień(k=2)'!$Q$2,0,0,'AnalizaSkupień(k=2)'!$O$6)</definedName>
    <definedName name="_pl2" localSheetId="2">OFFSET('EM(k=2)'!$P$2,'EM(k=2)'!$O$6,0,'EM(k=2)'!$O$7)</definedName>
    <definedName name="_pl2">OFFSET('AnalizaSkupień(k=2)'!$Q$2,'AnalizaSkupień(k=2)'!$O$6,0,'AnalizaSkupień(k=2)'!$O$7)</definedName>
    <definedName name="_pw1" localSheetId="2">OFFSET('EM(k=2)'!$Q$2,0,0,'EM(k=2)'!$O$6)</definedName>
    <definedName name="_pw1">OFFSET('AnalizaSkupień(k=2)'!$R$2,0,0,'AnalizaSkupień(k=2)'!$O$6)</definedName>
    <definedName name="_pw2" localSheetId="2">OFFSET('EM(k=2)'!$Q$2,'EM(k=2)'!$O$6,0,'EM(k=2)'!$O$7)</definedName>
    <definedName name="_pw2">OFFSET('AnalizaSkupień(k=2)'!$R$2,'AnalizaSkupień(k=2)'!$O$6,0,'AnalizaSkupień(k=2)'!$O$7)</definedName>
    <definedName name="_w1" localSheetId="3">OFFSET('EM(k=4)'!$S$2,0,0,'EM(k=4)'!$P$6,1)</definedName>
    <definedName name="_w1">OFFSET('AnalizaSkupień(k=4)'!$S$2,0,0,'AnalizaSkupień(k=4)'!$P$6,1)</definedName>
    <definedName name="_w2" localSheetId="3">OFFSET('EM(k=4)'!$S$2,'EM(k=4)'!$P$6,0,'EM(k=4)'!$P$7,1)</definedName>
    <definedName name="_w2">OFFSET('AnalizaSkupień(k=4)'!$S$2,'AnalizaSkupień(k=4)'!$P$6,0,'AnalizaSkupień(k=4)'!$P$7,1)</definedName>
    <definedName name="_w3" localSheetId="3">OFFSET('EM(k=4)'!$S$2,'EM(k=4)'!$P$6+'EM(k=4)'!$P$7,0,'EM(k=4)'!$P$8,1)</definedName>
    <definedName name="_w3">OFFSET('AnalizaSkupień(k=4)'!$S$2,'AnalizaSkupień(k=4)'!$P$6+'AnalizaSkupień(k=4)'!$P$7,0,'AnalizaSkupień(k=4)'!$P$8,1)</definedName>
    <definedName name="_w4" localSheetId="3">OFFSET('EM(k=4)'!$S$2,'EM(k=4)'!$P$6+'EM(k=4)'!$P$7+'EM(k=4)'!$P$8,0,'EM(k=4)'!$P$9,1)</definedName>
    <definedName name="_w4">OFFSET('AnalizaSkupień(k=4)'!$S$2,'AnalizaSkupień(k=4)'!$P$6+'AnalizaSkupień(k=4)'!$P$7+'AnalizaSkupień(k=4)'!$P$8,0,'AnalizaSkupień(k=4)'!$P$9,1)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5" i="5" l="1"/>
  <c r="J3" i="4"/>
  <c r="N7" i="2"/>
  <c r="O7" i="2"/>
  <c r="N8" i="2"/>
  <c r="O8" i="2"/>
  <c r="N9" i="2"/>
  <c r="O9" i="2"/>
  <c r="O6" i="2"/>
  <c r="N6" i="2"/>
  <c r="L2" i="1"/>
  <c r="T151" i="2" l="1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N3" i="2"/>
  <c r="M3" i="2"/>
  <c r="N2" i="2"/>
  <c r="M2" i="2"/>
  <c r="M3" i="1"/>
  <c r="L3" i="1"/>
  <c r="M2" i="1"/>
  <c r="F11" i="1" s="1"/>
  <c r="E59" i="1"/>
  <c r="E100" i="2" l="1"/>
  <c r="D77" i="2"/>
  <c r="D91" i="2"/>
  <c r="E105" i="2"/>
  <c r="D19" i="2"/>
  <c r="D3" i="2"/>
  <c r="D23" i="2"/>
  <c r="D15" i="2"/>
  <c r="D6" i="2"/>
  <c r="D27" i="2"/>
  <c r="D31" i="2"/>
  <c r="D4" i="2"/>
  <c r="D35" i="2"/>
  <c r="D5" i="2"/>
  <c r="D39" i="2"/>
  <c r="D2" i="2"/>
  <c r="D14" i="2"/>
  <c r="D75" i="2"/>
  <c r="E3" i="2"/>
  <c r="E5" i="2"/>
  <c r="D13" i="2"/>
  <c r="D17" i="2"/>
  <c r="D56" i="2"/>
  <c r="E69" i="2"/>
  <c r="E84" i="2"/>
  <c r="E4" i="2"/>
  <c r="E8" i="2"/>
  <c r="D10" i="2"/>
  <c r="D12" i="2"/>
  <c r="E13" i="2"/>
  <c r="D20" i="2"/>
  <c r="D24" i="2"/>
  <c r="D28" i="2"/>
  <c r="D32" i="2"/>
  <c r="D36" i="2"/>
  <c r="E40" i="2"/>
  <c r="E93" i="2"/>
  <c r="D41" i="2"/>
  <c r="D64" i="2"/>
  <c r="D71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6" i="2"/>
  <c r="D92" i="2"/>
  <c r="D88" i="2"/>
  <c r="D84" i="2"/>
  <c r="D78" i="2"/>
  <c r="D70" i="2"/>
  <c r="D81" i="2"/>
  <c r="D73" i="2"/>
  <c r="D94" i="2"/>
  <c r="D90" i="2"/>
  <c r="D86" i="2"/>
  <c r="D82" i="2"/>
  <c r="D74" i="2"/>
  <c r="D80" i="2"/>
  <c r="D69" i="2"/>
  <c r="D67" i="2"/>
  <c r="D59" i="2"/>
  <c r="D50" i="2"/>
  <c r="D46" i="2"/>
  <c r="D42" i="2"/>
  <c r="D76" i="2"/>
  <c r="D62" i="2"/>
  <c r="D54" i="2"/>
  <c r="D65" i="2"/>
  <c r="D57" i="2"/>
  <c r="D51" i="2"/>
  <c r="D47" i="2"/>
  <c r="D43" i="2"/>
  <c r="D83" i="2"/>
  <c r="D72" i="2"/>
  <c r="D60" i="2"/>
  <c r="D87" i="2"/>
  <c r="D85" i="2"/>
  <c r="D79" i="2"/>
  <c r="D68" i="2"/>
  <c r="D63" i="2"/>
  <c r="D55" i="2"/>
  <c r="D52" i="2"/>
  <c r="D48" i="2"/>
  <c r="D44" i="2"/>
  <c r="D95" i="2"/>
  <c r="D93" i="2"/>
  <c r="D61" i="2"/>
  <c r="D53" i="2"/>
  <c r="D49" i="2"/>
  <c r="D45" i="2"/>
  <c r="D40" i="2"/>
  <c r="D9" i="2"/>
  <c r="D8" i="2"/>
  <c r="D7" i="2"/>
  <c r="D18" i="2"/>
  <c r="D21" i="2"/>
  <c r="D25" i="2"/>
  <c r="D29" i="2"/>
  <c r="D33" i="2"/>
  <c r="D37" i="2"/>
  <c r="D58" i="2"/>
  <c r="E95" i="2"/>
  <c r="E136" i="2"/>
  <c r="E128" i="2"/>
  <c r="E120" i="2"/>
  <c r="E112" i="2"/>
  <c r="E151" i="2"/>
  <c r="E149" i="2"/>
  <c r="E147" i="2"/>
  <c r="E145" i="2"/>
  <c r="E143" i="2"/>
  <c r="E141" i="2"/>
  <c r="E139" i="2"/>
  <c r="E134" i="2"/>
  <c r="E126" i="2"/>
  <c r="E118" i="2"/>
  <c r="E110" i="2"/>
  <c r="E102" i="2"/>
  <c r="E79" i="2"/>
  <c r="E71" i="2"/>
  <c r="E137" i="2"/>
  <c r="E129" i="2"/>
  <c r="E121" i="2"/>
  <c r="E113" i="2"/>
  <c r="E135" i="2"/>
  <c r="E127" i="2"/>
  <c r="E119" i="2"/>
  <c r="E111" i="2"/>
  <c r="E103" i="2"/>
  <c r="E94" i="2"/>
  <c r="E90" i="2"/>
  <c r="E86" i="2"/>
  <c r="E82" i="2"/>
  <c r="E74" i="2"/>
  <c r="E150" i="2"/>
  <c r="E148" i="2"/>
  <c r="E146" i="2"/>
  <c r="E144" i="2"/>
  <c r="E142" i="2"/>
  <c r="E140" i="2"/>
  <c r="E138" i="2"/>
  <c r="E130" i="2"/>
  <c r="E122" i="2"/>
  <c r="E114" i="2"/>
  <c r="E106" i="2"/>
  <c r="E98" i="2"/>
  <c r="E75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117" i="2"/>
  <c r="E109" i="2"/>
  <c r="E104" i="2"/>
  <c r="E99" i="2"/>
  <c r="E88" i="2"/>
  <c r="E78" i="2"/>
  <c r="E76" i="2"/>
  <c r="E125" i="2"/>
  <c r="E101" i="2"/>
  <c r="E92" i="2"/>
  <c r="E133" i="2"/>
  <c r="E116" i="2"/>
  <c r="E96" i="2"/>
  <c r="E83" i="2"/>
  <c r="E72" i="2"/>
  <c r="E124" i="2"/>
  <c r="E87" i="2"/>
  <c r="E85" i="2"/>
  <c r="E81" i="2"/>
  <c r="E70" i="2"/>
  <c r="E68" i="2"/>
  <c r="E132" i="2"/>
  <c r="E115" i="2"/>
  <c r="E108" i="2"/>
  <c r="E91" i="2"/>
  <c r="E89" i="2"/>
  <c r="E77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2" i="2"/>
  <c r="E11" i="2"/>
  <c r="E10" i="2"/>
  <c r="E131" i="2"/>
  <c r="E97" i="2"/>
  <c r="E73" i="2"/>
  <c r="E41" i="2"/>
  <c r="E7" i="2"/>
  <c r="E80" i="2"/>
  <c r="D97" i="2"/>
  <c r="E107" i="2"/>
  <c r="E2" i="2"/>
  <c r="E6" i="2"/>
  <c r="E9" i="2"/>
  <c r="D11" i="2"/>
  <c r="D16" i="2"/>
  <c r="D22" i="2"/>
  <c r="D26" i="2"/>
  <c r="D30" i="2"/>
  <c r="D34" i="2"/>
  <c r="D38" i="2"/>
  <c r="D66" i="2"/>
  <c r="D89" i="2"/>
  <c r="E123" i="2"/>
  <c r="E99" i="1"/>
  <c r="E67" i="1"/>
  <c r="E151" i="1"/>
  <c r="E119" i="1"/>
  <c r="E87" i="1"/>
  <c r="E55" i="1"/>
  <c r="E147" i="1"/>
  <c r="E115" i="1"/>
  <c r="E83" i="1"/>
  <c r="E51" i="1"/>
  <c r="E143" i="1"/>
  <c r="E111" i="1"/>
  <c r="E79" i="1"/>
  <c r="E47" i="1"/>
  <c r="E139" i="1"/>
  <c r="E107" i="1"/>
  <c r="E75" i="1"/>
  <c r="E43" i="1"/>
  <c r="E135" i="1"/>
  <c r="E103" i="1"/>
  <c r="E71" i="1"/>
  <c r="E39" i="1"/>
  <c r="E131" i="1"/>
  <c r="E35" i="1"/>
  <c r="E127" i="1"/>
  <c r="E95" i="1"/>
  <c r="E63" i="1"/>
  <c r="E31" i="1"/>
  <c r="F4" i="1"/>
  <c r="E123" i="1"/>
  <c r="E91" i="1"/>
  <c r="F25" i="1"/>
  <c r="F17" i="1"/>
  <c r="F8" i="1"/>
  <c r="E4" i="1"/>
  <c r="E6" i="1"/>
  <c r="E8" i="1"/>
  <c r="E15" i="1"/>
  <c r="E19" i="1"/>
  <c r="E21" i="1"/>
  <c r="E25" i="1"/>
  <c r="E10" i="1"/>
  <c r="E17" i="1"/>
  <c r="E23" i="1"/>
  <c r="E27" i="1"/>
  <c r="F149" i="1"/>
  <c r="F145" i="1"/>
  <c r="F141" i="1"/>
  <c r="F137" i="1"/>
  <c r="F133" i="1"/>
  <c r="F129" i="1"/>
  <c r="F125" i="1"/>
  <c r="F121" i="1"/>
  <c r="F117" i="1"/>
  <c r="F113" i="1"/>
  <c r="F109" i="1"/>
  <c r="F105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F49" i="1"/>
  <c r="F45" i="1"/>
  <c r="F41" i="1"/>
  <c r="F37" i="1"/>
  <c r="F33" i="1"/>
  <c r="F29" i="1"/>
  <c r="F23" i="1"/>
  <c r="F15" i="1"/>
  <c r="F6" i="1"/>
  <c r="E149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E45" i="1"/>
  <c r="E41" i="1"/>
  <c r="E37" i="1"/>
  <c r="E33" i="1"/>
  <c r="E29" i="1"/>
  <c r="F21" i="1"/>
  <c r="E13" i="1"/>
  <c r="F10" i="1"/>
  <c r="F12" i="1"/>
  <c r="E145" i="1"/>
  <c r="E141" i="1"/>
  <c r="E3" i="1"/>
  <c r="F151" i="1"/>
  <c r="F147" i="1"/>
  <c r="F143" i="1"/>
  <c r="F139" i="1"/>
  <c r="F135" i="1"/>
  <c r="F131" i="1"/>
  <c r="F127" i="1"/>
  <c r="F123" i="1"/>
  <c r="F119" i="1"/>
  <c r="F115" i="1"/>
  <c r="F111" i="1"/>
  <c r="F107" i="1"/>
  <c r="F103" i="1"/>
  <c r="F99" i="1"/>
  <c r="F95" i="1"/>
  <c r="F91" i="1"/>
  <c r="F87" i="1"/>
  <c r="F83" i="1"/>
  <c r="F79" i="1"/>
  <c r="F75" i="1"/>
  <c r="F71" i="1"/>
  <c r="F67" i="1"/>
  <c r="F63" i="1"/>
  <c r="F59" i="1"/>
  <c r="F55" i="1"/>
  <c r="F51" i="1"/>
  <c r="F47" i="1"/>
  <c r="F43" i="1"/>
  <c r="F39" i="1"/>
  <c r="F35" i="1"/>
  <c r="F31" i="1"/>
  <c r="F27" i="1"/>
  <c r="F19" i="1"/>
  <c r="E11" i="1"/>
  <c r="F14" i="1"/>
  <c r="E2" i="1"/>
  <c r="F150" i="1"/>
  <c r="F148" i="1"/>
  <c r="F146" i="1"/>
  <c r="F144" i="1"/>
  <c r="F142" i="1"/>
  <c r="F140" i="1"/>
  <c r="F138" i="1"/>
  <c r="F136" i="1"/>
  <c r="F134" i="1"/>
  <c r="F132" i="1"/>
  <c r="F130" i="1"/>
  <c r="F128" i="1"/>
  <c r="F126" i="1"/>
  <c r="F124" i="1"/>
  <c r="F122" i="1"/>
  <c r="F120" i="1"/>
  <c r="F118" i="1"/>
  <c r="F116" i="1"/>
  <c r="F114" i="1"/>
  <c r="F112" i="1"/>
  <c r="F110" i="1"/>
  <c r="F108" i="1"/>
  <c r="F106" i="1"/>
  <c r="F104" i="1"/>
  <c r="F102" i="1"/>
  <c r="F100" i="1"/>
  <c r="F98" i="1"/>
  <c r="F96" i="1"/>
  <c r="F94" i="1"/>
  <c r="F92" i="1"/>
  <c r="F90" i="1"/>
  <c r="F88" i="1"/>
  <c r="F86" i="1"/>
  <c r="F84" i="1"/>
  <c r="F82" i="1"/>
  <c r="F80" i="1"/>
  <c r="F78" i="1"/>
  <c r="F76" i="1"/>
  <c r="F74" i="1"/>
  <c r="F72" i="1"/>
  <c r="F70" i="1"/>
  <c r="F68" i="1"/>
  <c r="F66" i="1"/>
  <c r="F64" i="1"/>
  <c r="F62" i="1"/>
  <c r="F60" i="1"/>
  <c r="F58" i="1"/>
  <c r="F56" i="1"/>
  <c r="F54" i="1"/>
  <c r="F52" i="1"/>
  <c r="F50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F20" i="1"/>
  <c r="F18" i="1"/>
  <c r="F16" i="1"/>
  <c r="E14" i="1"/>
  <c r="E12" i="1"/>
  <c r="F9" i="1"/>
  <c r="F7" i="1"/>
  <c r="F5" i="1"/>
  <c r="H5" i="1" s="1" a="1"/>
  <c r="F3" i="1"/>
  <c r="F2" i="1"/>
  <c r="E150" i="1"/>
  <c r="E148" i="1"/>
  <c r="E146" i="1"/>
  <c r="E144" i="1"/>
  <c r="E142" i="1"/>
  <c r="E140" i="1"/>
  <c r="E138" i="1"/>
  <c r="E136" i="1"/>
  <c r="E134" i="1"/>
  <c r="E132" i="1"/>
  <c r="E130" i="1"/>
  <c r="E128" i="1"/>
  <c r="E126" i="1"/>
  <c r="E124" i="1"/>
  <c r="E122" i="1"/>
  <c r="E120" i="1"/>
  <c r="E118" i="1"/>
  <c r="E116" i="1"/>
  <c r="E114" i="1"/>
  <c r="E112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84" i="1"/>
  <c r="E82" i="1"/>
  <c r="E80" i="1"/>
  <c r="E78" i="1"/>
  <c r="E76" i="1"/>
  <c r="E74" i="1"/>
  <c r="E72" i="1"/>
  <c r="E70" i="1"/>
  <c r="E68" i="1"/>
  <c r="E66" i="1"/>
  <c r="E64" i="1"/>
  <c r="E62" i="1"/>
  <c r="E60" i="1"/>
  <c r="E58" i="1"/>
  <c r="E56" i="1"/>
  <c r="E54" i="1"/>
  <c r="E52" i="1"/>
  <c r="E50" i="1"/>
  <c r="E48" i="1"/>
  <c r="E46" i="1"/>
  <c r="E44" i="1"/>
  <c r="E42" i="1"/>
  <c r="E40" i="1"/>
  <c r="E38" i="1"/>
  <c r="E36" i="1"/>
  <c r="E34" i="1"/>
  <c r="E32" i="1"/>
  <c r="E30" i="1"/>
  <c r="E28" i="1"/>
  <c r="H28" i="1" s="1" a="1"/>
  <c r="E26" i="1"/>
  <c r="E24" i="1"/>
  <c r="E22" i="1"/>
  <c r="E20" i="1"/>
  <c r="E18" i="1"/>
  <c r="E16" i="1"/>
  <c r="F13" i="1"/>
  <c r="E9" i="1"/>
  <c r="E7" i="1"/>
  <c r="E5" i="1"/>
  <c r="H83" i="1" a="1"/>
  <c r="H36" i="1" a="1"/>
  <c r="H131" i="1" a="1"/>
  <c r="H143" i="1" a="1"/>
  <c r="H93" i="1" a="1"/>
  <c r="H100" i="1" a="1"/>
  <c r="H80" i="1" a="1"/>
  <c r="H72" i="1" a="1"/>
  <c r="H76" i="1" a="1"/>
  <c r="H128" i="1" a="1"/>
  <c r="H37" i="1" a="1"/>
  <c r="H71" i="1" a="1"/>
  <c r="H81" i="1" a="1"/>
  <c r="H42" i="1" a="1"/>
  <c r="H142" i="1" a="1"/>
  <c r="H24" i="1" a="1"/>
  <c r="H122" i="1" a="1"/>
  <c r="H108" i="1" a="1"/>
  <c r="H99" i="1" a="1"/>
  <c r="H52" i="1" a="1"/>
  <c r="H102" i="1" a="1"/>
  <c r="H87" i="1" a="1"/>
  <c r="H16" i="1" a="1"/>
  <c r="H134" i="1" a="1"/>
  <c r="H126" i="1" a="1"/>
  <c r="H82" i="1" a="1"/>
  <c r="H151" i="1" a="1"/>
  <c r="H70" i="1" a="1"/>
  <c r="H144" i="1" a="1"/>
  <c r="H124" i="1" a="1"/>
  <c r="H120" i="1" a="1"/>
  <c r="H56" i="1" a="1"/>
  <c r="H89" i="1" a="1"/>
  <c r="H61" i="1" a="1"/>
  <c r="H44" i="1" a="1"/>
  <c r="H35" i="1" a="1"/>
  <c r="H132" i="1" a="1"/>
  <c r="H79" i="1" a="1"/>
  <c r="H23" i="1" a="1"/>
  <c r="H133" i="1" a="1"/>
  <c r="H90" i="1" a="1"/>
  <c r="H86" i="1" a="1"/>
  <c r="H43" i="1" a="1"/>
  <c r="H73" i="1" a="1"/>
  <c r="H8" i="1" a="1"/>
  <c r="H13" i="1" a="1"/>
  <c r="H78" i="1" a="1"/>
  <c r="H121" i="1" a="1"/>
  <c r="H25" i="1" a="1"/>
  <c r="H10" i="1" a="1"/>
  <c r="H66" i="1" a="1"/>
  <c r="H107" i="1" a="1"/>
  <c r="H77" i="1" a="1"/>
  <c r="H95" i="1" a="1"/>
  <c r="H112" i="1" a="1"/>
  <c r="H118" i="1" a="1"/>
  <c r="H49" i="1" a="1"/>
  <c r="H140" i="1" a="1"/>
  <c r="H53" i="1" a="1"/>
  <c r="H115" i="1" a="1"/>
  <c r="H59" i="1" a="1"/>
  <c r="H19" i="1" a="1"/>
  <c r="H117" i="1" a="1"/>
  <c r="H137" i="1" a="1"/>
  <c r="H113" i="1" a="1"/>
  <c r="H68" i="1" a="1"/>
  <c r="H85" i="1" a="1"/>
  <c r="H141" i="1" a="1"/>
  <c r="H32" i="1" a="1"/>
  <c r="H47" i="1" a="1"/>
  <c r="H64" i="1" a="1"/>
  <c r="H14" i="1" a="1"/>
  <c r="H97" i="1" a="1"/>
  <c r="H33" i="1" a="1"/>
  <c r="H11" i="1" a="1"/>
  <c r="H9" i="1" a="1"/>
  <c r="H40" i="1" a="1"/>
  <c r="H46" i="1" a="1"/>
  <c r="H63" i="1" a="1"/>
  <c r="H15" i="1" a="1"/>
  <c r="H29" i="1" a="1"/>
  <c r="H21" i="1" a="1"/>
  <c r="H123" i="1" a="1"/>
  <c r="H101" i="1" a="1"/>
  <c r="H91" i="1" a="1"/>
  <c r="H39" i="1" a="1"/>
  <c r="H92" i="1" a="1"/>
  <c r="H57" i="1" a="1"/>
  <c r="H20" i="1" a="1"/>
  <c r="H50" i="1" a="1"/>
  <c r="H136" i="1" a="1"/>
  <c r="H127" i="1" a="1"/>
  <c r="H130" i="1" a="1"/>
  <c r="H12" i="1" a="1"/>
  <c r="H26" i="1" a="1"/>
  <c r="H17" i="1" a="1"/>
  <c r="H149" i="1" a="1"/>
  <c r="H65" i="1" a="1"/>
  <c r="H150" i="1" a="1"/>
  <c r="H114" i="1" a="1"/>
  <c r="H41" i="1" a="1"/>
  <c r="H45" i="1" a="1"/>
  <c r="H2" i="1" a="1"/>
  <c r="H30" i="1" a="1"/>
  <c r="H22" i="1" a="1"/>
  <c r="H27" i="1" a="1"/>
  <c r="H62" i="1" a="1"/>
  <c r="H104" i="1" a="1"/>
  <c r="H18" i="1" a="1"/>
  <c r="H110" i="1" a="1"/>
  <c r="H105" i="1" a="1"/>
  <c r="H96" i="1" a="1"/>
  <c r="H129" i="1" a="1"/>
  <c r="H74" i="1" a="1"/>
  <c r="H58" i="1" a="1"/>
  <c r="H146" i="1" a="1"/>
  <c r="H103" i="1" a="1"/>
  <c r="H119" i="1" a="1"/>
  <c r="H75" i="1" a="1"/>
  <c r="H138" i="1" a="1"/>
  <c r="H111" i="1" a="1"/>
  <c r="H55" i="1" a="1"/>
  <c r="H125" i="1" a="1"/>
  <c r="H3" i="1" a="1"/>
  <c r="H116" i="1" a="1"/>
  <c r="H109" i="1" a="1"/>
  <c r="H84" i="1" a="1"/>
  <c r="H88" i="1" a="1"/>
  <c r="H67" i="1" a="1"/>
  <c r="H98" i="1" a="1"/>
  <c r="H106" i="1" a="1"/>
  <c r="H135" i="1" a="1"/>
  <c r="H94" i="1" a="1"/>
  <c r="H139" i="1" a="1"/>
  <c r="H4" i="1" a="1"/>
  <c r="H34" i="1" a="1"/>
  <c r="H54" i="1" a="1"/>
  <c r="H145" i="1" a="1"/>
  <c r="H7" i="1" a="1"/>
  <c r="H60" i="1" a="1"/>
  <c r="H148" i="1" a="1"/>
  <c r="H51" i="1" a="1"/>
  <c r="H38" i="1" a="1"/>
  <c r="H147" i="1" a="1"/>
  <c r="H6" i="1" a="1"/>
  <c r="H69" i="1" a="1"/>
  <c r="H31" i="1" a="1"/>
  <c r="H48" i="1" a="1"/>
  <c r="G88" i="1" a="1"/>
  <c r="G66" i="1" a="1"/>
  <c r="G102" i="1" a="1"/>
  <c r="G16" i="1" a="1"/>
  <c r="G109" i="1" a="1"/>
  <c r="G113" i="1" a="1"/>
  <c r="G147" i="1" a="1"/>
  <c r="G150" i="1" a="1"/>
  <c r="G10" i="1" a="1"/>
  <c r="G107" i="1" a="1"/>
  <c r="G39" i="1" a="1"/>
  <c r="G72" i="1" a="1"/>
  <c r="G59" i="1" a="1"/>
  <c r="G124" i="1" a="1"/>
  <c r="G139" i="1" a="1"/>
  <c r="G122" i="1" a="1"/>
  <c r="G143" i="1" a="1"/>
  <c r="G140" i="1" a="1"/>
  <c r="G49" i="1" a="1"/>
  <c r="G100" i="1" a="1"/>
  <c r="G76" i="1" a="1"/>
  <c r="G70" i="1" a="1"/>
  <c r="G96" i="1" a="1"/>
  <c r="G105" i="1" a="1"/>
  <c r="G54" i="1" a="1"/>
  <c r="G131" i="1" a="1"/>
  <c r="G30" i="1" a="1"/>
  <c r="G87" i="1" a="1"/>
  <c r="G42" i="1" a="1"/>
  <c r="G15" i="1" a="1"/>
  <c r="G127" i="1" a="1"/>
  <c r="G89" i="1" a="1"/>
  <c r="G24" i="1" a="1"/>
  <c r="G114" i="1" a="1"/>
  <c r="G112" i="1" a="1"/>
  <c r="G37" i="1" a="1"/>
  <c r="G132" i="1" a="1"/>
  <c r="G129" i="1" a="1"/>
  <c r="G36" i="1" a="1"/>
  <c r="G32" i="1" a="1"/>
  <c r="G33" i="1" a="1"/>
  <c r="G60" i="1" a="1"/>
  <c r="G58" i="1" a="1"/>
  <c r="G97" i="1" a="1"/>
  <c r="G98" i="1" a="1"/>
  <c r="G69" i="1" a="1"/>
  <c r="G101" i="1" a="1"/>
  <c r="G138" i="1" a="1"/>
  <c r="G31" i="1" a="1"/>
  <c r="G20" i="1" a="1"/>
  <c r="G92" i="1" a="1"/>
  <c r="G47" i="1" a="1"/>
  <c r="G23" i="1" a="1"/>
  <c r="G27" i="1" a="1"/>
  <c r="G11" i="1" a="1"/>
  <c r="G106" i="1" a="1"/>
  <c r="G136" i="1" a="1"/>
  <c r="G121" i="1" a="1"/>
  <c r="G145" i="1" a="1"/>
  <c r="G57" i="1" a="1"/>
  <c r="G35" i="1" a="1"/>
  <c r="G91" i="1" a="1"/>
  <c r="G74" i="1" a="1"/>
  <c r="G48" i="1" a="1"/>
  <c r="G38" i="1" a="1"/>
  <c r="G149" i="1" a="1"/>
  <c r="G90" i="1" a="1"/>
  <c r="G5" i="1" a="1"/>
  <c r="G65" i="1" a="1"/>
  <c r="G110" i="1" a="1"/>
  <c r="G95" i="1" a="1"/>
  <c r="G73" i="1" a="1"/>
  <c r="G18" i="1" a="1"/>
  <c r="G68" i="1" a="1"/>
  <c r="G14" i="1" a="1"/>
  <c r="G64" i="1" a="1"/>
  <c r="G80" i="1" a="1"/>
  <c r="G108" i="1" a="1"/>
  <c r="G79" i="1" a="1"/>
  <c r="G151" i="1" a="1"/>
  <c r="G21" i="1" a="1"/>
  <c r="G146" i="1" a="1"/>
  <c r="G126" i="1" a="1"/>
  <c r="G7" i="1" a="1"/>
  <c r="G62" i="1" a="1"/>
  <c r="G133" i="1" a="1"/>
  <c r="G94" i="1" a="1"/>
  <c r="G142" i="1" a="1"/>
  <c r="G26" i="1" a="1"/>
  <c r="G28" i="1" a="1"/>
  <c r="G137" i="1" a="1"/>
  <c r="G25" i="1" a="1"/>
  <c r="G34" i="1" a="1"/>
  <c r="G46" i="1" a="1"/>
  <c r="G111" i="1" a="1"/>
  <c r="G83" i="1" a="1"/>
  <c r="G44" i="1" a="1"/>
  <c r="G55" i="1" a="1"/>
  <c r="G12" i="1" a="1"/>
  <c r="G61" i="1" a="1"/>
  <c r="G81" i="1" a="1"/>
  <c r="G75" i="1" a="1"/>
  <c r="G134" i="1" a="1"/>
  <c r="G119" i="1" a="1"/>
  <c r="G52" i="1" a="1"/>
  <c r="G53" i="1" a="1"/>
  <c r="G4" i="1" a="1"/>
  <c r="G50" i="1" a="1"/>
  <c r="G2" i="1" a="1"/>
  <c r="G77" i="1" a="1"/>
  <c r="G116" i="1" a="1"/>
  <c r="G141" i="1" a="1"/>
  <c r="G144" i="1" a="1"/>
  <c r="G103" i="1" a="1"/>
  <c r="G85" i="1" a="1"/>
  <c r="G40" i="1" a="1"/>
  <c r="G8" i="1" a="1"/>
  <c r="G29" i="1" a="1"/>
  <c r="G3" i="1" a="1"/>
  <c r="G43" i="1" a="1"/>
  <c r="G123" i="1" a="1"/>
  <c r="G117" i="1" a="1"/>
  <c r="G82" i="1" a="1"/>
  <c r="G17" i="1" a="1"/>
  <c r="G41" i="1" a="1"/>
  <c r="G148" i="1" a="1"/>
  <c r="G51" i="1" a="1"/>
  <c r="G22" i="1" a="1"/>
  <c r="G130" i="1" a="1"/>
  <c r="G67" i="1" a="1"/>
  <c r="G71" i="1" a="1"/>
  <c r="G99" i="1" a="1"/>
  <c r="G118" i="1" a="1"/>
  <c r="G86" i="1" a="1"/>
  <c r="G13" i="1" a="1"/>
  <c r="G63" i="1" a="1"/>
  <c r="G135" i="1" a="1"/>
  <c r="G120" i="1" a="1"/>
  <c r="G84" i="1" a="1"/>
  <c r="G125" i="1" a="1"/>
  <c r="G9" i="1" a="1"/>
  <c r="G6" i="1" a="1"/>
  <c r="G93" i="1" a="1"/>
  <c r="G19" i="1" a="1"/>
  <c r="G56" i="1" a="1"/>
  <c r="G104" i="1" a="1"/>
  <c r="G128" i="1" a="1"/>
  <c r="G45" i="1" a="1"/>
  <c r="G78" i="1" a="1"/>
  <c r="G115" i="1" a="1"/>
  <c r="N9" i="1" l="1"/>
  <c r="H26" i="2" a="1"/>
  <c r="H26" i="2" s="1"/>
  <c r="I97" i="2" a="1"/>
  <c r="I97" i="2" s="1"/>
  <c r="I66" i="2" a="1"/>
  <c r="I66" i="2" s="1"/>
  <c r="I93" i="2" a="1"/>
  <c r="I93" i="2" s="1"/>
  <c r="H34" i="2" a="1"/>
  <c r="H34" i="2" s="1"/>
  <c r="I37" i="2" a="1"/>
  <c r="I37" i="2" s="1"/>
  <c r="I9" i="2" a="1"/>
  <c r="I9" i="2" s="1"/>
  <c r="I65" i="2" a="1"/>
  <c r="I65" i="2" s="1"/>
  <c r="I67" i="2" a="1"/>
  <c r="I67" i="2" s="1"/>
  <c r="H20" i="2" a="1"/>
  <c r="H20" i="2" s="1"/>
  <c r="I73" i="2" a="1"/>
  <c r="I73" i="2" s="1"/>
  <c r="I33" i="2" a="1"/>
  <c r="I33" i="2" s="1"/>
  <c r="I48" i="2" a="1"/>
  <c r="I48" i="2" s="1"/>
  <c r="I60" i="2" a="1"/>
  <c r="I60" i="2" s="1"/>
  <c r="I69" i="2" a="1"/>
  <c r="I69" i="2" s="1"/>
  <c r="I107" i="2" a="1"/>
  <c r="I107" i="2" s="1"/>
  <c r="I115" i="2" a="1"/>
  <c r="I115" i="2" s="1"/>
  <c r="I131" i="2" a="1"/>
  <c r="I131" i="2" s="1"/>
  <c r="I139" i="2" a="1"/>
  <c r="I139" i="2" s="1"/>
  <c r="I147" i="2" a="1"/>
  <c r="I147" i="2" s="1"/>
  <c r="I12" i="2" a="1"/>
  <c r="I12" i="2" s="1"/>
  <c r="I19" i="2" a="1"/>
  <c r="I19" i="2" s="1"/>
  <c r="I98" i="2" a="1"/>
  <c r="I98" i="2" s="1"/>
  <c r="H13" i="2" a="1"/>
  <c r="H13" i="2" s="1"/>
  <c r="I123" i="2" a="1"/>
  <c r="I123" i="2" s="1"/>
  <c r="I11" i="2" a="1"/>
  <c r="I11" i="2" s="1"/>
  <c r="I49" i="2" a="1"/>
  <c r="I49" i="2" s="1"/>
  <c r="I83" i="2" a="1"/>
  <c r="I83" i="2" s="1"/>
  <c r="I74" i="2" a="1"/>
  <c r="I74" i="2" s="1"/>
  <c r="I117" i="2" a="1"/>
  <c r="I117" i="2" s="1"/>
  <c r="H81" i="2" a="1"/>
  <c r="H81" i="2" s="1"/>
  <c r="I34" i="2" a="1"/>
  <c r="I34" i="2" s="1"/>
  <c r="I7" i="2" a="1"/>
  <c r="I7" i="2" s="1"/>
  <c r="H93" i="2" a="1"/>
  <c r="H93" i="2" s="1"/>
  <c r="H130" i="2" a="1"/>
  <c r="H130" i="2" s="1"/>
  <c r="I90" i="2" a="1"/>
  <c r="I90" i="2" s="1"/>
  <c r="I104" i="2" a="1"/>
  <c r="I104" i="2" s="1"/>
  <c r="I112" i="2" a="1"/>
  <c r="I112" i="2" s="1"/>
  <c r="I24" i="2" a="1"/>
  <c r="I24" i="2" s="1"/>
  <c r="H59" i="2" a="1"/>
  <c r="H59" i="2" s="1"/>
  <c r="H22" i="2" a="1"/>
  <c r="H22" i="2" s="1"/>
  <c r="H54" i="2" a="1"/>
  <c r="H54" i="2" s="1"/>
  <c r="H30" i="2" a="1"/>
  <c r="H30" i="2" s="1"/>
  <c r="H58" i="2" a="1"/>
  <c r="H58" i="2" s="1"/>
  <c r="I95" i="2" a="1"/>
  <c r="I95" i="2" s="1"/>
  <c r="I94" i="2" a="1"/>
  <c r="I94" i="2" s="1"/>
  <c r="I105" i="2" a="1"/>
  <c r="I105" i="2" s="1"/>
  <c r="I121" i="2" a="1"/>
  <c r="I121" i="2" s="1"/>
  <c r="I129" i="2" a="1"/>
  <c r="I129" i="2" s="1"/>
  <c r="I137" i="2" a="1"/>
  <c r="I137" i="2" s="1"/>
  <c r="I145" i="2" a="1"/>
  <c r="I145" i="2" s="1"/>
  <c r="H36" i="2" a="1"/>
  <c r="H36" i="2" s="1"/>
  <c r="I16" i="2" a="1"/>
  <c r="I16" i="2" s="1"/>
  <c r="I14" i="2" a="1"/>
  <c r="I14" i="2" s="1"/>
  <c r="I88" i="2" a="1"/>
  <c r="I88" i="2" s="1"/>
  <c r="H98" i="2" a="1"/>
  <c r="H98" i="2" s="1"/>
  <c r="I144" i="2" a="1"/>
  <c r="I144" i="2" s="1"/>
  <c r="H29" i="2" a="1"/>
  <c r="H29" i="2" s="1"/>
  <c r="H45" i="2" a="1"/>
  <c r="H45" i="2" s="1"/>
  <c r="H52" i="2" a="1"/>
  <c r="H52" i="2" s="1"/>
  <c r="I72" i="2" a="1"/>
  <c r="I72" i="2" s="1"/>
  <c r="H62" i="2" a="1"/>
  <c r="H62" i="2" s="1"/>
  <c r="H80" i="2" a="1"/>
  <c r="H80" i="2" s="1"/>
  <c r="H70" i="2" a="1"/>
  <c r="H70" i="2" s="1"/>
  <c r="H100" i="2" a="1"/>
  <c r="H100" i="2" s="1"/>
  <c r="I108" i="2" a="1"/>
  <c r="I108" i="2" s="1"/>
  <c r="H116" i="2" a="1"/>
  <c r="H116" i="2" s="1"/>
  <c r="H124" i="2" a="1"/>
  <c r="H124" i="2" s="1"/>
  <c r="H132" i="2" a="1"/>
  <c r="H132" i="2" s="1"/>
  <c r="H140" i="2" a="1"/>
  <c r="H140" i="2" s="1"/>
  <c r="H148" i="2" a="1"/>
  <c r="H148" i="2" s="1"/>
  <c r="H40" i="2" a="1"/>
  <c r="H40" i="2" s="1"/>
  <c r="I10" i="2" a="1"/>
  <c r="I10" i="2" s="1"/>
  <c r="H83" i="2" a="1"/>
  <c r="H83" i="2" s="1"/>
  <c r="H25" i="2" a="1"/>
  <c r="H25" i="2" s="1"/>
  <c r="H74" i="2" a="1"/>
  <c r="H74" i="2" s="1"/>
  <c r="H15" i="2" a="1"/>
  <c r="H15" i="2" s="1"/>
  <c r="H55" i="2" a="1"/>
  <c r="H55" i="2" s="1"/>
  <c r="H125" i="2" a="1"/>
  <c r="H125" i="2" s="1"/>
  <c r="I20" i="2" a="1"/>
  <c r="I20" i="2" s="1"/>
  <c r="I141" i="2" a="1"/>
  <c r="I141" i="2" s="1"/>
  <c r="I149" i="2" a="1"/>
  <c r="I149" i="2" s="1"/>
  <c r="I36" i="2" a="1"/>
  <c r="I36" i="2" s="1"/>
  <c r="I31" i="2" a="1"/>
  <c r="I31" i="2" s="1"/>
  <c r="H91" i="2" a="1"/>
  <c r="H91" i="2" s="1"/>
  <c r="H61" i="2" a="1"/>
  <c r="H61" i="2" s="1"/>
  <c r="H78" i="2" a="1"/>
  <c r="H78" i="2" s="1"/>
  <c r="H24" i="2" a="1"/>
  <c r="H24" i="2" s="1"/>
  <c r="G77" i="2" a="1"/>
  <c r="G77" i="2" s="1"/>
  <c r="I55" i="2" a="1"/>
  <c r="I55" i="2" s="1"/>
  <c r="I114" i="2" a="1"/>
  <c r="I114" i="2" s="1"/>
  <c r="H141" i="2" a="1"/>
  <c r="H141" i="2" s="1"/>
  <c r="I128" i="2" a="1"/>
  <c r="I128" i="2" s="1"/>
  <c r="I21" i="2" a="1"/>
  <c r="I21" i="2" s="1"/>
  <c r="I53" i="2" a="1"/>
  <c r="I53" i="2" s="1"/>
  <c r="H63" i="2" a="1"/>
  <c r="H63" i="2" s="1"/>
  <c r="I43" i="2" a="1"/>
  <c r="I43" i="2" s="1"/>
  <c r="H42" i="2" a="1"/>
  <c r="H42" i="2" s="1"/>
  <c r="I82" i="2" a="1"/>
  <c r="I82" i="2" s="1"/>
  <c r="I84" i="2" a="1"/>
  <c r="I84" i="2" s="1"/>
  <c r="H102" i="2" a="1"/>
  <c r="H102" i="2" s="1"/>
  <c r="H110" i="2" a="1"/>
  <c r="H110" i="2" s="1"/>
  <c r="H118" i="2" a="1"/>
  <c r="H118" i="2" s="1"/>
  <c r="H126" i="2" a="1"/>
  <c r="H126" i="2" s="1"/>
  <c r="H134" i="2" a="1"/>
  <c r="H134" i="2" s="1"/>
  <c r="H142" i="2" a="1"/>
  <c r="H142" i="2" s="1"/>
  <c r="H150" i="2" a="1"/>
  <c r="H150" i="2" s="1"/>
  <c r="H32" i="2" a="1"/>
  <c r="H32" i="2" s="1"/>
  <c r="H4" i="2" a="1"/>
  <c r="H4" i="2" s="1"/>
  <c r="I75" i="2" a="1"/>
  <c r="I75" i="2" s="1"/>
  <c r="I27" i="2" a="1"/>
  <c r="I27" i="2" s="1"/>
  <c r="H77" i="2" a="1"/>
  <c r="H77" i="2" s="1"/>
  <c r="H95" i="2" a="1"/>
  <c r="H95" i="2" s="1"/>
  <c r="H65" i="2" a="1"/>
  <c r="H65" i="2" s="1"/>
  <c r="H106" i="2" a="1"/>
  <c r="H106" i="2" s="1"/>
  <c r="H38" i="2" a="1"/>
  <c r="H38" i="2" s="1"/>
  <c r="F6" i="2" a="1"/>
  <c r="F6" i="2" s="1"/>
  <c r="H97" i="2" a="1"/>
  <c r="H97" i="2" s="1"/>
  <c r="H17" i="2" a="1"/>
  <c r="H17" i="2" s="1"/>
  <c r="I25" i="2" a="1"/>
  <c r="I25" i="2" s="1"/>
  <c r="H89" i="2" a="1"/>
  <c r="H89" i="2" s="1"/>
  <c r="I92" i="2" a="1"/>
  <c r="I92" i="2" s="1"/>
  <c r="H109" i="2" a="1"/>
  <c r="H109" i="2" s="1"/>
  <c r="I64" i="2" a="1"/>
  <c r="I64" i="2" s="1"/>
  <c r="H79" i="2" a="1"/>
  <c r="H79" i="2" s="1"/>
  <c r="H136" i="2" a="1"/>
  <c r="H136" i="2" s="1"/>
  <c r="I18" i="2" a="1"/>
  <c r="I18" i="2" s="1"/>
  <c r="I61" i="2" a="1"/>
  <c r="I61" i="2" s="1"/>
  <c r="I68" i="2" a="1"/>
  <c r="I68" i="2" s="1"/>
  <c r="H47" i="2" a="1"/>
  <c r="H47" i="2" s="1"/>
  <c r="H46" i="2" a="1"/>
  <c r="H46" i="2" s="1"/>
  <c r="H86" i="2" a="1"/>
  <c r="H86" i="2" s="1"/>
  <c r="H88" i="2" a="1"/>
  <c r="H88" i="2" s="1"/>
  <c r="I103" i="2" a="1"/>
  <c r="I103" i="2" s="1"/>
  <c r="H111" i="2" a="1"/>
  <c r="H111" i="2" s="1"/>
  <c r="H119" i="2" a="1"/>
  <c r="H119" i="2" s="1"/>
  <c r="H127" i="2" a="1"/>
  <c r="H127" i="2" s="1"/>
  <c r="I135" i="2" a="1"/>
  <c r="I135" i="2" s="1"/>
  <c r="H143" i="2" a="1"/>
  <c r="H143" i="2" s="1"/>
  <c r="H151" i="2" a="1"/>
  <c r="H151" i="2" s="1"/>
  <c r="I28" i="2" a="1"/>
  <c r="I28" i="2" s="1"/>
  <c r="H14" i="2" a="1"/>
  <c r="H14" i="2" s="1"/>
  <c r="H6" i="2" a="1"/>
  <c r="H6" i="2" s="1"/>
  <c r="H115" i="2" a="1"/>
  <c r="H115" i="2" s="1"/>
  <c r="H101" i="2" a="1"/>
  <c r="H101" i="2" s="1"/>
  <c r="H112" i="2" a="1"/>
  <c r="H112" i="2" s="1"/>
  <c r="H50" i="2" a="1"/>
  <c r="H50" i="2" s="1"/>
  <c r="H92" i="2" a="1"/>
  <c r="H92" i="2" s="1"/>
  <c r="H120" i="2" a="1"/>
  <c r="H120" i="2" s="1"/>
  <c r="H128" i="2" a="1"/>
  <c r="H128" i="2" s="1"/>
  <c r="H71" i="2" a="1"/>
  <c r="H71" i="2" s="1"/>
  <c r="H2" i="2" a="1"/>
  <c r="H2" i="2" s="1"/>
  <c r="H19" i="2" a="1"/>
  <c r="H19" i="2" s="1"/>
  <c r="H147" i="2" a="1"/>
  <c r="H147" i="2" s="1"/>
  <c r="H145" i="2" a="1"/>
  <c r="H145" i="2" s="1"/>
  <c r="H138" i="2" a="1"/>
  <c r="H138" i="2" s="1"/>
  <c r="H57" i="2" a="1"/>
  <c r="H57" i="2" s="1"/>
  <c r="H96" i="2" a="1"/>
  <c r="H96" i="2" s="1"/>
  <c r="H113" i="2" a="1"/>
  <c r="H113" i="2" s="1"/>
  <c r="H64" i="2" a="1"/>
  <c r="H64" i="2" s="1"/>
  <c r="H56" i="2" a="1"/>
  <c r="H56" i="2" s="1"/>
  <c r="H39" i="2" a="1"/>
  <c r="H39" i="2" s="1"/>
  <c r="H31" i="2" a="1"/>
  <c r="H31" i="2" s="1"/>
  <c r="H8" i="2" a="1"/>
  <c r="H8" i="2" s="1"/>
  <c r="H85" i="2" a="1"/>
  <c r="H85" i="2" s="1"/>
  <c r="H76" i="2" a="1"/>
  <c r="H76" i="2" s="1"/>
  <c r="H44" i="2" a="1"/>
  <c r="H44" i="2" s="1"/>
  <c r="H87" i="2" a="1"/>
  <c r="H87" i="2" s="1"/>
  <c r="I106" i="2" a="1"/>
  <c r="I106" i="2" s="1"/>
  <c r="H114" i="2" a="1"/>
  <c r="H114" i="2" s="1"/>
  <c r="H122" i="2" a="1"/>
  <c r="H122" i="2" s="1"/>
  <c r="I130" i="2" a="1"/>
  <c r="I130" i="2" s="1"/>
  <c r="I138" i="2" a="1"/>
  <c r="I138" i="2" s="1"/>
  <c r="H146" i="2" a="1"/>
  <c r="H146" i="2" s="1"/>
  <c r="I41" i="2" a="1"/>
  <c r="I41" i="2" s="1"/>
  <c r="I17" i="2" a="1"/>
  <c r="I17" i="2" s="1"/>
  <c r="I5" i="2" a="1"/>
  <c r="I5" i="2" s="1"/>
  <c r="H3" i="2" a="1"/>
  <c r="H3" i="2" s="1"/>
  <c r="H51" i="2" a="1"/>
  <c r="H51" i="2" s="1"/>
  <c r="H28" i="2" a="1"/>
  <c r="H28" i="2" s="1"/>
  <c r="H10" i="2" a="1"/>
  <c r="H10" i="2" s="1"/>
  <c r="H149" i="2" a="1"/>
  <c r="H149" i="2" s="1"/>
  <c r="H53" i="2" a="1"/>
  <c r="H53" i="2" s="1"/>
  <c r="I79" i="2" a="1"/>
  <c r="I79" i="2" s="1"/>
  <c r="I111" i="2" a="1"/>
  <c r="I111" i="2" s="1"/>
  <c r="I143" i="2" a="1"/>
  <c r="I143" i="2" s="1"/>
  <c r="I76" i="2" a="1"/>
  <c r="I76" i="2" s="1"/>
  <c r="I109" i="2" a="1"/>
  <c r="I109" i="2" s="1"/>
  <c r="I13" i="2" a="1"/>
  <c r="I13" i="2" s="1"/>
  <c r="I45" i="2" a="1"/>
  <c r="I45" i="2" s="1"/>
  <c r="I77" i="2" a="1"/>
  <c r="I77" i="2" s="1"/>
  <c r="I6" i="2" a="1"/>
  <c r="I6" i="2" s="1"/>
  <c r="I38" i="2" a="1"/>
  <c r="I38" i="2" s="1"/>
  <c r="I70" i="2" a="1"/>
  <c r="I70" i="2" s="1"/>
  <c r="I102" i="2" a="1"/>
  <c r="I102" i="2" s="1"/>
  <c r="I134" i="2" a="1"/>
  <c r="I134" i="2" s="1"/>
  <c r="I133" i="2" a="1"/>
  <c r="I133" i="2" s="1"/>
  <c r="H60" i="2" a="1"/>
  <c r="H60" i="2" s="1"/>
  <c r="H66" i="2" a="1"/>
  <c r="H66" i="2" s="1"/>
  <c r="I15" i="2" a="1"/>
  <c r="I15" i="2" s="1"/>
  <c r="I47" i="2" a="1"/>
  <c r="I47" i="2" s="1"/>
  <c r="H144" i="2" a="1"/>
  <c r="H144" i="2" s="1"/>
  <c r="I32" i="2" a="1"/>
  <c r="I32" i="2" s="1"/>
  <c r="I116" i="2" a="1"/>
  <c r="I116" i="2" s="1"/>
  <c r="F23" i="2" a="1"/>
  <c r="F23" i="2" s="1"/>
  <c r="G31" i="2" a="1"/>
  <c r="G31" i="2" s="1"/>
  <c r="G39" i="2" a="1"/>
  <c r="G39" i="2" s="1"/>
  <c r="H23" i="2" a="1"/>
  <c r="H23" i="2" s="1"/>
  <c r="H21" i="2" a="1"/>
  <c r="H21" i="2" s="1"/>
  <c r="H49" i="2" a="1"/>
  <c r="H49" i="2" s="1"/>
  <c r="I51" i="2" a="1"/>
  <c r="I51" i="2" s="1"/>
  <c r="I80" i="2" a="1"/>
  <c r="I80" i="2" s="1"/>
  <c r="I132" i="2" a="1"/>
  <c r="I132" i="2" s="1"/>
  <c r="I124" i="2" a="1"/>
  <c r="I124" i="2" s="1"/>
  <c r="I2" i="2" a="1"/>
  <c r="I2" i="2" s="1"/>
  <c r="I81" i="2" a="1"/>
  <c r="I81" i="2" s="1"/>
  <c r="I42" i="2" a="1"/>
  <c r="I42" i="2" s="1"/>
  <c r="H27" i="2" a="1"/>
  <c r="H27" i="2" s="1"/>
  <c r="H123" i="2" a="1"/>
  <c r="H123" i="2" s="1"/>
  <c r="I4" i="2" a="1"/>
  <c r="I4" i="2" s="1"/>
  <c r="I52" i="2" a="1"/>
  <c r="I52" i="2" s="1"/>
  <c r="I110" i="2" a="1"/>
  <c r="I110" i="2" s="1"/>
  <c r="I50" i="2" a="1"/>
  <c r="I50" i="2" s="1"/>
  <c r="I119" i="2" a="1"/>
  <c r="I119" i="2" s="1"/>
  <c r="I140" i="2" a="1"/>
  <c r="I140" i="2" s="1"/>
  <c r="I89" i="2" a="1"/>
  <c r="I89" i="2" s="1"/>
  <c r="I3" i="2" a="1"/>
  <c r="I3" i="2" s="1"/>
  <c r="I44" i="2" a="1"/>
  <c r="I44" i="2" s="1"/>
  <c r="H72" i="2" a="1"/>
  <c r="H72" i="2" s="1"/>
  <c r="F91" i="2" a="1"/>
  <c r="F91" i="2" s="1"/>
  <c r="H35" i="2" a="1"/>
  <c r="H35" i="2" s="1"/>
  <c r="H67" i="2" a="1"/>
  <c r="H67" i="2" s="1"/>
  <c r="H99" i="2" a="1"/>
  <c r="H99" i="2" s="1"/>
  <c r="H131" i="2" a="1"/>
  <c r="H131" i="2" s="1"/>
  <c r="H12" i="2" a="1"/>
  <c r="H12" i="2" s="1"/>
  <c r="H48" i="2" a="1"/>
  <c r="H48" i="2" s="1"/>
  <c r="H33" i="2" a="1"/>
  <c r="H33" i="2" s="1"/>
  <c r="H69" i="2" a="1"/>
  <c r="H69" i="2" s="1"/>
  <c r="H117" i="2" a="1"/>
  <c r="H117" i="2" s="1"/>
  <c r="H105" i="2" a="1"/>
  <c r="H105" i="2" s="1"/>
  <c r="H18" i="2" a="1"/>
  <c r="H18" i="2" s="1"/>
  <c r="H82" i="2" a="1"/>
  <c r="H82" i="2" s="1"/>
  <c r="I63" i="2" a="1"/>
  <c r="I63" i="2" s="1"/>
  <c r="I127" i="2" a="1"/>
  <c r="I127" i="2" s="1"/>
  <c r="H108" i="2" a="1"/>
  <c r="H108" i="2" s="1"/>
  <c r="I100" i="2" a="1"/>
  <c r="I100" i="2" s="1"/>
  <c r="H84" i="2" a="1"/>
  <c r="H84" i="2" s="1"/>
  <c r="I29" i="2" a="1"/>
  <c r="I29" i="2" s="1"/>
  <c r="I113" i="2" a="1"/>
  <c r="I113" i="2" s="1"/>
  <c r="I22" i="2" a="1"/>
  <c r="I22" i="2" s="1"/>
  <c r="I54" i="2" a="1"/>
  <c r="I54" i="2" s="1"/>
  <c r="I86" i="2" a="1"/>
  <c r="I86" i="2" s="1"/>
  <c r="I118" i="2" a="1"/>
  <c r="I118" i="2" s="1"/>
  <c r="I150" i="2" a="1"/>
  <c r="I150" i="2" s="1"/>
  <c r="I23" i="2" a="1"/>
  <c r="I23" i="2" s="1"/>
  <c r="I151" i="2" a="1"/>
  <c r="I151" i="2" s="1"/>
  <c r="I136" i="2" a="1"/>
  <c r="I136" i="2" s="1"/>
  <c r="I46" i="2" a="1"/>
  <c r="I46" i="2" s="1"/>
  <c r="I142" i="2" a="1"/>
  <c r="I142" i="2" s="1"/>
  <c r="I148" i="2" a="1"/>
  <c r="I148" i="2" s="1"/>
  <c r="H7" i="2" a="1"/>
  <c r="H7" i="2" s="1"/>
  <c r="H103" i="2" a="1"/>
  <c r="H103" i="2" s="1"/>
  <c r="H135" i="2" a="1"/>
  <c r="H135" i="2" s="1"/>
  <c r="H16" i="2" a="1"/>
  <c r="H16" i="2" s="1"/>
  <c r="H5" i="2" a="1"/>
  <c r="H5" i="2" s="1"/>
  <c r="H37" i="2" a="1"/>
  <c r="H37" i="2" s="1"/>
  <c r="H73" i="2" a="1"/>
  <c r="H73" i="2" s="1"/>
  <c r="I35" i="2" a="1"/>
  <c r="I35" i="2" s="1"/>
  <c r="I99" i="2" a="1"/>
  <c r="I99" i="2" s="1"/>
  <c r="I56" i="2" a="1"/>
  <c r="I56" i="2" s="1"/>
  <c r="I26" i="2" a="1"/>
  <c r="I26" i="2" s="1"/>
  <c r="I58" i="2" a="1"/>
  <c r="I58" i="2" s="1"/>
  <c r="I122" i="2" a="1"/>
  <c r="I122" i="2" s="1"/>
  <c r="H68" i="2" a="1"/>
  <c r="H68" i="2" s="1"/>
  <c r="H104" i="2" a="1"/>
  <c r="H104" i="2" s="1"/>
  <c r="I87" i="2" a="1"/>
  <c r="I87" i="2" s="1"/>
  <c r="I40" i="2" a="1"/>
  <c r="I40" i="2" s="1"/>
  <c r="I85" i="2" a="1"/>
  <c r="I85" i="2" s="1"/>
  <c r="I125" i="2" a="1"/>
  <c r="I125" i="2" s="1"/>
  <c r="I91" i="2" a="1"/>
  <c r="I91" i="2" s="1"/>
  <c r="I8" i="2" a="1"/>
  <c r="I8" i="2" s="1"/>
  <c r="I57" i="2" a="1"/>
  <c r="I57" i="2" s="1"/>
  <c r="I101" i="2" a="1"/>
  <c r="I101" i="2" s="1"/>
  <c r="I146" i="2" a="1"/>
  <c r="I146" i="2" s="1"/>
  <c r="H11" i="2" a="1"/>
  <c r="H11" i="2" s="1"/>
  <c r="H43" i="2" a="1"/>
  <c r="H43" i="2" s="1"/>
  <c r="H75" i="2" a="1"/>
  <c r="H75" i="2" s="1"/>
  <c r="H107" i="2" a="1"/>
  <c r="H107" i="2" s="1"/>
  <c r="H139" i="2" a="1"/>
  <c r="H139" i="2" s="1"/>
  <c r="H9" i="2" a="1"/>
  <c r="H9" i="2" s="1"/>
  <c r="H41" i="2" a="1"/>
  <c r="H41" i="2" s="1"/>
  <c r="H129" i="2" a="1"/>
  <c r="H129" i="2" s="1"/>
  <c r="H121" i="2" a="1"/>
  <c r="H121" i="2" s="1"/>
  <c r="H90" i="2" a="1"/>
  <c r="H90" i="2" s="1"/>
  <c r="I39" i="2" a="1"/>
  <c r="I39" i="2" s="1"/>
  <c r="I71" i="2" a="1"/>
  <c r="I71" i="2" s="1"/>
  <c r="I96" i="2" a="1"/>
  <c r="I96" i="2" s="1"/>
  <c r="I30" i="2" a="1"/>
  <c r="I30" i="2" s="1"/>
  <c r="I62" i="2" a="1"/>
  <c r="I62" i="2" s="1"/>
  <c r="I126" i="2" a="1"/>
  <c r="I126" i="2" s="1"/>
  <c r="I78" i="2" a="1"/>
  <c r="I78" i="2" s="1"/>
  <c r="I59" i="2" a="1"/>
  <c r="I59" i="2" s="1"/>
  <c r="H137" i="2" a="1"/>
  <c r="H137" i="2" s="1"/>
  <c r="H133" i="2" a="1"/>
  <c r="H133" i="2" s="1"/>
  <c r="H94" i="2" a="1"/>
  <c r="H94" i="2" s="1"/>
  <c r="I120" i="2" a="1"/>
  <c r="I120" i="2" s="1"/>
  <c r="F39" i="2" a="1"/>
  <c r="F39" i="2" s="1"/>
  <c r="G91" i="2" a="1"/>
  <c r="G91" i="2" s="1"/>
  <c r="F5" i="2" a="1"/>
  <c r="F5" i="2" s="1"/>
  <c r="G15" i="2" a="1"/>
  <c r="G15" i="2" s="1"/>
  <c r="F14" i="2" a="1"/>
  <c r="F14" i="2" s="1"/>
  <c r="G23" i="2" a="1"/>
  <c r="G23" i="2" s="1"/>
  <c r="F4" i="2" a="1"/>
  <c r="F4" i="2" s="1"/>
  <c r="F75" i="2" a="1"/>
  <c r="F75" i="2" s="1"/>
  <c r="F31" i="2" a="1"/>
  <c r="F31" i="2" s="1"/>
  <c r="F19" i="2" a="1"/>
  <c r="F19" i="2" s="1"/>
  <c r="G27" i="2" a="1"/>
  <c r="G27" i="2" s="1"/>
  <c r="G35" i="2" a="1"/>
  <c r="G35" i="2" s="1"/>
  <c r="G14" i="2" a="1"/>
  <c r="G14" i="2" s="1"/>
  <c r="G5" i="2" a="1"/>
  <c r="G5" i="2" s="1"/>
  <c r="G75" i="2" a="1"/>
  <c r="G75" i="2" s="1"/>
  <c r="G3" i="2" a="1"/>
  <c r="G3" i="2" s="1"/>
  <c r="F61" i="2" a="1"/>
  <c r="F61" i="2" s="1"/>
  <c r="G61" i="2" a="1"/>
  <c r="G61" i="2" s="1"/>
  <c r="G86" i="2" a="1"/>
  <c r="G86" i="2" s="1"/>
  <c r="F86" i="2" a="1"/>
  <c r="F86" i="2" s="1"/>
  <c r="G111" i="2" a="1"/>
  <c r="G111" i="2" s="1"/>
  <c r="F111" i="2" a="1"/>
  <c r="F111" i="2" s="1"/>
  <c r="G119" i="2" a="1"/>
  <c r="G119" i="2" s="1"/>
  <c r="F119" i="2" a="1"/>
  <c r="F119" i="2" s="1"/>
  <c r="G34" i="2" a="1"/>
  <c r="G34" i="2" s="1"/>
  <c r="F34" i="2" a="1"/>
  <c r="F34" i="2" s="1"/>
  <c r="G4" i="2" a="1"/>
  <c r="G4" i="2" s="1"/>
  <c r="G79" i="2" a="1"/>
  <c r="G79" i="2" s="1"/>
  <c r="F79" i="2" a="1"/>
  <c r="F79" i="2" s="1"/>
  <c r="G50" i="2" a="1"/>
  <c r="G50" i="2" s="1"/>
  <c r="F50" i="2" a="1"/>
  <c r="F50" i="2" s="1"/>
  <c r="F90" i="2" a="1"/>
  <c r="F90" i="2" s="1"/>
  <c r="G90" i="2" a="1"/>
  <c r="G90" i="2" s="1"/>
  <c r="F92" i="2" a="1"/>
  <c r="F92" i="2" s="1"/>
  <c r="G92" i="2" a="1"/>
  <c r="G92" i="2" s="1"/>
  <c r="G104" i="2" a="1"/>
  <c r="G104" i="2" s="1"/>
  <c r="F104" i="2" a="1"/>
  <c r="F104" i="2" s="1"/>
  <c r="G112" i="2" a="1"/>
  <c r="G112" i="2" s="1"/>
  <c r="F112" i="2" a="1"/>
  <c r="F112" i="2" s="1"/>
  <c r="G120" i="2" a="1"/>
  <c r="G120" i="2" s="1"/>
  <c r="F120" i="2" a="1"/>
  <c r="F120" i="2" s="1"/>
  <c r="G128" i="2" a="1"/>
  <c r="G128" i="2" s="1"/>
  <c r="F128" i="2" a="1"/>
  <c r="F128" i="2" s="1"/>
  <c r="G136" i="2" a="1"/>
  <c r="G136" i="2" s="1"/>
  <c r="F136" i="2" a="1"/>
  <c r="F136" i="2" s="1"/>
  <c r="F144" i="2" a="1"/>
  <c r="F144" i="2" s="1"/>
  <c r="G144" i="2" a="1"/>
  <c r="G144" i="2" s="1"/>
  <c r="F71" i="2" a="1"/>
  <c r="F71" i="2" s="1"/>
  <c r="G71" i="2" a="1"/>
  <c r="G71" i="2" s="1"/>
  <c r="G28" i="2" a="1"/>
  <c r="G28" i="2" s="1"/>
  <c r="F28" i="2" a="1"/>
  <c r="F28" i="2" s="1"/>
  <c r="G19" i="2" a="1"/>
  <c r="G19" i="2" s="1"/>
  <c r="G30" i="2" a="1"/>
  <c r="G30" i="2" s="1"/>
  <c r="F30" i="2" a="1"/>
  <c r="F30" i="2" s="1"/>
  <c r="F3" i="2" a="1"/>
  <c r="F3" i="2" s="1"/>
  <c r="G33" i="2" a="1"/>
  <c r="G33" i="2" s="1"/>
  <c r="F33" i="2" a="1"/>
  <c r="F33" i="2" s="1"/>
  <c r="G8" i="2" a="1"/>
  <c r="G8" i="2" s="1"/>
  <c r="F8" i="2" a="1"/>
  <c r="F8" i="2" s="1"/>
  <c r="G95" i="2" a="1"/>
  <c r="G95" i="2" s="1"/>
  <c r="F95" i="2" a="1"/>
  <c r="F95" i="2" s="1"/>
  <c r="F85" i="2" a="1"/>
  <c r="F85" i="2" s="1"/>
  <c r="G85" i="2" a="1"/>
  <c r="G85" i="2" s="1"/>
  <c r="F57" i="2" a="1"/>
  <c r="F57" i="2" s="1"/>
  <c r="G57" i="2" a="1"/>
  <c r="G57" i="2" s="1"/>
  <c r="F59" i="2" a="1"/>
  <c r="F59" i="2" s="1"/>
  <c r="G59" i="2" a="1"/>
  <c r="G59" i="2" s="1"/>
  <c r="G94" i="2" a="1"/>
  <c r="G94" i="2" s="1"/>
  <c r="F94" i="2" a="1"/>
  <c r="F94" i="2" s="1"/>
  <c r="G96" i="2" a="1"/>
  <c r="G96" i="2" s="1"/>
  <c r="F96" i="2" a="1"/>
  <c r="F96" i="2" s="1"/>
  <c r="F105" i="2" a="1"/>
  <c r="F105" i="2" s="1"/>
  <c r="G105" i="2" a="1"/>
  <c r="G105" i="2" s="1"/>
  <c r="F113" i="2" a="1"/>
  <c r="F113" i="2" s="1"/>
  <c r="G113" i="2" a="1"/>
  <c r="G113" i="2" s="1"/>
  <c r="F121" i="2" a="1"/>
  <c r="F121" i="2" s="1"/>
  <c r="G121" i="2" a="1"/>
  <c r="G121" i="2" s="1"/>
  <c r="F129" i="2" a="1"/>
  <c r="F129" i="2" s="1"/>
  <c r="G129" i="2" a="1"/>
  <c r="G129" i="2" s="1"/>
  <c r="F137" i="2" a="1"/>
  <c r="F137" i="2" s="1"/>
  <c r="G137" i="2" a="1"/>
  <c r="G137" i="2" s="1"/>
  <c r="F145" i="2" a="1"/>
  <c r="F145" i="2" s="1"/>
  <c r="G145" i="2" a="1"/>
  <c r="G145" i="2" s="1"/>
  <c r="F64" i="2" a="1"/>
  <c r="F64" i="2" s="1"/>
  <c r="G64" i="2" a="1"/>
  <c r="G64" i="2" s="1"/>
  <c r="G24" i="2" a="1"/>
  <c r="G24" i="2" s="1"/>
  <c r="F24" i="2" a="1"/>
  <c r="F24" i="2" s="1"/>
  <c r="G6" i="2" a="1"/>
  <c r="G6" i="2" s="1"/>
  <c r="G38" i="2" a="1"/>
  <c r="G38" i="2" s="1"/>
  <c r="F38" i="2" a="1"/>
  <c r="F38" i="2" s="1"/>
  <c r="F151" i="2" a="1"/>
  <c r="F151" i="2" s="1"/>
  <c r="G151" i="2" a="1"/>
  <c r="G151" i="2" s="1"/>
  <c r="F2" i="2" a="1"/>
  <c r="F2" i="2" s="1"/>
  <c r="G2" i="2" a="1"/>
  <c r="G2" i="2" s="1"/>
  <c r="G26" i="2" a="1"/>
  <c r="G26" i="2" s="1"/>
  <c r="F26" i="2" a="1"/>
  <c r="F26" i="2" s="1"/>
  <c r="G9" i="2" a="1"/>
  <c r="G9" i="2" s="1"/>
  <c r="F9" i="2" a="1"/>
  <c r="F9" i="2" s="1"/>
  <c r="G44" i="2" a="1"/>
  <c r="G44" i="2" s="1"/>
  <c r="F44" i="2" a="1"/>
  <c r="F44" i="2" s="1"/>
  <c r="G87" i="2" a="1"/>
  <c r="G87" i="2" s="1"/>
  <c r="F87" i="2" a="1"/>
  <c r="F87" i="2" s="1"/>
  <c r="F65" i="2" a="1"/>
  <c r="F65" i="2" s="1"/>
  <c r="G65" i="2" a="1"/>
  <c r="G65" i="2" s="1"/>
  <c r="F67" i="2" a="1"/>
  <c r="F67" i="2" s="1"/>
  <c r="G67" i="2" a="1"/>
  <c r="G67" i="2" s="1"/>
  <c r="G73" i="2" a="1"/>
  <c r="G73" i="2" s="1"/>
  <c r="F73" i="2" a="1"/>
  <c r="F73" i="2" s="1"/>
  <c r="F98" i="2" a="1"/>
  <c r="F98" i="2" s="1"/>
  <c r="G98" i="2" a="1"/>
  <c r="G98" i="2" s="1"/>
  <c r="F106" i="2" a="1"/>
  <c r="F106" i="2" s="1"/>
  <c r="G106" i="2" a="1"/>
  <c r="G106" i="2" s="1"/>
  <c r="F114" i="2" a="1"/>
  <c r="F114" i="2" s="1"/>
  <c r="G114" i="2" a="1"/>
  <c r="G114" i="2" s="1"/>
  <c r="F122" i="2" a="1"/>
  <c r="F122" i="2" s="1"/>
  <c r="G122" i="2" a="1"/>
  <c r="G122" i="2" s="1"/>
  <c r="F130" i="2" a="1"/>
  <c r="F130" i="2" s="1"/>
  <c r="G130" i="2" a="1"/>
  <c r="G130" i="2" s="1"/>
  <c r="F138" i="2" a="1"/>
  <c r="F138" i="2" s="1"/>
  <c r="G138" i="2" a="1"/>
  <c r="G138" i="2" s="1"/>
  <c r="F146" i="2" a="1"/>
  <c r="F146" i="2" s="1"/>
  <c r="G146" i="2" a="1"/>
  <c r="G146" i="2" s="1"/>
  <c r="G41" i="2" a="1"/>
  <c r="G41" i="2" s="1"/>
  <c r="F41" i="2" a="1"/>
  <c r="F41" i="2" s="1"/>
  <c r="G20" i="2" a="1"/>
  <c r="G20" i="2" s="1"/>
  <c r="F20" i="2" a="1"/>
  <c r="F20" i="2" s="1"/>
  <c r="F56" i="2" a="1"/>
  <c r="F56" i="2" s="1"/>
  <c r="G56" i="2" a="1"/>
  <c r="G56" i="2" s="1"/>
  <c r="G7" i="2" a="1"/>
  <c r="G7" i="2" s="1"/>
  <c r="F7" i="2" a="1"/>
  <c r="F7" i="2" s="1"/>
  <c r="G68" i="2" a="1"/>
  <c r="G68" i="2" s="1"/>
  <c r="F68" i="2" a="1"/>
  <c r="F68" i="2" s="1"/>
  <c r="G46" i="2" a="1"/>
  <c r="G46" i="2" s="1"/>
  <c r="F46" i="2" a="1"/>
  <c r="F46" i="2" s="1"/>
  <c r="G103" i="2" a="1"/>
  <c r="G103" i="2" s="1"/>
  <c r="F103" i="2" a="1"/>
  <c r="F103" i="2" s="1"/>
  <c r="G127" i="2" a="1"/>
  <c r="G127" i="2" s="1"/>
  <c r="F127" i="2" a="1"/>
  <c r="F127" i="2" s="1"/>
  <c r="G32" i="2" a="1"/>
  <c r="G32" i="2" s="1"/>
  <c r="F32" i="2" a="1"/>
  <c r="F32" i="2" s="1"/>
  <c r="F97" i="2" a="1"/>
  <c r="F97" i="2" s="1"/>
  <c r="G97" i="2" a="1"/>
  <c r="G97" i="2" s="1"/>
  <c r="F51" i="2" a="1"/>
  <c r="F51" i="2" s="1"/>
  <c r="G51" i="2" a="1"/>
  <c r="G51" i="2" s="1"/>
  <c r="F35" i="2" a="1"/>
  <c r="F35" i="2" s="1"/>
  <c r="G22" i="2" a="1"/>
  <c r="G22" i="2" s="1"/>
  <c r="F22" i="2" a="1"/>
  <c r="F22" i="2" s="1"/>
  <c r="G25" i="2" a="1"/>
  <c r="G25" i="2" s="1"/>
  <c r="F25" i="2" a="1"/>
  <c r="F25" i="2" s="1"/>
  <c r="G40" i="2" a="1"/>
  <c r="G40" i="2" s="1"/>
  <c r="F40" i="2" a="1"/>
  <c r="F40" i="2" s="1"/>
  <c r="G48" i="2" a="1"/>
  <c r="G48" i="2" s="1"/>
  <c r="F48" i="2" a="1"/>
  <c r="F48" i="2" s="1"/>
  <c r="F60" i="2" a="1"/>
  <c r="F60" i="2" s="1"/>
  <c r="G60" i="2" a="1"/>
  <c r="G60" i="2" s="1"/>
  <c r="F54" i="2" a="1"/>
  <c r="F54" i="2" s="1"/>
  <c r="G54" i="2" a="1"/>
  <c r="G54" i="2" s="1"/>
  <c r="G69" i="2" a="1"/>
  <c r="G69" i="2" s="1"/>
  <c r="F69" i="2" a="1"/>
  <c r="F69" i="2" s="1"/>
  <c r="G81" i="2" a="1"/>
  <c r="G81" i="2" s="1"/>
  <c r="F81" i="2" a="1"/>
  <c r="F81" i="2" s="1"/>
  <c r="G99" i="2" a="1"/>
  <c r="G99" i="2" s="1"/>
  <c r="F99" i="2" a="1"/>
  <c r="F99" i="2" s="1"/>
  <c r="F107" i="2" a="1"/>
  <c r="F107" i="2" s="1"/>
  <c r="G107" i="2" a="1"/>
  <c r="G107" i="2" s="1"/>
  <c r="F115" i="2" a="1"/>
  <c r="F115" i="2" s="1"/>
  <c r="G115" i="2" a="1"/>
  <c r="G115" i="2" s="1"/>
  <c r="F123" i="2" a="1"/>
  <c r="F123" i="2" s="1"/>
  <c r="G123" i="2" a="1"/>
  <c r="G123" i="2" s="1"/>
  <c r="F131" i="2" a="1"/>
  <c r="F131" i="2" s="1"/>
  <c r="G131" i="2" a="1"/>
  <c r="G131" i="2" s="1"/>
  <c r="F139" i="2" a="1"/>
  <c r="F139" i="2" s="1"/>
  <c r="G139" i="2" a="1"/>
  <c r="G139" i="2" s="1"/>
  <c r="F147" i="2" a="1"/>
  <c r="F147" i="2" s="1"/>
  <c r="G147" i="2" a="1"/>
  <c r="G147" i="2" s="1"/>
  <c r="F15" i="2" a="1"/>
  <c r="F15" i="2" s="1"/>
  <c r="F17" i="2" a="1"/>
  <c r="F17" i="2" s="1"/>
  <c r="G17" i="2" a="1"/>
  <c r="G17" i="2" s="1"/>
  <c r="F77" i="2" a="1"/>
  <c r="F77" i="2" s="1"/>
  <c r="G88" i="2" a="1"/>
  <c r="G88" i="2" s="1"/>
  <c r="F88" i="2" a="1"/>
  <c r="F88" i="2" s="1"/>
  <c r="F93" i="2" a="1"/>
  <c r="F93" i="2" s="1"/>
  <c r="G93" i="2" a="1"/>
  <c r="G93" i="2" s="1"/>
  <c r="G29" i="2" a="1"/>
  <c r="G29" i="2" s="1"/>
  <c r="F29" i="2" a="1"/>
  <c r="F29" i="2" s="1"/>
  <c r="F16" i="2" a="1"/>
  <c r="F16" i="2" s="1"/>
  <c r="G16" i="2" a="1"/>
  <c r="G16" i="2" s="1"/>
  <c r="F27" i="2" a="1"/>
  <c r="F27" i="2" s="1"/>
  <c r="G21" i="2" a="1"/>
  <c r="G21" i="2" s="1"/>
  <c r="F21" i="2" a="1"/>
  <c r="F21" i="2" s="1"/>
  <c r="G45" i="2" a="1"/>
  <c r="G45" i="2" s="1"/>
  <c r="F45" i="2" a="1"/>
  <c r="F45" i="2" s="1"/>
  <c r="G52" i="2" a="1"/>
  <c r="G52" i="2" s="1"/>
  <c r="F52" i="2" a="1"/>
  <c r="F52" i="2" s="1"/>
  <c r="F72" i="2" a="1"/>
  <c r="F72" i="2" s="1"/>
  <c r="G72" i="2" a="1"/>
  <c r="G72" i="2" s="1"/>
  <c r="F62" i="2" a="1"/>
  <c r="F62" i="2" s="1"/>
  <c r="G62" i="2" a="1"/>
  <c r="G62" i="2" s="1"/>
  <c r="F80" i="2" a="1"/>
  <c r="F80" i="2" s="1"/>
  <c r="G80" i="2" a="1"/>
  <c r="G80" i="2" s="1"/>
  <c r="G70" i="2" a="1"/>
  <c r="G70" i="2" s="1"/>
  <c r="F70" i="2" a="1"/>
  <c r="F70" i="2" s="1"/>
  <c r="G100" i="2" a="1"/>
  <c r="G100" i="2" s="1"/>
  <c r="F100" i="2" a="1"/>
  <c r="F100" i="2" s="1"/>
  <c r="G108" i="2" a="1"/>
  <c r="G108" i="2" s="1"/>
  <c r="F108" i="2" a="1"/>
  <c r="F108" i="2" s="1"/>
  <c r="G116" i="2" a="1"/>
  <c r="G116" i="2" s="1"/>
  <c r="F116" i="2" a="1"/>
  <c r="F116" i="2" s="1"/>
  <c r="G124" i="2" a="1"/>
  <c r="G124" i="2" s="1"/>
  <c r="F124" i="2" a="1"/>
  <c r="F124" i="2" s="1"/>
  <c r="G132" i="2" a="1"/>
  <c r="G132" i="2" s="1"/>
  <c r="F132" i="2" a="1"/>
  <c r="F132" i="2" s="1"/>
  <c r="F140" i="2" a="1"/>
  <c r="F140" i="2" s="1"/>
  <c r="G140" i="2" a="1"/>
  <c r="G140" i="2" s="1"/>
  <c r="F148" i="2" a="1"/>
  <c r="F148" i="2" s="1"/>
  <c r="G148" i="2" a="1"/>
  <c r="G148" i="2" s="1"/>
  <c r="F12" i="2" a="1"/>
  <c r="F12" i="2" s="1"/>
  <c r="G12" i="2" a="1"/>
  <c r="G12" i="2" s="1"/>
  <c r="F13" i="2" a="1"/>
  <c r="F13" i="2" s="1"/>
  <c r="G13" i="2" a="1"/>
  <c r="G13" i="2" s="1"/>
  <c r="G135" i="2" a="1"/>
  <c r="G135" i="2" s="1"/>
  <c r="F135" i="2" a="1"/>
  <c r="F135" i="2" s="1"/>
  <c r="F89" i="2" a="1"/>
  <c r="F89" i="2" s="1"/>
  <c r="G89" i="2" a="1"/>
  <c r="G89" i="2" s="1"/>
  <c r="G49" i="2" a="1"/>
  <c r="G49" i="2" s="1"/>
  <c r="F49" i="2" a="1"/>
  <c r="F49" i="2" s="1"/>
  <c r="F55" i="2" a="1"/>
  <c r="F55" i="2" s="1"/>
  <c r="G55" i="2" a="1"/>
  <c r="G55" i="2" s="1"/>
  <c r="G83" i="2" a="1"/>
  <c r="G83" i="2" s="1"/>
  <c r="F83" i="2" a="1"/>
  <c r="F83" i="2" s="1"/>
  <c r="G76" i="2" a="1"/>
  <c r="G76" i="2" s="1"/>
  <c r="F76" i="2" a="1"/>
  <c r="F76" i="2" s="1"/>
  <c r="G74" i="2" a="1"/>
  <c r="G74" i="2" s="1"/>
  <c r="F74" i="2" a="1"/>
  <c r="F74" i="2" s="1"/>
  <c r="G78" i="2" a="1"/>
  <c r="G78" i="2" s="1"/>
  <c r="F78" i="2" a="1"/>
  <c r="F78" i="2" s="1"/>
  <c r="G101" i="2" a="1"/>
  <c r="G101" i="2" s="1"/>
  <c r="F101" i="2" a="1"/>
  <c r="F101" i="2" s="1"/>
  <c r="G109" i="2" a="1"/>
  <c r="G109" i="2" s="1"/>
  <c r="F109" i="2" a="1"/>
  <c r="F109" i="2" s="1"/>
  <c r="G117" i="2" a="1"/>
  <c r="G117" i="2" s="1"/>
  <c r="F117" i="2" a="1"/>
  <c r="F117" i="2" s="1"/>
  <c r="G125" i="2" a="1"/>
  <c r="G125" i="2" s="1"/>
  <c r="F125" i="2" a="1"/>
  <c r="F125" i="2" s="1"/>
  <c r="G133" i="2" a="1"/>
  <c r="G133" i="2" s="1"/>
  <c r="F133" i="2" a="1"/>
  <c r="F133" i="2" s="1"/>
  <c r="F141" i="2" a="1"/>
  <c r="F141" i="2" s="1"/>
  <c r="G141" i="2" a="1"/>
  <c r="G141" i="2" s="1"/>
  <c r="F149" i="2" a="1"/>
  <c r="F149" i="2" s="1"/>
  <c r="G149" i="2" a="1"/>
  <c r="G149" i="2" s="1"/>
  <c r="F10" i="2" a="1"/>
  <c r="F10" i="2" s="1"/>
  <c r="G10" i="2" a="1"/>
  <c r="G10" i="2" s="1"/>
  <c r="F58" i="2" a="1"/>
  <c r="F58" i="2" s="1"/>
  <c r="G58" i="2" a="1"/>
  <c r="G58" i="2" s="1"/>
  <c r="F47" i="2" a="1"/>
  <c r="F47" i="2" s="1"/>
  <c r="G47" i="2" a="1"/>
  <c r="G47" i="2" s="1"/>
  <c r="F143" i="2" a="1"/>
  <c r="F143" i="2" s="1"/>
  <c r="G143" i="2" a="1"/>
  <c r="G143" i="2" s="1"/>
  <c r="G37" i="2" a="1"/>
  <c r="G37" i="2" s="1"/>
  <c r="F37" i="2" a="1"/>
  <c r="F37" i="2" s="1"/>
  <c r="F11" i="2" a="1"/>
  <c r="F11" i="2" s="1"/>
  <c r="G11" i="2" a="1"/>
  <c r="G11" i="2" s="1"/>
  <c r="F18" i="2" a="1"/>
  <c r="F18" i="2" s="1"/>
  <c r="G18" i="2" a="1"/>
  <c r="G18" i="2" s="1"/>
  <c r="F66" i="2" a="1"/>
  <c r="F66" i="2" s="1"/>
  <c r="G66" i="2" a="1"/>
  <c r="G66" i="2" s="1"/>
  <c r="F53" i="2" a="1"/>
  <c r="F53" i="2" s="1"/>
  <c r="G53" i="2" a="1"/>
  <c r="G53" i="2" s="1"/>
  <c r="F63" i="2" a="1"/>
  <c r="F63" i="2" s="1"/>
  <c r="G63" i="2" a="1"/>
  <c r="G63" i="2" s="1"/>
  <c r="F43" i="2" a="1"/>
  <c r="F43" i="2" s="1"/>
  <c r="G43" i="2" a="1"/>
  <c r="G43" i="2" s="1"/>
  <c r="G42" i="2" a="1"/>
  <c r="G42" i="2" s="1"/>
  <c r="F42" i="2" a="1"/>
  <c r="F42" i="2" s="1"/>
  <c r="F82" i="2" a="1"/>
  <c r="F82" i="2" s="1"/>
  <c r="G82" i="2" a="1"/>
  <c r="G82" i="2" s="1"/>
  <c r="F84" i="2" a="1"/>
  <c r="F84" i="2" s="1"/>
  <c r="G84" i="2" a="1"/>
  <c r="G84" i="2" s="1"/>
  <c r="F102" i="2" a="1"/>
  <c r="F102" i="2" s="1"/>
  <c r="G102" i="2" a="1"/>
  <c r="G102" i="2" s="1"/>
  <c r="F110" i="2" a="1"/>
  <c r="F110" i="2" s="1"/>
  <c r="G110" i="2" a="1"/>
  <c r="G110" i="2" s="1"/>
  <c r="G118" i="2" a="1"/>
  <c r="G118" i="2" s="1"/>
  <c r="F118" i="2" a="1"/>
  <c r="F118" i="2" s="1"/>
  <c r="G126" i="2" a="1"/>
  <c r="G126" i="2" s="1"/>
  <c r="F126" i="2" a="1"/>
  <c r="F126" i="2" s="1"/>
  <c r="G134" i="2" a="1"/>
  <c r="G134" i="2" s="1"/>
  <c r="F134" i="2" a="1"/>
  <c r="F134" i="2" s="1"/>
  <c r="F142" i="2" a="1"/>
  <c r="F142" i="2" s="1"/>
  <c r="G142" i="2" a="1"/>
  <c r="G142" i="2" s="1"/>
  <c r="F150" i="2" a="1"/>
  <c r="F150" i="2" s="1"/>
  <c r="G150" i="2" a="1"/>
  <c r="G150" i="2" s="1"/>
  <c r="G36" i="2" a="1"/>
  <c r="G36" i="2" s="1"/>
  <c r="F36" i="2" a="1"/>
  <c r="F36" i="2" s="1"/>
  <c r="J23" i="2" l="1"/>
  <c r="C23" i="2" s="1"/>
  <c r="J91" i="2"/>
  <c r="C91" i="2" s="1"/>
  <c r="J27" i="2"/>
  <c r="C27" i="2" s="1"/>
  <c r="J77" i="2"/>
  <c r="C77" i="2" s="1"/>
  <c r="J99" i="2"/>
  <c r="C99" i="2" s="1"/>
  <c r="J22" i="2"/>
  <c r="C22" i="2" s="1"/>
  <c r="J122" i="2"/>
  <c r="C122" i="2" s="1"/>
  <c r="J151" i="2"/>
  <c r="C151" i="2" s="1"/>
  <c r="J8" i="2"/>
  <c r="C8" i="2" s="1"/>
  <c r="J28" i="2"/>
  <c r="C28" i="2" s="1"/>
  <c r="J128" i="2"/>
  <c r="C128" i="2" s="1"/>
  <c r="J15" i="2"/>
  <c r="C15" i="2" s="1"/>
  <c r="J36" i="2"/>
  <c r="C36" i="2" s="1"/>
  <c r="J126" i="2"/>
  <c r="C126" i="2" s="1"/>
  <c r="J72" i="2"/>
  <c r="C72" i="2" s="1"/>
  <c r="J117" i="2"/>
  <c r="C117" i="2" s="1"/>
  <c r="J74" i="2"/>
  <c r="C74" i="2" s="1"/>
  <c r="J49" i="2"/>
  <c r="C49" i="2" s="1"/>
  <c r="J102" i="2"/>
  <c r="C102" i="2" s="1"/>
  <c r="J43" i="2"/>
  <c r="C43" i="2" s="1"/>
  <c r="J11" i="2"/>
  <c r="C11" i="2" s="1"/>
  <c r="J58" i="2"/>
  <c r="C58" i="2" s="1"/>
  <c r="J140" i="2"/>
  <c r="C140" i="2" s="1"/>
  <c r="J62" i="2"/>
  <c r="C62" i="2" s="1"/>
  <c r="J97" i="2"/>
  <c r="C97" i="2" s="1"/>
  <c r="J130" i="2"/>
  <c r="C130" i="2" s="1"/>
  <c r="J98" i="2"/>
  <c r="C98" i="2" s="1"/>
  <c r="J82" i="2"/>
  <c r="C82" i="2" s="1"/>
  <c r="J10" i="2"/>
  <c r="C10" i="2" s="1"/>
  <c r="J13" i="2"/>
  <c r="C13" i="2" s="1"/>
  <c r="J150" i="2"/>
  <c r="C150" i="2" s="1"/>
  <c r="J53" i="2"/>
  <c r="C53" i="2" s="1"/>
  <c r="J12" i="2"/>
  <c r="C12" i="2" s="1"/>
  <c r="J29" i="2"/>
  <c r="C29" i="2" s="1"/>
  <c r="J17" i="2"/>
  <c r="C17" i="2" s="1"/>
  <c r="J81" i="2"/>
  <c r="C81" i="2" s="1"/>
  <c r="J35" i="2"/>
  <c r="C35" i="2" s="1"/>
  <c r="J146" i="2"/>
  <c r="C146" i="2" s="1"/>
  <c r="J114" i="2"/>
  <c r="C114" i="2" s="1"/>
  <c r="J67" i="2"/>
  <c r="C67" i="2" s="1"/>
  <c r="J33" i="2"/>
  <c r="C33" i="2" s="1"/>
  <c r="J120" i="2"/>
  <c r="C120" i="2" s="1"/>
  <c r="J61" i="2"/>
  <c r="C61" i="2" s="1"/>
  <c r="J93" i="2"/>
  <c r="C93" i="2" s="1"/>
  <c r="J147" i="2"/>
  <c r="C147" i="2" s="1"/>
  <c r="J115" i="2"/>
  <c r="C115" i="2" s="1"/>
  <c r="J129" i="2"/>
  <c r="C129" i="2" s="1"/>
  <c r="J85" i="2"/>
  <c r="C85" i="2" s="1"/>
  <c r="J144" i="2"/>
  <c r="C144" i="2" s="1"/>
  <c r="J88" i="2"/>
  <c r="C88" i="2" s="1"/>
  <c r="J25" i="2"/>
  <c r="C25" i="2" s="1"/>
  <c r="J2" i="2"/>
  <c r="J94" i="2"/>
  <c r="C94" i="2" s="1"/>
  <c r="J95" i="2"/>
  <c r="C95" i="2" s="1"/>
  <c r="J136" i="2"/>
  <c r="C136" i="2" s="1"/>
  <c r="J104" i="2"/>
  <c r="C104" i="2" s="1"/>
  <c r="J79" i="2"/>
  <c r="C79" i="2" s="1"/>
  <c r="J37" i="2"/>
  <c r="C37" i="2" s="1"/>
  <c r="J125" i="2"/>
  <c r="C125" i="2" s="1"/>
  <c r="J78" i="2"/>
  <c r="C78" i="2" s="1"/>
  <c r="J142" i="2"/>
  <c r="C142" i="2" s="1"/>
  <c r="J110" i="2"/>
  <c r="C110" i="2" s="1"/>
  <c r="J109" i="2"/>
  <c r="C109" i="2" s="1"/>
  <c r="J76" i="2"/>
  <c r="C76" i="2" s="1"/>
  <c r="J116" i="2"/>
  <c r="C116" i="2" s="1"/>
  <c r="J45" i="2"/>
  <c r="C45" i="2" s="1"/>
  <c r="J103" i="2"/>
  <c r="C103" i="2" s="1"/>
  <c r="J26" i="2"/>
  <c r="C26" i="2" s="1"/>
  <c r="J137" i="2"/>
  <c r="C137" i="2" s="1"/>
  <c r="J119" i="2"/>
  <c r="C119" i="2" s="1"/>
  <c r="J75" i="2"/>
  <c r="C75" i="2" s="1"/>
  <c r="J14" i="2"/>
  <c r="C14" i="2" s="1"/>
  <c r="J42" i="2"/>
  <c r="C42" i="2" s="1"/>
  <c r="J55" i="2"/>
  <c r="C55" i="2" s="1"/>
  <c r="J132" i="2"/>
  <c r="C132" i="2" s="1"/>
  <c r="J100" i="2"/>
  <c r="C100" i="2" s="1"/>
  <c r="J139" i="2"/>
  <c r="C139" i="2" s="1"/>
  <c r="J107" i="2"/>
  <c r="C107" i="2" s="1"/>
  <c r="J54" i="2"/>
  <c r="C54" i="2" s="1"/>
  <c r="J32" i="2"/>
  <c r="C32" i="2" s="1"/>
  <c r="J68" i="2"/>
  <c r="C68" i="2" s="1"/>
  <c r="J41" i="2"/>
  <c r="C41" i="2" s="1"/>
  <c r="J73" i="2"/>
  <c r="C73" i="2" s="1"/>
  <c r="J44" i="2"/>
  <c r="C44" i="2" s="1"/>
  <c r="J64" i="2"/>
  <c r="C64" i="2" s="1"/>
  <c r="J121" i="2"/>
  <c r="C121" i="2" s="1"/>
  <c r="J86" i="2"/>
  <c r="C86" i="2" s="1"/>
  <c r="J5" i="2"/>
  <c r="C5" i="2" s="1"/>
  <c r="J134" i="2"/>
  <c r="C134" i="2" s="1"/>
  <c r="J66" i="2"/>
  <c r="C66" i="2" s="1"/>
  <c r="J143" i="2"/>
  <c r="C143" i="2" s="1"/>
  <c r="J149" i="2"/>
  <c r="C149" i="2" s="1"/>
  <c r="J124" i="2"/>
  <c r="C124" i="2" s="1"/>
  <c r="J70" i="2"/>
  <c r="C70" i="2" s="1"/>
  <c r="J52" i="2"/>
  <c r="C52" i="2" s="1"/>
  <c r="J16" i="2"/>
  <c r="C16" i="2" s="1"/>
  <c r="J131" i="2"/>
  <c r="C131" i="2" s="1"/>
  <c r="J60" i="2"/>
  <c r="C60" i="2" s="1"/>
  <c r="J127" i="2"/>
  <c r="C127" i="2" s="1"/>
  <c r="J7" i="2"/>
  <c r="C7" i="2" s="1"/>
  <c r="J9" i="2"/>
  <c r="C9" i="2" s="1"/>
  <c r="J38" i="2"/>
  <c r="C38" i="2" s="1"/>
  <c r="J145" i="2"/>
  <c r="C145" i="2" s="1"/>
  <c r="J113" i="2"/>
  <c r="C113" i="2" s="1"/>
  <c r="J59" i="2"/>
  <c r="C59" i="2" s="1"/>
  <c r="J92" i="2"/>
  <c r="C92" i="2" s="1"/>
  <c r="J34" i="2"/>
  <c r="C34" i="2" s="1"/>
  <c r="J19" i="2"/>
  <c r="C19" i="2" s="1"/>
  <c r="J48" i="2"/>
  <c r="C48" i="2" s="1"/>
  <c r="J31" i="2"/>
  <c r="C31" i="2" s="1"/>
  <c r="J39" i="2"/>
  <c r="C39" i="2" s="1"/>
  <c r="J47" i="2"/>
  <c r="C47" i="2" s="1"/>
  <c r="J89" i="2"/>
  <c r="C89" i="2" s="1"/>
  <c r="J123" i="2"/>
  <c r="C123" i="2" s="1"/>
  <c r="J105" i="2"/>
  <c r="C105" i="2" s="1"/>
  <c r="J57" i="2"/>
  <c r="C57" i="2" s="1"/>
  <c r="J71" i="2"/>
  <c r="C71" i="2" s="1"/>
  <c r="J90" i="2"/>
  <c r="C90" i="2" s="1"/>
  <c r="J18" i="2"/>
  <c r="C18" i="2" s="1"/>
  <c r="J141" i="2"/>
  <c r="C141" i="2" s="1"/>
  <c r="J84" i="2"/>
  <c r="C84" i="2" s="1"/>
  <c r="J63" i="2"/>
  <c r="C63" i="2" s="1"/>
  <c r="J133" i="2"/>
  <c r="C133" i="2" s="1"/>
  <c r="J101" i="2"/>
  <c r="C101" i="2" s="1"/>
  <c r="J83" i="2"/>
  <c r="C83" i="2" s="1"/>
  <c r="J135" i="2"/>
  <c r="C135" i="2" s="1"/>
  <c r="J148" i="2"/>
  <c r="C148" i="2" s="1"/>
  <c r="J80" i="2"/>
  <c r="C80" i="2" s="1"/>
  <c r="J69" i="2"/>
  <c r="C69" i="2" s="1"/>
  <c r="J40" i="2"/>
  <c r="C40" i="2" s="1"/>
  <c r="J51" i="2"/>
  <c r="C51" i="2" s="1"/>
  <c r="J56" i="2"/>
  <c r="C56" i="2" s="1"/>
  <c r="J138" i="2"/>
  <c r="C138" i="2" s="1"/>
  <c r="J106" i="2"/>
  <c r="C106" i="2" s="1"/>
  <c r="J65" i="2"/>
  <c r="C65" i="2" s="1"/>
  <c r="J24" i="2"/>
  <c r="C24" i="2" s="1"/>
  <c r="J96" i="2"/>
  <c r="C96" i="2" s="1"/>
  <c r="J3" i="2"/>
  <c r="C3" i="2" s="1"/>
  <c r="J112" i="2"/>
  <c r="C112" i="2" s="1"/>
  <c r="J50" i="2"/>
  <c r="C50" i="2" s="1"/>
  <c r="J4" i="2"/>
  <c r="C4" i="2" s="1"/>
  <c r="J6" i="2"/>
  <c r="C6" i="2" s="1"/>
  <c r="J118" i="2"/>
  <c r="C118" i="2" s="1"/>
  <c r="J108" i="2"/>
  <c r="C108" i="2" s="1"/>
  <c r="J21" i="2"/>
  <c r="C21" i="2" s="1"/>
  <c r="J46" i="2"/>
  <c r="C46" i="2" s="1"/>
  <c r="J20" i="2"/>
  <c r="C20" i="2" s="1"/>
  <c r="J87" i="2"/>
  <c r="C87" i="2" s="1"/>
  <c r="J30" i="2"/>
  <c r="C30" i="2" s="1"/>
  <c r="J111" i="2"/>
  <c r="C111" i="2" s="1"/>
  <c r="C2" i="2" l="1"/>
  <c r="M14" i="2" s="1"/>
  <c r="O17" i="2"/>
  <c r="G26" i="1"/>
  <c r="G54" i="1"/>
  <c r="G119" i="1"/>
  <c r="G68" i="1"/>
  <c r="G112" i="1"/>
  <c r="G116" i="1"/>
  <c r="G28" i="1"/>
  <c r="G137" i="1"/>
  <c r="G50" i="1"/>
  <c r="G61" i="1"/>
  <c r="G133" i="1"/>
  <c r="G8" i="1"/>
  <c r="G23" i="1"/>
  <c r="G78" i="1"/>
  <c r="G75" i="1"/>
  <c r="G100" i="1"/>
  <c r="G57" i="1"/>
  <c r="G129" i="1"/>
  <c r="G15" i="1"/>
  <c r="G102" i="1"/>
  <c r="G67" i="1"/>
  <c r="G24" i="1"/>
  <c r="G70" i="1"/>
  <c r="G63" i="1"/>
  <c r="G49" i="1"/>
  <c r="G9" i="1"/>
  <c r="G123" i="1"/>
  <c r="G3" i="1"/>
  <c r="G122" i="1"/>
  <c r="G38" i="1"/>
  <c r="G105" i="1"/>
  <c r="G44" i="1"/>
  <c r="G114" i="1"/>
  <c r="G11" i="1"/>
  <c r="G121" i="1"/>
  <c r="G25" i="1"/>
  <c r="G77" i="1"/>
  <c r="G83" i="1"/>
  <c r="G69" i="1"/>
  <c r="G59" i="1"/>
  <c r="G103" i="1"/>
  <c r="G45" i="1"/>
  <c r="G124" i="1"/>
  <c r="G115" i="1"/>
  <c r="G27" i="1"/>
  <c r="G5" i="1"/>
  <c r="G149" i="1"/>
  <c r="G135" i="1"/>
  <c r="G95" i="1"/>
  <c r="G81" i="1"/>
  <c r="G145" i="1"/>
  <c r="G48" i="1"/>
  <c r="G29" i="1"/>
  <c r="G88" i="1"/>
  <c r="G86" i="1"/>
  <c r="G79" i="1"/>
  <c r="G90" i="1"/>
  <c r="G87" i="1"/>
  <c r="G53" i="1"/>
  <c r="G134" i="1"/>
  <c r="G130" i="1"/>
  <c r="G39" i="1"/>
  <c r="G110" i="1"/>
  <c r="G138" i="1"/>
  <c r="G4" i="1"/>
  <c r="G73" i="1"/>
  <c r="G125" i="1"/>
  <c r="G131" i="1"/>
  <c r="G17" i="1"/>
  <c r="G108" i="1"/>
  <c r="G43" i="1"/>
  <c r="G60" i="1"/>
  <c r="G109" i="1"/>
  <c r="G82" i="1"/>
  <c r="G111" i="1"/>
  <c r="G142" i="1"/>
  <c r="G31" i="1"/>
  <c r="G146" i="1"/>
  <c r="G80" i="1"/>
  <c r="G76" i="1"/>
  <c r="G150" i="1"/>
  <c r="G98" i="1"/>
  <c r="G72" i="1"/>
  <c r="G33" i="1"/>
  <c r="G120" i="1"/>
  <c r="G84" i="1"/>
  <c r="G12" i="1"/>
  <c r="G140" i="1"/>
  <c r="G74" i="1"/>
  <c r="G92" i="1"/>
  <c r="G10" i="1"/>
  <c r="G58" i="1"/>
  <c r="G13" i="1"/>
  <c r="G62" i="1"/>
  <c r="G37" i="1"/>
  <c r="G56" i="1"/>
  <c r="G35" i="1"/>
  <c r="G97" i="1"/>
  <c r="G107" i="1"/>
  <c r="G128" i="1"/>
  <c r="G141" i="1"/>
  <c r="G101" i="1"/>
  <c r="G46" i="1"/>
  <c r="G52" i="1"/>
  <c r="G7" i="1"/>
  <c r="G32" i="1"/>
  <c r="G132" i="1"/>
  <c r="G89" i="1"/>
  <c r="G34" i="1"/>
  <c r="G65" i="1"/>
  <c r="G66" i="1"/>
  <c r="G96" i="1"/>
  <c r="G106" i="1"/>
  <c r="G151" i="1"/>
  <c r="G104" i="1"/>
  <c r="G85" i="1"/>
  <c r="G99" i="1"/>
  <c r="G64" i="1"/>
  <c r="G40" i="1"/>
  <c r="G41" i="1"/>
  <c r="G93" i="1"/>
  <c r="G55" i="1"/>
  <c r="G143" i="1"/>
  <c r="G30" i="1"/>
  <c r="G19" i="1"/>
  <c r="G126" i="1"/>
  <c r="G144" i="1"/>
  <c r="G118" i="1"/>
  <c r="G148" i="1"/>
  <c r="G113" i="1"/>
  <c r="G21" i="1"/>
  <c r="G127" i="1"/>
  <c r="G42" i="1"/>
  <c r="G51" i="1"/>
  <c r="G36" i="1"/>
  <c r="G139" i="1"/>
  <c r="G47" i="1"/>
  <c r="G16" i="1"/>
  <c r="G71" i="1"/>
  <c r="G2" i="1"/>
  <c r="G147" i="1"/>
  <c r="G22" i="1"/>
  <c r="G18" i="1"/>
  <c r="G6" i="1"/>
  <c r="G20" i="1"/>
  <c r="G117" i="1"/>
  <c r="G136" i="1"/>
  <c r="G91" i="1"/>
  <c r="G94" i="1"/>
  <c r="G14" i="1"/>
  <c r="H20" i="1"/>
  <c r="H75" i="1"/>
  <c r="H150" i="1"/>
  <c r="H26" i="1"/>
  <c r="H105" i="1"/>
  <c r="H32" i="1"/>
  <c r="H68" i="1"/>
  <c r="H128" i="1"/>
  <c r="H139" i="1"/>
  <c r="H63" i="1"/>
  <c r="H126" i="1"/>
  <c r="H99" i="1"/>
  <c r="H135" i="1"/>
  <c r="H4" i="1"/>
  <c r="H129" i="1"/>
  <c r="H92" i="1"/>
  <c r="H33" i="1"/>
  <c r="H52" i="1"/>
  <c r="H28" i="1"/>
  <c r="H38" i="1"/>
  <c r="H39" i="1"/>
  <c r="H118" i="1"/>
  <c r="H42" i="1"/>
  <c r="H70" i="1"/>
  <c r="H79" i="1"/>
  <c r="H97" i="1"/>
  <c r="H41" i="1"/>
  <c r="H74" i="1"/>
  <c r="H116" i="1"/>
  <c r="H83" i="1"/>
  <c r="H78" i="1"/>
  <c r="H137" i="1"/>
  <c r="H56" i="1"/>
  <c r="H117" i="1"/>
  <c r="H8" i="1"/>
  <c r="H90" i="1"/>
  <c r="H149" i="1"/>
  <c r="H64" i="1"/>
  <c r="H100" i="1"/>
  <c r="H14" i="1"/>
  <c r="H110" i="1"/>
  <c r="H44" i="1"/>
  <c r="H10" i="1"/>
  <c r="H138" i="1"/>
  <c r="H59" i="1"/>
  <c r="H31" i="1"/>
  <c r="H6" i="1"/>
  <c r="H81" i="1"/>
  <c r="H111" i="1"/>
  <c r="H102" i="1"/>
  <c r="H127" i="1"/>
  <c r="H69" i="1"/>
  <c r="H7" i="1"/>
  <c r="H76" i="1"/>
  <c r="H96" i="1"/>
  <c r="H51" i="1"/>
  <c r="H86" i="1"/>
  <c r="I86" i="1" s="1"/>
  <c r="D86" i="1" s="1"/>
  <c r="H72" i="1"/>
  <c r="H91" i="1"/>
  <c r="H144" i="1"/>
  <c r="H24" i="1"/>
  <c r="H88" i="1"/>
  <c r="H140" i="1"/>
  <c r="H40" i="1"/>
  <c r="H5" i="1"/>
  <c r="H43" i="1"/>
  <c r="H61" i="1"/>
  <c r="H98" i="1"/>
  <c r="H142" i="1"/>
  <c r="H35" i="1"/>
  <c r="H136" i="1"/>
  <c r="H36" i="1"/>
  <c r="H148" i="1"/>
  <c r="H55" i="1"/>
  <c r="H141" i="1"/>
  <c r="H107" i="1"/>
  <c r="H60" i="1"/>
  <c r="H125" i="1"/>
  <c r="H145" i="1"/>
  <c r="H95" i="1"/>
  <c r="H124" i="1"/>
  <c r="H114" i="1"/>
  <c r="H49" i="1"/>
  <c r="H133" i="1"/>
  <c r="H50" i="1"/>
  <c r="H147" i="1"/>
  <c r="H34" i="1"/>
  <c r="H132" i="1"/>
  <c r="H108" i="1"/>
  <c r="H53" i="1"/>
  <c r="H103" i="1"/>
  <c r="H71" i="1"/>
  <c r="H21" i="1"/>
  <c r="I21" i="1" s="1"/>
  <c r="D21" i="1" s="1"/>
  <c r="H151" i="1"/>
  <c r="H13" i="1"/>
  <c r="H120" i="1"/>
  <c r="H130" i="1"/>
  <c r="H77" i="1"/>
  <c r="H121" i="1"/>
  <c r="H122" i="1"/>
  <c r="H123" i="1"/>
  <c r="H15" i="1"/>
  <c r="H23" i="1"/>
  <c r="H112" i="1"/>
  <c r="H119" i="1"/>
  <c r="H19" i="1"/>
  <c r="H143" i="1"/>
  <c r="H47" i="1"/>
  <c r="H18" i="1"/>
  <c r="H85" i="1"/>
  <c r="H66" i="1"/>
  <c r="H46" i="1"/>
  <c r="H37" i="1"/>
  <c r="H12" i="1"/>
  <c r="H80" i="1"/>
  <c r="H82" i="1"/>
  <c r="H17" i="1"/>
  <c r="H29" i="1"/>
  <c r="H27" i="1"/>
  <c r="H67" i="1"/>
  <c r="H93" i="1"/>
  <c r="H101" i="1"/>
  <c r="H58" i="1"/>
  <c r="H109" i="1"/>
  <c r="H73" i="1"/>
  <c r="H134" i="1"/>
  <c r="H87" i="1"/>
  <c r="H45" i="1"/>
  <c r="H25" i="1"/>
  <c r="H11" i="1"/>
  <c r="H3" i="1"/>
  <c r="H9" i="1"/>
  <c r="H54" i="1"/>
  <c r="H94" i="1"/>
  <c r="H106" i="1"/>
  <c r="H89" i="1"/>
  <c r="H57" i="1"/>
  <c r="H22" i="1"/>
  <c r="H16" i="1"/>
  <c r="H113" i="1"/>
  <c r="H30" i="1"/>
  <c r="H2" i="1"/>
  <c r="H104" i="1"/>
  <c r="H65" i="1"/>
  <c r="I65" i="1" s="1"/>
  <c r="D65" i="1" s="1"/>
  <c r="H62" i="1"/>
  <c r="H84" i="1"/>
  <c r="H146" i="1"/>
  <c r="H131" i="1"/>
  <c r="H48" i="1"/>
  <c r="H115" i="1"/>
  <c r="I51" i="1" l="1"/>
  <c r="D51" i="1" s="1"/>
  <c r="N13" i="2"/>
  <c r="P8" i="2"/>
  <c r="P7" i="2"/>
  <c r="M12" i="2"/>
  <c r="M13" i="2"/>
  <c r="M15" i="2"/>
  <c r="N12" i="2"/>
  <c r="N15" i="2"/>
  <c r="P9" i="2"/>
  <c r="N14" i="2"/>
  <c r="P6" i="2"/>
  <c r="I24" i="1"/>
  <c r="D24" i="1" s="1"/>
  <c r="I110" i="1"/>
  <c r="D110" i="1" s="1"/>
  <c r="I62" i="1"/>
  <c r="D62" i="1" s="1"/>
  <c r="I108" i="1"/>
  <c r="D108" i="1" s="1"/>
  <c r="I5" i="1"/>
  <c r="D5" i="1" s="1"/>
  <c r="I123" i="1"/>
  <c r="D123" i="1" s="1"/>
  <c r="I14" i="1"/>
  <c r="D14" i="1" s="1"/>
  <c r="I109" i="1"/>
  <c r="D109" i="1" s="1"/>
  <c r="I47" i="1"/>
  <c r="D47" i="1" s="1"/>
  <c r="I90" i="1"/>
  <c r="D90" i="1" s="1"/>
  <c r="I26" i="1"/>
  <c r="D26" i="1" s="1"/>
  <c r="I116" i="1"/>
  <c r="D116" i="1" s="1"/>
  <c r="I38" i="1"/>
  <c r="D38" i="1" s="1"/>
  <c r="I146" i="1"/>
  <c r="D146" i="1" s="1"/>
  <c r="I39" i="1"/>
  <c r="D39" i="1" s="1"/>
  <c r="I84" i="1"/>
  <c r="D84" i="1" s="1"/>
  <c r="I22" i="1"/>
  <c r="D22" i="1" s="1"/>
  <c r="I101" i="1"/>
  <c r="D101" i="1" s="1"/>
  <c r="I78" i="1"/>
  <c r="D78" i="1" s="1"/>
  <c r="I88" i="1"/>
  <c r="D88" i="1" s="1"/>
  <c r="I64" i="1"/>
  <c r="D64" i="1" s="1"/>
  <c r="I83" i="1"/>
  <c r="D83" i="1" s="1"/>
  <c r="I50" i="1"/>
  <c r="D50" i="1" s="1"/>
  <c r="I106" i="1"/>
  <c r="D106" i="1" s="1"/>
  <c r="I29" i="1"/>
  <c r="D29" i="1" s="1"/>
  <c r="I37" i="1"/>
  <c r="D37" i="1" s="1"/>
  <c r="I15" i="1"/>
  <c r="D15" i="1" s="1"/>
  <c r="I71" i="1"/>
  <c r="D71" i="1" s="1"/>
  <c r="I133" i="1"/>
  <c r="D133" i="1" s="1"/>
  <c r="I107" i="1"/>
  <c r="D107" i="1" s="1"/>
  <c r="I3" i="1"/>
  <c r="D3" i="1" s="1"/>
  <c r="I58" i="1"/>
  <c r="D58" i="1" s="1"/>
  <c r="I12" i="1"/>
  <c r="D12" i="1" s="1"/>
  <c r="I43" i="1"/>
  <c r="D43" i="1" s="1"/>
  <c r="I75" i="1"/>
  <c r="D75" i="1" s="1"/>
  <c r="I67" i="1"/>
  <c r="D67" i="1" s="1"/>
  <c r="I112" i="1"/>
  <c r="D112" i="1" s="1"/>
  <c r="I114" i="1"/>
  <c r="D114" i="1" s="1"/>
  <c r="I57" i="1"/>
  <c r="D57" i="1" s="1"/>
  <c r="I93" i="1"/>
  <c r="D93" i="1" s="1"/>
  <c r="I119" i="1"/>
  <c r="D119" i="1" s="1"/>
  <c r="I124" i="1"/>
  <c r="D124" i="1" s="1"/>
  <c r="I148" i="1"/>
  <c r="D148" i="1" s="1"/>
  <c r="I111" i="1"/>
  <c r="D111" i="1" s="1"/>
  <c r="I95" i="1"/>
  <c r="D95" i="1" s="1"/>
  <c r="I89" i="1"/>
  <c r="D89" i="1" s="1"/>
  <c r="I126" i="1"/>
  <c r="D126" i="1" s="1"/>
  <c r="I144" i="1"/>
  <c r="D144" i="1" s="1"/>
  <c r="I69" i="1"/>
  <c r="D69" i="1" s="1"/>
  <c r="I74" i="1"/>
  <c r="D74" i="1" s="1"/>
  <c r="I46" i="1"/>
  <c r="D46" i="1" s="1"/>
  <c r="I36" i="1"/>
  <c r="D36" i="1" s="1"/>
  <c r="I40" i="1"/>
  <c r="D40" i="1" s="1"/>
  <c r="I70" i="1"/>
  <c r="D70" i="1" s="1"/>
  <c r="I56" i="1"/>
  <c r="D56" i="1" s="1"/>
  <c r="I35" i="1"/>
  <c r="D35" i="1" s="1"/>
  <c r="I4" i="1"/>
  <c r="D4" i="1" s="1"/>
  <c r="I79" i="1"/>
  <c r="D79" i="1" s="1"/>
  <c r="I18" i="1"/>
  <c r="D18" i="1" s="1"/>
  <c r="I7" i="1"/>
  <c r="D7" i="1" s="1"/>
  <c r="I149" i="1"/>
  <c r="D149" i="1" s="1"/>
  <c r="I105" i="1"/>
  <c r="D105" i="1" s="1"/>
  <c r="I80" i="1"/>
  <c r="D80" i="1" s="1"/>
  <c r="I103" i="1"/>
  <c r="D103" i="1" s="1"/>
  <c r="I49" i="1"/>
  <c r="D49" i="1" s="1"/>
  <c r="I28" i="1"/>
  <c r="D28" i="1" s="1"/>
  <c r="I150" i="1"/>
  <c r="D150" i="1" s="1"/>
  <c r="I66" i="1"/>
  <c r="D66" i="1" s="1"/>
  <c r="I23" i="1"/>
  <c r="D23" i="1" s="1"/>
  <c r="I143" i="1"/>
  <c r="D143" i="1" s="1"/>
  <c r="I121" i="1"/>
  <c r="D121" i="1" s="1"/>
  <c r="I10" i="1"/>
  <c r="D10" i="1" s="1"/>
  <c r="I55" i="1"/>
  <c r="D55" i="1" s="1"/>
  <c r="I92" i="1"/>
  <c r="I87" i="1"/>
  <c r="D87" i="1" s="1"/>
  <c r="I129" i="1"/>
  <c r="D129" i="1" s="1"/>
  <c r="I53" i="1"/>
  <c r="D53" i="1" s="1"/>
  <c r="I72" i="1"/>
  <c r="D72" i="1" s="1"/>
  <c r="I44" i="1"/>
  <c r="D44" i="1" s="1"/>
  <c r="I104" i="1"/>
  <c r="D104" i="1" s="1"/>
  <c r="I132" i="1"/>
  <c r="D132" i="1" s="1"/>
  <c r="I115" i="1"/>
  <c r="D115" i="1" s="1"/>
  <c r="I145" i="1"/>
  <c r="D145" i="1" s="1"/>
  <c r="I136" i="1"/>
  <c r="D136" i="1" s="1"/>
  <c r="I140" i="1"/>
  <c r="D140" i="1" s="1"/>
  <c r="I96" i="1"/>
  <c r="D96" i="1" s="1"/>
  <c r="I125" i="1"/>
  <c r="D125" i="1" s="1"/>
  <c r="I82" i="1"/>
  <c r="D82" i="1" s="1"/>
  <c r="I16" i="1"/>
  <c r="D16" i="1" s="1"/>
  <c r="I52" i="1"/>
  <c r="D52" i="1" s="1"/>
  <c r="I63" i="1"/>
  <c r="D63" i="1" s="1"/>
  <c r="I6" i="1"/>
  <c r="D6" i="1" s="1"/>
  <c r="I100" i="1"/>
  <c r="D100" i="1" s="1"/>
  <c r="I137" i="1"/>
  <c r="D137" i="1" s="1"/>
  <c r="I76" i="1"/>
  <c r="D76" i="1" s="1"/>
  <c r="I59" i="1"/>
  <c r="D59" i="1" s="1"/>
  <c r="I94" i="1"/>
  <c r="D94" i="1" s="1"/>
  <c r="I42" i="1"/>
  <c r="D42" i="1" s="1"/>
  <c r="I13" i="1"/>
  <c r="D13" i="1" s="1"/>
  <c r="I120" i="1"/>
  <c r="D120" i="1" s="1"/>
  <c r="I130" i="1"/>
  <c r="D130" i="1" s="1"/>
  <c r="I27" i="1"/>
  <c r="D27" i="1" s="1"/>
  <c r="I60" i="1"/>
  <c r="D60" i="1" s="1"/>
  <c r="I138" i="1"/>
  <c r="D138" i="1" s="1"/>
  <c r="I135" i="1"/>
  <c r="D135" i="1" s="1"/>
  <c r="I2" i="1"/>
  <c r="I85" i="1"/>
  <c r="D85" i="1" s="1"/>
  <c r="I128" i="1"/>
  <c r="D128" i="1" s="1"/>
  <c r="I68" i="1"/>
  <c r="D68" i="1" s="1"/>
  <c r="I139" i="1"/>
  <c r="D139" i="1" s="1"/>
  <c r="I20" i="1"/>
  <c r="D20" i="1" s="1"/>
  <c r="I127" i="1"/>
  <c r="D127" i="1" s="1"/>
  <c r="I117" i="1"/>
  <c r="D117" i="1" s="1"/>
  <c r="I9" i="1"/>
  <c r="D9" i="1" s="1"/>
  <c r="I54" i="1"/>
  <c r="D54" i="1" s="1"/>
  <c r="I73" i="1"/>
  <c r="D73" i="1" s="1"/>
  <c r="I134" i="1"/>
  <c r="D134" i="1" s="1"/>
  <c r="I99" i="1"/>
  <c r="D99" i="1" s="1"/>
  <c r="I34" i="1"/>
  <c r="D34" i="1" s="1"/>
  <c r="I17" i="1"/>
  <c r="D17" i="1" s="1"/>
  <c r="I33" i="1"/>
  <c r="D33" i="1" s="1"/>
  <c r="I25" i="1"/>
  <c r="D25" i="1" s="1"/>
  <c r="I113" i="1"/>
  <c r="D113" i="1" s="1"/>
  <c r="I11" i="1"/>
  <c r="D11" i="1" s="1"/>
  <c r="I77" i="1"/>
  <c r="D77" i="1" s="1"/>
  <c r="I141" i="1"/>
  <c r="D141" i="1" s="1"/>
  <c r="I31" i="1"/>
  <c r="D31" i="1" s="1"/>
  <c r="I8" i="1"/>
  <c r="D8" i="1" s="1"/>
  <c r="I151" i="1"/>
  <c r="D151" i="1" s="1"/>
  <c r="I131" i="1"/>
  <c r="D131" i="1" s="1"/>
  <c r="I19" i="1"/>
  <c r="D19" i="1" s="1"/>
  <c r="I102" i="1"/>
  <c r="D102" i="1" s="1"/>
  <c r="I41" i="1"/>
  <c r="D41" i="1" s="1"/>
  <c r="I98" i="1"/>
  <c r="D98" i="1" s="1"/>
  <c r="I48" i="1"/>
  <c r="D48" i="1" s="1"/>
  <c r="I147" i="1"/>
  <c r="D147" i="1" s="1"/>
  <c r="I91" i="1"/>
  <c r="D91" i="1" s="1"/>
  <c r="I97" i="1"/>
  <c r="D97" i="1" s="1"/>
  <c r="I45" i="1"/>
  <c r="D45" i="1" s="1"/>
  <c r="I142" i="1"/>
  <c r="D142" i="1" s="1"/>
  <c r="I30" i="1"/>
  <c r="D30" i="1" s="1"/>
  <c r="I122" i="1"/>
  <c r="D122" i="1" s="1"/>
  <c r="I118" i="1"/>
  <c r="D118" i="1" s="1"/>
  <c r="I32" i="1"/>
  <c r="D32" i="1" s="1"/>
  <c r="I61" i="1"/>
  <c r="D61" i="1" s="1"/>
  <c r="D92" i="1"/>
  <c r="I81" i="1"/>
  <c r="D81" i="1" s="1"/>
  <c r="O24" i="2" l="1"/>
  <c r="M24" i="2"/>
  <c r="D2" i="1"/>
  <c r="L12" i="1" s="1"/>
  <c r="N19" i="1"/>
  <c r="B3" i="4" s="1"/>
  <c r="O32" i="2"/>
  <c r="O18" i="2"/>
  <c r="P14" i="2"/>
  <c r="N29" i="2"/>
  <c r="M34" i="2"/>
  <c r="P12" i="2"/>
  <c r="M28" i="2"/>
  <c r="M26" i="2"/>
  <c r="M38" i="2"/>
  <c r="O13" i="2"/>
  <c r="O28" i="2"/>
  <c r="N34" i="2"/>
  <c r="N37" i="2"/>
  <c r="P13" i="2"/>
  <c r="N24" i="2"/>
  <c r="M32" i="2"/>
  <c r="N33" i="2"/>
  <c r="O15" i="2"/>
  <c r="N30" i="2"/>
  <c r="M30" i="2"/>
  <c r="N38" i="2"/>
  <c r="O12" i="2"/>
  <c r="O36" i="2"/>
  <c r="O14" i="2"/>
  <c r="N25" i="2"/>
  <c r="N36" i="2"/>
  <c r="N28" i="2"/>
  <c r="M36" i="2"/>
  <c r="N26" i="2"/>
  <c r="P15" i="2"/>
  <c r="N32" i="2"/>
  <c r="M37" i="2" l="1"/>
  <c r="M33" i="2"/>
  <c r="M29" i="2"/>
  <c r="M25" i="2"/>
  <c r="M12" i="1"/>
  <c r="M13" i="1"/>
  <c r="O7" i="1"/>
  <c r="L13" i="1"/>
  <c r="O6" i="1"/>
  <c r="O12" i="1" s="1"/>
  <c r="D76" i="3" a="1"/>
  <c r="N13" i="1" l="1"/>
  <c r="O43" i="1"/>
  <c r="O39" i="1"/>
  <c r="N44" i="1"/>
  <c r="N45" i="1"/>
  <c r="M45" i="1"/>
  <c r="M43" i="1"/>
  <c r="N43" i="1"/>
  <c r="M41" i="1"/>
  <c r="N41" i="1"/>
  <c r="N39" i="1"/>
  <c r="N40" i="1"/>
  <c r="O13" i="1"/>
  <c r="M39" i="1"/>
  <c r="N20" i="1"/>
  <c r="N12" i="1"/>
  <c r="D76" i="3"/>
  <c r="E76" i="3" a="1"/>
  <c r="H76" i="3" a="1"/>
  <c r="G76" i="3" a="1"/>
  <c r="F76" i="3" a="1"/>
  <c r="M44" i="1" l="1"/>
  <c r="M40" i="1"/>
  <c r="E76" i="3"/>
  <c r="H76" i="3"/>
  <c r="G76" i="3"/>
  <c r="F76" i="3"/>
  <c r="D15" i="5" a="1"/>
  <c r="D115" i="5" a="1"/>
  <c r="D48" i="5" a="1"/>
  <c r="D20" i="5" a="1"/>
  <c r="D100" i="5" a="1"/>
  <c r="D29" i="5" a="1"/>
  <c r="D65" i="5" a="1"/>
  <c r="D113" i="5" a="1"/>
  <c r="D147" i="5" a="1"/>
  <c r="D109" i="5" a="1"/>
  <c r="D144" i="5" a="1"/>
  <c r="D66" i="5" a="1"/>
  <c r="D126" i="5" a="1"/>
  <c r="D75" i="5" a="1"/>
  <c r="D104" i="5" a="1"/>
  <c r="D54" i="5" a="1"/>
  <c r="D122" i="5" a="1"/>
  <c r="D71" i="5" a="1"/>
  <c r="D120" i="5" a="1"/>
  <c r="D124" i="5" a="1"/>
  <c r="D49" i="5" a="1"/>
  <c r="D149" i="5" a="1"/>
  <c r="D123" i="5" a="1"/>
  <c r="D23" i="5" a="1"/>
  <c r="D97" i="5" a="1"/>
  <c r="D50" i="5" a="1"/>
  <c r="D51" i="5" a="1"/>
  <c r="D16" i="5" a="1"/>
  <c r="D25" i="5" a="1"/>
  <c r="D101" i="5" a="1"/>
  <c r="D80" i="5" a="1"/>
  <c r="D96" i="5" a="1"/>
  <c r="D19" i="5" a="1"/>
  <c r="D143" i="5" a="1"/>
  <c r="D56" i="5" a="1"/>
  <c r="D24" i="5" a="1"/>
  <c r="D132" i="5" a="1"/>
  <c r="D37" i="5" a="1"/>
  <c r="D69" i="5" a="1"/>
  <c r="D121" i="5" a="1"/>
  <c r="D88" i="5" a="1"/>
  <c r="D117" i="5" a="1"/>
  <c r="D10" i="5" a="1"/>
  <c r="D74" i="5" a="1"/>
  <c r="D134" i="5" a="1"/>
  <c r="D87" i="5" a="1"/>
  <c r="D128" i="5" a="1"/>
  <c r="D62" i="5" a="1"/>
  <c r="D130" i="5" a="1"/>
  <c r="D83" i="5" a="1"/>
  <c r="D140" i="5" a="1"/>
  <c r="D2" i="5" a="1"/>
  <c r="D47" i="5" a="1"/>
  <c r="D85" i="5" a="1"/>
  <c r="D34" i="5" a="1"/>
  <c r="D26" i="5" a="1"/>
  <c r="D119" i="5" a="1"/>
  <c r="D89" i="5" a="1"/>
  <c r="D55" i="5" a="1"/>
  <c r="D102" i="5" a="1"/>
  <c r="D11" i="5" a="1"/>
  <c r="D72" i="5" a="1"/>
  <c r="D127" i="5" a="1"/>
  <c r="D63" i="5" a="1"/>
  <c r="D59" i="5" a="1"/>
  <c r="D31" i="5" a="1"/>
  <c r="D84" i="5" a="1"/>
  <c r="D64" i="5" a="1"/>
  <c r="D32" i="5" a="1"/>
  <c r="D5" i="5" a="1"/>
  <c r="D41" i="5" a="1"/>
  <c r="D77" i="5" a="1"/>
  <c r="D125" i="5" a="1"/>
  <c r="D116" i="5" a="1"/>
  <c r="D129" i="5" a="1"/>
  <c r="D14" i="5" a="1"/>
  <c r="D82" i="5" a="1"/>
  <c r="D142" i="5" a="1"/>
  <c r="D95" i="5" a="1"/>
  <c r="D6" i="5" a="1"/>
  <c r="D70" i="5" a="1"/>
  <c r="D138" i="5" a="1"/>
  <c r="D91" i="5" a="1"/>
  <c r="D44" i="5" a="1"/>
  <c r="D141" i="5" a="1"/>
  <c r="D98" i="5" a="1"/>
  <c r="D86" i="5" a="1"/>
  <c r="D111" i="5" a="1"/>
  <c r="D151" i="5" a="1"/>
  <c r="D108" i="5" a="1"/>
  <c r="D35" i="5" a="1"/>
  <c r="D112" i="5" a="1"/>
  <c r="D92" i="5" a="1"/>
  <c r="D36" i="5" a="1"/>
  <c r="D9" i="5" a="1"/>
  <c r="D45" i="5" a="1"/>
  <c r="D81" i="5" a="1"/>
  <c r="D133" i="5" a="1"/>
  <c r="D148" i="5" a="1"/>
  <c r="D137" i="5" a="1"/>
  <c r="D22" i="5" a="1"/>
  <c r="D90" i="5" a="1"/>
  <c r="D150" i="5" a="1"/>
  <c r="D107" i="5" a="1"/>
  <c r="D18" i="5" a="1"/>
  <c r="D78" i="5" a="1"/>
  <c r="D146" i="5" a="1"/>
  <c r="D103" i="5" a="1"/>
  <c r="D136" i="5" a="1"/>
  <c r="D13" i="5" a="1"/>
  <c r="D33" i="5" a="1"/>
  <c r="D27" i="5" a="1"/>
  <c r="D57" i="5" a="1"/>
  <c r="D114" i="5" a="1"/>
  <c r="D68" i="5" a="1"/>
  <c r="D40" i="5" a="1"/>
  <c r="D61" i="5" a="1"/>
  <c r="D58" i="5" a="1"/>
  <c r="D46" i="5" a="1"/>
  <c r="D3" i="5" a="1"/>
  <c r="D67" i="5" a="1"/>
  <c r="D8" i="5" a="1"/>
  <c r="D4" i="5" a="1"/>
  <c r="D52" i="5" a="1"/>
  <c r="D17" i="5" a="1"/>
  <c r="D53" i="5" a="1"/>
  <c r="D93" i="5" a="1"/>
  <c r="D145" i="5" a="1"/>
  <c r="D73" i="5" a="1"/>
  <c r="D131" i="5" a="1"/>
  <c r="D42" i="5" a="1"/>
  <c r="D106" i="5" a="1"/>
  <c r="D39" i="5" a="1"/>
  <c r="D135" i="5" a="1"/>
  <c r="D30" i="5" a="1"/>
  <c r="D94" i="5" a="1"/>
  <c r="D43" i="5" a="1"/>
  <c r="D139" i="5" a="1"/>
  <c r="D7" i="5" a="1"/>
  <c r="D79" i="5" a="1"/>
  <c r="D28" i="5" a="1"/>
  <c r="D12" i="5" a="1"/>
  <c r="D60" i="5" a="1"/>
  <c r="D21" i="5" a="1"/>
  <c r="D76" i="5" a="1"/>
  <c r="D38" i="5" a="1"/>
  <c r="D99" i="5" a="1"/>
  <c r="D105" i="5" a="1"/>
  <c r="D118" i="5" a="1"/>
  <c r="D110" i="5" a="1"/>
  <c r="D2" i="5" l="1"/>
  <c r="D140" i="5"/>
  <c r="D120" i="5"/>
  <c r="D96" i="5"/>
  <c r="D68" i="5"/>
  <c r="D139" i="5"/>
  <c r="D119" i="5"/>
  <c r="D103" i="5"/>
  <c r="D91" i="5"/>
  <c r="D83" i="5"/>
  <c r="D71" i="5"/>
  <c r="D59" i="5"/>
  <c r="D51" i="5"/>
  <c r="D43" i="5"/>
  <c r="D23" i="5"/>
  <c r="D146" i="5"/>
  <c r="D138" i="5"/>
  <c r="D130" i="5"/>
  <c r="D122" i="5"/>
  <c r="D110" i="5"/>
  <c r="D102" i="5"/>
  <c r="D94" i="5"/>
  <c r="D86" i="5"/>
  <c r="D78" i="5"/>
  <c r="D70" i="5"/>
  <c r="D62" i="5"/>
  <c r="D54" i="5"/>
  <c r="D46" i="5"/>
  <c r="D38" i="5"/>
  <c r="D30" i="5"/>
  <c r="D26" i="5"/>
  <c r="D18" i="5"/>
  <c r="D6" i="5"/>
  <c r="D128" i="5"/>
  <c r="D104" i="5"/>
  <c r="D80" i="5"/>
  <c r="D151" i="5"/>
  <c r="D135" i="5"/>
  <c r="D123" i="5"/>
  <c r="D107" i="5"/>
  <c r="D95" i="5"/>
  <c r="D87" i="5"/>
  <c r="D75" i="5"/>
  <c r="D63" i="5"/>
  <c r="D55" i="5"/>
  <c r="D39" i="5"/>
  <c r="D27" i="5"/>
  <c r="D150" i="5"/>
  <c r="D142" i="5"/>
  <c r="D134" i="5"/>
  <c r="D126" i="5"/>
  <c r="D118" i="5"/>
  <c r="D114" i="5"/>
  <c r="D106" i="5"/>
  <c r="D98" i="5"/>
  <c r="D90" i="5"/>
  <c r="D82" i="5"/>
  <c r="D74" i="5"/>
  <c r="D66" i="5"/>
  <c r="D58" i="5"/>
  <c r="D50" i="5"/>
  <c r="D42" i="5"/>
  <c r="D34" i="5"/>
  <c r="D22" i="5"/>
  <c r="D14" i="5"/>
  <c r="D10" i="5"/>
  <c r="D144" i="5"/>
  <c r="D108" i="5"/>
  <c r="D76" i="5"/>
  <c r="D131" i="5"/>
  <c r="D149" i="5"/>
  <c r="D137" i="5"/>
  <c r="D129" i="5"/>
  <c r="D117" i="5"/>
  <c r="D109" i="5"/>
  <c r="D101" i="5"/>
  <c r="D89" i="5"/>
  <c r="D73" i="5"/>
  <c r="D33" i="5"/>
  <c r="D148" i="5"/>
  <c r="D116" i="5"/>
  <c r="D88" i="5"/>
  <c r="D147" i="5"/>
  <c r="D127" i="5"/>
  <c r="D111" i="5"/>
  <c r="D145" i="5"/>
  <c r="D141" i="5"/>
  <c r="D133" i="5"/>
  <c r="D125" i="5"/>
  <c r="D121" i="5"/>
  <c r="D113" i="5"/>
  <c r="D105" i="5"/>
  <c r="D97" i="5"/>
  <c r="D93" i="5"/>
  <c r="D85" i="5"/>
  <c r="D81" i="5"/>
  <c r="D77" i="5"/>
  <c r="D69" i="5"/>
  <c r="D65" i="5"/>
  <c r="D61" i="5"/>
  <c r="D57" i="5"/>
  <c r="D53" i="5"/>
  <c r="D49" i="5"/>
  <c r="D45" i="5"/>
  <c r="D41" i="5"/>
  <c r="D37" i="5"/>
  <c r="D29" i="5"/>
  <c r="D25" i="5"/>
  <c r="D21" i="5"/>
  <c r="D17" i="5"/>
  <c r="D13" i="5"/>
  <c r="D9" i="5"/>
  <c r="D5" i="5"/>
  <c r="D132" i="5"/>
  <c r="D100" i="5"/>
  <c r="D72" i="5"/>
  <c r="D60" i="5"/>
  <c r="D52" i="5"/>
  <c r="D44" i="5"/>
  <c r="D36" i="5"/>
  <c r="D32" i="5"/>
  <c r="D24" i="5"/>
  <c r="D20" i="5"/>
  <c r="D16" i="5"/>
  <c r="D12" i="5"/>
  <c r="D4" i="5"/>
  <c r="D124" i="5"/>
  <c r="D92" i="5"/>
  <c r="D64" i="5"/>
  <c r="D56" i="5"/>
  <c r="D48" i="5"/>
  <c r="D40" i="5"/>
  <c r="D28" i="5"/>
  <c r="D8" i="5"/>
  <c r="D136" i="5"/>
  <c r="D112" i="5"/>
  <c r="D84" i="5"/>
  <c r="D143" i="5"/>
  <c r="D115" i="5"/>
  <c r="D99" i="5"/>
  <c r="D79" i="5"/>
  <c r="D67" i="5"/>
  <c r="D47" i="5"/>
  <c r="D35" i="5"/>
  <c r="D31" i="5"/>
  <c r="D19" i="5"/>
  <c r="D15" i="5"/>
  <c r="D11" i="5"/>
  <c r="D7" i="5"/>
  <c r="D3" i="5"/>
  <c r="I76" i="3"/>
  <c r="C76" i="3" s="1"/>
  <c r="D135" i="3" a="1"/>
  <c r="E96" i="5" a="1"/>
  <c r="E80" i="5" a="1"/>
  <c r="E108" i="5" a="1"/>
  <c r="E61" i="5" a="1"/>
  <c r="E40" i="5" a="1"/>
  <c r="F39" i="5" a="1"/>
  <c r="F22" i="5" a="1"/>
  <c r="E86" i="5" a="1"/>
  <c r="E98" i="5" a="1"/>
  <c r="E141" i="5" a="1"/>
  <c r="E44" i="5" a="1"/>
  <c r="E68" i="5" a="1"/>
  <c r="E151" i="5" a="1"/>
  <c r="E76" i="5" a="1"/>
  <c r="E57" i="5" a="1"/>
  <c r="E28" i="5" a="1"/>
  <c r="E91" i="5" a="1"/>
  <c r="E95" i="5" a="1"/>
  <c r="E129" i="5" a="1"/>
  <c r="E5" i="5" a="1"/>
  <c r="E31" i="5" a="1"/>
  <c r="E62" i="5" a="1"/>
  <c r="E74" i="5" a="1"/>
  <c r="E69" i="5" a="1"/>
  <c r="E56" i="5" a="1"/>
  <c r="E117" i="5" a="1"/>
  <c r="E75" i="5" a="1"/>
  <c r="E147" i="5" a="1"/>
  <c r="E100" i="5" a="1"/>
  <c r="E71" i="5" a="1"/>
  <c r="F59" i="5" a="1"/>
  <c r="F63" i="5" a="1"/>
  <c r="F101" i="5" a="1"/>
  <c r="F25" i="5" a="1"/>
  <c r="F99" i="5" a="1"/>
  <c r="F131" i="5" a="1"/>
  <c r="F81" i="5" a="1"/>
  <c r="F26" i="5" a="1"/>
  <c r="F34" i="5" a="1"/>
  <c r="F85" i="5" a="1"/>
  <c r="F51" i="5" a="1"/>
  <c r="F138" i="5" a="1"/>
  <c r="F140" i="5" a="1"/>
  <c r="F126" i="5" a="1"/>
  <c r="E101" i="5" a="1"/>
  <c r="F73" i="5" a="1"/>
  <c r="E34" i="5" a="1"/>
  <c r="E89" i="5" a="1"/>
  <c r="E138" i="5" a="1"/>
  <c r="E10" i="5" a="1"/>
  <c r="E113" i="5" a="1"/>
  <c r="F110" i="5" a="1"/>
  <c r="F118" i="5" a="1"/>
  <c r="F127" i="5" a="1"/>
  <c r="F72" i="5" a="1"/>
  <c r="F11" i="5" a="1"/>
  <c r="F53" i="5" a="1"/>
  <c r="F119" i="5" a="1"/>
  <c r="F123" i="5" a="1"/>
  <c r="F149" i="5" a="1"/>
  <c r="F49" i="5" a="1"/>
  <c r="F136" i="5" a="1"/>
  <c r="F102" i="5" a="1"/>
  <c r="F114" i="5" a="1"/>
  <c r="F111" i="5" a="1"/>
  <c r="F60" i="5" a="1"/>
  <c r="F7" i="5" a="1"/>
  <c r="F70" i="5" a="1"/>
  <c r="F82" i="5" a="1"/>
  <c r="F77" i="5" a="1"/>
  <c r="F64" i="5" a="1"/>
  <c r="F83" i="5" a="1"/>
  <c r="F87" i="5" a="1"/>
  <c r="F88" i="5" a="1"/>
  <c r="F132" i="5" a="1"/>
  <c r="F19" i="5" a="1"/>
  <c r="F122" i="5" a="1"/>
  <c r="F66" i="5" a="1"/>
  <c r="F65" i="5" a="1"/>
  <c r="F115" i="5" a="1"/>
  <c r="F109" i="5" a="1"/>
  <c r="F12" i="5" a="1"/>
  <c r="F6" i="5" a="1"/>
  <c r="F84" i="5" a="1"/>
  <c r="F121" i="5" a="1"/>
  <c r="F125" i="5" a="1"/>
  <c r="F29" i="5" a="1"/>
  <c r="F96" i="5" a="1"/>
  <c r="F44" i="5" a="1"/>
  <c r="F28" i="5" a="1"/>
  <c r="F31" i="5" a="1"/>
  <c r="F56" i="5" a="1"/>
  <c r="F71" i="5" a="1"/>
  <c r="F21" i="5" a="1"/>
  <c r="F142" i="5" a="1"/>
  <c r="F10" i="5" a="1"/>
  <c r="F113" i="5" a="1"/>
  <c r="E63" i="5" a="1"/>
  <c r="E124" i="5" a="1"/>
  <c r="E142" i="5" a="1"/>
  <c r="E37" i="5" a="1"/>
  <c r="E110" i="5" a="1"/>
  <c r="E118" i="5" a="1"/>
  <c r="E127" i="5" a="1"/>
  <c r="E72" i="5" a="1"/>
  <c r="E11" i="5" a="1"/>
  <c r="F17" i="5" a="1"/>
  <c r="E119" i="5" a="1"/>
  <c r="E123" i="5" a="1"/>
  <c r="E149" i="5" a="1"/>
  <c r="E49" i="5" a="1"/>
  <c r="E136" i="5" a="1"/>
  <c r="E102" i="5" a="1"/>
  <c r="E114" i="5" a="1"/>
  <c r="E111" i="5" a="1"/>
  <c r="E60" i="5" a="1"/>
  <c r="E7" i="5" a="1"/>
  <c r="E70" i="5" a="1"/>
  <c r="E82" i="5" a="1"/>
  <c r="E77" i="5" a="1"/>
  <c r="E64" i="5" a="1"/>
  <c r="E83" i="5" a="1"/>
  <c r="E87" i="5" a="1"/>
  <c r="E88" i="5" a="1"/>
  <c r="E132" i="5" a="1"/>
  <c r="E19" i="5" a="1"/>
  <c r="E122" i="5" a="1"/>
  <c r="E66" i="5" a="1"/>
  <c r="E65" i="5" a="1"/>
  <c r="E115" i="5" a="1"/>
  <c r="E109" i="5" a="1"/>
  <c r="F50" i="5" a="1"/>
  <c r="F14" i="5" a="1"/>
  <c r="F130" i="5" a="1"/>
  <c r="F24" i="5" a="1"/>
  <c r="F144" i="5" a="1"/>
  <c r="F15" i="5" a="1"/>
  <c r="F80" i="5" a="1"/>
  <c r="F98" i="5" a="1"/>
  <c r="F57" i="5" a="1"/>
  <c r="F5" i="5" a="1"/>
  <c r="F117" i="5" a="1"/>
  <c r="F124" i="5" a="1"/>
  <c r="F116" i="5" a="1"/>
  <c r="F120" i="5" a="1"/>
  <c r="E25" i="5" a="1"/>
  <c r="E55" i="5" a="1"/>
  <c r="E116" i="5" a="1"/>
  <c r="E143" i="5" a="1"/>
  <c r="E139" i="5" a="1"/>
  <c r="E43" i="5" a="1"/>
  <c r="F94" i="5" a="1"/>
  <c r="F30" i="5" a="1"/>
  <c r="E135" i="5" a="1"/>
  <c r="E39" i="5" a="1"/>
  <c r="F106" i="5" a="1"/>
  <c r="F42" i="5" a="1"/>
  <c r="E131" i="5" a="1"/>
  <c r="E73" i="5" a="1"/>
  <c r="F145" i="5" a="1"/>
  <c r="F93" i="5" a="1"/>
  <c r="E53" i="5" a="1"/>
  <c r="E17" i="5" a="1"/>
  <c r="F52" i="5" a="1"/>
  <c r="F4" i="5" a="1"/>
  <c r="E8" i="5" a="1"/>
  <c r="E67" i="5" a="1"/>
  <c r="F3" i="5" a="1"/>
  <c r="F46" i="5" a="1"/>
  <c r="F58" i="5" a="1"/>
  <c r="F105" i="5" a="1"/>
  <c r="F16" i="5" a="1"/>
  <c r="F139" i="5" a="1"/>
  <c r="F8" i="5" a="1"/>
  <c r="F23" i="5" a="1"/>
  <c r="F27" i="5" a="1"/>
  <c r="F33" i="5" a="1"/>
  <c r="F13" i="5" a="1"/>
  <c r="F47" i="5" a="1"/>
  <c r="F38" i="5" a="1"/>
  <c r="F97" i="5" a="1"/>
  <c r="F2" i="5" a="1"/>
  <c r="F41" i="5" a="1"/>
  <c r="F134" i="5" a="1"/>
  <c r="F54" i="5" a="1"/>
  <c r="F20" i="5" a="1"/>
  <c r="F61" i="5" a="1"/>
  <c r="F68" i="5" a="1"/>
  <c r="F129" i="5" a="1"/>
  <c r="F69" i="5" a="1"/>
  <c r="F100" i="5" a="1"/>
  <c r="F79" i="5" a="1"/>
  <c r="F32" i="5" a="1"/>
  <c r="F143" i="5" a="1"/>
  <c r="E99" i="5" a="1"/>
  <c r="E26" i="5" a="1"/>
  <c r="E85" i="5" a="1"/>
  <c r="E79" i="5" a="1"/>
  <c r="E140" i="5" a="1"/>
  <c r="E120" i="5" a="1"/>
  <c r="E104" i="5" a="1"/>
  <c r="E46" i="5" a="1"/>
  <c r="E58" i="5" a="1"/>
  <c r="E105" i="5" a="1"/>
  <c r="E16" i="5" a="1"/>
  <c r="F43" i="5" a="1"/>
  <c r="F67" i="5" a="1"/>
  <c r="E23" i="5" a="1"/>
  <c r="E27" i="5" a="1"/>
  <c r="E33" i="5" a="1"/>
  <c r="E13" i="5" a="1"/>
  <c r="E47" i="5" a="1"/>
  <c r="E38" i="5" a="1"/>
  <c r="E50" i="5" a="1"/>
  <c r="E97" i="5" a="1"/>
  <c r="E12" i="5" a="1"/>
  <c r="E2" i="5" a="1"/>
  <c r="E6" i="5" a="1"/>
  <c r="E14" i="5" a="1"/>
  <c r="E41" i="5" a="1"/>
  <c r="E84" i="5" a="1"/>
  <c r="E130" i="5" a="1"/>
  <c r="E134" i="5" a="1"/>
  <c r="E121" i="5" a="1"/>
  <c r="E24" i="5" a="1"/>
  <c r="E125" i="5" a="1"/>
  <c r="E54" i="5" a="1"/>
  <c r="E144" i="5" a="1"/>
  <c r="E29" i="5" a="1"/>
  <c r="E15" i="5" a="1"/>
  <c r="E20" i="5" a="1"/>
  <c r="F137" i="5" a="1"/>
  <c r="F36" i="5" a="1"/>
  <c r="F35" i="5" a="1"/>
  <c r="F40" i="5" a="1"/>
  <c r="F18" i="5" a="1"/>
  <c r="F141" i="5" a="1"/>
  <c r="F76" i="5" a="1"/>
  <c r="F95" i="5" a="1"/>
  <c r="F74" i="5" a="1"/>
  <c r="F147" i="5" a="1"/>
  <c r="F55" i="5" a="1"/>
  <c r="F37" i="5" a="1"/>
  <c r="F104" i="5" a="1"/>
  <c r="E59" i="5" a="1"/>
  <c r="E51" i="5" a="1"/>
  <c r="E32" i="5" a="1"/>
  <c r="E126" i="5" a="1"/>
  <c r="F103" i="5" a="1"/>
  <c r="F146" i="5" a="1"/>
  <c r="F78" i="5" a="1"/>
  <c r="E18" i="5" a="1"/>
  <c r="F107" i="5" a="1"/>
  <c r="F150" i="5" a="1"/>
  <c r="F90" i="5" a="1"/>
  <c r="E22" i="5" a="1"/>
  <c r="F148" i="5" a="1"/>
  <c r="F133" i="5" a="1"/>
  <c r="E81" i="5" a="1"/>
  <c r="F45" i="5" a="1"/>
  <c r="F9" i="5" a="1"/>
  <c r="E92" i="5" a="1"/>
  <c r="F112" i="5" a="1"/>
  <c r="F108" i="5" a="1"/>
  <c r="F135" i="5" a="1"/>
  <c r="F86" i="5" a="1"/>
  <c r="F151" i="5" a="1"/>
  <c r="F91" i="5" a="1"/>
  <c r="F62" i="5" a="1"/>
  <c r="F75" i="5" a="1"/>
  <c r="F89" i="5" a="1"/>
  <c r="F128" i="5" a="1"/>
  <c r="F48" i="5" a="1"/>
  <c r="F92" i="5" a="1"/>
  <c r="E21" i="5" a="1"/>
  <c r="E128" i="5" a="1"/>
  <c r="E48" i="5" a="1"/>
  <c r="O25" i="5" l="1" a="1"/>
  <c r="O25" i="5" s="1"/>
  <c r="O34" i="5" s="1"/>
  <c r="E20" i="5"/>
  <c r="F20" i="5"/>
  <c r="E109" i="5"/>
  <c r="F109" i="5"/>
  <c r="E104" i="5"/>
  <c r="F104" i="5"/>
  <c r="E71" i="5"/>
  <c r="F71" i="5"/>
  <c r="E15" i="5"/>
  <c r="F15" i="5"/>
  <c r="E115" i="5"/>
  <c r="F115" i="5"/>
  <c r="E48" i="5"/>
  <c r="F48" i="5"/>
  <c r="E100" i="5"/>
  <c r="F100" i="5"/>
  <c r="E29" i="5"/>
  <c r="F29" i="5"/>
  <c r="E65" i="5"/>
  <c r="F65" i="5"/>
  <c r="E113" i="5"/>
  <c r="F113" i="5"/>
  <c r="E147" i="5"/>
  <c r="F147" i="5"/>
  <c r="E144" i="5"/>
  <c r="F144" i="5"/>
  <c r="E66" i="5"/>
  <c r="F66" i="5"/>
  <c r="E126" i="5"/>
  <c r="F126" i="5"/>
  <c r="E75" i="5"/>
  <c r="F75" i="5"/>
  <c r="E54" i="5"/>
  <c r="F54" i="5"/>
  <c r="E122" i="5"/>
  <c r="F122" i="5"/>
  <c r="E120" i="5"/>
  <c r="F120" i="5"/>
  <c r="E117" i="5"/>
  <c r="F117" i="5"/>
  <c r="E125" i="5"/>
  <c r="F125" i="5"/>
  <c r="E19" i="5"/>
  <c r="F19" i="5"/>
  <c r="E143" i="5"/>
  <c r="F143" i="5"/>
  <c r="E56" i="5"/>
  <c r="F56" i="5"/>
  <c r="E24" i="5"/>
  <c r="F24" i="5"/>
  <c r="E132" i="5"/>
  <c r="F132" i="5"/>
  <c r="E37" i="5"/>
  <c r="F37" i="5"/>
  <c r="E69" i="5"/>
  <c r="F69" i="5"/>
  <c r="E121" i="5"/>
  <c r="F121" i="5"/>
  <c r="E88" i="5"/>
  <c r="F88" i="5"/>
  <c r="E10" i="5"/>
  <c r="F10" i="5"/>
  <c r="E74" i="5"/>
  <c r="F74" i="5"/>
  <c r="E134" i="5"/>
  <c r="F134" i="5"/>
  <c r="E87" i="5"/>
  <c r="F87" i="5"/>
  <c r="E128" i="5"/>
  <c r="F128" i="5"/>
  <c r="E62" i="5"/>
  <c r="F62" i="5"/>
  <c r="E130" i="5"/>
  <c r="F130" i="5"/>
  <c r="E83" i="5"/>
  <c r="F83" i="5"/>
  <c r="E140" i="5"/>
  <c r="F140" i="5"/>
  <c r="E31" i="5"/>
  <c r="F31" i="5"/>
  <c r="E84" i="5"/>
  <c r="F84" i="5"/>
  <c r="E64" i="5"/>
  <c r="F64" i="5"/>
  <c r="E32" i="5"/>
  <c r="F32" i="5"/>
  <c r="E5" i="5"/>
  <c r="F5" i="5"/>
  <c r="E41" i="5"/>
  <c r="F41" i="5"/>
  <c r="E77" i="5"/>
  <c r="F77" i="5"/>
  <c r="E116" i="5"/>
  <c r="F116" i="5"/>
  <c r="E129" i="5"/>
  <c r="F129" i="5"/>
  <c r="E14" i="5"/>
  <c r="F14" i="5"/>
  <c r="E82" i="5"/>
  <c r="F82" i="5"/>
  <c r="E142" i="5"/>
  <c r="F142" i="5"/>
  <c r="E95" i="5"/>
  <c r="F95" i="5"/>
  <c r="E6" i="5"/>
  <c r="F6" i="5"/>
  <c r="E70" i="5"/>
  <c r="F70" i="5"/>
  <c r="E138" i="5"/>
  <c r="F138" i="5"/>
  <c r="E91" i="5"/>
  <c r="F91" i="5"/>
  <c r="E2" i="5"/>
  <c r="F2" i="5"/>
  <c r="E7" i="5"/>
  <c r="F7" i="5"/>
  <c r="E79" i="5"/>
  <c r="F79" i="5"/>
  <c r="E28" i="5"/>
  <c r="F28" i="5"/>
  <c r="E12" i="5"/>
  <c r="F12" i="5"/>
  <c r="E60" i="5"/>
  <c r="F60" i="5"/>
  <c r="E21" i="5"/>
  <c r="F21" i="5"/>
  <c r="E57" i="5"/>
  <c r="F57" i="5"/>
  <c r="E97" i="5"/>
  <c r="F97" i="5"/>
  <c r="E111" i="5"/>
  <c r="F111" i="5"/>
  <c r="E89" i="5"/>
  <c r="F89" i="5"/>
  <c r="E76" i="5"/>
  <c r="F76" i="5"/>
  <c r="E50" i="5"/>
  <c r="F50" i="5"/>
  <c r="E114" i="5"/>
  <c r="F114" i="5"/>
  <c r="E55" i="5"/>
  <c r="F55" i="5"/>
  <c r="E151" i="5"/>
  <c r="F151" i="5"/>
  <c r="E38" i="5"/>
  <c r="F38" i="5"/>
  <c r="E102" i="5"/>
  <c r="F102" i="5"/>
  <c r="E51" i="5"/>
  <c r="F51" i="5"/>
  <c r="E68" i="5"/>
  <c r="F68" i="5"/>
  <c r="F103" i="5"/>
  <c r="E47" i="5"/>
  <c r="F47" i="5"/>
  <c r="E136" i="5"/>
  <c r="F136" i="5"/>
  <c r="E124" i="5"/>
  <c r="F124" i="5"/>
  <c r="E44" i="5"/>
  <c r="F44" i="5"/>
  <c r="E13" i="5"/>
  <c r="F13" i="5"/>
  <c r="E49" i="5"/>
  <c r="F49" i="5"/>
  <c r="E85" i="5"/>
  <c r="F85" i="5"/>
  <c r="E141" i="5"/>
  <c r="F141" i="5"/>
  <c r="E33" i="5"/>
  <c r="F33" i="5"/>
  <c r="E149" i="5"/>
  <c r="F149" i="5"/>
  <c r="E34" i="5"/>
  <c r="F34" i="5"/>
  <c r="E98" i="5"/>
  <c r="F98" i="5"/>
  <c r="E27" i="5"/>
  <c r="F27" i="5"/>
  <c r="E123" i="5"/>
  <c r="F123" i="5"/>
  <c r="E26" i="5"/>
  <c r="F26" i="5"/>
  <c r="E86" i="5"/>
  <c r="F86" i="5"/>
  <c r="E23" i="5"/>
  <c r="F23" i="5"/>
  <c r="E119" i="5"/>
  <c r="F119" i="5"/>
  <c r="F35" i="5"/>
  <c r="F112" i="5"/>
  <c r="E92" i="5"/>
  <c r="F92" i="5"/>
  <c r="F36" i="5"/>
  <c r="F9" i="5"/>
  <c r="F45" i="5"/>
  <c r="E81" i="5"/>
  <c r="F81" i="5"/>
  <c r="F133" i="5"/>
  <c r="F148" i="5"/>
  <c r="F137" i="5"/>
  <c r="E22" i="5"/>
  <c r="F22" i="5"/>
  <c r="F90" i="5"/>
  <c r="F150" i="5"/>
  <c r="F107" i="5"/>
  <c r="E18" i="5"/>
  <c r="F18" i="5"/>
  <c r="F78" i="5"/>
  <c r="F146" i="5"/>
  <c r="F3" i="5"/>
  <c r="E67" i="5"/>
  <c r="F67" i="5"/>
  <c r="E8" i="5"/>
  <c r="F8" i="5"/>
  <c r="F4" i="5"/>
  <c r="F52" i="5"/>
  <c r="E17" i="5"/>
  <c r="F17" i="5"/>
  <c r="E53" i="5"/>
  <c r="F53" i="5"/>
  <c r="F93" i="5"/>
  <c r="F145" i="5"/>
  <c r="E73" i="5"/>
  <c r="F73" i="5"/>
  <c r="E131" i="5"/>
  <c r="F131" i="5"/>
  <c r="F42" i="5"/>
  <c r="F106" i="5"/>
  <c r="E39" i="5"/>
  <c r="F39" i="5"/>
  <c r="E135" i="5"/>
  <c r="F135" i="5"/>
  <c r="F30" i="5"/>
  <c r="F94" i="5"/>
  <c r="E43" i="5"/>
  <c r="F43" i="5"/>
  <c r="E139" i="5"/>
  <c r="F139" i="5"/>
  <c r="E11" i="5"/>
  <c r="F11" i="5"/>
  <c r="E99" i="5"/>
  <c r="F99" i="5"/>
  <c r="E40" i="5"/>
  <c r="F40" i="5"/>
  <c r="E16" i="5"/>
  <c r="F16" i="5"/>
  <c r="E72" i="5"/>
  <c r="F72" i="5"/>
  <c r="E25" i="5"/>
  <c r="F25" i="5"/>
  <c r="E61" i="5"/>
  <c r="F61" i="5"/>
  <c r="E105" i="5"/>
  <c r="F105" i="5"/>
  <c r="E127" i="5"/>
  <c r="F127" i="5"/>
  <c r="E101" i="5"/>
  <c r="F101" i="5"/>
  <c r="E108" i="5"/>
  <c r="F108" i="5"/>
  <c r="E58" i="5"/>
  <c r="F58" i="5"/>
  <c r="E118" i="5"/>
  <c r="F118" i="5"/>
  <c r="E63" i="5"/>
  <c r="F63" i="5"/>
  <c r="E80" i="5"/>
  <c r="F80" i="5"/>
  <c r="E46" i="5"/>
  <c r="F46" i="5"/>
  <c r="E110" i="5"/>
  <c r="F110" i="5"/>
  <c r="E59" i="5"/>
  <c r="F59" i="5"/>
  <c r="E96" i="5"/>
  <c r="F96" i="5"/>
  <c r="N25" i="5"/>
  <c r="K30" i="5"/>
  <c r="J30" i="5"/>
  <c r="D135" i="3"/>
  <c r="H135" i="3" a="1"/>
  <c r="F135" i="3" a="1"/>
  <c r="G135" i="3" a="1"/>
  <c r="E135" i="3" a="1"/>
  <c r="E36" i="5" a="1"/>
  <c r="E146" i="5" a="1"/>
  <c r="E137" i="5" a="1"/>
  <c r="E133" i="5" a="1"/>
  <c r="E4" i="5" a="1"/>
  <c r="E107" i="5" a="1"/>
  <c r="E90" i="5" a="1"/>
  <c r="E93" i="5" a="1"/>
  <c r="E3" i="5" a="1"/>
  <c r="E78" i="5" a="1"/>
  <c r="E42" i="5" a="1"/>
  <c r="E52" i="5" a="1"/>
  <c r="E35" i="5" a="1"/>
  <c r="E30" i="5" a="1"/>
  <c r="E145" i="5" a="1"/>
  <c r="E9" i="5" a="1"/>
  <c r="E103" i="5" a="1"/>
  <c r="E106" i="5" a="1"/>
  <c r="E148" i="5" a="1"/>
  <c r="E112" i="5" a="1"/>
  <c r="E94" i="5" a="1"/>
  <c r="E150" i="5" a="1"/>
  <c r="E45" i="5" a="1"/>
  <c r="G102" i="5" l="1"/>
  <c r="C102" i="5" s="1"/>
  <c r="G114" i="5"/>
  <c r="C114" i="5" s="1"/>
  <c r="G111" i="5"/>
  <c r="C111" i="5" s="1"/>
  <c r="G60" i="5"/>
  <c r="C60" i="5" s="1"/>
  <c r="G7" i="5"/>
  <c r="C7" i="5" s="1"/>
  <c r="G70" i="5"/>
  <c r="C70" i="5" s="1"/>
  <c r="G82" i="5"/>
  <c r="C82" i="5" s="1"/>
  <c r="G77" i="5"/>
  <c r="C77" i="5" s="1"/>
  <c r="G64" i="5"/>
  <c r="C64" i="5" s="1"/>
  <c r="G83" i="5"/>
  <c r="C83" i="5" s="1"/>
  <c r="G87" i="5"/>
  <c r="C87" i="5" s="1"/>
  <c r="G88" i="5"/>
  <c r="C88" i="5" s="1"/>
  <c r="G132" i="5"/>
  <c r="C132" i="5" s="1"/>
  <c r="G19" i="5"/>
  <c r="C19" i="5" s="1"/>
  <c r="G122" i="5"/>
  <c r="C122" i="5" s="1"/>
  <c r="G66" i="5"/>
  <c r="C66" i="5" s="1"/>
  <c r="G65" i="5"/>
  <c r="C65" i="5" s="1"/>
  <c r="G115" i="5"/>
  <c r="C115" i="5" s="1"/>
  <c r="G96" i="5"/>
  <c r="C96" i="5" s="1"/>
  <c r="G80" i="5"/>
  <c r="C80" i="5" s="1"/>
  <c r="G108" i="5"/>
  <c r="C108" i="5" s="1"/>
  <c r="G61" i="5"/>
  <c r="C61" i="5" s="1"/>
  <c r="G40" i="5"/>
  <c r="C40" i="5" s="1"/>
  <c r="G43" i="5"/>
  <c r="C43" i="5" s="1"/>
  <c r="G81" i="5"/>
  <c r="C81" i="5" s="1"/>
  <c r="G67" i="5"/>
  <c r="C67" i="5" s="1"/>
  <c r="G76" i="5"/>
  <c r="C76" i="5" s="1"/>
  <c r="G57" i="5"/>
  <c r="C57" i="5" s="1"/>
  <c r="G39" i="5"/>
  <c r="C39" i="5" s="1"/>
  <c r="G17" i="5"/>
  <c r="C17" i="5" s="1"/>
  <c r="G125" i="5"/>
  <c r="C125" i="5" s="1"/>
  <c r="E45" i="5"/>
  <c r="G45" i="5" s="1"/>
  <c r="C45" i="5" s="1"/>
  <c r="E150" i="5"/>
  <c r="G150" i="5" s="1"/>
  <c r="C150" i="5" s="1"/>
  <c r="E94" i="5"/>
  <c r="G94" i="5" s="1"/>
  <c r="C94" i="5" s="1"/>
  <c r="E112" i="5"/>
  <c r="G112" i="5" s="1"/>
  <c r="C112" i="5" s="1"/>
  <c r="E148" i="5"/>
  <c r="G148" i="5" s="1"/>
  <c r="C148" i="5" s="1"/>
  <c r="E106" i="5"/>
  <c r="G106" i="5" s="1"/>
  <c r="C106" i="5" s="1"/>
  <c r="E103" i="5"/>
  <c r="G103" i="5" s="1"/>
  <c r="C103" i="5" s="1"/>
  <c r="E9" i="5"/>
  <c r="G9" i="5" s="1"/>
  <c r="C9" i="5" s="1"/>
  <c r="E145" i="5"/>
  <c r="G145" i="5" s="1"/>
  <c r="C145" i="5" s="1"/>
  <c r="E30" i="5"/>
  <c r="G30" i="5" s="1"/>
  <c r="C30" i="5" s="1"/>
  <c r="E35" i="5"/>
  <c r="G35" i="5" s="1"/>
  <c r="C35" i="5" s="1"/>
  <c r="E52" i="5"/>
  <c r="G52" i="5" s="1"/>
  <c r="C52" i="5" s="1"/>
  <c r="E42" i="5"/>
  <c r="G42" i="5" s="1"/>
  <c r="C42" i="5" s="1"/>
  <c r="E78" i="5"/>
  <c r="G78" i="5" s="1"/>
  <c r="C78" i="5" s="1"/>
  <c r="E3" i="5"/>
  <c r="G3" i="5" s="1"/>
  <c r="C3" i="5" s="1"/>
  <c r="E93" i="5"/>
  <c r="G93" i="5" s="1"/>
  <c r="C93" i="5" s="1"/>
  <c r="E90" i="5"/>
  <c r="G90" i="5" s="1"/>
  <c r="C90" i="5" s="1"/>
  <c r="E107" i="5"/>
  <c r="G107" i="5" s="1"/>
  <c r="C107" i="5" s="1"/>
  <c r="E4" i="5"/>
  <c r="G4" i="5" s="1"/>
  <c r="C4" i="5" s="1"/>
  <c r="E133" i="5"/>
  <c r="G133" i="5" s="1"/>
  <c r="C133" i="5" s="1"/>
  <c r="E137" i="5"/>
  <c r="G137" i="5" s="1"/>
  <c r="C137" i="5" s="1"/>
  <c r="E146" i="5"/>
  <c r="G146" i="5" s="1"/>
  <c r="C146" i="5" s="1"/>
  <c r="E36" i="5"/>
  <c r="G36" i="5" s="1"/>
  <c r="C36" i="5" s="1"/>
  <c r="G18" i="5"/>
  <c r="C18" i="5" s="1"/>
  <c r="G22" i="5"/>
  <c r="C22" i="5" s="1"/>
  <c r="G73" i="5"/>
  <c r="C73" i="5" s="1"/>
  <c r="G140" i="5"/>
  <c r="C140" i="5" s="1"/>
  <c r="G92" i="5"/>
  <c r="C92" i="5" s="1"/>
  <c r="G23" i="5"/>
  <c r="C23" i="5" s="1"/>
  <c r="G27" i="5"/>
  <c r="C27" i="5" s="1"/>
  <c r="G33" i="5"/>
  <c r="C33" i="5" s="1"/>
  <c r="G13" i="5"/>
  <c r="C13" i="5" s="1"/>
  <c r="G47" i="5"/>
  <c r="C47" i="5" s="1"/>
  <c r="G44" i="5"/>
  <c r="C44" i="5" s="1"/>
  <c r="G116" i="5"/>
  <c r="C116" i="5" s="1"/>
  <c r="G29" i="5"/>
  <c r="C29" i="5" s="1"/>
  <c r="G58" i="5"/>
  <c r="C58" i="5" s="1"/>
  <c r="G51" i="5"/>
  <c r="C51" i="5" s="1"/>
  <c r="G55" i="5"/>
  <c r="C55" i="5" s="1"/>
  <c r="G21" i="5"/>
  <c r="C21" i="5" s="1"/>
  <c r="G79" i="5"/>
  <c r="C79" i="5" s="1"/>
  <c r="G138" i="5"/>
  <c r="C138" i="5" s="1"/>
  <c r="G128" i="5"/>
  <c r="C128" i="5" s="1"/>
  <c r="G10" i="5"/>
  <c r="C10" i="5" s="1"/>
  <c r="G143" i="5"/>
  <c r="C143" i="5" s="1"/>
  <c r="L28" i="5"/>
  <c r="G109" i="5"/>
  <c r="C109" i="5" s="1"/>
  <c r="G110" i="5"/>
  <c r="C110" i="5" s="1"/>
  <c r="G34" i="5"/>
  <c r="C34" i="5" s="1"/>
  <c r="G85" i="5"/>
  <c r="C85" i="5" s="1"/>
  <c r="G124" i="5"/>
  <c r="C124" i="5" s="1"/>
  <c r="G68" i="5"/>
  <c r="C68" i="5" s="1"/>
  <c r="G151" i="5"/>
  <c r="C151" i="5" s="1"/>
  <c r="G28" i="5"/>
  <c r="C28" i="5" s="1"/>
  <c r="G91" i="5"/>
  <c r="C91" i="5" s="1"/>
  <c r="G95" i="5"/>
  <c r="C95" i="5" s="1"/>
  <c r="G129" i="5"/>
  <c r="C129" i="5" s="1"/>
  <c r="G5" i="5"/>
  <c r="C5" i="5" s="1"/>
  <c r="G31" i="5"/>
  <c r="C31" i="5" s="1"/>
  <c r="G62" i="5"/>
  <c r="C62" i="5" s="1"/>
  <c r="G74" i="5"/>
  <c r="C74" i="5" s="1"/>
  <c r="G69" i="5"/>
  <c r="C69" i="5" s="1"/>
  <c r="G56" i="5"/>
  <c r="C56" i="5" s="1"/>
  <c r="G117" i="5"/>
  <c r="C117" i="5" s="1"/>
  <c r="G75" i="5"/>
  <c r="C75" i="5" s="1"/>
  <c r="G147" i="5"/>
  <c r="C147" i="5" s="1"/>
  <c r="G100" i="5"/>
  <c r="C100" i="5" s="1"/>
  <c r="G71" i="5"/>
  <c r="C71" i="5" s="1"/>
  <c r="G127" i="5"/>
  <c r="C127" i="5" s="1"/>
  <c r="G11" i="5"/>
  <c r="C11" i="5" s="1"/>
  <c r="G26" i="5"/>
  <c r="C26" i="5" s="1"/>
  <c r="G118" i="5"/>
  <c r="C118" i="5" s="1"/>
  <c r="G72" i="5"/>
  <c r="C72" i="5" s="1"/>
  <c r="G141" i="5"/>
  <c r="C141" i="5" s="1"/>
  <c r="G98" i="5"/>
  <c r="C98" i="5" s="1"/>
  <c r="G86" i="5"/>
  <c r="C86" i="5" s="1"/>
  <c r="G2" i="5"/>
  <c r="C2" i="5" s="1"/>
  <c r="G6" i="5"/>
  <c r="C6" i="5" s="1"/>
  <c r="G105" i="5"/>
  <c r="C105" i="5" s="1"/>
  <c r="G46" i="5"/>
  <c r="C46" i="5" s="1"/>
  <c r="G16" i="5"/>
  <c r="C16" i="5" s="1"/>
  <c r="G89" i="5"/>
  <c r="C89" i="5" s="1"/>
  <c r="G32" i="5"/>
  <c r="C32" i="5" s="1"/>
  <c r="G37" i="5"/>
  <c r="C37" i="5" s="1"/>
  <c r="G59" i="5"/>
  <c r="C59" i="5" s="1"/>
  <c r="G63" i="5"/>
  <c r="C63" i="5" s="1"/>
  <c r="G101" i="5"/>
  <c r="C101" i="5" s="1"/>
  <c r="G25" i="5"/>
  <c r="C25" i="5" s="1"/>
  <c r="G99" i="5"/>
  <c r="C99" i="5" s="1"/>
  <c r="G38" i="5"/>
  <c r="C38" i="5" s="1"/>
  <c r="G50" i="5"/>
  <c r="C50" i="5" s="1"/>
  <c r="G97" i="5"/>
  <c r="C97" i="5" s="1"/>
  <c r="G12" i="5"/>
  <c r="C12" i="5" s="1"/>
  <c r="G14" i="5"/>
  <c r="C14" i="5" s="1"/>
  <c r="G41" i="5"/>
  <c r="C41" i="5" s="1"/>
  <c r="G84" i="5"/>
  <c r="C84" i="5" s="1"/>
  <c r="G130" i="5"/>
  <c r="C130" i="5" s="1"/>
  <c r="G134" i="5"/>
  <c r="C134" i="5" s="1"/>
  <c r="G121" i="5"/>
  <c r="C121" i="5" s="1"/>
  <c r="G24" i="5"/>
  <c r="C24" i="5" s="1"/>
  <c r="G54" i="5"/>
  <c r="C54" i="5" s="1"/>
  <c r="G144" i="5"/>
  <c r="C144" i="5" s="1"/>
  <c r="G15" i="5"/>
  <c r="C15" i="5" s="1"/>
  <c r="G20" i="5"/>
  <c r="C20" i="5" s="1"/>
  <c r="J28" i="5" a="1"/>
  <c r="J29" i="5" s="1"/>
  <c r="G139" i="5"/>
  <c r="C139" i="5" s="1"/>
  <c r="G135" i="5"/>
  <c r="C135" i="5" s="1"/>
  <c r="G131" i="5"/>
  <c r="C131" i="5" s="1"/>
  <c r="G53" i="5"/>
  <c r="C53" i="5" s="1"/>
  <c r="G8" i="5"/>
  <c r="C8" i="5" s="1"/>
  <c r="G119" i="5"/>
  <c r="C119" i="5" s="1"/>
  <c r="G123" i="5"/>
  <c r="C123" i="5" s="1"/>
  <c r="G149" i="5"/>
  <c r="C149" i="5" s="1"/>
  <c r="G49" i="5"/>
  <c r="C49" i="5" s="1"/>
  <c r="G136" i="5"/>
  <c r="C136" i="5" s="1"/>
  <c r="G142" i="5"/>
  <c r="C142" i="5" s="1"/>
  <c r="G120" i="5"/>
  <c r="C120" i="5" s="1"/>
  <c r="G126" i="5"/>
  <c r="C126" i="5" s="1"/>
  <c r="G113" i="5"/>
  <c r="C113" i="5" s="1"/>
  <c r="G48" i="5"/>
  <c r="C48" i="5" s="1"/>
  <c r="G104" i="5"/>
  <c r="C104" i="5" s="1"/>
  <c r="E135" i="3"/>
  <c r="H135" i="3"/>
  <c r="G135" i="3"/>
  <c r="F135" i="3"/>
  <c r="O7" i="5" l="1"/>
  <c r="O6" i="5"/>
  <c r="L24" i="5"/>
  <c r="K26" i="5"/>
  <c r="J26" i="5"/>
  <c r="J2" i="5"/>
  <c r="K29" i="5"/>
  <c r="J3" i="5"/>
  <c r="K28" i="5"/>
  <c r="J28" i="5"/>
  <c r="I135" i="3"/>
  <c r="C135" i="3" s="1"/>
  <c r="D49" i="3" a="1"/>
  <c r="J24" i="5" l="1" a="1"/>
  <c r="K24" i="5" s="1"/>
  <c r="K3" i="5"/>
  <c r="K2" i="5"/>
  <c r="D49" i="3"/>
  <c r="H49" i="3" a="1"/>
  <c r="F49" i="3" a="1"/>
  <c r="E49" i="3" a="1"/>
  <c r="G49" i="3" a="1"/>
  <c r="K25" i="5" l="1"/>
  <c r="J25" i="5"/>
  <c r="J24" i="5"/>
  <c r="E49" i="3"/>
  <c r="G49" i="3"/>
  <c r="H49" i="3"/>
  <c r="F49" i="3"/>
  <c r="I49" i="3" l="1"/>
  <c r="C49" i="3" s="1"/>
  <c r="D123" i="3" a="1"/>
  <c r="D123" i="3" l="1"/>
  <c r="H123" i="3" a="1"/>
  <c r="F123" i="3" a="1"/>
  <c r="G123" i="3" a="1"/>
  <c r="E123" i="3" a="1"/>
  <c r="E123" i="3" l="1"/>
  <c r="F123" i="3"/>
  <c r="G123" i="3"/>
  <c r="H123" i="3"/>
  <c r="I123" i="3" l="1"/>
  <c r="C123" i="3" s="1"/>
  <c r="D137" i="3" a="1"/>
  <c r="D137" i="3" l="1"/>
  <c r="G137" i="3" a="1"/>
  <c r="H137" i="3" a="1"/>
  <c r="E137" i="3" a="1"/>
  <c r="F137" i="3" a="1"/>
  <c r="E137" i="3" l="1"/>
  <c r="H137" i="3"/>
  <c r="G137" i="3"/>
  <c r="F137" i="3"/>
  <c r="I137" i="3" l="1"/>
  <c r="C137" i="3" s="1"/>
  <c r="D91" i="3" a="1"/>
  <c r="D91" i="3" l="1"/>
  <c r="G91" i="3" a="1"/>
  <c r="E91" i="3" a="1"/>
  <c r="F91" i="3" a="1"/>
  <c r="H91" i="3" a="1"/>
  <c r="E91" i="3" l="1"/>
  <c r="H91" i="3"/>
  <c r="G91" i="3"/>
  <c r="F91" i="3"/>
  <c r="I91" i="3" l="1"/>
  <c r="C91" i="3" s="1"/>
  <c r="D3" i="3" a="1"/>
  <c r="D3" i="3" l="1"/>
  <c r="F3" i="3" a="1"/>
  <c r="G3" i="3" a="1"/>
  <c r="E3" i="3" a="1"/>
  <c r="H3" i="3" a="1"/>
  <c r="E3" i="3" l="1"/>
  <c r="H3" i="3"/>
  <c r="G3" i="3"/>
  <c r="F3" i="3"/>
  <c r="I3" i="3" l="1"/>
  <c r="C3" i="3" s="1"/>
  <c r="D19" i="3" a="1"/>
  <c r="D19" i="3" l="1"/>
  <c r="F19" i="3" a="1"/>
  <c r="H19" i="3" a="1"/>
  <c r="E19" i="3" a="1"/>
  <c r="G19" i="3" a="1"/>
  <c r="E19" i="3" l="1"/>
  <c r="G19" i="3"/>
  <c r="H19" i="3"/>
  <c r="F19" i="3"/>
  <c r="I19" i="3" l="1"/>
  <c r="C19" i="3" s="1"/>
  <c r="D14" i="3" a="1"/>
  <c r="D14" i="3" l="1"/>
  <c r="G14" i="3" a="1"/>
  <c r="H14" i="3" a="1"/>
  <c r="E14" i="3" a="1"/>
  <c r="F14" i="3" a="1"/>
  <c r="E14" i="3" l="1"/>
  <c r="F14" i="3"/>
  <c r="H14" i="3"/>
  <c r="G14" i="3"/>
  <c r="I14" i="3" l="1"/>
  <c r="C14" i="3" s="1"/>
  <c r="D48" i="3" a="1"/>
  <c r="D48" i="3" l="1"/>
  <c r="E48" i="3" a="1"/>
  <c r="G48" i="3" a="1"/>
  <c r="F48" i="3" a="1"/>
  <c r="H48" i="3" a="1"/>
  <c r="E48" i="3" l="1"/>
  <c r="F48" i="3"/>
  <c r="H48" i="3"/>
  <c r="G48" i="3"/>
  <c r="I48" i="3" l="1"/>
  <c r="C48" i="3" s="1"/>
  <c r="D86" i="3" a="1"/>
  <c r="D86" i="3" l="1"/>
  <c r="G86" i="3" a="1"/>
  <c r="E86" i="3" a="1"/>
  <c r="H86" i="3" a="1"/>
  <c r="F86" i="3" a="1"/>
  <c r="E86" i="3" l="1"/>
  <c r="F86" i="3"/>
  <c r="G86" i="3"/>
  <c r="H86" i="3"/>
  <c r="I86" i="3" l="1"/>
  <c r="C86" i="3" s="1"/>
  <c r="D32" i="3" a="1"/>
  <c r="D32" i="3" l="1"/>
  <c r="G32" i="3" a="1"/>
  <c r="H32" i="3" a="1"/>
  <c r="E32" i="3" a="1"/>
  <c r="F32" i="3" a="1"/>
  <c r="E32" i="3" l="1"/>
  <c r="F32" i="3"/>
  <c r="H32" i="3"/>
  <c r="G32" i="3"/>
  <c r="I32" i="3" l="1"/>
  <c r="C32" i="3" s="1"/>
  <c r="D25" i="3" a="1"/>
  <c r="D25" i="3" l="1"/>
  <c r="F25" i="3" a="1"/>
  <c r="E25" i="3" a="1"/>
  <c r="H25" i="3" a="1"/>
  <c r="G25" i="3" a="1"/>
  <c r="E25" i="3" l="1"/>
  <c r="H25" i="3"/>
  <c r="G25" i="3"/>
  <c r="F25" i="3"/>
  <c r="I25" i="3" l="1"/>
  <c r="C25" i="3" s="1"/>
  <c r="D59" i="3" a="1"/>
  <c r="D59" i="3" l="1"/>
  <c r="G59" i="3" a="1"/>
  <c r="E59" i="3" a="1"/>
  <c r="F59" i="3" a="1"/>
  <c r="H59" i="3" a="1"/>
  <c r="E59" i="3" l="1"/>
  <c r="H59" i="3"/>
  <c r="F59" i="3"/>
  <c r="G59" i="3"/>
  <c r="I59" i="3" l="1"/>
  <c r="C59" i="3" s="1"/>
  <c r="D65" i="3" a="1"/>
  <c r="D65" i="3" l="1"/>
  <c r="F65" i="3" a="1"/>
  <c r="E65" i="3" a="1"/>
  <c r="G65" i="3" a="1"/>
  <c r="H65" i="3" a="1"/>
  <c r="E65" i="3" l="1"/>
  <c r="F65" i="3"/>
  <c r="G65" i="3"/>
  <c r="H65" i="3"/>
  <c r="I65" i="3" l="1"/>
  <c r="C65" i="3" s="1"/>
  <c r="D107" i="3" a="1"/>
  <c r="D107" i="3" l="1"/>
  <c r="E107" i="3" a="1"/>
  <c r="H107" i="3" a="1"/>
  <c r="F107" i="3" a="1"/>
  <c r="G107" i="3" a="1"/>
  <c r="E107" i="3" l="1"/>
  <c r="G107" i="3"/>
  <c r="H107" i="3"/>
  <c r="F107" i="3"/>
  <c r="I107" i="3" l="1"/>
  <c r="C107" i="3" s="1"/>
  <c r="D145" i="3" a="1"/>
  <c r="D145" i="3" l="1"/>
  <c r="F145" i="3" a="1"/>
  <c r="E145" i="3" a="1"/>
  <c r="G145" i="3" a="1"/>
  <c r="H145" i="3" a="1"/>
  <c r="E145" i="3" l="1"/>
  <c r="H145" i="3"/>
  <c r="G145" i="3"/>
  <c r="F145" i="3"/>
  <c r="I145" i="3" l="1"/>
  <c r="C145" i="3" s="1"/>
  <c r="D41" i="3" a="1"/>
  <c r="D41" i="3" l="1"/>
  <c r="H41" i="3" a="1"/>
  <c r="G41" i="3" a="1"/>
  <c r="F41" i="3" a="1"/>
  <c r="E41" i="3" a="1"/>
  <c r="E41" i="3" l="1"/>
  <c r="F41" i="3"/>
  <c r="G41" i="3"/>
  <c r="H41" i="3"/>
  <c r="I41" i="3" l="1"/>
  <c r="C41" i="3" s="1"/>
  <c r="D72" i="3" a="1"/>
  <c r="D72" i="3" l="1"/>
  <c r="G72" i="3" a="1"/>
  <c r="H72" i="3" a="1"/>
  <c r="F72" i="3" a="1"/>
  <c r="E72" i="3" a="1"/>
  <c r="E72" i="3" l="1"/>
  <c r="F72" i="3"/>
  <c r="H72" i="3"/>
  <c r="G72" i="3"/>
  <c r="I72" i="3" l="1"/>
  <c r="C72" i="3" s="1"/>
  <c r="D8" i="3" a="1"/>
  <c r="D8" i="3" l="1"/>
  <c r="G8" i="3" a="1"/>
  <c r="E8" i="3" a="1"/>
  <c r="F8" i="3" a="1"/>
  <c r="H8" i="3" a="1"/>
  <c r="E8" i="3" l="1"/>
  <c r="H8" i="3"/>
  <c r="F8" i="3"/>
  <c r="G8" i="3"/>
  <c r="I8" i="3" l="1"/>
  <c r="C8" i="3" s="1"/>
  <c r="D42" i="3" a="1"/>
  <c r="D42" i="3" l="1"/>
  <c r="G42" i="3" a="1"/>
  <c r="E42" i="3" a="1"/>
  <c r="H42" i="3" a="1"/>
  <c r="F42" i="3" a="1"/>
  <c r="E42" i="3" l="1"/>
  <c r="F42" i="3"/>
  <c r="H42" i="3"/>
  <c r="G42" i="3"/>
  <c r="I42" i="3" l="1"/>
  <c r="C42" i="3" s="1"/>
  <c r="D57" i="3" a="1"/>
  <c r="D57" i="3" l="1"/>
  <c r="F57" i="3" a="1"/>
  <c r="H57" i="3" a="1"/>
  <c r="E57" i="3" a="1"/>
  <c r="G57" i="3" a="1"/>
  <c r="E57" i="3" l="1"/>
  <c r="G57" i="3"/>
  <c r="H57" i="3"/>
  <c r="F57" i="3"/>
  <c r="I57" i="3" l="1"/>
  <c r="C57" i="3" s="1"/>
  <c r="D62" i="3" a="1"/>
  <c r="D62" i="3" l="1"/>
  <c r="G62" i="3" a="1"/>
  <c r="H62" i="3" a="1"/>
  <c r="F62" i="3" a="1"/>
  <c r="E62" i="3" a="1"/>
  <c r="E62" i="3" l="1"/>
  <c r="G62" i="3"/>
  <c r="F62" i="3"/>
  <c r="H62" i="3"/>
  <c r="I62" i="3" l="1"/>
  <c r="C62" i="3" s="1"/>
  <c r="D53" i="3" a="1"/>
  <c r="D53" i="3" l="1"/>
  <c r="F53" i="3" a="1"/>
  <c r="H53" i="3" a="1"/>
  <c r="E53" i="3" a="1"/>
  <c r="G53" i="3" a="1"/>
  <c r="E53" i="3" l="1"/>
  <c r="G53" i="3"/>
  <c r="H53" i="3"/>
  <c r="F53" i="3"/>
  <c r="I53" i="3" l="1"/>
  <c r="C53" i="3" s="1"/>
  <c r="D77" i="3" a="1"/>
  <c r="D77" i="3" l="1"/>
  <c r="H77" i="3" a="1"/>
  <c r="G77" i="3" a="1"/>
  <c r="E77" i="3" a="1"/>
  <c r="F77" i="3" a="1"/>
  <c r="E77" i="3" l="1"/>
  <c r="F77" i="3"/>
  <c r="G77" i="3"/>
  <c r="H77" i="3"/>
  <c r="I77" i="3" l="1"/>
  <c r="C77" i="3" s="1"/>
  <c r="D52" i="3" a="1"/>
  <c r="D52" i="3" l="1"/>
  <c r="F52" i="3" a="1"/>
  <c r="H52" i="3" a="1"/>
  <c r="G52" i="3" a="1"/>
  <c r="E52" i="3" a="1"/>
  <c r="E52" i="3" l="1"/>
  <c r="G52" i="3"/>
  <c r="H52" i="3"/>
  <c r="F52" i="3"/>
  <c r="I52" i="3" l="1"/>
  <c r="C52" i="3" s="1"/>
  <c r="D75" i="3" a="1"/>
  <c r="D75" i="3" l="1"/>
  <c r="G75" i="3" a="1"/>
  <c r="H75" i="3" a="1"/>
  <c r="E75" i="3" a="1"/>
  <c r="F75" i="3" a="1"/>
  <c r="E75" i="3" l="1"/>
  <c r="F75" i="3"/>
  <c r="H75" i="3"/>
  <c r="G75" i="3"/>
  <c r="I75" i="3" l="1"/>
  <c r="C75" i="3" s="1"/>
  <c r="D151" i="3" a="1"/>
  <c r="D151" i="3" l="1"/>
  <c r="H151" i="3" a="1"/>
  <c r="G151" i="3" a="1"/>
  <c r="F151" i="3" a="1"/>
  <c r="E151" i="3" a="1"/>
  <c r="E151" i="3" l="1"/>
  <c r="F151" i="3"/>
  <c r="G151" i="3"/>
  <c r="H151" i="3"/>
  <c r="I151" i="3" l="1"/>
  <c r="C151" i="3" s="1"/>
  <c r="D46" i="3" a="1"/>
  <c r="D46" i="3" l="1"/>
  <c r="H46" i="3" a="1"/>
  <c r="G46" i="3" a="1"/>
  <c r="E46" i="3" a="1"/>
  <c r="F46" i="3" a="1"/>
  <c r="E46" i="3" l="1"/>
  <c r="F46" i="3"/>
  <c r="H46" i="3"/>
  <c r="G46" i="3"/>
  <c r="I46" i="3" l="1"/>
  <c r="C46" i="3" s="1"/>
  <c r="D122" i="3" a="1"/>
  <c r="D122" i="3" l="1"/>
  <c r="H122" i="3" a="1"/>
  <c r="G122" i="3" a="1"/>
  <c r="E122" i="3" a="1"/>
  <c r="F122" i="3" a="1"/>
  <c r="E122" i="3" l="1"/>
  <c r="F122" i="3"/>
  <c r="G122" i="3"/>
  <c r="H122" i="3"/>
  <c r="I122" i="3" l="1"/>
  <c r="C122" i="3" s="1"/>
  <c r="D150" i="3" a="1"/>
  <c r="D150" i="3" l="1"/>
  <c r="F150" i="3" a="1"/>
  <c r="E150" i="3" a="1"/>
  <c r="H150" i="3" a="1"/>
  <c r="G150" i="3" a="1"/>
  <c r="E150" i="3" l="1"/>
  <c r="G150" i="3"/>
  <c r="H150" i="3"/>
  <c r="F150" i="3"/>
  <c r="I150" i="3" l="1"/>
  <c r="C150" i="3" s="1"/>
  <c r="D85" i="3" a="1"/>
  <c r="D85" i="3" l="1"/>
  <c r="H85" i="3" a="1"/>
  <c r="F85" i="3" a="1"/>
  <c r="E85" i="3" a="1"/>
  <c r="G85" i="3" a="1"/>
  <c r="E85" i="3" l="1"/>
  <c r="G85" i="3"/>
  <c r="F85" i="3"/>
  <c r="H85" i="3"/>
  <c r="I85" i="3" l="1"/>
  <c r="C85" i="3" s="1"/>
  <c r="D2" i="3" a="1"/>
  <c r="D2" i="3" l="1"/>
  <c r="H2" i="3" a="1"/>
  <c r="G2" i="3" a="1"/>
  <c r="F2" i="3" a="1"/>
  <c r="E2" i="3" a="1"/>
  <c r="E2" i="3" l="1"/>
  <c r="F2" i="3"/>
  <c r="G2" i="3"/>
  <c r="H2" i="3"/>
  <c r="I2" i="3" l="1"/>
  <c r="C2" i="3" s="1"/>
  <c r="D69" i="3" a="1"/>
  <c r="D69" i="3" l="1"/>
  <c r="G69" i="3" a="1"/>
  <c r="H69" i="3" a="1"/>
  <c r="F69" i="3" a="1"/>
  <c r="E69" i="3" a="1"/>
  <c r="E69" i="3" l="1"/>
  <c r="F69" i="3"/>
  <c r="H69" i="3"/>
  <c r="G69" i="3"/>
  <c r="I69" i="3" l="1"/>
  <c r="C69" i="3" s="1"/>
  <c r="D26" i="3" a="1"/>
  <c r="D26" i="3" l="1"/>
  <c r="E26" i="3" a="1"/>
  <c r="H26" i="3" a="1"/>
  <c r="F26" i="3" a="1"/>
  <c r="G26" i="3" a="1"/>
  <c r="E26" i="3" l="1"/>
  <c r="H26" i="3"/>
  <c r="F26" i="3"/>
  <c r="G26" i="3"/>
  <c r="I26" i="3" l="1"/>
  <c r="C26" i="3" s="1"/>
  <c r="D117" i="3" a="1"/>
  <c r="D117" i="3" l="1"/>
  <c r="H117" i="3" a="1"/>
  <c r="F117" i="3" a="1"/>
  <c r="E117" i="3" a="1"/>
  <c r="G117" i="3" a="1"/>
  <c r="E117" i="3" l="1"/>
  <c r="G117" i="3"/>
  <c r="F117" i="3"/>
  <c r="H117" i="3"/>
  <c r="I117" i="3" l="1"/>
  <c r="C117" i="3" s="1"/>
  <c r="D90" i="3" a="1"/>
  <c r="D90" i="3" l="1"/>
  <c r="H90" i="3" a="1"/>
  <c r="F90" i="3" a="1"/>
  <c r="E90" i="3" a="1"/>
  <c r="G90" i="3" a="1"/>
  <c r="E90" i="3" l="1"/>
  <c r="G90" i="3"/>
  <c r="F90" i="3"/>
  <c r="H90" i="3"/>
  <c r="I90" i="3" l="1"/>
  <c r="C90" i="3" s="1"/>
  <c r="D22" i="3" a="1"/>
  <c r="D22" i="3" l="1"/>
  <c r="H22" i="3" a="1"/>
  <c r="G22" i="3" a="1"/>
  <c r="F22" i="3" a="1"/>
  <c r="E22" i="3" a="1"/>
  <c r="E22" i="3" l="1"/>
  <c r="F22" i="3"/>
  <c r="G22" i="3"/>
  <c r="H22" i="3"/>
  <c r="I22" i="3" l="1"/>
  <c r="C22" i="3" s="1"/>
  <c r="D136" i="3" a="1"/>
  <c r="D136" i="3" l="1"/>
  <c r="H136" i="3" a="1"/>
  <c r="G136" i="3" a="1"/>
  <c r="E136" i="3" a="1"/>
  <c r="F136" i="3" a="1"/>
  <c r="E136" i="3" l="1"/>
  <c r="F136" i="3"/>
  <c r="G136" i="3"/>
  <c r="H136" i="3"/>
  <c r="I136" i="3" l="1"/>
  <c r="C136" i="3" s="1"/>
  <c r="D130" i="3" a="1"/>
  <c r="D130" i="3" l="1"/>
  <c r="G130" i="3" a="1"/>
  <c r="H130" i="3" a="1"/>
  <c r="E130" i="3" a="1"/>
  <c r="F130" i="3" a="1"/>
  <c r="E130" i="3" l="1"/>
  <c r="F130" i="3"/>
  <c r="H130" i="3"/>
  <c r="G130" i="3"/>
  <c r="I130" i="3" l="1"/>
  <c r="C130" i="3" s="1"/>
  <c r="D133" i="3" a="1"/>
  <c r="D133" i="3" l="1"/>
  <c r="E133" i="3" a="1"/>
  <c r="G133" i="3" a="1"/>
  <c r="H133" i="3" a="1"/>
  <c r="F133" i="3" a="1"/>
  <c r="E133" i="3" l="1"/>
  <c r="F133" i="3"/>
  <c r="H133" i="3"/>
  <c r="G133" i="3"/>
  <c r="I133" i="3" l="1"/>
  <c r="C133" i="3" s="1"/>
  <c r="D119" i="3" a="1"/>
  <c r="D119" i="3" l="1"/>
  <c r="E119" i="3" a="1"/>
  <c r="H119" i="3" a="1"/>
  <c r="F119" i="3" a="1"/>
  <c r="G119" i="3" a="1"/>
  <c r="E119" i="3" l="1"/>
  <c r="G119" i="3"/>
  <c r="F119" i="3"/>
  <c r="H119" i="3"/>
  <c r="I119" i="3" l="1"/>
  <c r="C119" i="3" s="1"/>
  <c r="D87" i="3" a="1"/>
  <c r="D87" i="3" l="1"/>
  <c r="H87" i="3" a="1"/>
  <c r="E87" i="3" a="1"/>
  <c r="F87" i="3" a="1"/>
  <c r="G87" i="3" a="1"/>
  <c r="E87" i="3" l="1"/>
  <c r="G87" i="3"/>
  <c r="F87" i="3"/>
  <c r="H87" i="3"/>
  <c r="I87" i="3" l="1"/>
  <c r="C87" i="3" s="1"/>
  <c r="D108" i="3" a="1"/>
  <c r="D108" i="3" l="1"/>
  <c r="H108" i="3" a="1"/>
  <c r="G108" i="3" a="1"/>
  <c r="E108" i="3" a="1"/>
  <c r="F108" i="3" a="1"/>
  <c r="E108" i="3" l="1"/>
  <c r="F108" i="3"/>
  <c r="G108" i="3"/>
  <c r="H108" i="3"/>
  <c r="I108" i="3" l="1"/>
  <c r="C108" i="3" s="1"/>
  <c r="D106" i="3" a="1"/>
  <c r="D106" i="3" l="1"/>
  <c r="G106" i="3" a="1"/>
  <c r="H106" i="3" a="1"/>
  <c r="E106" i="3" a="1"/>
  <c r="F106" i="3" a="1"/>
  <c r="E106" i="3" l="1"/>
  <c r="F106" i="3"/>
  <c r="H106" i="3"/>
  <c r="G106" i="3"/>
  <c r="I106" i="3" l="1"/>
  <c r="C106" i="3" s="1"/>
  <c r="D88" i="3" a="1"/>
  <c r="D88" i="3" l="1"/>
  <c r="H88" i="3" a="1"/>
  <c r="E88" i="3" a="1"/>
  <c r="F88" i="3" a="1"/>
  <c r="G88" i="3" a="1"/>
  <c r="E88" i="3" l="1"/>
  <c r="G88" i="3"/>
  <c r="F88" i="3"/>
  <c r="H88" i="3"/>
  <c r="I88" i="3" l="1"/>
  <c r="C88" i="3" s="1"/>
  <c r="D120" i="3" a="1"/>
  <c r="D120" i="3" l="1"/>
  <c r="H120" i="3" a="1"/>
  <c r="F120" i="3" a="1"/>
  <c r="E120" i="3" a="1"/>
  <c r="G120" i="3" a="1"/>
  <c r="E120" i="3" l="1"/>
  <c r="G120" i="3"/>
  <c r="F120" i="3"/>
  <c r="H120" i="3"/>
  <c r="I120" i="3" l="1"/>
  <c r="C120" i="3" s="1"/>
  <c r="D33" i="3" a="1"/>
  <c r="D33" i="3" l="1"/>
  <c r="G33" i="3" a="1"/>
  <c r="F33" i="3" a="1"/>
  <c r="H33" i="3" a="1"/>
  <c r="E33" i="3" a="1"/>
  <c r="E33" i="3" l="1"/>
  <c r="H33" i="3"/>
  <c r="F33" i="3"/>
  <c r="G33" i="3"/>
  <c r="I33" i="3" l="1"/>
  <c r="C33" i="3" s="1"/>
  <c r="D78" i="3" a="1"/>
  <c r="D78" i="3" l="1"/>
  <c r="G78" i="3" a="1"/>
  <c r="H78" i="3" a="1"/>
  <c r="F78" i="3" a="1"/>
  <c r="E78" i="3" a="1"/>
  <c r="E78" i="3" l="1"/>
  <c r="H78" i="3"/>
  <c r="F78" i="3"/>
  <c r="G78" i="3"/>
  <c r="I78" i="3" l="1"/>
  <c r="C78" i="3" s="1"/>
  <c r="D5" i="3" a="1"/>
  <c r="D5" i="3" l="1"/>
  <c r="G5" i="3" a="1"/>
  <c r="H5" i="3" a="1"/>
  <c r="F5" i="3" a="1"/>
  <c r="E5" i="3" a="1"/>
  <c r="E5" i="3" l="1"/>
  <c r="F5" i="3"/>
  <c r="H5" i="3"/>
  <c r="G5" i="3"/>
  <c r="I5" i="3" l="1"/>
  <c r="C5" i="3" s="1"/>
  <c r="D143" i="3" a="1"/>
  <c r="D143" i="3" l="1"/>
  <c r="G143" i="3" a="1"/>
  <c r="E143" i="3" a="1"/>
  <c r="H143" i="3" a="1"/>
  <c r="F143" i="3" a="1"/>
  <c r="E143" i="3" l="1"/>
  <c r="H143" i="3"/>
  <c r="G143" i="3"/>
  <c r="F143" i="3"/>
  <c r="I143" i="3" l="1"/>
  <c r="C143" i="3" s="1"/>
  <c r="D66" i="3" a="1"/>
  <c r="D66" i="3" l="1"/>
  <c r="G66" i="3" a="1"/>
  <c r="F66" i="3" a="1"/>
  <c r="H66" i="3" a="1"/>
  <c r="E66" i="3" a="1"/>
  <c r="E66" i="3" l="1"/>
  <c r="H66" i="3"/>
  <c r="F66" i="3"/>
  <c r="G66" i="3"/>
  <c r="I66" i="3" l="1"/>
  <c r="C66" i="3" s="1"/>
  <c r="D30" i="3" a="1"/>
  <c r="D30" i="3" l="1"/>
  <c r="H30" i="3" a="1"/>
  <c r="G30" i="3" a="1"/>
  <c r="F30" i="3" a="1"/>
  <c r="E30" i="3" a="1"/>
  <c r="E30" i="3" l="1"/>
  <c r="F30" i="3"/>
  <c r="G30" i="3"/>
  <c r="H30" i="3"/>
  <c r="I30" i="3" l="1"/>
  <c r="C30" i="3" s="1"/>
  <c r="D144" i="3" a="1"/>
  <c r="D144" i="3" l="1"/>
  <c r="H144" i="3" a="1"/>
  <c r="G144" i="3" a="1"/>
  <c r="F144" i="3" a="1"/>
  <c r="E144" i="3" a="1"/>
  <c r="E144" i="3" l="1"/>
  <c r="H144" i="3"/>
  <c r="F144" i="3"/>
  <c r="G144" i="3"/>
  <c r="I144" i="3" l="1"/>
  <c r="C144" i="3" s="1"/>
  <c r="D96" i="3" a="1"/>
  <c r="D96" i="3" l="1"/>
  <c r="E96" i="3" a="1"/>
  <c r="F96" i="3" a="1"/>
  <c r="G96" i="3" a="1"/>
  <c r="H96" i="3" a="1"/>
  <c r="E96" i="3" l="1"/>
  <c r="H96" i="3"/>
  <c r="G96" i="3"/>
  <c r="F96" i="3"/>
  <c r="I96" i="3" l="1"/>
  <c r="C96" i="3" s="1"/>
  <c r="D104" i="3" a="1"/>
  <c r="D104" i="3" l="1"/>
  <c r="G104" i="3" a="1"/>
  <c r="E104" i="3" a="1"/>
  <c r="H104" i="3" a="1"/>
  <c r="F104" i="3" a="1"/>
  <c r="E104" i="3" l="1"/>
  <c r="F104" i="3"/>
  <c r="H104" i="3"/>
  <c r="G104" i="3"/>
  <c r="I104" i="3" l="1"/>
  <c r="C104" i="3" s="1"/>
  <c r="D149" i="3" a="1"/>
  <c r="D149" i="3" l="1"/>
  <c r="H149" i="3" a="1"/>
  <c r="E149" i="3" a="1"/>
  <c r="F149" i="3" a="1"/>
  <c r="G149" i="3" a="1"/>
  <c r="E149" i="3" l="1"/>
  <c r="G149" i="3"/>
  <c r="F149" i="3"/>
  <c r="H149" i="3"/>
  <c r="I149" i="3" l="1"/>
  <c r="C149" i="3" s="1"/>
  <c r="D126" i="3" a="1"/>
  <c r="D126" i="3" l="1"/>
  <c r="F126" i="3" a="1"/>
  <c r="E126" i="3" a="1"/>
  <c r="G126" i="3" a="1"/>
  <c r="H126" i="3" a="1"/>
  <c r="E126" i="3" l="1"/>
  <c r="H126" i="3"/>
  <c r="G126" i="3"/>
  <c r="F126" i="3"/>
  <c r="I126" i="3" l="1"/>
  <c r="C126" i="3" s="1"/>
  <c r="D71" i="3" a="1"/>
  <c r="D71" i="3" l="1"/>
  <c r="H71" i="3" a="1"/>
  <c r="E71" i="3" a="1"/>
  <c r="F71" i="3" a="1"/>
  <c r="G71" i="3" a="1"/>
  <c r="E71" i="3" l="1"/>
  <c r="G71" i="3"/>
  <c r="F71" i="3"/>
  <c r="H71" i="3"/>
  <c r="I71" i="3" l="1"/>
  <c r="C71" i="3" s="1"/>
  <c r="D118" i="3" a="1"/>
  <c r="D118" i="3" l="1"/>
  <c r="H118" i="3" a="1"/>
  <c r="E118" i="3" a="1"/>
  <c r="G118" i="3" a="1"/>
  <c r="F118" i="3" a="1"/>
  <c r="E118" i="3" l="1"/>
  <c r="F118" i="3"/>
  <c r="G118" i="3"/>
  <c r="H118" i="3"/>
  <c r="I118" i="3" l="1"/>
  <c r="C118" i="3" s="1"/>
  <c r="D70" i="3" a="1"/>
  <c r="D70" i="3" l="1"/>
  <c r="H70" i="3" a="1"/>
  <c r="G70" i="3" a="1"/>
  <c r="E70" i="3" a="1"/>
  <c r="F70" i="3" a="1"/>
  <c r="E70" i="3" l="1"/>
  <c r="F70" i="3"/>
  <c r="G70" i="3"/>
  <c r="H70" i="3"/>
  <c r="I70" i="3" l="1"/>
  <c r="C70" i="3" s="1"/>
  <c r="D140" i="3" a="1"/>
  <c r="D140" i="3" l="1"/>
  <c r="G140" i="3" a="1"/>
  <c r="H140" i="3" a="1"/>
  <c r="E140" i="3" a="1"/>
  <c r="F140" i="3" a="1"/>
  <c r="E140" i="3" l="1"/>
  <c r="F140" i="3"/>
  <c r="H140" i="3"/>
  <c r="G140" i="3"/>
  <c r="I140" i="3" l="1"/>
  <c r="C140" i="3" s="1"/>
  <c r="D131" i="3" a="1"/>
  <c r="D131" i="3" l="1"/>
  <c r="G131" i="3" a="1"/>
  <c r="H131" i="3" a="1"/>
  <c r="E131" i="3" a="1"/>
  <c r="F131" i="3" a="1"/>
  <c r="E131" i="3" l="1"/>
  <c r="F131" i="3"/>
  <c r="H131" i="3"/>
  <c r="G131" i="3"/>
  <c r="I131" i="3" l="1"/>
  <c r="C131" i="3" s="1"/>
  <c r="D34" i="3" a="1"/>
  <c r="D34" i="3" l="1"/>
  <c r="G34" i="3" a="1"/>
  <c r="H34" i="3" a="1"/>
  <c r="F34" i="3" a="1"/>
  <c r="E34" i="3" a="1"/>
  <c r="E34" i="3" l="1"/>
  <c r="H34" i="3"/>
  <c r="F34" i="3"/>
  <c r="G34" i="3"/>
  <c r="I34" i="3" l="1"/>
  <c r="C34" i="3" s="1"/>
  <c r="D39" i="3" a="1"/>
  <c r="D39" i="3" l="1"/>
  <c r="F39" i="3" a="1"/>
  <c r="E39" i="3" a="1"/>
  <c r="G39" i="3" a="1"/>
  <c r="H39" i="3" a="1"/>
  <c r="E39" i="3" l="1"/>
  <c r="H39" i="3"/>
  <c r="G39" i="3"/>
  <c r="F39" i="3"/>
  <c r="I39" i="3" l="1"/>
  <c r="C39" i="3" s="1"/>
  <c r="D134" i="3" a="1"/>
  <c r="D134" i="3" l="1"/>
  <c r="F134" i="3" a="1"/>
  <c r="G134" i="3" a="1"/>
  <c r="H134" i="3" a="1"/>
  <c r="E134" i="3" a="1"/>
  <c r="E134" i="3" l="1"/>
  <c r="H134" i="3"/>
  <c r="G134" i="3"/>
  <c r="F134" i="3"/>
  <c r="I134" i="3" l="1"/>
  <c r="C134" i="3" s="1"/>
  <c r="D10" i="3" a="1"/>
  <c r="D10" i="3" l="1"/>
  <c r="H10" i="3" a="1"/>
  <c r="G10" i="3" a="1"/>
  <c r="E10" i="3" a="1"/>
  <c r="F10" i="3" a="1"/>
  <c r="E10" i="3" l="1"/>
  <c r="F10" i="3"/>
  <c r="G10" i="3"/>
  <c r="H10" i="3"/>
  <c r="I10" i="3" l="1"/>
  <c r="C10" i="3" s="1"/>
  <c r="D6" i="3" a="1"/>
  <c r="D6" i="3" l="1"/>
  <c r="G6" i="3" a="1"/>
  <c r="H6" i="3" a="1"/>
  <c r="F6" i="3" a="1"/>
  <c r="E6" i="3" a="1"/>
  <c r="E6" i="3" l="1"/>
  <c r="G6" i="3"/>
  <c r="F6" i="3"/>
  <c r="H6" i="3"/>
  <c r="I6" i="3" l="1"/>
  <c r="C6" i="3" s="1"/>
  <c r="D12" i="3" a="1"/>
  <c r="D12" i="3" l="1"/>
  <c r="H12" i="3" a="1"/>
  <c r="F12" i="3" a="1"/>
  <c r="E12" i="3" a="1"/>
  <c r="G12" i="3" a="1"/>
  <c r="E12" i="3" l="1"/>
  <c r="G12" i="3"/>
  <c r="F12" i="3"/>
  <c r="H12" i="3"/>
  <c r="I12" i="3" l="1"/>
  <c r="C12" i="3" s="1"/>
  <c r="D40" i="3" a="1"/>
  <c r="D40" i="3" l="1"/>
  <c r="F40" i="3" a="1"/>
  <c r="E40" i="3" a="1"/>
  <c r="H40" i="3" a="1"/>
  <c r="G40" i="3" a="1"/>
  <c r="E40" i="3" l="1"/>
  <c r="F40" i="3"/>
  <c r="G40" i="3"/>
  <c r="H40" i="3"/>
  <c r="I40" i="3" l="1"/>
  <c r="C40" i="3" s="1"/>
  <c r="D37" i="3" a="1"/>
  <c r="D37" i="3" l="1"/>
  <c r="G37" i="3" a="1"/>
  <c r="E37" i="3" a="1"/>
  <c r="H37" i="3" a="1"/>
  <c r="F37" i="3" a="1"/>
  <c r="E37" i="3" l="1"/>
  <c r="F37" i="3"/>
  <c r="H37" i="3"/>
  <c r="G37" i="3"/>
  <c r="I37" i="3" l="1"/>
  <c r="C37" i="3" s="1"/>
  <c r="D89" i="3" a="1"/>
  <c r="D89" i="3" l="1"/>
  <c r="F89" i="3" a="1"/>
  <c r="E89" i="3" a="1"/>
  <c r="H89" i="3" a="1"/>
  <c r="G89" i="3" a="1"/>
  <c r="E89" i="3" l="1"/>
  <c r="G89" i="3"/>
  <c r="H89" i="3"/>
  <c r="F89" i="3"/>
  <c r="I89" i="3" l="1"/>
  <c r="C89" i="3" s="1"/>
  <c r="D23" i="3" a="1"/>
  <c r="D23" i="3" l="1"/>
  <c r="H23" i="3" a="1"/>
  <c r="E23" i="3" a="1"/>
  <c r="F23" i="3" a="1"/>
  <c r="G23" i="3" a="1"/>
  <c r="E23" i="3" l="1"/>
  <c r="G23" i="3"/>
  <c r="F23" i="3"/>
  <c r="H23" i="3"/>
  <c r="I23" i="3" l="1"/>
  <c r="C23" i="3" s="1"/>
  <c r="D27" i="3" a="1"/>
  <c r="D27" i="3" l="1"/>
  <c r="H27" i="3" a="1"/>
  <c r="G27" i="3" a="1"/>
  <c r="F27" i="3" a="1"/>
  <c r="E27" i="3" a="1"/>
  <c r="E27" i="3" l="1"/>
  <c r="G27" i="3"/>
  <c r="F27" i="3"/>
  <c r="H27" i="3"/>
  <c r="I27" i="3" l="1"/>
  <c r="C27" i="3" s="1"/>
  <c r="D103" i="3" a="1"/>
  <c r="D103" i="3" l="1"/>
  <c r="F103" i="3" a="1"/>
  <c r="H103" i="3" a="1"/>
  <c r="E103" i="3" a="1"/>
  <c r="G103" i="3" a="1"/>
  <c r="E103" i="3" l="1"/>
  <c r="G103" i="3"/>
  <c r="H103" i="3"/>
  <c r="F103" i="3"/>
  <c r="I103" i="3" l="1"/>
  <c r="C103" i="3" s="1"/>
  <c r="D115" i="3" a="1"/>
  <c r="D115" i="3" l="1"/>
  <c r="E115" i="3" a="1"/>
  <c r="G115" i="3" a="1"/>
  <c r="H115" i="3" a="1"/>
  <c r="F115" i="3" a="1"/>
  <c r="E115" i="3" l="1"/>
  <c r="H115" i="3"/>
  <c r="F115" i="3"/>
  <c r="G115" i="3"/>
  <c r="I115" i="3" l="1"/>
  <c r="C115" i="3" s="1"/>
  <c r="D147" i="3" a="1"/>
  <c r="D147" i="3" l="1"/>
  <c r="G147" i="3" a="1"/>
  <c r="E147" i="3" a="1"/>
  <c r="F147" i="3" a="1"/>
  <c r="H147" i="3" a="1"/>
  <c r="E147" i="3" l="1"/>
  <c r="H147" i="3"/>
  <c r="G147" i="3"/>
  <c r="F147" i="3"/>
  <c r="I147" i="3" l="1"/>
  <c r="C147" i="3" s="1"/>
  <c r="D17" i="3" a="1"/>
  <c r="D17" i="3" l="1"/>
  <c r="H17" i="3" a="1"/>
  <c r="E17" i="3" a="1"/>
  <c r="G17" i="3" a="1"/>
  <c r="F17" i="3" a="1"/>
  <c r="E17" i="3" l="1"/>
  <c r="F17" i="3"/>
  <c r="G17" i="3"/>
  <c r="H17" i="3"/>
  <c r="I17" i="3" l="1"/>
  <c r="C17" i="3" s="1"/>
  <c r="D83" i="3" a="1"/>
  <c r="D83" i="3" l="1"/>
  <c r="F83" i="3" a="1"/>
  <c r="E83" i="3" a="1"/>
  <c r="H83" i="3" a="1"/>
  <c r="G83" i="3" a="1"/>
  <c r="E83" i="3" l="1"/>
  <c r="G83" i="3"/>
  <c r="H83" i="3"/>
  <c r="F83" i="3"/>
  <c r="I83" i="3" l="1"/>
  <c r="C83" i="3" s="1"/>
  <c r="D102" i="3" a="1"/>
  <c r="D102" i="3" l="1"/>
  <c r="F102" i="3" a="1"/>
  <c r="G102" i="3" a="1"/>
  <c r="H102" i="3" a="1"/>
  <c r="E102" i="3" a="1"/>
  <c r="E102" i="3" l="1"/>
  <c r="H102" i="3"/>
  <c r="G102" i="3"/>
  <c r="F102" i="3"/>
  <c r="I102" i="3" l="1"/>
  <c r="C102" i="3" s="1"/>
  <c r="D20" i="3" a="1"/>
  <c r="D20" i="3" l="1"/>
  <c r="G20" i="3" a="1"/>
  <c r="F20" i="3" a="1"/>
  <c r="H20" i="3" a="1"/>
  <c r="E20" i="3" a="1"/>
  <c r="E20" i="3" l="1"/>
  <c r="G20" i="3"/>
  <c r="H20" i="3"/>
  <c r="F20" i="3"/>
  <c r="I20" i="3" l="1"/>
  <c r="C20" i="3" s="1"/>
  <c r="D28" i="3" a="1"/>
  <c r="D28" i="3" l="1"/>
  <c r="H28" i="3" a="1"/>
  <c r="G28" i="3" a="1"/>
  <c r="F28" i="3" a="1"/>
  <c r="E28" i="3" a="1"/>
  <c r="E28" i="3" l="1"/>
  <c r="H28" i="3"/>
  <c r="F28" i="3"/>
  <c r="G28" i="3"/>
  <c r="I28" i="3" l="1"/>
  <c r="C28" i="3" s="1"/>
  <c r="D121" i="3" a="1"/>
  <c r="D121" i="3" l="1"/>
  <c r="H121" i="3" a="1"/>
  <c r="F121" i="3" a="1"/>
  <c r="E121" i="3" a="1"/>
  <c r="G121" i="3" a="1"/>
  <c r="E121" i="3" l="1"/>
  <c r="H121" i="3"/>
  <c r="G121" i="3"/>
  <c r="F121" i="3"/>
  <c r="I121" i="3" l="1"/>
  <c r="C121" i="3" s="1"/>
  <c r="D127" i="3" a="1"/>
  <c r="D127" i="3" l="1"/>
  <c r="H127" i="3" a="1"/>
  <c r="E127" i="3" a="1"/>
  <c r="F127" i="3" a="1"/>
  <c r="G127" i="3" a="1"/>
  <c r="E127" i="3" l="1"/>
  <c r="G127" i="3"/>
  <c r="F127" i="3"/>
  <c r="H127" i="3"/>
  <c r="I127" i="3" l="1"/>
  <c r="C127" i="3" s="1"/>
  <c r="D125" i="3" a="1"/>
  <c r="D125" i="3" l="1"/>
  <c r="H125" i="3" a="1"/>
  <c r="F125" i="3" a="1"/>
  <c r="E125" i="3" a="1"/>
  <c r="G125" i="3" a="1"/>
  <c r="E125" i="3" l="1"/>
  <c r="G125" i="3"/>
  <c r="F125" i="3"/>
  <c r="H125" i="3"/>
  <c r="I125" i="3" l="1"/>
  <c r="C125" i="3" s="1"/>
  <c r="D146" i="3" a="1"/>
  <c r="D146" i="3" l="1"/>
  <c r="G146" i="3" a="1"/>
  <c r="H146" i="3" a="1"/>
  <c r="E146" i="3" a="1"/>
  <c r="F146" i="3" a="1"/>
  <c r="E146" i="3" l="1"/>
  <c r="F146" i="3"/>
  <c r="H146" i="3"/>
  <c r="G146" i="3"/>
  <c r="I146" i="3" l="1"/>
  <c r="C146" i="3" s="1"/>
  <c r="D18" i="3" a="1"/>
  <c r="D18" i="3" l="1"/>
  <c r="F18" i="3" a="1"/>
  <c r="G18" i="3" a="1"/>
  <c r="E18" i="3" a="1"/>
  <c r="H18" i="3" a="1"/>
  <c r="E18" i="3" l="1"/>
  <c r="H18" i="3"/>
  <c r="G18" i="3"/>
  <c r="F18" i="3"/>
  <c r="I18" i="3" l="1"/>
  <c r="C18" i="3" s="1"/>
  <c r="D79" i="3" a="1"/>
  <c r="D79" i="3" l="1"/>
  <c r="E79" i="3" a="1"/>
  <c r="F79" i="3" a="1"/>
  <c r="H79" i="3" a="1"/>
  <c r="G79" i="3" a="1"/>
  <c r="E79" i="3" l="1"/>
  <c r="G79" i="3"/>
  <c r="H79" i="3"/>
  <c r="F79" i="3"/>
  <c r="I79" i="3" l="1"/>
  <c r="C79" i="3" s="1"/>
  <c r="D112" i="3" a="1"/>
  <c r="D112" i="3" l="1"/>
  <c r="H112" i="3" a="1"/>
  <c r="E112" i="3" a="1"/>
  <c r="F112" i="3" a="1"/>
  <c r="G112" i="3" a="1"/>
  <c r="E112" i="3" l="1"/>
  <c r="H112" i="3"/>
  <c r="G112" i="3"/>
  <c r="F112" i="3"/>
  <c r="I112" i="3" l="1"/>
  <c r="C112" i="3" s="1"/>
  <c r="D114" i="3" a="1"/>
  <c r="D114" i="3" l="1"/>
  <c r="H114" i="3" a="1"/>
  <c r="E114" i="3" a="1"/>
  <c r="F114" i="3" a="1"/>
  <c r="G114" i="3" a="1"/>
  <c r="E114" i="3" l="1"/>
  <c r="G114" i="3"/>
  <c r="F114" i="3"/>
  <c r="H114" i="3"/>
  <c r="I114" i="3" l="1"/>
  <c r="C114" i="3" s="1"/>
  <c r="D60" i="3" a="1"/>
  <c r="D60" i="3" l="1"/>
  <c r="G60" i="3" a="1"/>
  <c r="H60" i="3" a="1"/>
  <c r="F60" i="3" a="1"/>
  <c r="E60" i="3" a="1"/>
  <c r="E60" i="3" l="1"/>
  <c r="F60" i="3"/>
  <c r="H60" i="3"/>
  <c r="G60" i="3"/>
  <c r="I60" i="3" l="1"/>
  <c r="C60" i="3" s="1"/>
  <c r="D116" i="3" a="1"/>
  <c r="D116" i="3" l="1"/>
  <c r="G116" i="3" a="1"/>
  <c r="E116" i="3" a="1"/>
  <c r="H116" i="3" a="1"/>
  <c r="F116" i="3" a="1"/>
  <c r="E116" i="3" l="1"/>
  <c r="F116" i="3"/>
  <c r="H116" i="3"/>
  <c r="G116" i="3"/>
  <c r="I116" i="3" l="1"/>
  <c r="C116" i="3" s="1"/>
  <c r="D93" i="3" a="1"/>
  <c r="D93" i="3" l="1"/>
  <c r="F93" i="3" a="1"/>
  <c r="G93" i="3" a="1"/>
  <c r="H93" i="3" a="1"/>
  <c r="E93" i="3" a="1"/>
  <c r="E93" i="3" l="1"/>
  <c r="H93" i="3"/>
  <c r="G93" i="3"/>
  <c r="F93" i="3"/>
  <c r="I93" i="3" l="1"/>
  <c r="C93" i="3" s="1"/>
  <c r="D139" i="3" a="1"/>
  <c r="D139" i="3" l="1"/>
  <c r="F139" i="3" a="1"/>
  <c r="H139" i="3" a="1"/>
  <c r="G139" i="3" a="1"/>
  <c r="E139" i="3" a="1"/>
  <c r="E139" i="3" l="1"/>
  <c r="F139" i="3"/>
  <c r="G139" i="3"/>
  <c r="H139" i="3"/>
  <c r="I139" i="3" l="1"/>
  <c r="C139" i="3" s="1"/>
  <c r="D101" i="3" a="1"/>
  <c r="D101" i="3" l="1"/>
  <c r="F101" i="3" a="1"/>
  <c r="E101" i="3" a="1"/>
  <c r="G101" i="3" a="1"/>
  <c r="H101" i="3" a="1"/>
  <c r="E101" i="3" l="1"/>
  <c r="H101" i="3"/>
  <c r="F101" i="3"/>
  <c r="G101" i="3"/>
  <c r="I101" i="3" l="1"/>
  <c r="C101" i="3" s="1"/>
  <c r="D9" i="3" a="1"/>
  <c r="D9" i="3" l="1"/>
  <c r="H9" i="3" a="1"/>
  <c r="F9" i="3" a="1"/>
  <c r="G9" i="3" a="1"/>
  <c r="E9" i="3" a="1"/>
  <c r="E9" i="3" l="1"/>
  <c r="G9" i="3"/>
  <c r="F9" i="3"/>
  <c r="H9" i="3"/>
  <c r="I9" i="3" l="1"/>
  <c r="C9" i="3" s="1"/>
  <c r="D47" i="3" a="1"/>
  <c r="D47" i="3" l="1"/>
  <c r="H47" i="3" a="1"/>
  <c r="E47" i="3" a="1"/>
  <c r="G47" i="3" a="1"/>
  <c r="F47" i="3" a="1"/>
  <c r="E47" i="3" l="1"/>
  <c r="F47" i="3"/>
  <c r="G47" i="3"/>
  <c r="H47" i="3"/>
  <c r="I47" i="3" l="1"/>
  <c r="C47" i="3" s="1"/>
  <c r="D113" i="3" a="1"/>
  <c r="D113" i="3" l="1"/>
  <c r="G113" i="3" a="1"/>
  <c r="H113" i="3" a="1"/>
  <c r="E113" i="3" a="1"/>
  <c r="F113" i="3" a="1"/>
  <c r="E113" i="3" l="1"/>
  <c r="F113" i="3"/>
  <c r="H113" i="3"/>
  <c r="G113" i="3"/>
  <c r="I113" i="3" l="1"/>
  <c r="C113" i="3" s="1"/>
  <c r="D43" i="3" a="1"/>
  <c r="D43" i="3" l="1"/>
  <c r="E43" i="3" a="1"/>
  <c r="H43" i="3" a="1"/>
  <c r="G43" i="3" a="1"/>
  <c r="F43" i="3" a="1"/>
  <c r="E43" i="3" l="1"/>
  <c r="F43" i="3"/>
  <c r="G43" i="3"/>
  <c r="H43" i="3"/>
  <c r="I43" i="3" l="1"/>
  <c r="C43" i="3" s="1"/>
  <c r="D132" i="3" a="1"/>
  <c r="D132" i="3" l="1"/>
  <c r="G132" i="3" a="1"/>
  <c r="H132" i="3" a="1"/>
  <c r="F132" i="3" a="1"/>
  <c r="E132" i="3" a="1"/>
  <c r="E132" i="3" l="1"/>
  <c r="F132" i="3"/>
  <c r="H132" i="3"/>
  <c r="G132" i="3"/>
  <c r="I132" i="3" l="1"/>
  <c r="C132" i="3" s="1"/>
  <c r="D81" i="3" a="1"/>
  <c r="D81" i="3" l="1"/>
  <c r="H81" i="3" a="1"/>
  <c r="F81" i="3" a="1"/>
  <c r="G81" i="3" a="1"/>
  <c r="E81" i="3" a="1"/>
  <c r="E81" i="3" l="1"/>
  <c r="G81" i="3"/>
  <c r="F81" i="3"/>
  <c r="H81" i="3"/>
  <c r="I81" i="3" l="1"/>
  <c r="C81" i="3" s="1"/>
  <c r="D67" i="3" a="1"/>
  <c r="D67" i="3" l="1"/>
  <c r="G67" i="3" a="1"/>
  <c r="H67" i="3" a="1"/>
  <c r="E67" i="3" a="1"/>
  <c r="F67" i="3" a="1"/>
  <c r="E67" i="3" l="1"/>
  <c r="H67" i="3"/>
  <c r="G67" i="3"/>
  <c r="F67" i="3"/>
  <c r="I67" i="3" l="1"/>
  <c r="C67" i="3" s="1"/>
  <c r="D64" i="3" a="1"/>
  <c r="D64" i="3" l="1"/>
  <c r="H64" i="3" a="1"/>
  <c r="G64" i="3" a="1"/>
  <c r="E64" i="3" a="1"/>
  <c r="F64" i="3" a="1"/>
  <c r="E64" i="3" l="1"/>
  <c r="F64" i="3"/>
  <c r="G64" i="3"/>
  <c r="H64" i="3"/>
  <c r="I64" i="3" l="1"/>
  <c r="C64" i="3" s="1"/>
  <c r="D44" i="3" a="1"/>
  <c r="D44" i="3" l="1"/>
  <c r="G44" i="3" a="1"/>
  <c r="F44" i="3" a="1"/>
  <c r="H44" i="3" a="1"/>
  <c r="E44" i="3" a="1"/>
  <c r="E44" i="3" l="1"/>
  <c r="H44" i="3"/>
  <c r="F44" i="3"/>
  <c r="G44" i="3"/>
  <c r="I44" i="3" l="1"/>
  <c r="C44" i="3" s="1"/>
  <c r="D98" i="3" a="1"/>
  <c r="D98" i="3" l="1"/>
  <c r="H98" i="3" a="1"/>
  <c r="F98" i="3" a="1"/>
  <c r="G98" i="3" a="1"/>
  <c r="E98" i="3" a="1"/>
  <c r="E98" i="3" l="1"/>
  <c r="G98" i="3"/>
  <c r="F98" i="3"/>
  <c r="H98" i="3"/>
  <c r="I98" i="3" l="1"/>
  <c r="C98" i="3" s="1"/>
  <c r="D38" i="3" a="1"/>
  <c r="D38" i="3" l="1"/>
  <c r="E38" i="3" a="1"/>
  <c r="H38" i="3" a="1"/>
  <c r="G38" i="3" a="1"/>
  <c r="F38" i="3" a="1"/>
  <c r="E38" i="3" l="1"/>
  <c r="F38" i="3"/>
  <c r="H38" i="3"/>
  <c r="G38" i="3"/>
  <c r="I38" i="3" l="1"/>
  <c r="C38" i="3" s="1"/>
  <c r="D73" i="3" a="1"/>
  <c r="D73" i="3" l="1"/>
  <c r="F73" i="3" a="1"/>
  <c r="G73" i="3" a="1"/>
  <c r="H73" i="3" a="1"/>
  <c r="E73" i="3" a="1"/>
  <c r="E73" i="3" l="1"/>
  <c r="H73" i="3"/>
  <c r="G73" i="3"/>
  <c r="F73" i="3"/>
  <c r="I73" i="3" l="1"/>
  <c r="C73" i="3" s="1"/>
  <c r="D124" i="3" a="1"/>
  <c r="D124" i="3" l="1"/>
  <c r="H124" i="3" a="1"/>
  <c r="E124" i="3" a="1"/>
  <c r="G124" i="3" a="1"/>
  <c r="F124" i="3" a="1"/>
  <c r="E124" i="3" l="1"/>
  <c r="H124" i="3"/>
  <c r="F124" i="3"/>
  <c r="G124" i="3"/>
  <c r="I124" i="3" l="1"/>
  <c r="C124" i="3" s="1"/>
  <c r="D94" i="3" a="1"/>
  <c r="D94" i="3" l="1"/>
  <c r="G94" i="3" a="1"/>
  <c r="F94" i="3" a="1"/>
  <c r="H94" i="3" a="1"/>
  <c r="E94" i="3" a="1"/>
  <c r="E94" i="3" l="1"/>
  <c r="H94" i="3"/>
  <c r="F94" i="3"/>
  <c r="G94" i="3"/>
  <c r="I94" i="3" l="1"/>
  <c r="C94" i="3" s="1"/>
  <c r="D92" i="3" a="1"/>
  <c r="D92" i="3" l="1"/>
  <c r="H92" i="3" a="1"/>
  <c r="E92" i="3" a="1"/>
  <c r="F92" i="3" a="1"/>
  <c r="G92" i="3" a="1"/>
  <c r="E92" i="3" l="1"/>
  <c r="G92" i="3"/>
  <c r="F92" i="3"/>
  <c r="H92" i="3"/>
  <c r="I92" i="3" l="1"/>
  <c r="C92" i="3" s="1"/>
  <c r="D97" i="3" a="1"/>
  <c r="D97" i="3" l="1"/>
  <c r="F97" i="3" a="1"/>
  <c r="H97" i="3" a="1"/>
  <c r="G97" i="3" a="1"/>
  <c r="E97" i="3" a="1"/>
  <c r="E97" i="3" l="1"/>
  <c r="G97" i="3"/>
  <c r="H97" i="3"/>
  <c r="F97" i="3"/>
  <c r="I97" i="3" l="1"/>
  <c r="C97" i="3" s="1"/>
  <c r="D129" i="3" a="1"/>
  <c r="D129" i="3" l="1"/>
  <c r="E129" i="3" a="1"/>
  <c r="F129" i="3" a="1"/>
  <c r="G129" i="3" a="1"/>
  <c r="H129" i="3" a="1"/>
  <c r="E129" i="3" l="1"/>
  <c r="F129" i="3"/>
  <c r="G129" i="3"/>
  <c r="H129" i="3"/>
  <c r="I129" i="3" l="1"/>
  <c r="C129" i="3" s="1"/>
  <c r="D58" i="3" a="1"/>
  <c r="D58" i="3" l="1"/>
  <c r="G58" i="3" a="1"/>
  <c r="H58" i="3" a="1"/>
  <c r="E58" i="3" a="1"/>
  <c r="F58" i="3" a="1"/>
  <c r="E58" i="3" l="1"/>
  <c r="F58" i="3"/>
  <c r="G58" i="3"/>
  <c r="H58" i="3"/>
  <c r="I58" i="3" l="1"/>
  <c r="C58" i="3" s="1"/>
  <c r="D148" i="3" a="1"/>
  <c r="D148" i="3" l="1"/>
  <c r="F148" i="3" a="1"/>
  <c r="G148" i="3" a="1"/>
  <c r="E148" i="3" a="1"/>
  <c r="H148" i="3" a="1"/>
  <c r="E148" i="3" l="1"/>
  <c r="H148" i="3"/>
  <c r="F148" i="3"/>
  <c r="G148" i="3"/>
  <c r="I148" i="3" l="1"/>
  <c r="C148" i="3" s="1"/>
  <c r="D61" i="3" a="1"/>
  <c r="D61" i="3" l="1"/>
  <c r="F61" i="3" a="1"/>
  <c r="G61" i="3" a="1"/>
  <c r="E61" i="3" a="1"/>
  <c r="H61" i="3" a="1"/>
  <c r="E61" i="3" l="1"/>
  <c r="G61" i="3"/>
  <c r="F61" i="3"/>
  <c r="H61" i="3"/>
  <c r="I61" i="3" l="1"/>
  <c r="C61" i="3" s="1"/>
  <c r="D82" i="3" a="1"/>
  <c r="D82" i="3" l="1"/>
  <c r="H82" i="3" a="1"/>
  <c r="E82" i="3" a="1"/>
  <c r="G82" i="3" a="1"/>
  <c r="F82" i="3" a="1"/>
  <c r="E82" i="3" l="1"/>
  <c r="F82" i="3"/>
  <c r="G82" i="3"/>
  <c r="H82" i="3"/>
  <c r="I82" i="3" l="1"/>
  <c r="C82" i="3" s="1"/>
  <c r="D16" i="3" a="1"/>
  <c r="D16" i="3" l="1"/>
  <c r="F16" i="3" a="1"/>
  <c r="E16" i="3" a="1"/>
  <c r="G16" i="3" a="1"/>
  <c r="H16" i="3" a="1"/>
  <c r="E16" i="3" l="1"/>
  <c r="H16" i="3"/>
  <c r="G16" i="3"/>
  <c r="F16" i="3"/>
  <c r="I16" i="3" l="1"/>
  <c r="C16" i="3" s="1"/>
  <c r="D36" i="3" a="1"/>
  <c r="D36" i="3" l="1"/>
  <c r="F36" i="3" a="1"/>
  <c r="E36" i="3" a="1"/>
  <c r="H36" i="3" a="1"/>
  <c r="G36" i="3" a="1"/>
  <c r="E36" i="3" l="1"/>
  <c r="G36" i="3"/>
  <c r="H36" i="3"/>
  <c r="F36" i="3"/>
  <c r="I36" i="3" l="1"/>
  <c r="C36" i="3" s="1"/>
  <c r="D29" i="3" a="1"/>
  <c r="D29" i="3" l="1"/>
  <c r="F29" i="3" a="1"/>
  <c r="G29" i="3" a="1"/>
  <c r="E29" i="3" a="1"/>
  <c r="H29" i="3" a="1"/>
  <c r="E29" i="3" l="1"/>
  <c r="H29" i="3"/>
  <c r="G29" i="3"/>
  <c r="F29" i="3"/>
  <c r="I29" i="3" l="1"/>
  <c r="C29" i="3" s="1"/>
  <c r="D4" i="3" a="1"/>
  <c r="D4" i="3" l="1"/>
  <c r="E4" i="3" a="1"/>
  <c r="H4" i="3" a="1"/>
  <c r="G4" i="3" a="1"/>
  <c r="F4" i="3" a="1"/>
  <c r="E4" i="3" l="1"/>
  <c r="H4" i="3"/>
  <c r="F4" i="3"/>
  <c r="G4" i="3"/>
  <c r="I4" i="3" l="1"/>
  <c r="C4" i="3" s="1"/>
  <c r="D100" i="3" a="1"/>
  <c r="D100" i="3" l="1"/>
  <c r="E100" i="3" a="1"/>
  <c r="G100" i="3" a="1"/>
  <c r="H100" i="3" a="1"/>
  <c r="F100" i="3" a="1"/>
  <c r="E100" i="3" l="1"/>
  <c r="G100" i="3"/>
  <c r="F100" i="3"/>
  <c r="H100" i="3"/>
  <c r="I100" i="3" l="1"/>
  <c r="C100" i="3" s="1"/>
  <c r="D95" i="3" a="1"/>
  <c r="D95" i="3" l="1"/>
  <c r="H95" i="3" a="1"/>
  <c r="G95" i="3" a="1"/>
  <c r="F95" i="3" a="1"/>
  <c r="E95" i="3" a="1"/>
  <c r="E95" i="3" l="1"/>
  <c r="F95" i="3"/>
  <c r="G95" i="3"/>
  <c r="H95" i="3"/>
  <c r="I95" i="3" l="1"/>
  <c r="C95" i="3" s="1"/>
  <c r="D80" i="3" a="1"/>
  <c r="D80" i="3" l="1"/>
  <c r="G80" i="3" a="1"/>
  <c r="H80" i="3" a="1"/>
  <c r="F80" i="3" a="1"/>
  <c r="E80" i="3" a="1"/>
  <c r="E80" i="3" l="1"/>
  <c r="F80" i="3"/>
  <c r="H80" i="3"/>
  <c r="G80" i="3"/>
  <c r="I80" i="3" l="1"/>
  <c r="C80" i="3" s="1"/>
  <c r="D128" i="3" a="1"/>
  <c r="D128" i="3" l="1"/>
  <c r="F128" i="3" a="1"/>
  <c r="G128" i="3" a="1"/>
  <c r="E128" i="3" a="1"/>
  <c r="H128" i="3" a="1"/>
  <c r="E128" i="3" l="1"/>
  <c r="H128" i="3"/>
  <c r="G128" i="3"/>
  <c r="F128" i="3"/>
  <c r="I128" i="3" l="1"/>
  <c r="C128" i="3" s="1"/>
  <c r="D110" i="3" a="1"/>
  <c r="D110" i="3" l="1"/>
  <c r="F110" i="3" a="1"/>
  <c r="H110" i="3" a="1"/>
  <c r="E110" i="3" a="1"/>
  <c r="G110" i="3" a="1"/>
  <c r="E110" i="3" l="1"/>
  <c r="G110" i="3"/>
  <c r="H110" i="3"/>
  <c r="F110" i="3"/>
  <c r="I110" i="3" l="1"/>
  <c r="C110" i="3" s="1"/>
  <c r="D11" i="3" a="1"/>
  <c r="D11" i="3" l="1"/>
  <c r="F11" i="3" a="1"/>
  <c r="H11" i="3" a="1"/>
  <c r="G11" i="3" a="1"/>
  <c r="E11" i="3" a="1"/>
  <c r="E11" i="3" l="1"/>
  <c r="G11" i="3"/>
  <c r="H11" i="3"/>
  <c r="F11" i="3"/>
  <c r="I11" i="3" l="1"/>
  <c r="C11" i="3" s="1"/>
  <c r="D55" i="3" a="1"/>
  <c r="D55" i="3" l="1"/>
  <c r="G55" i="3" a="1"/>
  <c r="F55" i="3" a="1"/>
  <c r="H55" i="3" a="1"/>
  <c r="E55" i="3" a="1"/>
  <c r="E55" i="3" l="1"/>
  <c r="H55" i="3"/>
  <c r="F55" i="3"/>
  <c r="G55" i="3"/>
  <c r="I55" i="3" l="1"/>
  <c r="C55" i="3" s="1"/>
  <c r="D111" i="3" a="1"/>
  <c r="D111" i="3" l="1"/>
  <c r="G111" i="3" a="1"/>
  <c r="E111" i="3" a="1"/>
  <c r="F111" i="3" a="1"/>
  <c r="H111" i="3" a="1"/>
  <c r="E111" i="3" l="1"/>
  <c r="H111" i="3"/>
  <c r="F111" i="3"/>
  <c r="G111" i="3"/>
  <c r="I111" i="3" l="1"/>
  <c r="C111" i="3" s="1"/>
  <c r="D45" i="3" a="1"/>
  <c r="D45" i="3" l="1"/>
  <c r="H45" i="3" a="1"/>
  <c r="F45" i="3" a="1"/>
  <c r="G45" i="3" a="1"/>
  <c r="E45" i="3" a="1"/>
  <c r="E45" i="3" l="1"/>
  <c r="G45" i="3"/>
  <c r="F45" i="3"/>
  <c r="H45" i="3"/>
  <c r="I45" i="3" l="1"/>
  <c r="C45" i="3" s="1"/>
  <c r="D15" i="3" a="1"/>
  <c r="D15" i="3" l="1"/>
  <c r="E15" i="3" a="1"/>
  <c r="G15" i="3" a="1"/>
  <c r="H15" i="3" a="1"/>
  <c r="F15" i="3" a="1"/>
  <c r="E15" i="3" l="1"/>
  <c r="F15" i="3"/>
  <c r="H15" i="3"/>
  <c r="G15" i="3"/>
  <c r="I15" i="3" l="1"/>
  <c r="C15" i="3" s="1"/>
  <c r="D54" i="3" a="1"/>
  <c r="D54" i="3" l="1"/>
  <c r="G54" i="3" a="1"/>
  <c r="H54" i="3" a="1"/>
  <c r="F54" i="3" a="1"/>
  <c r="E54" i="3" a="1"/>
  <c r="E54" i="3" l="1"/>
  <c r="F54" i="3"/>
  <c r="H54" i="3"/>
  <c r="G54" i="3"/>
  <c r="I54" i="3" l="1"/>
  <c r="C54" i="3" s="1"/>
  <c r="D84" i="3" a="1"/>
  <c r="D84" i="3" l="1"/>
  <c r="H84" i="3" a="1"/>
  <c r="G84" i="3" a="1"/>
  <c r="F84" i="3" a="1"/>
  <c r="E84" i="3" a="1"/>
  <c r="E84" i="3" l="1"/>
  <c r="H84" i="3"/>
  <c r="G84" i="3"/>
  <c r="F84" i="3"/>
  <c r="I84" i="3" l="1"/>
  <c r="C84" i="3" s="1"/>
  <c r="D50" i="3" a="1"/>
  <c r="D50" i="3" l="1"/>
  <c r="G50" i="3" a="1"/>
  <c r="H50" i="3" a="1"/>
  <c r="E50" i="3" a="1"/>
  <c r="F50" i="3" a="1"/>
  <c r="E50" i="3" l="1"/>
  <c r="G50" i="3"/>
  <c r="F50" i="3"/>
  <c r="H50" i="3"/>
  <c r="I50" i="3" l="1"/>
  <c r="C50" i="3" s="1"/>
  <c r="D56" i="3" a="1"/>
  <c r="D56" i="3" l="1"/>
  <c r="G56" i="3" a="1"/>
  <c r="E56" i="3" a="1"/>
  <c r="F56" i="3" a="1"/>
  <c r="H56" i="3" a="1"/>
  <c r="E56" i="3" l="1"/>
  <c r="G56" i="3"/>
  <c r="H56" i="3"/>
  <c r="F56" i="3"/>
  <c r="I56" i="3" l="1"/>
  <c r="C56" i="3" s="1"/>
  <c r="D109" i="3" a="1"/>
  <c r="D109" i="3" l="1"/>
  <c r="G109" i="3" a="1"/>
  <c r="E109" i="3" a="1"/>
  <c r="H109" i="3" a="1"/>
  <c r="F109" i="3" a="1"/>
  <c r="E109" i="3" l="1"/>
  <c r="F109" i="3"/>
  <c r="H109" i="3"/>
  <c r="G109" i="3"/>
  <c r="I109" i="3" l="1"/>
  <c r="C109" i="3" s="1"/>
  <c r="D63" i="3" a="1"/>
  <c r="D63" i="3" l="1"/>
  <c r="G63" i="3" a="1"/>
  <c r="F63" i="3" a="1"/>
  <c r="E63" i="3" a="1"/>
  <c r="H63" i="3" a="1"/>
  <c r="E63" i="3" l="1"/>
  <c r="F63" i="3"/>
  <c r="G63" i="3"/>
  <c r="H63" i="3"/>
  <c r="I63" i="3" l="1"/>
  <c r="C63" i="3" s="1"/>
  <c r="D51" i="3" a="1"/>
  <c r="D51" i="3" l="1"/>
  <c r="H51" i="3" a="1"/>
  <c r="G51" i="3" a="1"/>
  <c r="F51" i="3" a="1"/>
  <c r="E51" i="3" a="1"/>
  <c r="E51" i="3" l="1"/>
  <c r="F51" i="3"/>
  <c r="G51" i="3"/>
  <c r="H51" i="3"/>
  <c r="I51" i="3" l="1"/>
  <c r="C51" i="3" s="1"/>
  <c r="D68" i="3" a="1"/>
  <c r="D68" i="3" l="1"/>
  <c r="G68" i="3" a="1"/>
  <c r="H68" i="3" a="1"/>
  <c r="E68" i="3" a="1"/>
  <c r="F68" i="3" a="1"/>
  <c r="E68" i="3" l="1"/>
  <c r="H68" i="3"/>
  <c r="G68" i="3"/>
  <c r="F68" i="3"/>
  <c r="I68" i="3" l="1"/>
  <c r="C68" i="3" s="1"/>
  <c r="D74" i="3" a="1"/>
  <c r="D74" i="3" l="1"/>
  <c r="G74" i="3" a="1"/>
  <c r="H74" i="3" a="1"/>
  <c r="E74" i="3" a="1"/>
  <c r="F74" i="3" a="1"/>
  <c r="E74" i="3" l="1"/>
  <c r="F74" i="3"/>
  <c r="H74" i="3"/>
  <c r="G74" i="3"/>
  <c r="I74" i="3" l="1"/>
  <c r="C74" i="3" s="1"/>
  <c r="D13" i="3" a="1"/>
  <c r="D13" i="3" l="1"/>
  <c r="H13" i="3" a="1"/>
  <c r="E13" i="3" a="1"/>
  <c r="F13" i="3" a="1"/>
  <c r="G13" i="3" a="1"/>
  <c r="E13" i="3" l="1"/>
  <c r="G13" i="3"/>
  <c r="F13" i="3"/>
  <c r="H13" i="3"/>
  <c r="I13" i="3" l="1"/>
  <c r="C13" i="3" s="1"/>
  <c r="D21" i="3" a="1"/>
  <c r="D21" i="3" l="1"/>
  <c r="F21" i="3" a="1"/>
  <c r="E21" i="3" a="1"/>
  <c r="G21" i="3" a="1"/>
  <c r="H21" i="3" a="1"/>
  <c r="E21" i="3" l="1"/>
  <c r="H21" i="3"/>
  <c r="G21" i="3"/>
  <c r="F21" i="3"/>
  <c r="I21" i="3" l="1"/>
  <c r="C21" i="3" s="1"/>
  <c r="D35" i="3" a="1"/>
  <c r="D35" i="3" l="1"/>
  <c r="E35" i="3" a="1"/>
  <c r="G35" i="3" a="1"/>
  <c r="H35" i="3" a="1"/>
  <c r="F35" i="3" a="1"/>
  <c r="E35" i="3" l="1"/>
  <c r="F35" i="3"/>
  <c r="H35" i="3"/>
  <c r="G35" i="3"/>
  <c r="I35" i="3" l="1"/>
  <c r="C35" i="3" s="1"/>
  <c r="D142" i="3" a="1"/>
  <c r="D142" i="3" l="1"/>
  <c r="F142" i="3" a="1"/>
  <c r="E142" i="3" a="1"/>
  <c r="G142" i="3" a="1"/>
  <c r="H142" i="3" a="1"/>
  <c r="E142" i="3" l="1"/>
  <c r="H142" i="3"/>
  <c r="G142" i="3"/>
  <c r="F142" i="3"/>
  <c r="I142" i="3" l="1"/>
  <c r="C142" i="3" s="1"/>
  <c r="D141" i="3" a="1"/>
  <c r="D141" i="3" l="1"/>
  <c r="H141" i="3" a="1"/>
  <c r="F141" i="3" a="1"/>
  <c r="G141" i="3" a="1"/>
  <c r="E141" i="3" a="1"/>
  <c r="E141" i="3" l="1"/>
  <c r="G141" i="3"/>
  <c r="F141" i="3"/>
  <c r="H141" i="3"/>
  <c r="I141" i="3" l="1"/>
  <c r="C141" i="3" s="1"/>
  <c r="D24" i="3" a="1"/>
  <c r="D24" i="3" l="1"/>
  <c r="H24" i="3" a="1"/>
  <c r="G24" i="3" a="1"/>
  <c r="E24" i="3" a="1"/>
  <c r="F24" i="3" a="1"/>
  <c r="E24" i="3" l="1"/>
  <c r="F24" i="3"/>
  <c r="G24" i="3"/>
  <c r="H24" i="3"/>
  <c r="I24" i="3" l="1"/>
  <c r="C24" i="3" s="1"/>
  <c r="D138" i="3" a="1"/>
  <c r="D138" i="3" l="1"/>
  <c r="E138" i="3" a="1"/>
  <c r="H138" i="3" a="1"/>
  <c r="F138" i="3" a="1"/>
  <c r="G138" i="3" a="1"/>
  <c r="E138" i="3" l="1"/>
  <c r="G138" i="3"/>
  <c r="F138" i="3"/>
  <c r="H138" i="3"/>
  <c r="I138" i="3" l="1"/>
  <c r="C138" i="3" s="1"/>
  <c r="D105" i="3" a="1"/>
  <c r="D105" i="3" l="1"/>
  <c r="E105" i="3" a="1"/>
  <c r="F105" i="3" a="1"/>
  <c r="H105" i="3" a="1"/>
  <c r="G105" i="3" a="1"/>
  <c r="E105" i="3" l="1"/>
  <c r="G105" i="3"/>
  <c r="F105" i="3"/>
  <c r="H105" i="3"/>
  <c r="I105" i="3" l="1"/>
  <c r="C105" i="3" s="1"/>
  <c r="D99" i="3" a="1"/>
  <c r="D99" i="3" l="1"/>
  <c r="E99" i="3" a="1"/>
  <c r="F99" i="3" a="1"/>
  <c r="G99" i="3" a="1"/>
  <c r="H99" i="3" a="1"/>
  <c r="E99" i="3" l="1"/>
  <c r="H99" i="3"/>
  <c r="F99" i="3"/>
  <c r="G99" i="3"/>
  <c r="I99" i="3" l="1"/>
  <c r="C99" i="3" s="1"/>
  <c r="D31" i="3" a="1"/>
  <c r="D7" i="3" a="1"/>
  <c r="D31" i="3" l="1"/>
  <c r="D7" i="3"/>
  <c r="Q25" i="3" s="1" a="1"/>
  <c r="Q25" i="3" s="1"/>
  <c r="F31" i="3" a="1"/>
  <c r="H7" i="3" a="1"/>
  <c r="F7" i="3" a="1"/>
  <c r="E31" i="3" a="1"/>
  <c r="G7" i="3" a="1"/>
  <c r="G31" i="3" a="1"/>
  <c r="E7" i="3" a="1"/>
  <c r="H31" i="3" a="1"/>
  <c r="Q34" i="3" l="1"/>
  <c r="P25" i="3"/>
  <c r="E7" i="3"/>
  <c r="F7" i="3"/>
  <c r="G7" i="3"/>
  <c r="H7" i="3"/>
  <c r="E31" i="3"/>
  <c r="F31" i="3"/>
  <c r="G31" i="3"/>
  <c r="H31" i="3"/>
  <c r="N24" i="3" l="1"/>
  <c r="L26" i="3"/>
  <c r="M26" i="3"/>
  <c r="N36" i="3"/>
  <c r="M38" i="3"/>
  <c r="L38" i="3"/>
  <c r="M34" i="3"/>
  <c r="N32" i="3"/>
  <c r="L34" i="3"/>
  <c r="M30" i="3"/>
  <c r="L30" i="3"/>
  <c r="N28" i="3"/>
  <c r="I7" i="3"/>
  <c r="C7" i="3" s="1"/>
  <c r="I31" i="3"/>
  <c r="C31" i="3" s="1"/>
  <c r="P6" i="3" s="1"/>
  <c r="L28" i="3" l="1" a="1"/>
  <c r="L28" i="3" s="1"/>
  <c r="L36" i="3" a="1"/>
  <c r="L37" i="3" s="1"/>
  <c r="L32" i="3" a="1"/>
  <c r="L24" i="3" a="1"/>
  <c r="L2" i="3"/>
  <c r="L3" i="3"/>
  <c r="L4" i="3"/>
  <c r="L5" i="3"/>
  <c r="P8" i="3"/>
  <c r="P9" i="3"/>
  <c r="P7" i="3"/>
  <c r="Q35" i="3" l="1"/>
  <c r="M28" i="3"/>
  <c r="M29" i="3"/>
  <c r="L29" i="3"/>
  <c r="L36" i="3"/>
  <c r="M37" i="3"/>
  <c r="M36" i="3"/>
  <c r="L33" i="3"/>
  <c r="M32" i="3"/>
  <c r="M33" i="3"/>
  <c r="L32" i="3"/>
  <c r="M25" i="3"/>
  <c r="M24" i="3"/>
  <c r="L24" i="3"/>
  <c r="L25" i="3"/>
  <c r="M4" i="3"/>
  <c r="M2" i="3"/>
  <c r="M5" i="3"/>
  <c r="M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<sst xmlns="http://schemas.openxmlformats.org/spreadsheetml/2006/main" count="440" uniqueCount="41">
  <si>
    <t>Petal.Length</t>
  </si>
  <si>
    <t>Petal.Width</t>
  </si>
  <si>
    <t>Species</t>
  </si>
  <si>
    <t>setosa</t>
  </si>
  <si>
    <t>versicolor</t>
  </si>
  <si>
    <t>virginica</t>
  </si>
  <si>
    <t>PL</t>
  </si>
  <si>
    <t>PW</t>
  </si>
  <si>
    <t>Odl1</t>
  </si>
  <si>
    <t>Odl2</t>
  </si>
  <si>
    <t>MinOdl</t>
  </si>
  <si>
    <t>Średnia</t>
  </si>
  <si>
    <t>Odch st</t>
  </si>
  <si>
    <t>Element</t>
  </si>
  <si>
    <t>Nr</t>
  </si>
  <si>
    <t>Grupa</t>
  </si>
  <si>
    <t>Liczba</t>
  </si>
  <si>
    <t>Średnia w grupach</t>
  </si>
  <si>
    <t>P.L</t>
  </si>
  <si>
    <t>P.W</t>
  </si>
  <si>
    <t>Odl3</t>
  </si>
  <si>
    <t>Odl4</t>
  </si>
  <si>
    <t>Grupa1</t>
  </si>
  <si>
    <t>średnie</t>
  </si>
  <si>
    <t>Grupa2</t>
  </si>
  <si>
    <t>Grupa3</t>
  </si>
  <si>
    <t>Grupa4</t>
  </si>
  <si>
    <t>p-stwo apriori</t>
  </si>
  <si>
    <t>g(x)=L(Th, x)</t>
  </si>
  <si>
    <t>p1</t>
  </si>
  <si>
    <t>p2</t>
  </si>
  <si>
    <t>p3</t>
  </si>
  <si>
    <t>p4</t>
  </si>
  <si>
    <t>max p</t>
  </si>
  <si>
    <t>p-stwo szacunkowe</t>
  </si>
  <si>
    <t>Wiaryg.</t>
  </si>
  <si>
    <t>Liczba kroków</t>
  </si>
  <si>
    <t>AIC</t>
  </si>
  <si>
    <t>BIC</t>
  </si>
  <si>
    <t>K-średnie</t>
  </si>
  <si>
    <t>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</si>
</sst>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2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Grupowanie</a:t>
            </a:r>
            <a:r>
              <a:rPr lang="pl-PL" baseline="0"/>
              <a:t> metodą 2-średnich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[0]!_pl1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[0]!_pw1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F-44A1-A4D5-127A4C766386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[0]!_pl2</c:f>
              <c:numCache>
                <c:formatCode>General</c:formatCode>
                <c:ptCount val="100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  <c:pt idx="50">
                  <c:v>6</c:v>
                </c:pt>
                <c:pt idx="51">
                  <c:v>5.0999999999999996</c:v>
                </c:pt>
                <c:pt idx="52">
                  <c:v>5.9</c:v>
                </c:pt>
                <c:pt idx="53">
                  <c:v>5.6</c:v>
                </c:pt>
                <c:pt idx="54">
                  <c:v>5.8</c:v>
                </c:pt>
                <c:pt idx="55">
                  <c:v>6.6</c:v>
                </c:pt>
                <c:pt idx="56">
                  <c:v>4.5</c:v>
                </c:pt>
                <c:pt idx="57">
                  <c:v>6.3</c:v>
                </c:pt>
                <c:pt idx="58">
                  <c:v>5.8</c:v>
                </c:pt>
                <c:pt idx="59">
                  <c:v>6.1</c:v>
                </c:pt>
                <c:pt idx="60">
                  <c:v>5.0999999999999996</c:v>
                </c:pt>
                <c:pt idx="61">
                  <c:v>5.3</c:v>
                </c:pt>
                <c:pt idx="62">
                  <c:v>5.5</c:v>
                </c:pt>
                <c:pt idx="63">
                  <c:v>5</c:v>
                </c:pt>
                <c:pt idx="64">
                  <c:v>5.0999999999999996</c:v>
                </c:pt>
                <c:pt idx="65">
                  <c:v>5.3</c:v>
                </c:pt>
                <c:pt idx="66">
                  <c:v>5.5</c:v>
                </c:pt>
                <c:pt idx="67">
                  <c:v>6.7</c:v>
                </c:pt>
                <c:pt idx="68">
                  <c:v>6.9</c:v>
                </c:pt>
                <c:pt idx="69">
                  <c:v>5</c:v>
                </c:pt>
                <c:pt idx="70">
                  <c:v>5.7</c:v>
                </c:pt>
                <c:pt idx="71">
                  <c:v>4.9000000000000004</c:v>
                </c:pt>
                <c:pt idx="72">
                  <c:v>6.7</c:v>
                </c:pt>
                <c:pt idx="73">
                  <c:v>4.9000000000000004</c:v>
                </c:pt>
                <c:pt idx="74">
                  <c:v>5.7</c:v>
                </c:pt>
                <c:pt idx="75">
                  <c:v>6</c:v>
                </c:pt>
                <c:pt idx="76">
                  <c:v>4.8</c:v>
                </c:pt>
                <c:pt idx="77">
                  <c:v>4.9000000000000004</c:v>
                </c:pt>
                <c:pt idx="78">
                  <c:v>5.6</c:v>
                </c:pt>
                <c:pt idx="79">
                  <c:v>5.8</c:v>
                </c:pt>
                <c:pt idx="80">
                  <c:v>6.1</c:v>
                </c:pt>
                <c:pt idx="81">
                  <c:v>6.4</c:v>
                </c:pt>
                <c:pt idx="82">
                  <c:v>5.6</c:v>
                </c:pt>
                <c:pt idx="83">
                  <c:v>5.0999999999999996</c:v>
                </c:pt>
                <c:pt idx="84">
                  <c:v>5.6</c:v>
                </c:pt>
                <c:pt idx="85">
                  <c:v>6.1</c:v>
                </c:pt>
                <c:pt idx="86">
                  <c:v>5.6</c:v>
                </c:pt>
                <c:pt idx="87">
                  <c:v>5.5</c:v>
                </c:pt>
                <c:pt idx="88">
                  <c:v>4.8</c:v>
                </c:pt>
                <c:pt idx="89">
                  <c:v>5.4</c:v>
                </c:pt>
                <c:pt idx="90">
                  <c:v>5.6</c:v>
                </c:pt>
                <c:pt idx="91">
                  <c:v>5.0999999999999996</c:v>
                </c:pt>
                <c:pt idx="92">
                  <c:v>5.0999999999999996</c:v>
                </c:pt>
                <c:pt idx="93">
                  <c:v>5.9</c:v>
                </c:pt>
                <c:pt idx="94">
                  <c:v>5.7</c:v>
                </c:pt>
                <c:pt idx="95">
                  <c:v>5.2</c:v>
                </c:pt>
                <c:pt idx="96">
                  <c:v>5</c:v>
                </c:pt>
                <c:pt idx="97">
                  <c:v>5.2</c:v>
                </c:pt>
                <c:pt idx="98">
                  <c:v>5.4</c:v>
                </c:pt>
                <c:pt idx="99">
                  <c:v>5.0999999999999996</c:v>
                </c:pt>
              </c:numCache>
            </c:numRef>
          </c:xVal>
          <c:yVal>
            <c:numRef>
              <c:f>[0]!_pw2</c:f>
              <c:numCache>
                <c:formatCode>General</c:formatCode>
                <c:ptCount val="10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  <c:pt idx="50">
                  <c:v>2.5</c:v>
                </c:pt>
                <c:pt idx="51">
                  <c:v>1.9</c:v>
                </c:pt>
                <c:pt idx="52">
                  <c:v>2.1</c:v>
                </c:pt>
                <c:pt idx="53">
                  <c:v>1.8</c:v>
                </c:pt>
                <c:pt idx="54">
                  <c:v>2.2000000000000002</c:v>
                </c:pt>
                <c:pt idx="55">
                  <c:v>2.1</c:v>
                </c:pt>
                <c:pt idx="56">
                  <c:v>1.7</c:v>
                </c:pt>
                <c:pt idx="57">
                  <c:v>1.8</c:v>
                </c:pt>
                <c:pt idx="58">
                  <c:v>1.8</c:v>
                </c:pt>
                <c:pt idx="59">
                  <c:v>2.5</c:v>
                </c:pt>
                <c:pt idx="60">
                  <c:v>2</c:v>
                </c:pt>
                <c:pt idx="61">
                  <c:v>1.9</c:v>
                </c:pt>
                <c:pt idx="62">
                  <c:v>2.1</c:v>
                </c:pt>
                <c:pt idx="63">
                  <c:v>2</c:v>
                </c:pt>
                <c:pt idx="64">
                  <c:v>2.4</c:v>
                </c:pt>
                <c:pt idx="65">
                  <c:v>2.2999999999999998</c:v>
                </c:pt>
                <c:pt idx="66">
                  <c:v>1.8</c:v>
                </c:pt>
                <c:pt idx="67">
                  <c:v>2.2000000000000002</c:v>
                </c:pt>
                <c:pt idx="68">
                  <c:v>2.2999999999999998</c:v>
                </c:pt>
                <c:pt idx="69">
                  <c:v>1.5</c:v>
                </c:pt>
                <c:pt idx="70">
                  <c:v>2.2999999999999998</c:v>
                </c:pt>
                <c:pt idx="71">
                  <c:v>2</c:v>
                </c:pt>
                <c:pt idx="72">
                  <c:v>2</c:v>
                </c:pt>
                <c:pt idx="73">
                  <c:v>1.8</c:v>
                </c:pt>
                <c:pt idx="74">
                  <c:v>2.1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2.1</c:v>
                </c:pt>
                <c:pt idx="79">
                  <c:v>1.6</c:v>
                </c:pt>
                <c:pt idx="80">
                  <c:v>1.9</c:v>
                </c:pt>
                <c:pt idx="81">
                  <c:v>2</c:v>
                </c:pt>
                <c:pt idx="82">
                  <c:v>2.2000000000000002</c:v>
                </c:pt>
                <c:pt idx="83">
                  <c:v>1.5</c:v>
                </c:pt>
                <c:pt idx="84">
                  <c:v>1.4</c:v>
                </c:pt>
                <c:pt idx="85">
                  <c:v>2.2999999999999998</c:v>
                </c:pt>
                <c:pt idx="86">
                  <c:v>2.4</c:v>
                </c:pt>
                <c:pt idx="87">
                  <c:v>1.8</c:v>
                </c:pt>
                <c:pt idx="88">
                  <c:v>1.8</c:v>
                </c:pt>
                <c:pt idx="89">
                  <c:v>2.1</c:v>
                </c:pt>
                <c:pt idx="90">
                  <c:v>2.4</c:v>
                </c:pt>
                <c:pt idx="91">
                  <c:v>2.2999999999999998</c:v>
                </c:pt>
                <c:pt idx="92">
                  <c:v>1.9</c:v>
                </c:pt>
                <c:pt idx="93">
                  <c:v>2.2999999999999998</c:v>
                </c:pt>
                <c:pt idx="94">
                  <c:v>2.5</c:v>
                </c:pt>
                <c:pt idx="95">
                  <c:v>2.2999999999999998</c:v>
                </c:pt>
                <c:pt idx="96">
                  <c:v>1.9</c:v>
                </c:pt>
                <c:pt idx="97">
                  <c:v>2</c:v>
                </c:pt>
                <c:pt idx="98">
                  <c:v>2.2999999999999998</c:v>
                </c:pt>
                <c:pt idx="9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CF-44A1-A4D5-127A4C766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480383"/>
        <c:axId val="913424575"/>
      </c:scatterChart>
      <c:valAx>
        <c:axId val="7344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13424575"/>
        <c:crosses val="autoZero"/>
        <c:crossBetween val="midCat"/>
      </c:valAx>
      <c:valAx>
        <c:axId val="913424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344803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 b="0" i="0" baseline="0">
                <a:effectLst/>
              </a:rPr>
              <a:t>Grupowanie metodą 4-średnich</a:t>
            </a:r>
            <a:endParaRPr lang="pl-PL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'AnalizaSkupień(k=4)'!_l1</c:f>
              <c:numCache>
                <c:formatCode>General</c:formatCode>
                <c:ptCount val="4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</c:numCache>
            </c:numRef>
          </c:xVal>
          <c:yVal>
            <c:numRef>
              <c:f>[0]!_w1</c:f>
              <c:numCache>
                <c:formatCode>General</c:formatCode>
                <c:ptCount val="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EC-4A1B-84F5-B01CF8D7A93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[0]!_l2</c:f>
              <c:numCache>
                <c:formatCode>General</c:formatCode>
                <c:ptCount val="25"/>
                <c:pt idx="0">
                  <c:v>1.3</c:v>
                </c:pt>
                <c:pt idx="1">
                  <c:v>1.3</c:v>
                </c:pt>
                <c:pt idx="2">
                  <c:v>1.3</c:v>
                </c:pt>
                <c:pt idx="3">
                  <c:v>1.6</c:v>
                </c:pt>
                <c:pt idx="4">
                  <c:v>1.9</c:v>
                </c:pt>
                <c:pt idx="5">
                  <c:v>1.4</c:v>
                </c:pt>
                <c:pt idx="6">
                  <c:v>1.6</c:v>
                </c:pt>
                <c:pt idx="7">
                  <c:v>1.4</c:v>
                </c:pt>
                <c:pt idx="8">
                  <c:v>1.5</c:v>
                </c:pt>
                <c:pt idx="9">
                  <c:v>1.4</c:v>
                </c:pt>
                <c:pt idx="10">
                  <c:v>4.7</c:v>
                </c:pt>
                <c:pt idx="11">
                  <c:v>4.5</c:v>
                </c:pt>
                <c:pt idx="12">
                  <c:v>4.9000000000000004</c:v>
                </c:pt>
                <c:pt idx="13">
                  <c:v>4</c:v>
                </c:pt>
                <c:pt idx="14">
                  <c:v>4.5999999999999996</c:v>
                </c:pt>
                <c:pt idx="15">
                  <c:v>4.5</c:v>
                </c:pt>
                <c:pt idx="16">
                  <c:v>4.7</c:v>
                </c:pt>
                <c:pt idx="17">
                  <c:v>3.3</c:v>
                </c:pt>
                <c:pt idx="18">
                  <c:v>4.5999999999999996</c:v>
                </c:pt>
                <c:pt idx="19">
                  <c:v>3.9</c:v>
                </c:pt>
                <c:pt idx="20">
                  <c:v>3.5</c:v>
                </c:pt>
                <c:pt idx="21">
                  <c:v>4.2</c:v>
                </c:pt>
                <c:pt idx="22">
                  <c:v>4</c:v>
                </c:pt>
                <c:pt idx="23">
                  <c:v>4.7</c:v>
                </c:pt>
                <c:pt idx="24">
                  <c:v>3.6</c:v>
                </c:pt>
              </c:numCache>
            </c:numRef>
          </c:xVal>
          <c:yVal>
            <c:numRef>
              <c:f>[0]!_w2</c:f>
              <c:numCache>
                <c:formatCode>General</c:formatCode>
                <c:ptCount val="25"/>
                <c:pt idx="0">
                  <c:v>0.3</c:v>
                </c:pt>
                <c:pt idx="1">
                  <c:v>0.3</c:v>
                </c:pt>
                <c:pt idx="2">
                  <c:v>0.2</c:v>
                </c:pt>
                <c:pt idx="3">
                  <c:v>0.6</c:v>
                </c:pt>
                <c:pt idx="4">
                  <c:v>0.4</c:v>
                </c:pt>
                <c:pt idx="5">
                  <c:v>0.3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1.4</c:v>
                </c:pt>
                <c:pt idx="11">
                  <c:v>1.5</c:v>
                </c:pt>
                <c:pt idx="12">
                  <c:v>1.5</c:v>
                </c:pt>
                <c:pt idx="13">
                  <c:v>1.3</c:v>
                </c:pt>
                <c:pt idx="14">
                  <c:v>1.5</c:v>
                </c:pt>
                <c:pt idx="15">
                  <c:v>1.3</c:v>
                </c:pt>
                <c:pt idx="16">
                  <c:v>1.6</c:v>
                </c:pt>
                <c:pt idx="17">
                  <c:v>1</c:v>
                </c:pt>
                <c:pt idx="18">
                  <c:v>1.3</c:v>
                </c:pt>
                <c:pt idx="19">
                  <c:v>1.4</c:v>
                </c:pt>
                <c:pt idx="20">
                  <c:v>1</c:v>
                </c:pt>
                <c:pt idx="21">
                  <c:v>1.5</c:v>
                </c:pt>
                <c:pt idx="22">
                  <c:v>1</c:v>
                </c:pt>
                <c:pt idx="23">
                  <c:v>1.4</c:v>
                </c:pt>
                <c:pt idx="24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EC-4A1B-84F5-B01CF8D7A932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[0]!_l3</c:f>
              <c:numCache>
                <c:formatCode>General</c:formatCode>
                <c:ptCount val="72"/>
                <c:pt idx="0">
                  <c:v>4.4000000000000004</c:v>
                </c:pt>
                <c:pt idx="1">
                  <c:v>4.5</c:v>
                </c:pt>
                <c:pt idx="2">
                  <c:v>4.0999999999999996</c:v>
                </c:pt>
                <c:pt idx="3">
                  <c:v>4.5</c:v>
                </c:pt>
                <c:pt idx="4">
                  <c:v>3.9</c:v>
                </c:pt>
                <c:pt idx="5">
                  <c:v>4.8</c:v>
                </c:pt>
                <c:pt idx="6">
                  <c:v>4</c:v>
                </c:pt>
                <c:pt idx="7">
                  <c:v>4.9000000000000004</c:v>
                </c:pt>
                <c:pt idx="8">
                  <c:v>4.7</c:v>
                </c:pt>
                <c:pt idx="9">
                  <c:v>4.3</c:v>
                </c:pt>
                <c:pt idx="10">
                  <c:v>4.4000000000000004</c:v>
                </c:pt>
                <c:pt idx="11">
                  <c:v>4.8</c:v>
                </c:pt>
                <c:pt idx="12">
                  <c:v>5</c:v>
                </c:pt>
                <c:pt idx="13">
                  <c:v>4.5</c:v>
                </c:pt>
                <c:pt idx="14">
                  <c:v>3.5</c:v>
                </c:pt>
                <c:pt idx="15">
                  <c:v>3.8</c:v>
                </c:pt>
                <c:pt idx="16">
                  <c:v>3.7</c:v>
                </c:pt>
                <c:pt idx="17">
                  <c:v>3.9</c:v>
                </c:pt>
                <c:pt idx="18">
                  <c:v>5.0999999999999996</c:v>
                </c:pt>
                <c:pt idx="19">
                  <c:v>4.5</c:v>
                </c:pt>
                <c:pt idx="20">
                  <c:v>4.5</c:v>
                </c:pt>
                <c:pt idx="21">
                  <c:v>4.7</c:v>
                </c:pt>
                <c:pt idx="22">
                  <c:v>4.4000000000000004</c:v>
                </c:pt>
                <c:pt idx="23">
                  <c:v>4.0999999999999996</c:v>
                </c:pt>
                <c:pt idx="24">
                  <c:v>4</c:v>
                </c:pt>
                <c:pt idx="25">
                  <c:v>4.4000000000000004</c:v>
                </c:pt>
                <c:pt idx="26">
                  <c:v>4.5999999999999996</c:v>
                </c:pt>
                <c:pt idx="27">
                  <c:v>4</c:v>
                </c:pt>
                <c:pt idx="28">
                  <c:v>3.3</c:v>
                </c:pt>
                <c:pt idx="29">
                  <c:v>4.2</c:v>
                </c:pt>
                <c:pt idx="30">
                  <c:v>4.2</c:v>
                </c:pt>
                <c:pt idx="31">
                  <c:v>4.2</c:v>
                </c:pt>
                <c:pt idx="32">
                  <c:v>4.3</c:v>
                </c:pt>
                <c:pt idx="33">
                  <c:v>3</c:v>
                </c:pt>
                <c:pt idx="34">
                  <c:v>4.0999999999999996</c:v>
                </c:pt>
                <c:pt idx="35">
                  <c:v>6</c:v>
                </c:pt>
                <c:pt idx="36">
                  <c:v>5.0999999999999996</c:v>
                </c:pt>
                <c:pt idx="37">
                  <c:v>5.9</c:v>
                </c:pt>
                <c:pt idx="38">
                  <c:v>5.6</c:v>
                </c:pt>
                <c:pt idx="39">
                  <c:v>5.8</c:v>
                </c:pt>
                <c:pt idx="40">
                  <c:v>6.6</c:v>
                </c:pt>
                <c:pt idx="41">
                  <c:v>4.5</c:v>
                </c:pt>
                <c:pt idx="42">
                  <c:v>6.3</c:v>
                </c:pt>
                <c:pt idx="43">
                  <c:v>5.8</c:v>
                </c:pt>
                <c:pt idx="44">
                  <c:v>6.1</c:v>
                </c:pt>
                <c:pt idx="45">
                  <c:v>5.0999999999999996</c:v>
                </c:pt>
                <c:pt idx="46">
                  <c:v>5.3</c:v>
                </c:pt>
                <c:pt idx="47">
                  <c:v>5.5</c:v>
                </c:pt>
                <c:pt idx="48">
                  <c:v>5</c:v>
                </c:pt>
                <c:pt idx="49">
                  <c:v>5.0999999999999996</c:v>
                </c:pt>
                <c:pt idx="50">
                  <c:v>5.3</c:v>
                </c:pt>
                <c:pt idx="51">
                  <c:v>5.5</c:v>
                </c:pt>
                <c:pt idx="52">
                  <c:v>6.7</c:v>
                </c:pt>
                <c:pt idx="53">
                  <c:v>6.9</c:v>
                </c:pt>
                <c:pt idx="54">
                  <c:v>5</c:v>
                </c:pt>
                <c:pt idx="55">
                  <c:v>5.7</c:v>
                </c:pt>
                <c:pt idx="56">
                  <c:v>4.9000000000000004</c:v>
                </c:pt>
                <c:pt idx="57">
                  <c:v>6.7</c:v>
                </c:pt>
                <c:pt idx="58">
                  <c:v>4.9000000000000004</c:v>
                </c:pt>
                <c:pt idx="59">
                  <c:v>5.7</c:v>
                </c:pt>
                <c:pt idx="60">
                  <c:v>6</c:v>
                </c:pt>
                <c:pt idx="61">
                  <c:v>4.8</c:v>
                </c:pt>
                <c:pt idx="62">
                  <c:v>4.9000000000000004</c:v>
                </c:pt>
                <c:pt idx="63">
                  <c:v>5.6</c:v>
                </c:pt>
                <c:pt idx="64">
                  <c:v>5.8</c:v>
                </c:pt>
                <c:pt idx="65">
                  <c:v>6.1</c:v>
                </c:pt>
                <c:pt idx="66">
                  <c:v>6.4</c:v>
                </c:pt>
                <c:pt idx="67">
                  <c:v>5.6</c:v>
                </c:pt>
                <c:pt idx="68">
                  <c:v>5.0999999999999996</c:v>
                </c:pt>
                <c:pt idx="69">
                  <c:v>5.6</c:v>
                </c:pt>
                <c:pt idx="70">
                  <c:v>6.1</c:v>
                </c:pt>
                <c:pt idx="71">
                  <c:v>5.6</c:v>
                </c:pt>
              </c:numCache>
            </c:numRef>
          </c:xVal>
          <c:yVal>
            <c:numRef>
              <c:f>[0]!_w3</c:f>
              <c:numCache>
                <c:formatCode>General</c:formatCode>
                <c:ptCount val="72"/>
                <c:pt idx="0">
                  <c:v>1.4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1.1000000000000001</c:v>
                </c:pt>
                <c:pt idx="5">
                  <c:v>1.8</c:v>
                </c:pt>
                <c:pt idx="6">
                  <c:v>1.3</c:v>
                </c:pt>
                <c:pt idx="7">
                  <c:v>1.5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1.4</c:v>
                </c:pt>
                <c:pt idx="12">
                  <c:v>1.7</c:v>
                </c:pt>
                <c:pt idx="13">
                  <c:v>1.5</c:v>
                </c:pt>
                <c:pt idx="14">
                  <c:v>1</c:v>
                </c:pt>
                <c:pt idx="15">
                  <c:v>1.1000000000000001</c:v>
                </c:pt>
                <c:pt idx="16">
                  <c:v>1</c:v>
                </c:pt>
                <c:pt idx="17">
                  <c:v>1.2</c:v>
                </c:pt>
                <c:pt idx="18">
                  <c:v>1.6</c:v>
                </c:pt>
                <c:pt idx="19">
                  <c:v>1.5</c:v>
                </c:pt>
                <c:pt idx="20">
                  <c:v>1.6</c:v>
                </c:pt>
                <c:pt idx="21">
                  <c:v>1.5</c:v>
                </c:pt>
                <c:pt idx="22">
                  <c:v>1.3</c:v>
                </c:pt>
                <c:pt idx="23">
                  <c:v>1.3</c:v>
                </c:pt>
                <c:pt idx="24">
                  <c:v>1.3</c:v>
                </c:pt>
                <c:pt idx="25">
                  <c:v>1.2</c:v>
                </c:pt>
                <c:pt idx="26">
                  <c:v>1.4</c:v>
                </c:pt>
                <c:pt idx="27">
                  <c:v>1.2</c:v>
                </c:pt>
                <c:pt idx="28">
                  <c:v>1</c:v>
                </c:pt>
                <c:pt idx="29">
                  <c:v>1.3</c:v>
                </c:pt>
                <c:pt idx="30">
                  <c:v>1.2</c:v>
                </c:pt>
                <c:pt idx="31">
                  <c:v>1.3</c:v>
                </c:pt>
                <c:pt idx="32">
                  <c:v>1.3</c:v>
                </c:pt>
                <c:pt idx="33">
                  <c:v>1.1000000000000001</c:v>
                </c:pt>
                <c:pt idx="34">
                  <c:v>1.3</c:v>
                </c:pt>
                <c:pt idx="35">
                  <c:v>2.5</c:v>
                </c:pt>
                <c:pt idx="36">
                  <c:v>1.9</c:v>
                </c:pt>
                <c:pt idx="37">
                  <c:v>2.1</c:v>
                </c:pt>
                <c:pt idx="38">
                  <c:v>1.8</c:v>
                </c:pt>
                <c:pt idx="39">
                  <c:v>2.2000000000000002</c:v>
                </c:pt>
                <c:pt idx="40">
                  <c:v>2.1</c:v>
                </c:pt>
                <c:pt idx="41">
                  <c:v>1.7</c:v>
                </c:pt>
                <c:pt idx="42">
                  <c:v>1.8</c:v>
                </c:pt>
                <c:pt idx="43">
                  <c:v>1.8</c:v>
                </c:pt>
                <c:pt idx="44">
                  <c:v>2.5</c:v>
                </c:pt>
                <c:pt idx="45">
                  <c:v>2</c:v>
                </c:pt>
                <c:pt idx="46">
                  <c:v>1.9</c:v>
                </c:pt>
                <c:pt idx="47">
                  <c:v>2.1</c:v>
                </c:pt>
                <c:pt idx="48">
                  <c:v>2</c:v>
                </c:pt>
                <c:pt idx="49">
                  <c:v>2.4</c:v>
                </c:pt>
                <c:pt idx="50">
                  <c:v>2.2999999999999998</c:v>
                </c:pt>
                <c:pt idx="51">
                  <c:v>1.8</c:v>
                </c:pt>
                <c:pt idx="52">
                  <c:v>2.2000000000000002</c:v>
                </c:pt>
                <c:pt idx="53">
                  <c:v>2.2999999999999998</c:v>
                </c:pt>
                <c:pt idx="54">
                  <c:v>1.5</c:v>
                </c:pt>
                <c:pt idx="55">
                  <c:v>2.2999999999999998</c:v>
                </c:pt>
                <c:pt idx="56">
                  <c:v>2</c:v>
                </c:pt>
                <c:pt idx="57">
                  <c:v>2</c:v>
                </c:pt>
                <c:pt idx="58">
                  <c:v>1.8</c:v>
                </c:pt>
                <c:pt idx="59">
                  <c:v>2.1</c:v>
                </c:pt>
                <c:pt idx="60">
                  <c:v>1.8</c:v>
                </c:pt>
                <c:pt idx="61">
                  <c:v>1.8</c:v>
                </c:pt>
                <c:pt idx="62">
                  <c:v>1.8</c:v>
                </c:pt>
                <c:pt idx="63">
                  <c:v>2.1</c:v>
                </c:pt>
                <c:pt idx="64">
                  <c:v>1.6</c:v>
                </c:pt>
                <c:pt idx="65">
                  <c:v>1.9</c:v>
                </c:pt>
                <c:pt idx="66">
                  <c:v>2</c:v>
                </c:pt>
                <c:pt idx="67">
                  <c:v>2.2000000000000002</c:v>
                </c:pt>
                <c:pt idx="68">
                  <c:v>1.5</c:v>
                </c:pt>
                <c:pt idx="69">
                  <c:v>1.4</c:v>
                </c:pt>
                <c:pt idx="70">
                  <c:v>2.2999999999999998</c:v>
                </c:pt>
                <c:pt idx="71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EC-4A1B-84F5-B01CF8D7A932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[0]!_l4</c:f>
              <c:numCache>
                <c:formatCode>General</c:formatCode>
                <c:ptCount val="13"/>
                <c:pt idx="0">
                  <c:v>5.5</c:v>
                </c:pt>
                <c:pt idx="1">
                  <c:v>4.8</c:v>
                </c:pt>
                <c:pt idx="2">
                  <c:v>5.4</c:v>
                </c:pt>
                <c:pt idx="3">
                  <c:v>5.6</c:v>
                </c:pt>
                <c:pt idx="4">
                  <c:v>5.0999999999999996</c:v>
                </c:pt>
                <c:pt idx="5">
                  <c:v>5.0999999999999996</c:v>
                </c:pt>
                <c:pt idx="6">
                  <c:v>5.9</c:v>
                </c:pt>
                <c:pt idx="7">
                  <c:v>5.7</c:v>
                </c:pt>
                <c:pt idx="8">
                  <c:v>5.2</c:v>
                </c:pt>
                <c:pt idx="9">
                  <c:v>5</c:v>
                </c:pt>
                <c:pt idx="10">
                  <c:v>5.2</c:v>
                </c:pt>
                <c:pt idx="11">
                  <c:v>5.4</c:v>
                </c:pt>
                <c:pt idx="12">
                  <c:v>5.0999999999999996</c:v>
                </c:pt>
              </c:numCache>
            </c:numRef>
          </c:xVal>
          <c:yVal>
            <c:numRef>
              <c:f>[0]!_w4</c:f>
              <c:numCache>
                <c:formatCode>General</c:formatCode>
                <c:ptCount val="13"/>
                <c:pt idx="0">
                  <c:v>1.8</c:v>
                </c:pt>
                <c:pt idx="1">
                  <c:v>1.8</c:v>
                </c:pt>
                <c:pt idx="2">
                  <c:v>2.1</c:v>
                </c:pt>
                <c:pt idx="3">
                  <c:v>2.4</c:v>
                </c:pt>
                <c:pt idx="4">
                  <c:v>2.2999999999999998</c:v>
                </c:pt>
                <c:pt idx="5">
                  <c:v>1.9</c:v>
                </c:pt>
                <c:pt idx="6">
                  <c:v>2.2999999999999998</c:v>
                </c:pt>
                <c:pt idx="7">
                  <c:v>2.5</c:v>
                </c:pt>
                <c:pt idx="8">
                  <c:v>2.2999999999999998</c:v>
                </c:pt>
                <c:pt idx="9">
                  <c:v>1.9</c:v>
                </c:pt>
                <c:pt idx="10">
                  <c:v>2</c:v>
                </c:pt>
                <c:pt idx="11">
                  <c:v>2.2999999999999998</c:v>
                </c:pt>
                <c:pt idx="12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EC-4A1B-84F5-B01CF8D7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30424"/>
        <c:axId val="499431736"/>
      </c:scatterChart>
      <c:valAx>
        <c:axId val="499430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9431736"/>
        <c:crosses val="autoZero"/>
        <c:crossBetween val="midCat"/>
      </c:valAx>
      <c:valAx>
        <c:axId val="49943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9430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 b="0" i="0" baseline="0">
                <a:effectLst/>
              </a:rPr>
              <a:t>Grupowanie metodą EM</a:t>
            </a:r>
            <a:endParaRPr lang="pl-PL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1216349496354024"/>
          <c:y val="0.16636955755084717"/>
          <c:w val="0.8375883199405002"/>
          <c:h val="0.651016943333926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'EM(k=2)'!_pl1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'EM(k=2)'!_pw1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CC-414E-BD31-98E4D397004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'EM(k=2)'!_pl2</c:f>
              <c:numCache>
                <c:formatCode>General</c:formatCode>
                <c:ptCount val="100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  <c:pt idx="50">
                  <c:v>6</c:v>
                </c:pt>
                <c:pt idx="51">
                  <c:v>5.0999999999999996</c:v>
                </c:pt>
                <c:pt idx="52">
                  <c:v>5.9</c:v>
                </c:pt>
                <c:pt idx="53">
                  <c:v>5.6</c:v>
                </c:pt>
                <c:pt idx="54">
                  <c:v>5.8</c:v>
                </c:pt>
                <c:pt idx="55">
                  <c:v>6.6</c:v>
                </c:pt>
                <c:pt idx="56">
                  <c:v>4.5</c:v>
                </c:pt>
                <c:pt idx="57">
                  <c:v>6.3</c:v>
                </c:pt>
                <c:pt idx="58">
                  <c:v>5.8</c:v>
                </c:pt>
                <c:pt idx="59">
                  <c:v>6.1</c:v>
                </c:pt>
                <c:pt idx="60">
                  <c:v>5.0999999999999996</c:v>
                </c:pt>
                <c:pt idx="61">
                  <c:v>5.3</c:v>
                </c:pt>
                <c:pt idx="62">
                  <c:v>5.5</c:v>
                </c:pt>
                <c:pt idx="63">
                  <c:v>5</c:v>
                </c:pt>
                <c:pt idx="64">
                  <c:v>5.0999999999999996</c:v>
                </c:pt>
                <c:pt idx="65">
                  <c:v>5.3</c:v>
                </c:pt>
                <c:pt idx="66">
                  <c:v>5.5</c:v>
                </c:pt>
                <c:pt idx="67">
                  <c:v>6.7</c:v>
                </c:pt>
                <c:pt idx="68">
                  <c:v>6.9</c:v>
                </c:pt>
                <c:pt idx="69">
                  <c:v>5</c:v>
                </c:pt>
                <c:pt idx="70">
                  <c:v>5.7</c:v>
                </c:pt>
                <c:pt idx="71">
                  <c:v>4.9000000000000004</c:v>
                </c:pt>
                <c:pt idx="72">
                  <c:v>6.7</c:v>
                </c:pt>
                <c:pt idx="73">
                  <c:v>4.9000000000000004</c:v>
                </c:pt>
                <c:pt idx="74">
                  <c:v>5.7</c:v>
                </c:pt>
                <c:pt idx="75">
                  <c:v>6</c:v>
                </c:pt>
                <c:pt idx="76">
                  <c:v>4.8</c:v>
                </c:pt>
                <c:pt idx="77">
                  <c:v>4.9000000000000004</c:v>
                </c:pt>
                <c:pt idx="78">
                  <c:v>5.6</c:v>
                </c:pt>
                <c:pt idx="79">
                  <c:v>5.8</c:v>
                </c:pt>
                <c:pt idx="80">
                  <c:v>6.1</c:v>
                </c:pt>
                <c:pt idx="81">
                  <c:v>6.4</c:v>
                </c:pt>
                <c:pt idx="82">
                  <c:v>5.6</c:v>
                </c:pt>
                <c:pt idx="83">
                  <c:v>5.0999999999999996</c:v>
                </c:pt>
                <c:pt idx="84">
                  <c:v>5.6</c:v>
                </c:pt>
                <c:pt idx="85">
                  <c:v>6.1</c:v>
                </c:pt>
                <c:pt idx="86">
                  <c:v>5.6</c:v>
                </c:pt>
                <c:pt idx="87">
                  <c:v>5.5</c:v>
                </c:pt>
                <c:pt idx="88">
                  <c:v>4.8</c:v>
                </c:pt>
                <c:pt idx="89">
                  <c:v>5.4</c:v>
                </c:pt>
                <c:pt idx="90">
                  <c:v>5.6</c:v>
                </c:pt>
                <c:pt idx="91">
                  <c:v>5.0999999999999996</c:v>
                </c:pt>
                <c:pt idx="92">
                  <c:v>5.0999999999999996</c:v>
                </c:pt>
                <c:pt idx="93">
                  <c:v>5.9</c:v>
                </c:pt>
                <c:pt idx="94">
                  <c:v>5.7</c:v>
                </c:pt>
                <c:pt idx="95">
                  <c:v>5.2</c:v>
                </c:pt>
                <c:pt idx="96">
                  <c:v>5</c:v>
                </c:pt>
                <c:pt idx="97">
                  <c:v>5.2</c:v>
                </c:pt>
                <c:pt idx="98">
                  <c:v>5.4</c:v>
                </c:pt>
                <c:pt idx="99">
                  <c:v>5.0999999999999996</c:v>
                </c:pt>
              </c:numCache>
            </c:numRef>
          </c:xVal>
          <c:yVal>
            <c:numRef>
              <c:f>'EM(k=2)'!_pw2</c:f>
              <c:numCache>
                <c:formatCode>General</c:formatCode>
                <c:ptCount val="10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  <c:pt idx="50">
                  <c:v>2.5</c:v>
                </c:pt>
                <c:pt idx="51">
                  <c:v>1.9</c:v>
                </c:pt>
                <c:pt idx="52">
                  <c:v>2.1</c:v>
                </c:pt>
                <c:pt idx="53">
                  <c:v>1.8</c:v>
                </c:pt>
                <c:pt idx="54">
                  <c:v>2.2000000000000002</c:v>
                </c:pt>
                <c:pt idx="55">
                  <c:v>2.1</c:v>
                </c:pt>
                <c:pt idx="56">
                  <c:v>1.7</c:v>
                </c:pt>
                <c:pt idx="57">
                  <c:v>1.8</c:v>
                </c:pt>
                <c:pt idx="58">
                  <c:v>1.8</c:v>
                </c:pt>
                <c:pt idx="59">
                  <c:v>2.5</c:v>
                </c:pt>
                <c:pt idx="60">
                  <c:v>2</c:v>
                </c:pt>
                <c:pt idx="61">
                  <c:v>1.9</c:v>
                </c:pt>
                <c:pt idx="62">
                  <c:v>2.1</c:v>
                </c:pt>
                <c:pt idx="63">
                  <c:v>2</c:v>
                </c:pt>
                <c:pt idx="64">
                  <c:v>2.4</c:v>
                </c:pt>
                <c:pt idx="65">
                  <c:v>2.2999999999999998</c:v>
                </c:pt>
                <c:pt idx="66">
                  <c:v>1.8</c:v>
                </c:pt>
                <c:pt idx="67">
                  <c:v>2.2000000000000002</c:v>
                </c:pt>
                <c:pt idx="68">
                  <c:v>2.2999999999999998</c:v>
                </c:pt>
                <c:pt idx="69">
                  <c:v>1.5</c:v>
                </c:pt>
                <c:pt idx="70">
                  <c:v>2.2999999999999998</c:v>
                </c:pt>
                <c:pt idx="71">
                  <c:v>2</c:v>
                </c:pt>
                <c:pt idx="72">
                  <c:v>2</c:v>
                </c:pt>
                <c:pt idx="73">
                  <c:v>1.8</c:v>
                </c:pt>
                <c:pt idx="74">
                  <c:v>2.1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2.1</c:v>
                </c:pt>
                <c:pt idx="79">
                  <c:v>1.6</c:v>
                </c:pt>
                <c:pt idx="80">
                  <c:v>1.9</c:v>
                </c:pt>
                <c:pt idx="81">
                  <c:v>2</c:v>
                </c:pt>
                <c:pt idx="82">
                  <c:v>2.2000000000000002</c:v>
                </c:pt>
                <c:pt idx="83">
                  <c:v>1.5</c:v>
                </c:pt>
                <c:pt idx="84">
                  <c:v>1.4</c:v>
                </c:pt>
                <c:pt idx="85">
                  <c:v>2.2999999999999998</c:v>
                </c:pt>
                <c:pt idx="86">
                  <c:v>2.4</c:v>
                </c:pt>
                <c:pt idx="87">
                  <c:v>1.8</c:v>
                </c:pt>
                <c:pt idx="88">
                  <c:v>1.8</c:v>
                </c:pt>
                <c:pt idx="89">
                  <c:v>2.1</c:v>
                </c:pt>
                <c:pt idx="90">
                  <c:v>2.4</c:v>
                </c:pt>
                <c:pt idx="91">
                  <c:v>2.2999999999999998</c:v>
                </c:pt>
                <c:pt idx="92">
                  <c:v>1.9</c:v>
                </c:pt>
                <c:pt idx="93">
                  <c:v>2.2999999999999998</c:v>
                </c:pt>
                <c:pt idx="94">
                  <c:v>2.5</c:v>
                </c:pt>
                <c:pt idx="95">
                  <c:v>2.2999999999999998</c:v>
                </c:pt>
                <c:pt idx="96">
                  <c:v>1.9</c:v>
                </c:pt>
                <c:pt idx="97">
                  <c:v>2</c:v>
                </c:pt>
                <c:pt idx="98">
                  <c:v>2.2999999999999998</c:v>
                </c:pt>
                <c:pt idx="9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CC-414E-BD31-98E4D3970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30424"/>
        <c:axId val="499431736"/>
      </c:scatterChart>
      <c:valAx>
        <c:axId val="499430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9431736"/>
        <c:crosses val="autoZero"/>
        <c:crossBetween val="midCat"/>
      </c:valAx>
      <c:valAx>
        <c:axId val="49943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9430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 b="0" i="0" baseline="0">
                <a:effectLst/>
              </a:rPr>
              <a:t>Grupowanie metodą EM</a:t>
            </a:r>
            <a:endParaRPr lang="pl-PL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5.029438887706604E-2"/>
          <c:y val="0.16636955755084717"/>
          <c:w val="0.90636753620591171"/>
          <c:h val="0.6510169433339263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'EM(k=4)'!_l1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'EM(k=4)'!_w1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96-4420-A4FD-B36F3C950FF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'EM(k=4)'!_l2</c:f>
              <c:numCache>
                <c:formatCode>General</c:formatCode>
                <c:ptCount val="22"/>
                <c:pt idx="0">
                  <c:v>3.3</c:v>
                </c:pt>
                <c:pt idx="1">
                  <c:v>3.6</c:v>
                </c:pt>
                <c:pt idx="2">
                  <c:v>4.7</c:v>
                </c:pt>
                <c:pt idx="3">
                  <c:v>5.0999999999999996</c:v>
                </c:pt>
                <c:pt idx="4">
                  <c:v>3.3</c:v>
                </c:pt>
                <c:pt idx="5">
                  <c:v>3</c:v>
                </c:pt>
                <c:pt idx="6">
                  <c:v>5.6</c:v>
                </c:pt>
                <c:pt idx="7">
                  <c:v>6.6</c:v>
                </c:pt>
                <c:pt idx="8">
                  <c:v>6.3</c:v>
                </c:pt>
                <c:pt idx="9">
                  <c:v>5.8</c:v>
                </c:pt>
                <c:pt idx="10">
                  <c:v>5.5</c:v>
                </c:pt>
                <c:pt idx="11">
                  <c:v>6.7</c:v>
                </c:pt>
                <c:pt idx="12">
                  <c:v>6.9</c:v>
                </c:pt>
                <c:pt idx="13">
                  <c:v>5</c:v>
                </c:pt>
                <c:pt idx="14">
                  <c:v>6.7</c:v>
                </c:pt>
                <c:pt idx="15">
                  <c:v>6</c:v>
                </c:pt>
                <c:pt idx="16">
                  <c:v>5.8</c:v>
                </c:pt>
                <c:pt idx="17">
                  <c:v>6.1</c:v>
                </c:pt>
                <c:pt idx="18">
                  <c:v>6.4</c:v>
                </c:pt>
                <c:pt idx="19">
                  <c:v>5.0999999999999996</c:v>
                </c:pt>
                <c:pt idx="20">
                  <c:v>5.6</c:v>
                </c:pt>
                <c:pt idx="21">
                  <c:v>5.5</c:v>
                </c:pt>
              </c:numCache>
            </c:numRef>
          </c:xVal>
          <c:yVal>
            <c:numRef>
              <c:f>'EM(k=4)'!_w2</c:f>
              <c:numCache>
                <c:formatCode>General</c:formatCode>
                <c:ptCount val="22"/>
                <c:pt idx="0">
                  <c:v>1</c:v>
                </c:pt>
                <c:pt idx="1">
                  <c:v>1.3</c:v>
                </c:pt>
                <c:pt idx="2">
                  <c:v>1.2</c:v>
                </c:pt>
                <c:pt idx="3">
                  <c:v>1.6</c:v>
                </c:pt>
                <c:pt idx="4">
                  <c:v>1</c:v>
                </c:pt>
                <c:pt idx="5">
                  <c:v>1.1000000000000001</c:v>
                </c:pt>
                <c:pt idx="6">
                  <c:v>1.8</c:v>
                </c:pt>
                <c:pt idx="7">
                  <c:v>2.1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2.2000000000000002</c:v>
                </c:pt>
                <c:pt idx="12">
                  <c:v>2.2999999999999998</c:v>
                </c:pt>
                <c:pt idx="13">
                  <c:v>1.5</c:v>
                </c:pt>
                <c:pt idx="14">
                  <c:v>2</c:v>
                </c:pt>
                <c:pt idx="15">
                  <c:v>1.8</c:v>
                </c:pt>
                <c:pt idx="16">
                  <c:v>1.6</c:v>
                </c:pt>
                <c:pt idx="17">
                  <c:v>1.9</c:v>
                </c:pt>
                <c:pt idx="18">
                  <c:v>2</c:v>
                </c:pt>
                <c:pt idx="19">
                  <c:v>1.5</c:v>
                </c:pt>
                <c:pt idx="20">
                  <c:v>1.4</c:v>
                </c:pt>
                <c:pt idx="21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C9-4DF7-9D84-275504EC3BD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'EM(k=4)'!_l3</c:f>
              <c:numCache>
                <c:formatCode>General</c:formatCode>
                <c:ptCount val="43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4.5999999999999996</c:v>
                </c:pt>
                <c:pt idx="8">
                  <c:v>3.9</c:v>
                </c:pt>
                <c:pt idx="9">
                  <c:v>3.5</c:v>
                </c:pt>
                <c:pt idx="10">
                  <c:v>4.2</c:v>
                </c:pt>
                <c:pt idx="11">
                  <c:v>4</c:v>
                </c:pt>
                <c:pt idx="12">
                  <c:v>4.7</c:v>
                </c:pt>
                <c:pt idx="13">
                  <c:v>4.4000000000000004</c:v>
                </c:pt>
                <c:pt idx="14">
                  <c:v>4.5</c:v>
                </c:pt>
                <c:pt idx="15">
                  <c:v>4.0999999999999996</c:v>
                </c:pt>
                <c:pt idx="16">
                  <c:v>4.5</c:v>
                </c:pt>
                <c:pt idx="17">
                  <c:v>3.9</c:v>
                </c:pt>
                <c:pt idx="18">
                  <c:v>4</c:v>
                </c:pt>
                <c:pt idx="19">
                  <c:v>4.9000000000000004</c:v>
                </c:pt>
                <c:pt idx="20">
                  <c:v>4.3</c:v>
                </c:pt>
                <c:pt idx="21">
                  <c:v>4.4000000000000004</c:v>
                </c:pt>
                <c:pt idx="22">
                  <c:v>4.8</c:v>
                </c:pt>
                <c:pt idx="23">
                  <c:v>5</c:v>
                </c:pt>
                <c:pt idx="24">
                  <c:v>4.5</c:v>
                </c:pt>
                <c:pt idx="25">
                  <c:v>3.5</c:v>
                </c:pt>
                <c:pt idx="26">
                  <c:v>3.8</c:v>
                </c:pt>
                <c:pt idx="27">
                  <c:v>3.7</c:v>
                </c:pt>
                <c:pt idx="28">
                  <c:v>3.9</c:v>
                </c:pt>
                <c:pt idx="29">
                  <c:v>4.5</c:v>
                </c:pt>
                <c:pt idx="30">
                  <c:v>4.5</c:v>
                </c:pt>
                <c:pt idx="31">
                  <c:v>4.7</c:v>
                </c:pt>
                <c:pt idx="32">
                  <c:v>4.4000000000000004</c:v>
                </c:pt>
                <c:pt idx="33">
                  <c:v>4.0999999999999996</c:v>
                </c:pt>
                <c:pt idx="34">
                  <c:v>4</c:v>
                </c:pt>
                <c:pt idx="35">
                  <c:v>4.4000000000000004</c:v>
                </c:pt>
                <c:pt idx="36">
                  <c:v>4.5999999999999996</c:v>
                </c:pt>
                <c:pt idx="37">
                  <c:v>4</c:v>
                </c:pt>
                <c:pt idx="38">
                  <c:v>4.2</c:v>
                </c:pt>
                <c:pt idx="39">
                  <c:v>4.2</c:v>
                </c:pt>
                <c:pt idx="40">
                  <c:v>4.2</c:v>
                </c:pt>
                <c:pt idx="41">
                  <c:v>4.3</c:v>
                </c:pt>
                <c:pt idx="42">
                  <c:v>4.0999999999999996</c:v>
                </c:pt>
              </c:numCache>
            </c:numRef>
          </c:xVal>
          <c:yVal>
            <c:numRef>
              <c:f>'EM(k=4)'!_w3</c:f>
              <c:numCache>
                <c:formatCode>General</c:formatCode>
                <c:ptCount val="43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1.3</c:v>
                </c:pt>
                <c:pt idx="8">
                  <c:v>1.4</c:v>
                </c:pt>
                <c:pt idx="9">
                  <c:v>1</c:v>
                </c:pt>
                <c:pt idx="10">
                  <c:v>1.5</c:v>
                </c:pt>
                <c:pt idx="11">
                  <c:v>1</c:v>
                </c:pt>
                <c:pt idx="12">
                  <c:v>1.4</c:v>
                </c:pt>
                <c:pt idx="13">
                  <c:v>1.4</c:v>
                </c:pt>
                <c:pt idx="14">
                  <c:v>1.5</c:v>
                </c:pt>
                <c:pt idx="15">
                  <c:v>1</c:v>
                </c:pt>
                <c:pt idx="16">
                  <c:v>1.5</c:v>
                </c:pt>
                <c:pt idx="17">
                  <c:v>1.1000000000000001</c:v>
                </c:pt>
                <c:pt idx="18">
                  <c:v>1.3</c:v>
                </c:pt>
                <c:pt idx="19">
                  <c:v>1.5</c:v>
                </c:pt>
                <c:pt idx="20">
                  <c:v>1.3</c:v>
                </c:pt>
                <c:pt idx="21">
                  <c:v>1.4</c:v>
                </c:pt>
                <c:pt idx="22">
                  <c:v>1.4</c:v>
                </c:pt>
                <c:pt idx="23">
                  <c:v>1.7</c:v>
                </c:pt>
                <c:pt idx="24">
                  <c:v>1.5</c:v>
                </c:pt>
                <c:pt idx="25">
                  <c:v>1</c:v>
                </c:pt>
                <c:pt idx="26">
                  <c:v>1.1000000000000001</c:v>
                </c:pt>
                <c:pt idx="27">
                  <c:v>1</c:v>
                </c:pt>
                <c:pt idx="28">
                  <c:v>1.2</c:v>
                </c:pt>
                <c:pt idx="29">
                  <c:v>1.5</c:v>
                </c:pt>
                <c:pt idx="30">
                  <c:v>1.6</c:v>
                </c:pt>
                <c:pt idx="31">
                  <c:v>1.5</c:v>
                </c:pt>
                <c:pt idx="32">
                  <c:v>1.3</c:v>
                </c:pt>
                <c:pt idx="33">
                  <c:v>1.3</c:v>
                </c:pt>
                <c:pt idx="34">
                  <c:v>1.3</c:v>
                </c:pt>
                <c:pt idx="35">
                  <c:v>1.2</c:v>
                </c:pt>
                <c:pt idx="36">
                  <c:v>1.4</c:v>
                </c:pt>
                <c:pt idx="37">
                  <c:v>1.2</c:v>
                </c:pt>
                <c:pt idx="38">
                  <c:v>1.3</c:v>
                </c:pt>
                <c:pt idx="39">
                  <c:v>1.2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C9-4DF7-9D84-275504EC3BD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'EM(k=4)'!_l4</c:f>
              <c:numCache>
                <c:formatCode>General</c:formatCode>
                <c:ptCount val="35"/>
                <c:pt idx="0">
                  <c:v>4.8</c:v>
                </c:pt>
                <c:pt idx="1">
                  <c:v>6</c:v>
                </c:pt>
                <c:pt idx="2">
                  <c:v>5.0999999999999996</c:v>
                </c:pt>
                <c:pt idx="3">
                  <c:v>5.9</c:v>
                </c:pt>
                <c:pt idx="4">
                  <c:v>5.8</c:v>
                </c:pt>
                <c:pt idx="5">
                  <c:v>4.5</c:v>
                </c:pt>
                <c:pt idx="6">
                  <c:v>6.1</c:v>
                </c:pt>
                <c:pt idx="7">
                  <c:v>5.0999999999999996</c:v>
                </c:pt>
                <c:pt idx="8">
                  <c:v>5.3</c:v>
                </c:pt>
                <c:pt idx="9">
                  <c:v>5.5</c:v>
                </c:pt>
                <c:pt idx="10">
                  <c:v>5</c:v>
                </c:pt>
                <c:pt idx="11">
                  <c:v>5.0999999999999996</c:v>
                </c:pt>
                <c:pt idx="12">
                  <c:v>5.3</c:v>
                </c:pt>
                <c:pt idx="13">
                  <c:v>5.7</c:v>
                </c:pt>
                <c:pt idx="14">
                  <c:v>4.9000000000000004</c:v>
                </c:pt>
                <c:pt idx="15">
                  <c:v>4.9000000000000004</c:v>
                </c:pt>
                <c:pt idx="16">
                  <c:v>5.7</c:v>
                </c:pt>
                <c:pt idx="17">
                  <c:v>4.8</c:v>
                </c:pt>
                <c:pt idx="18">
                  <c:v>4.9000000000000004</c:v>
                </c:pt>
                <c:pt idx="19">
                  <c:v>5.6</c:v>
                </c:pt>
                <c:pt idx="20">
                  <c:v>5.6</c:v>
                </c:pt>
                <c:pt idx="21">
                  <c:v>6.1</c:v>
                </c:pt>
                <c:pt idx="22">
                  <c:v>5.6</c:v>
                </c:pt>
                <c:pt idx="23">
                  <c:v>4.8</c:v>
                </c:pt>
                <c:pt idx="24">
                  <c:v>5.4</c:v>
                </c:pt>
                <c:pt idx="25">
                  <c:v>5.6</c:v>
                </c:pt>
                <c:pt idx="26">
                  <c:v>5.0999999999999996</c:v>
                </c:pt>
                <c:pt idx="27">
                  <c:v>5.0999999999999996</c:v>
                </c:pt>
                <c:pt idx="28">
                  <c:v>5.9</c:v>
                </c:pt>
                <c:pt idx="29">
                  <c:v>5.7</c:v>
                </c:pt>
                <c:pt idx="30">
                  <c:v>5.2</c:v>
                </c:pt>
                <c:pt idx="31">
                  <c:v>5</c:v>
                </c:pt>
                <c:pt idx="32">
                  <c:v>5.2</c:v>
                </c:pt>
                <c:pt idx="33">
                  <c:v>5.4</c:v>
                </c:pt>
                <c:pt idx="34">
                  <c:v>5.0999999999999996</c:v>
                </c:pt>
              </c:numCache>
            </c:numRef>
          </c:xVal>
          <c:yVal>
            <c:numRef>
              <c:f>'EM(k=4)'!_w4</c:f>
              <c:numCache>
                <c:formatCode>General</c:formatCode>
                <c:ptCount val="35"/>
                <c:pt idx="0">
                  <c:v>1.8</c:v>
                </c:pt>
                <c:pt idx="1">
                  <c:v>2.5</c:v>
                </c:pt>
                <c:pt idx="2">
                  <c:v>1.9</c:v>
                </c:pt>
                <c:pt idx="3">
                  <c:v>2.1</c:v>
                </c:pt>
                <c:pt idx="4">
                  <c:v>2.2000000000000002</c:v>
                </c:pt>
                <c:pt idx="5">
                  <c:v>1.7</c:v>
                </c:pt>
                <c:pt idx="6">
                  <c:v>2.5</c:v>
                </c:pt>
                <c:pt idx="7">
                  <c:v>2</c:v>
                </c:pt>
                <c:pt idx="8">
                  <c:v>1.9</c:v>
                </c:pt>
                <c:pt idx="9">
                  <c:v>2.1</c:v>
                </c:pt>
                <c:pt idx="10">
                  <c:v>2</c:v>
                </c:pt>
                <c:pt idx="11">
                  <c:v>2.4</c:v>
                </c:pt>
                <c:pt idx="12">
                  <c:v>2.2999999999999998</c:v>
                </c:pt>
                <c:pt idx="13">
                  <c:v>2.2999999999999998</c:v>
                </c:pt>
                <c:pt idx="14">
                  <c:v>2</c:v>
                </c:pt>
                <c:pt idx="15">
                  <c:v>1.8</c:v>
                </c:pt>
                <c:pt idx="16">
                  <c:v>2.1</c:v>
                </c:pt>
                <c:pt idx="17">
                  <c:v>1.8</c:v>
                </c:pt>
                <c:pt idx="18">
                  <c:v>1.8</c:v>
                </c:pt>
                <c:pt idx="19">
                  <c:v>2.1</c:v>
                </c:pt>
                <c:pt idx="20">
                  <c:v>2.2000000000000002</c:v>
                </c:pt>
                <c:pt idx="21">
                  <c:v>2.2999999999999998</c:v>
                </c:pt>
                <c:pt idx="22">
                  <c:v>2.4</c:v>
                </c:pt>
                <c:pt idx="23">
                  <c:v>1.8</c:v>
                </c:pt>
                <c:pt idx="24">
                  <c:v>2.1</c:v>
                </c:pt>
                <c:pt idx="25">
                  <c:v>2.4</c:v>
                </c:pt>
                <c:pt idx="26">
                  <c:v>2.2999999999999998</c:v>
                </c:pt>
                <c:pt idx="27">
                  <c:v>1.9</c:v>
                </c:pt>
                <c:pt idx="28">
                  <c:v>2.2999999999999998</c:v>
                </c:pt>
                <c:pt idx="29">
                  <c:v>2.5</c:v>
                </c:pt>
                <c:pt idx="30">
                  <c:v>2.2999999999999998</c:v>
                </c:pt>
                <c:pt idx="31">
                  <c:v>1.9</c:v>
                </c:pt>
                <c:pt idx="32">
                  <c:v>2</c:v>
                </c:pt>
                <c:pt idx="33">
                  <c:v>2.2999999999999998</c:v>
                </c:pt>
                <c:pt idx="34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C9-4DF7-9D84-275504EC3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30424"/>
        <c:axId val="499431736"/>
      </c:scatterChart>
      <c:valAx>
        <c:axId val="499430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9431736"/>
        <c:crosses val="autoZero"/>
        <c:crossBetween val="midCat"/>
      </c:valAx>
      <c:valAx>
        <c:axId val="49943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9430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60960</xdr:colOff>
      <xdr:row>21</xdr:row>
      <xdr:rowOff>23812</xdr:rowOff>
    </xdr:from>
    <xdr:to>
      <xdr:col>16</xdr:col>
      <xdr:colOff>365760</xdr:colOff>
      <xdr:row>35</xdr:row>
      <xdr:rowOff>92392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518160</xdr:colOff>
          <xdr:row>14</xdr:row>
          <xdr:rowOff>175260</xdr:rowOff>
        </xdr:from>
        <xdr:to>
          <xdr:col>12</xdr:col>
          <xdr:colOff>167640</xdr:colOff>
          <xdr:row>17</xdr:row>
          <xdr:rowOff>83820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INICJALIZACJA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15</xdr:row>
          <xdr:rowOff>22860</xdr:rowOff>
        </xdr:from>
        <xdr:to>
          <xdr:col>15</xdr:col>
          <xdr:colOff>434340</xdr:colOff>
          <xdr:row>17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Krok KMeans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18</xdr:row>
          <xdr:rowOff>137160</xdr:rowOff>
        </xdr:from>
        <xdr:to>
          <xdr:col>13</xdr:col>
          <xdr:colOff>274320</xdr:colOff>
          <xdr:row>21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INICJALIZACJA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18</xdr:row>
          <xdr:rowOff>152400</xdr:rowOff>
        </xdr:from>
        <xdr:to>
          <xdr:col>16</xdr:col>
          <xdr:colOff>518160</xdr:colOff>
          <xdr:row>21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Krok KMeans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739140</xdr:colOff>
      <xdr:row>4</xdr:row>
      <xdr:rowOff>91440</xdr:rowOff>
    </xdr:from>
    <xdr:to>
      <xdr:col>11</xdr:col>
      <xdr:colOff>76200</xdr:colOff>
      <xdr:row>23</xdr:row>
      <xdr:rowOff>38100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4</xdr:row>
      <xdr:rowOff>160020</xdr:rowOff>
    </xdr:from>
    <xdr:to>
      <xdr:col>7</xdr:col>
      <xdr:colOff>373380</xdr:colOff>
      <xdr:row>22</xdr:row>
      <xdr:rowOff>110490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297180</xdr:colOff>
          <xdr:row>16</xdr:row>
          <xdr:rowOff>91440</xdr:rowOff>
        </xdr:from>
        <xdr:to>
          <xdr:col>14</xdr:col>
          <xdr:colOff>563880</xdr:colOff>
          <xdr:row>18</xdr:row>
          <xdr:rowOff>137160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297180</xdr:colOff>
          <xdr:row>19</xdr:row>
          <xdr:rowOff>175260</xdr:rowOff>
        </xdr:from>
        <xdr:to>
          <xdr:col>14</xdr:col>
          <xdr:colOff>601980</xdr:colOff>
          <xdr:row>22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Krok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175260</xdr:colOff>
          <xdr:row>29</xdr:row>
          <xdr:rowOff>144780</xdr:rowOff>
        </xdr:from>
        <xdr:to>
          <xdr:col>14</xdr:col>
          <xdr:colOff>601980</xdr:colOff>
          <xdr:row>31</xdr:row>
          <xdr:rowOff>160020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N-kroków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754380</xdr:colOff>
      <xdr:row>5</xdr:row>
      <xdr:rowOff>22860</xdr:rowOff>
    </xdr:from>
    <xdr:to>
      <xdr:col>8</xdr:col>
      <xdr:colOff>548640</xdr:colOff>
      <xdr:row>22</xdr:row>
      <xdr:rowOff>118110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297180</xdr:colOff>
          <xdr:row>16</xdr:row>
          <xdr:rowOff>91440</xdr:rowOff>
        </xdr:from>
        <xdr:to>
          <xdr:col>16</xdr:col>
          <xdr:colOff>563880</xdr:colOff>
          <xdr:row>18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297180</xdr:colOff>
          <xdr:row>19</xdr:row>
          <xdr:rowOff>175260</xdr:rowOff>
        </xdr:from>
        <xdr:to>
          <xdr:col>16</xdr:col>
          <xdr:colOff>601980</xdr:colOff>
          <xdr:row>22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Krok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29</xdr:row>
          <xdr:rowOff>144780</xdr:rowOff>
        </xdr:from>
        <xdr:to>
          <xdr:col>16</xdr:col>
          <xdr:colOff>601980</xdr:colOff>
          <xdr:row>31</xdr:row>
          <xdr:rowOff>160020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N-kroków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T151"/>
  <sheetViews>
    <sheetView topLeftCell="A10" workbookViewId="0">
      <selection activeCell="M6" sqref="M6:N7"/>
    </sheetView>
  </sheetViews>
  <sheetFormatPr defaultRowHeight="14.4" x14ac:dyDescent="0.3"/>
  <cols>
    <col min="1" max="1" width="12.109375" bestFit="1" customWidth="1"/>
    <col min="2" max="2" width="11.5546875" bestFit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15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L1" t="s">
        <v>6</v>
      </c>
      <c r="M1" t="s">
        <v>7</v>
      </c>
      <c r="Q1" t="s">
        <v>0</v>
      </c>
      <c r="R1" t="s">
        <v>1</v>
      </c>
      <c r="S1" t="s">
        <v>2</v>
      </c>
      <c r="T1" t="s">
        <v>15</v>
      </c>
    </row>
    <row r="2" spans="1:20" x14ac:dyDescent="0.3">
      <c r="A2">
        <v>1.4</v>
      </c>
      <c r="B2">
        <v>0.2</v>
      </c>
      <c r="C2" t="s">
        <v>3</v>
      </c>
      <c r="D2">
        <f>IF(G2=I2,1,2)</f>
        <v>1</v>
      </c>
      <c r="E2">
        <f t="shared" ref="E2:E33" si="0">(A2-L$2)/L$3</f>
        <v>-1.3402265266227671</v>
      </c>
      <c r="F2">
        <f t="shared" ref="F2:F33" si="1">(B2-M$2)/M$3</f>
        <v>-1.3154442950077423</v>
      </c>
      <c r="G2">
        <f t="array" ref="G2">SQRT(SUM(($E2:$F2-$M$6:$N$6)^2))</f>
        <v>3.0722933466822422E-3</v>
      </c>
      <c r="H2">
        <f t="array" ref="H2">SQRT(SUM(($E2:$F2-$M$7:$N$7)^2))</f>
        <v>2.492102440175795</v>
      </c>
      <c r="I2">
        <f>MIN(G2:H2)</f>
        <v>3.0722933466822422E-3</v>
      </c>
      <c r="K2" t="s">
        <v>11</v>
      </c>
      <c r="L2">
        <f>AVERAGE(A:A)</f>
        <v>3.7580000000000027</v>
      </c>
      <c r="M2">
        <f>AVERAGE(B:B)</f>
        <v>1.199333333333334</v>
      </c>
      <c r="Q2">
        <v>1.4</v>
      </c>
      <c r="R2">
        <v>0.2</v>
      </c>
      <c r="S2" t="s">
        <v>3</v>
      </c>
      <c r="T2">
        <v>1</v>
      </c>
    </row>
    <row r="3" spans="1:20" x14ac:dyDescent="0.3">
      <c r="A3">
        <v>1.4</v>
      </c>
      <c r="B3">
        <v>0.2</v>
      </c>
      <c r="C3" t="s">
        <v>3</v>
      </c>
      <c r="D3">
        <f t="shared" ref="D3:D66" si="2">IF(G3=I3,1,2)</f>
        <v>1</v>
      </c>
      <c r="E3">
        <f t="shared" si="0"/>
        <v>-1.3402265266227671</v>
      </c>
      <c r="F3">
        <f t="shared" si="1"/>
        <v>-1.3154442950077423</v>
      </c>
      <c r="G3">
        <f t="array" ref="G3">SQRT(SUM(($E3:$F3-$M$6:$N$6)^2))</f>
        <v>3.0722933466822422E-3</v>
      </c>
      <c r="H3">
        <f t="array" ref="H3">SQRT(SUM(($E3:$F3-$M$7:$N$7)^2))</f>
        <v>2.492102440175795</v>
      </c>
      <c r="I3">
        <f>MIN(G3:H3)</f>
        <v>3.0722933466822422E-3</v>
      </c>
      <c r="K3" t="s">
        <v>12</v>
      </c>
      <c r="L3">
        <f>_xlfn.STDEV.P(A:A)</f>
        <v>1.7594040657752985</v>
      </c>
      <c r="M3">
        <f>_xlfn.STDEV.P(B:B)</f>
        <v>0.75969262790215863</v>
      </c>
      <c r="Q3">
        <v>1.4</v>
      </c>
      <c r="R3">
        <v>0.2</v>
      </c>
      <c r="S3" t="s">
        <v>3</v>
      </c>
      <c r="T3">
        <v>1</v>
      </c>
    </row>
    <row r="4" spans="1:20" x14ac:dyDescent="0.3">
      <c r="A4">
        <v>1.3</v>
      </c>
      <c r="B4">
        <v>0.2</v>
      </c>
      <c r="C4" t="s">
        <v>3</v>
      </c>
      <c r="D4">
        <f t="shared" si="2"/>
        <v>1</v>
      </c>
      <c r="E4">
        <f t="shared" si="0"/>
        <v>-1.3970639535363705</v>
      </c>
      <c r="F4">
        <f t="shared" si="1"/>
        <v>-1.3154442950077423</v>
      </c>
      <c r="G4">
        <f t="array" ref="G4">SQRT(SUM(($E4:$F4-$M$6:$N$6)^2))</f>
        <v>5.9909720260285626E-2</v>
      </c>
      <c r="H4">
        <f t="array" ref="H4">SQRT(SUM(($E4:$F4-$M$7:$N$7)^2))</f>
        <v>2.5329676858029568</v>
      </c>
      <c r="I4">
        <f t="shared" ref="I4:I66" si="3">MIN(G4:H4)</f>
        <v>5.9909720260285626E-2</v>
      </c>
      <c r="Q4">
        <v>1.3</v>
      </c>
      <c r="R4">
        <v>0.2</v>
      </c>
      <c r="S4" t="s">
        <v>3</v>
      </c>
      <c r="T4">
        <v>1</v>
      </c>
    </row>
    <row r="5" spans="1:20" x14ac:dyDescent="0.3">
      <c r="A5">
        <v>1.5</v>
      </c>
      <c r="B5">
        <v>0.2</v>
      </c>
      <c r="C5" t="s">
        <v>3</v>
      </c>
      <c r="D5">
        <f t="shared" si="2"/>
        <v>1</v>
      </c>
      <c r="E5">
        <f t="shared" si="0"/>
        <v>-1.2833890997091637</v>
      </c>
      <c r="F5">
        <f t="shared" si="1"/>
        <v>-1.3154442950077423</v>
      </c>
      <c r="G5">
        <f t="array" ref="G5">SQRT(SUM(($E5:$F5-$M$6:$N$6)^2))</f>
        <v>5.3765133566921142E-2</v>
      </c>
      <c r="H5">
        <f t="array" ref="H5">SQRT(SUM(($E5:$F5-$M$7:$N$7)^2))</f>
        <v>2.4518737393133914</v>
      </c>
      <c r="I5">
        <f t="shared" si="3"/>
        <v>5.3765133566921142E-2</v>
      </c>
      <c r="K5" t="s">
        <v>14</v>
      </c>
      <c r="L5" t="s">
        <v>13</v>
      </c>
      <c r="M5" t="s">
        <v>6</v>
      </c>
      <c r="N5" t="s">
        <v>7</v>
      </c>
      <c r="O5" t="s">
        <v>16</v>
      </c>
      <c r="Q5">
        <v>1.5</v>
      </c>
      <c r="R5">
        <v>0.2</v>
      </c>
      <c r="S5" t="s">
        <v>3</v>
      </c>
      <c r="T5">
        <v>1</v>
      </c>
    </row>
    <row r="6" spans="1:20" x14ac:dyDescent="0.3">
      <c r="A6">
        <v>1.4</v>
      </c>
      <c r="B6">
        <v>0.2</v>
      </c>
      <c r="C6" t="s">
        <v>3</v>
      </c>
      <c r="D6">
        <f t="shared" si="2"/>
        <v>1</v>
      </c>
      <c r="E6">
        <f t="shared" si="0"/>
        <v>-1.3402265266227671</v>
      </c>
      <c r="F6">
        <f t="shared" si="1"/>
        <v>-1.3154442950077423</v>
      </c>
      <c r="G6">
        <f t="array" ref="G6">SQRT(SUM(($E6:$F6-$M$6:$N$6)^2))</f>
        <v>3.0722933466822422E-3</v>
      </c>
      <c r="H6">
        <f t="array" ref="H6">SQRT(SUM(($E6:$F6-$M$7:$N$7)^2))</f>
        <v>2.492102440175795</v>
      </c>
      <c r="I6">
        <f t="shared" si="3"/>
        <v>3.0722933466822422E-3</v>
      </c>
      <c r="K6">
        <v>1</v>
      </c>
      <c r="L6">
        <v>38</v>
      </c>
      <c r="M6">
        <v>-1.3371542332760848</v>
      </c>
      <c r="N6">
        <v>-1.315444295007743</v>
      </c>
      <c r="O6">
        <f>COUNTIF(D:D,K6)</f>
        <v>50</v>
      </c>
      <c r="Q6">
        <v>1.4</v>
      </c>
      <c r="R6">
        <v>0.2</v>
      </c>
      <c r="S6" t="s">
        <v>3</v>
      </c>
      <c r="T6">
        <v>1</v>
      </c>
    </row>
    <row r="7" spans="1:20" x14ac:dyDescent="0.3">
      <c r="A7">
        <v>1.7</v>
      </c>
      <c r="B7">
        <v>0.4</v>
      </c>
      <c r="C7" t="s">
        <v>3</v>
      </c>
      <c r="D7">
        <f t="shared" si="2"/>
        <v>1</v>
      </c>
      <c r="E7">
        <f t="shared" si="0"/>
        <v>-1.1697142458819572</v>
      </c>
      <c r="F7">
        <f t="shared" si="1"/>
        <v>-1.0521799264271401</v>
      </c>
      <c r="G7">
        <f t="array" ref="G7">SQRT(SUM(($E7:$F7-$M$6:$N$6)^2))</f>
        <v>0.31200044413860883</v>
      </c>
      <c r="H7">
        <f t="array" ref="H7">SQRT(SUM(($E7:$F7-$M$7:$N$7)^2))</f>
        <v>2.1870506152032352</v>
      </c>
      <c r="I7">
        <f t="shared" si="3"/>
        <v>0.31200044413860883</v>
      </c>
      <c r="K7">
        <v>2</v>
      </c>
      <c r="L7">
        <v>6</v>
      </c>
      <c r="M7">
        <v>0.43782926222314128</v>
      </c>
      <c r="N7">
        <v>0.43072069836536558</v>
      </c>
      <c r="O7">
        <f>COUNTIF(D:D,K7)</f>
        <v>100</v>
      </c>
      <c r="Q7">
        <v>1.7</v>
      </c>
      <c r="R7">
        <v>0.4</v>
      </c>
      <c r="S7" t="s">
        <v>3</v>
      </c>
      <c r="T7">
        <v>1</v>
      </c>
    </row>
    <row r="8" spans="1:20" x14ac:dyDescent="0.3">
      <c r="A8">
        <v>1.4</v>
      </c>
      <c r="B8">
        <v>0.3</v>
      </c>
      <c r="C8" t="s">
        <v>3</v>
      </c>
      <c r="D8">
        <f t="shared" si="2"/>
        <v>1</v>
      </c>
      <c r="E8">
        <f t="shared" si="0"/>
        <v>-1.3402265266227671</v>
      </c>
      <c r="F8">
        <f t="shared" si="1"/>
        <v>-1.1838121107174411</v>
      </c>
      <c r="G8">
        <f t="array" ref="G8">SQRT(SUM(($E8:$F8-$M$6:$N$6)^2))</f>
        <v>0.13166803305071456</v>
      </c>
      <c r="H8">
        <f t="array" ref="H8">SQRT(SUM(($E8:$F8-$M$7:$N$7)^2))</f>
        <v>2.4017074301115997</v>
      </c>
      <c r="I8">
        <f t="shared" si="3"/>
        <v>0.13166803305071456</v>
      </c>
      <c r="Q8">
        <v>1.4</v>
      </c>
      <c r="R8">
        <v>0.3</v>
      </c>
      <c r="S8" t="s">
        <v>3</v>
      </c>
      <c r="T8">
        <v>1</v>
      </c>
    </row>
    <row r="9" spans="1:20" x14ac:dyDescent="0.3">
      <c r="A9">
        <v>1.5</v>
      </c>
      <c r="B9">
        <v>0.2</v>
      </c>
      <c r="C9" t="s">
        <v>3</v>
      </c>
      <c r="D9">
        <f t="shared" si="2"/>
        <v>1</v>
      </c>
      <c r="E9">
        <f t="shared" si="0"/>
        <v>-1.2833890997091637</v>
      </c>
      <c r="F9">
        <f t="shared" si="1"/>
        <v>-1.3154442950077423</v>
      </c>
      <c r="G9">
        <f t="array" ref="G9">SQRT(SUM(($E9:$F9-$M$6:$N$6)^2))</f>
        <v>5.3765133566921142E-2</v>
      </c>
      <c r="H9">
        <f t="array" ref="H9">SQRT(SUM(($E9:$F9-$M$7:$N$7)^2))</f>
        <v>2.4518737393133914</v>
      </c>
      <c r="I9">
        <f t="shared" si="3"/>
        <v>5.3765133566921142E-2</v>
      </c>
      <c r="N9">
        <f ca="1">OFFSET($E$1,$L6,0)</f>
        <v>-1.3402265266227671</v>
      </c>
      <c r="Q9">
        <v>1.5</v>
      </c>
      <c r="R9">
        <v>0.2</v>
      </c>
      <c r="S9" t="s">
        <v>3</v>
      </c>
      <c r="T9">
        <v>1</v>
      </c>
    </row>
    <row r="10" spans="1:20" x14ac:dyDescent="0.3">
      <c r="A10">
        <v>1.4</v>
      </c>
      <c r="B10">
        <v>0.2</v>
      </c>
      <c r="C10" t="s">
        <v>3</v>
      </c>
      <c r="D10">
        <f t="shared" si="2"/>
        <v>1</v>
      </c>
      <c r="E10">
        <f t="shared" si="0"/>
        <v>-1.3402265266227671</v>
      </c>
      <c r="F10">
        <f t="shared" si="1"/>
        <v>-1.3154442950077423</v>
      </c>
      <c r="G10">
        <f t="array" ref="G10">SQRT(SUM(($E10:$F10-$M$6:$N$6)^2))</f>
        <v>3.0722933466822422E-3</v>
      </c>
      <c r="H10">
        <f t="array" ref="H10">SQRT(SUM(($E10:$F10-$M$7:$N$7)^2))</f>
        <v>2.492102440175795</v>
      </c>
      <c r="I10">
        <f t="shared" si="3"/>
        <v>3.0722933466822422E-3</v>
      </c>
      <c r="K10" t="s">
        <v>17</v>
      </c>
      <c r="Q10">
        <v>1.4</v>
      </c>
      <c r="R10">
        <v>0.2</v>
      </c>
      <c r="S10" t="s">
        <v>3</v>
      </c>
      <c r="T10">
        <v>1</v>
      </c>
    </row>
    <row r="11" spans="1:20" x14ac:dyDescent="0.3">
      <c r="A11">
        <v>1.5</v>
      </c>
      <c r="B11">
        <v>0.1</v>
      </c>
      <c r="C11" t="s">
        <v>3</v>
      </c>
      <c r="D11">
        <f t="shared" si="2"/>
        <v>1</v>
      </c>
      <c r="E11">
        <f t="shared" si="0"/>
        <v>-1.2833890997091637</v>
      </c>
      <c r="F11">
        <f t="shared" si="1"/>
        <v>-1.4470764792980431</v>
      </c>
      <c r="G11">
        <f t="array" ref="G11">SQRT(SUM(($E11:$F11-$M$6:$N$6)^2))</f>
        <v>0.14218903448755957</v>
      </c>
      <c r="H11">
        <f t="array" ref="H11">SQRT(SUM(($E11:$F11-$M$7:$N$7)^2))</f>
        <v>2.5472956031630076</v>
      </c>
      <c r="I11">
        <f t="shared" si="3"/>
        <v>0.14218903448755957</v>
      </c>
      <c r="K11" t="s">
        <v>14</v>
      </c>
      <c r="L11" t="s">
        <v>6</v>
      </c>
      <c r="M11" t="s">
        <v>7</v>
      </c>
      <c r="N11" t="s">
        <v>18</v>
      </c>
      <c r="O11" t="s">
        <v>19</v>
      </c>
      <c r="Q11">
        <v>1.5</v>
      </c>
      <c r="R11">
        <v>0.1</v>
      </c>
      <c r="S11" t="s">
        <v>3</v>
      </c>
      <c r="T11">
        <v>1</v>
      </c>
    </row>
    <row r="12" spans="1:20" x14ac:dyDescent="0.3">
      <c r="A12">
        <v>1.5</v>
      </c>
      <c r="B12">
        <v>0.2</v>
      </c>
      <c r="C12" t="s">
        <v>3</v>
      </c>
      <c r="D12">
        <f t="shared" si="2"/>
        <v>1</v>
      </c>
      <c r="E12">
        <f t="shared" si="0"/>
        <v>-1.2833890997091637</v>
      </c>
      <c r="F12">
        <f t="shared" si="1"/>
        <v>-1.3154442950077423</v>
      </c>
      <c r="G12">
        <f t="array" ref="G12">SQRT(SUM(($E12:$F12-$M$6:$N$6)^2))</f>
        <v>5.3765133566921142E-2</v>
      </c>
      <c r="H12">
        <f t="array" ref="H12">SQRT(SUM(($E12:$F12-$M$7:$N$7)^2))</f>
        <v>2.4518737393133914</v>
      </c>
      <c r="I12">
        <f t="shared" si="3"/>
        <v>5.3765133566921142E-2</v>
      </c>
      <c r="K12">
        <v>1</v>
      </c>
      <c r="L12">
        <f>AVERAGEIF($D:$D,$K12,E:E)</f>
        <v>-1.3049873219363317</v>
      </c>
      <c r="M12">
        <f>AVERAGEIF($D:$D,$K12,F:F)</f>
        <v>-1.2548934902342039</v>
      </c>
      <c r="N12">
        <f ca="1">AVERAGE(_pl1)</f>
        <v>1.4620000000000002</v>
      </c>
      <c r="O12">
        <f ca="1">AVERAGE(_pw1)</f>
        <v>0.24599999999999991</v>
      </c>
      <c r="Q12">
        <v>1.5</v>
      </c>
      <c r="R12">
        <v>0.2</v>
      </c>
      <c r="S12" t="s">
        <v>3</v>
      </c>
      <c r="T12">
        <v>1</v>
      </c>
    </row>
    <row r="13" spans="1:20" x14ac:dyDescent="0.3">
      <c r="A13">
        <v>1.6</v>
      </c>
      <c r="B13">
        <v>0.2</v>
      </c>
      <c r="C13" t="s">
        <v>3</v>
      </c>
      <c r="D13">
        <f t="shared" si="2"/>
        <v>1</v>
      </c>
      <c r="E13">
        <f t="shared" si="0"/>
        <v>-1.2265516727955603</v>
      </c>
      <c r="F13">
        <f t="shared" si="1"/>
        <v>-1.3154442950077423</v>
      </c>
      <c r="G13">
        <f t="array" ref="G13">SQRT(SUM(($E13:$F13-$M$6:$N$6)^2))</f>
        <v>0.11060256048052453</v>
      </c>
      <c r="H13">
        <f t="array" ref="H13">SQRT(SUM(($E13:$F13-$M$7:$N$7)^2))</f>
        <v>2.4123134292490755</v>
      </c>
      <c r="I13">
        <f t="shared" si="3"/>
        <v>0.11060256048052453</v>
      </c>
      <c r="K13">
        <v>2</v>
      </c>
      <c r="L13">
        <f>AVERAGEIF($D:$D,$K13,E:E)</f>
        <v>0.65249366096816419</v>
      </c>
      <c r="M13">
        <f>AVERAGEIF($D:$D,$K13,F:F)</f>
        <v>0.62744674511710019</v>
      </c>
      <c r="N13">
        <f ca="1">AVERAGE(_pl2)</f>
        <v>4.9060000000000006</v>
      </c>
      <c r="O13">
        <f ca="1">AVERAGE(_pw2)</f>
        <v>1.6760000000000006</v>
      </c>
      <c r="Q13">
        <v>1.6</v>
      </c>
      <c r="R13">
        <v>0.2</v>
      </c>
      <c r="S13" t="s">
        <v>3</v>
      </c>
      <c r="T13">
        <v>1</v>
      </c>
    </row>
    <row r="14" spans="1:20" x14ac:dyDescent="0.3">
      <c r="A14">
        <v>1.4</v>
      </c>
      <c r="B14">
        <v>0.1</v>
      </c>
      <c r="C14" t="s">
        <v>3</v>
      </c>
      <c r="D14">
        <f t="shared" si="2"/>
        <v>1</v>
      </c>
      <c r="E14">
        <f t="shared" si="0"/>
        <v>-1.3402265266227671</v>
      </c>
      <c r="F14">
        <f t="shared" si="1"/>
        <v>-1.4470764792980431</v>
      </c>
      <c r="G14">
        <f t="array" ref="G14">SQRT(SUM(($E14:$F14-$M$6:$N$6)^2))</f>
        <v>0.13166803305071278</v>
      </c>
      <c r="H14">
        <f t="array" ref="H14">SQRT(SUM(($E14:$F14-$M$7:$N$7)^2))</f>
        <v>2.5860403377923378</v>
      </c>
      <c r="I14">
        <f t="shared" si="3"/>
        <v>0.13166803305071278</v>
      </c>
      <c r="Q14">
        <v>1.4</v>
      </c>
      <c r="R14">
        <v>0.1</v>
      </c>
      <c r="S14" t="s">
        <v>3</v>
      </c>
      <c r="T14">
        <v>1</v>
      </c>
    </row>
    <row r="15" spans="1:20" x14ac:dyDescent="0.3">
      <c r="A15">
        <v>1.1000000000000001</v>
      </c>
      <c r="B15">
        <v>0.1</v>
      </c>
      <c r="C15" t="s">
        <v>3</v>
      </c>
      <c r="D15">
        <f t="shared" si="2"/>
        <v>1</v>
      </c>
      <c r="E15">
        <f t="shared" si="0"/>
        <v>-1.5107388073635768</v>
      </c>
      <c r="F15">
        <f t="shared" si="1"/>
        <v>-1.4470764792980431</v>
      </c>
      <c r="G15">
        <f t="array" ref="G15">SQRT(SUM(($E15:$F15-$M$6:$N$6)^2))</f>
        <v>0.21785003167815126</v>
      </c>
      <c r="H15">
        <f t="array" ref="H15">SQRT(SUM(($E15:$F15-$M$7:$N$7)^2))</f>
        <v>2.7061115576142778</v>
      </c>
      <c r="I15">
        <f t="shared" si="3"/>
        <v>0.21785003167815126</v>
      </c>
      <c r="Q15">
        <v>1.1000000000000001</v>
      </c>
      <c r="R15">
        <v>0.1</v>
      </c>
      <c r="S15" t="s">
        <v>3</v>
      </c>
      <c r="T15">
        <v>1</v>
      </c>
    </row>
    <row r="16" spans="1:20" x14ac:dyDescent="0.3">
      <c r="A16">
        <v>1.2</v>
      </c>
      <c r="B16">
        <v>0.2</v>
      </c>
      <c r="C16" t="s">
        <v>3</v>
      </c>
      <c r="D16">
        <f t="shared" si="2"/>
        <v>1</v>
      </c>
      <c r="E16">
        <f t="shared" si="0"/>
        <v>-1.4539013804499734</v>
      </c>
      <c r="F16">
        <f t="shared" si="1"/>
        <v>-1.3154442950077423</v>
      </c>
      <c r="G16">
        <f t="array" ref="G16">SQRT(SUM(($E16:$F16-$M$6:$N$6)^2))</f>
        <v>0.11674714717388857</v>
      </c>
      <c r="H16">
        <f t="array" ref="H16">SQRT(SUM(($E16:$F16-$M$7:$N$7)^2))</f>
        <v>2.5744391638782496</v>
      </c>
      <c r="I16">
        <f t="shared" si="3"/>
        <v>0.11674714717388857</v>
      </c>
      <c r="Q16">
        <v>1.2</v>
      </c>
      <c r="R16">
        <v>0.2</v>
      </c>
      <c r="S16" t="s">
        <v>3</v>
      </c>
      <c r="T16">
        <v>1</v>
      </c>
    </row>
    <row r="17" spans="1:20" x14ac:dyDescent="0.3">
      <c r="A17">
        <v>1.5</v>
      </c>
      <c r="B17">
        <v>0.4</v>
      </c>
      <c r="C17" t="s">
        <v>3</v>
      </c>
      <c r="D17">
        <f t="shared" si="2"/>
        <v>1</v>
      </c>
      <c r="E17">
        <f t="shared" si="0"/>
        <v>-1.2833890997091637</v>
      </c>
      <c r="F17">
        <f t="shared" si="1"/>
        <v>-1.0521799264271401</v>
      </c>
      <c r="G17">
        <f t="array" ref="G17">SQRT(SUM(($E17:$F17-$M$6:$N$6)^2))</f>
        <v>0.26869837616110076</v>
      </c>
      <c r="H17">
        <f t="array" ref="H17">SQRT(SUM(($E17:$F17-$M$7:$N$7)^2))</f>
        <v>2.2719126110972954</v>
      </c>
      <c r="I17">
        <f t="shared" si="3"/>
        <v>0.26869837616110076</v>
      </c>
      <c r="Q17">
        <v>1.5</v>
      </c>
      <c r="R17">
        <v>0.4</v>
      </c>
      <c r="S17" t="s">
        <v>3</v>
      </c>
      <c r="T17">
        <v>1</v>
      </c>
    </row>
    <row r="18" spans="1:20" x14ac:dyDescent="0.3">
      <c r="A18">
        <v>1.3</v>
      </c>
      <c r="B18">
        <v>0.4</v>
      </c>
      <c r="C18" t="s">
        <v>3</v>
      </c>
      <c r="D18">
        <f t="shared" si="2"/>
        <v>1</v>
      </c>
      <c r="E18">
        <f t="shared" si="0"/>
        <v>-1.3970639535363705</v>
      </c>
      <c r="F18">
        <f t="shared" si="1"/>
        <v>-1.0521799264271401</v>
      </c>
      <c r="G18">
        <f t="array" ref="G18">SQRT(SUM(($E18:$F18-$M$6:$N$6)^2))</f>
        <v>0.26999500429787437</v>
      </c>
      <c r="H18">
        <f t="array" ref="H18">SQRT(SUM(($E18:$F18-$M$7:$N$7)^2))</f>
        <v>2.359200579910552</v>
      </c>
      <c r="I18">
        <f t="shared" si="3"/>
        <v>0.26999500429787437</v>
      </c>
      <c r="Q18">
        <v>1.3</v>
      </c>
      <c r="R18">
        <v>0.4</v>
      </c>
      <c r="S18" t="s">
        <v>3</v>
      </c>
      <c r="T18">
        <v>1</v>
      </c>
    </row>
    <row r="19" spans="1:20" x14ac:dyDescent="0.3">
      <c r="A19">
        <v>1.4</v>
      </c>
      <c r="B19">
        <v>0.3</v>
      </c>
      <c r="C19" t="s">
        <v>3</v>
      </c>
      <c r="D19">
        <f t="shared" si="2"/>
        <v>1</v>
      </c>
      <c r="E19">
        <f t="shared" si="0"/>
        <v>-1.3402265266227671</v>
      </c>
      <c r="F19">
        <f t="shared" si="1"/>
        <v>-1.1838121107174411</v>
      </c>
      <c r="G19">
        <f t="array" ref="G19">SQRT(SUM(($E19:$F19-$M$6:$N$6)^2))</f>
        <v>0.13166803305071456</v>
      </c>
      <c r="H19">
        <f t="array" ref="H19">SQRT(SUM(($E19:$F19-$M$7:$N$7)^2))</f>
        <v>2.4017074301115997</v>
      </c>
      <c r="I19">
        <f t="shared" si="3"/>
        <v>0.13166803305071456</v>
      </c>
      <c r="M19" s="2" t="s">
        <v>37</v>
      </c>
      <c r="N19" s="2">
        <f>SUMSQ(I:I)+3*2</f>
        <v>68.882030994601692</v>
      </c>
      <c r="Q19">
        <v>1.4</v>
      </c>
      <c r="R19">
        <v>0.3</v>
      </c>
      <c r="S19" t="s">
        <v>3</v>
      </c>
      <c r="T19">
        <v>1</v>
      </c>
    </row>
    <row r="20" spans="1:20" x14ac:dyDescent="0.3">
      <c r="A20">
        <v>1.7</v>
      </c>
      <c r="B20">
        <v>0.3</v>
      </c>
      <c r="C20" t="s">
        <v>3</v>
      </c>
      <c r="D20">
        <f t="shared" si="2"/>
        <v>1</v>
      </c>
      <c r="E20">
        <f t="shared" si="0"/>
        <v>-1.1697142458819572</v>
      </c>
      <c r="F20">
        <f t="shared" si="1"/>
        <v>-1.1838121107174411</v>
      </c>
      <c r="G20">
        <f t="array" ref="G20">SQRT(SUM(($E20:$F20-$M$6:$N$6)^2))</f>
        <v>0.21298634068780475</v>
      </c>
      <c r="H20">
        <f t="array" ref="H20">SQRT(SUM(($E20:$F20-$M$7:$N$7)^2))</f>
        <v>2.2783573736478799</v>
      </c>
      <c r="I20">
        <f t="shared" si="3"/>
        <v>0.21298634068780475</v>
      </c>
      <c r="M20" s="2" t="s">
        <v>38</v>
      </c>
      <c r="N20" s="2">
        <f>SUMSQ(I:I)+3*2*LN(SUM(O6:O7))</f>
        <v>92.945842759179229</v>
      </c>
      <c r="Q20">
        <v>1.7</v>
      </c>
      <c r="R20">
        <v>0.3</v>
      </c>
      <c r="S20" t="s">
        <v>3</v>
      </c>
      <c r="T20">
        <v>1</v>
      </c>
    </row>
    <row r="21" spans="1:20" x14ac:dyDescent="0.3">
      <c r="A21">
        <v>1.5</v>
      </c>
      <c r="B21">
        <v>0.3</v>
      </c>
      <c r="C21" t="s">
        <v>3</v>
      </c>
      <c r="D21">
        <f t="shared" si="2"/>
        <v>1</v>
      </c>
      <c r="E21">
        <f t="shared" si="0"/>
        <v>-1.2833890997091637</v>
      </c>
      <c r="F21">
        <f t="shared" si="1"/>
        <v>-1.1838121107174411</v>
      </c>
      <c r="G21">
        <f t="array" ref="G21">SQRT(SUM(($E21:$F21-$M$6:$N$6)^2))</f>
        <v>0.14218903448756118</v>
      </c>
      <c r="H21">
        <f t="array" ref="H21">SQRT(SUM(($E21:$F21-$M$7:$N$7)^2))</f>
        <v>2.3599383129772153</v>
      </c>
      <c r="I21">
        <f t="shared" si="3"/>
        <v>0.14218903448756118</v>
      </c>
      <c r="Q21">
        <v>1.5</v>
      </c>
      <c r="R21">
        <v>0.3</v>
      </c>
      <c r="S21" t="s">
        <v>3</v>
      </c>
      <c r="T21">
        <v>1</v>
      </c>
    </row>
    <row r="22" spans="1:20" x14ac:dyDescent="0.3">
      <c r="A22">
        <v>1.7</v>
      </c>
      <c r="B22">
        <v>0.2</v>
      </c>
      <c r="C22" t="s">
        <v>3</v>
      </c>
      <c r="D22">
        <f t="shared" si="2"/>
        <v>1</v>
      </c>
      <c r="E22">
        <f t="shared" si="0"/>
        <v>-1.1697142458819572</v>
      </c>
      <c r="F22">
        <f t="shared" si="1"/>
        <v>-1.3154442950077423</v>
      </c>
      <c r="G22">
        <f t="array" ref="G22">SQRT(SUM(($E22:$F22-$M$6:$N$6)^2))</f>
        <v>0.16743998739412769</v>
      </c>
      <c r="H22">
        <f t="array" ref="H22">SQRT(SUM(($E22:$F22-$M$7:$N$7)^2))</f>
        <v>2.373454932062657</v>
      </c>
      <c r="I22">
        <f t="shared" si="3"/>
        <v>0.16743998739412769</v>
      </c>
      <c r="Q22">
        <v>1.7</v>
      </c>
      <c r="R22">
        <v>0.2</v>
      </c>
      <c r="S22" t="s">
        <v>3</v>
      </c>
      <c r="T22">
        <v>1</v>
      </c>
    </row>
    <row r="23" spans="1:20" x14ac:dyDescent="0.3">
      <c r="A23">
        <v>1.5</v>
      </c>
      <c r="B23">
        <v>0.4</v>
      </c>
      <c r="C23" t="s">
        <v>3</v>
      </c>
      <c r="D23">
        <f t="shared" si="2"/>
        <v>1</v>
      </c>
      <c r="E23">
        <f t="shared" si="0"/>
        <v>-1.2833890997091637</v>
      </c>
      <c r="F23">
        <f t="shared" si="1"/>
        <v>-1.0521799264271401</v>
      </c>
      <c r="G23">
        <f t="array" ref="G23">SQRT(SUM(($E23:$F23-$M$6:$N$6)^2))</f>
        <v>0.26869837616110076</v>
      </c>
      <c r="H23">
        <f t="array" ref="H23">SQRT(SUM(($E23:$F23-$M$7:$N$7)^2))</f>
        <v>2.2719126110972954</v>
      </c>
      <c r="I23">
        <f t="shared" si="3"/>
        <v>0.26869837616110076</v>
      </c>
      <c r="Q23">
        <v>1.5</v>
      </c>
      <c r="R23">
        <v>0.4</v>
      </c>
      <c r="S23" t="s">
        <v>3</v>
      </c>
      <c r="T23">
        <v>1</v>
      </c>
    </row>
    <row r="24" spans="1:20" x14ac:dyDescent="0.3">
      <c r="A24">
        <v>1</v>
      </c>
      <c r="B24">
        <v>0.2</v>
      </c>
      <c r="C24" t="s">
        <v>3</v>
      </c>
      <c r="D24">
        <f t="shared" si="2"/>
        <v>1</v>
      </c>
      <c r="E24">
        <f t="shared" si="0"/>
        <v>-1.5675762342771802</v>
      </c>
      <c r="F24">
        <f t="shared" si="1"/>
        <v>-1.3154442950077423</v>
      </c>
      <c r="G24">
        <f t="array" ref="G24">SQRT(SUM(($E24:$F24-$M$6:$N$6)^2))</f>
        <v>0.23042200100109533</v>
      </c>
      <c r="H24">
        <f t="array" ref="H24">SQRT(SUM(($E24:$F24-$M$7:$N$7)^2))</f>
        <v>2.6590869465806128</v>
      </c>
      <c r="I24">
        <f t="shared" si="3"/>
        <v>0.23042200100109533</v>
      </c>
      <c r="Q24">
        <v>1</v>
      </c>
      <c r="R24">
        <v>0.2</v>
      </c>
      <c r="S24" t="s">
        <v>3</v>
      </c>
      <c r="T24">
        <v>1</v>
      </c>
    </row>
    <row r="25" spans="1:20" x14ac:dyDescent="0.3">
      <c r="A25">
        <v>1.7</v>
      </c>
      <c r="B25">
        <v>0.5</v>
      </c>
      <c r="C25" t="s">
        <v>3</v>
      </c>
      <c r="D25">
        <f t="shared" si="2"/>
        <v>1</v>
      </c>
      <c r="E25">
        <f t="shared" si="0"/>
        <v>-1.1697142458819572</v>
      </c>
      <c r="F25">
        <f t="shared" si="1"/>
        <v>-0.92054774213683921</v>
      </c>
      <c r="G25">
        <f t="array" ref="G25">SQRT(SUM(($E25:$F25-$M$6:$N$6)^2))</f>
        <v>0.4289282420730397</v>
      </c>
      <c r="H25">
        <f t="array" ref="H25">SQRT(SUM(($E25:$F25-$M$7:$N$7)^2))</f>
        <v>2.1000291733088154</v>
      </c>
      <c r="I25">
        <f t="shared" si="3"/>
        <v>0.4289282420730397</v>
      </c>
      <c r="Q25">
        <v>1.7</v>
      </c>
      <c r="R25">
        <v>0.5</v>
      </c>
      <c r="S25" t="s">
        <v>3</v>
      </c>
      <c r="T25">
        <v>1</v>
      </c>
    </row>
    <row r="26" spans="1:20" x14ac:dyDescent="0.3">
      <c r="A26">
        <v>1.9</v>
      </c>
      <c r="B26">
        <v>0.2</v>
      </c>
      <c r="C26" t="s">
        <v>3</v>
      </c>
      <c r="D26">
        <f t="shared" si="2"/>
        <v>1</v>
      </c>
      <c r="E26">
        <f t="shared" si="0"/>
        <v>-1.0560393920547506</v>
      </c>
      <c r="F26">
        <f t="shared" si="1"/>
        <v>-1.3154442950077423</v>
      </c>
      <c r="G26">
        <f t="array" ref="G26">SQRT(SUM(($E26:$F26-$M$6:$N$6)^2))</f>
        <v>0.28111484122133423</v>
      </c>
      <c r="H26">
        <f t="array" ref="H26">SQRT(SUM(($E26:$F26-$M$7:$N$7)^2))</f>
        <v>2.2979851479754485</v>
      </c>
      <c r="I26">
        <f t="shared" si="3"/>
        <v>0.28111484122133423</v>
      </c>
      <c r="Q26">
        <v>1.9</v>
      </c>
      <c r="R26">
        <v>0.2</v>
      </c>
      <c r="S26" t="s">
        <v>3</v>
      </c>
      <c r="T26">
        <v>1</v>
      </c>
    </row>
    <row r="27" spans="1:20" x14ac:dyDescent="0.3">
      <c r="A27">
        <v>1.6</v>
      </c>
      <c r="B27">
        <v>0.2</v>
      </c>
      <c r="C27" t="s">
        <v>3</v>
      </c>
      <c r="D27">
        <f t="shared" si="2"/>
        <v>1</v>
      </c>
      <c r="E27">
        <f t="shared" si="0"/>
        <v>-1.2265516727955603</v>
      </c>
      <c r="F27">
        <f t="shared" si="1"/>
        <v>-1.3154442950077423</v>
      </c>
      <c r="G27">
        <f t="array" ref="G27">SQRT(SUM(($E27:$F27-$M$6:$N$6)^2))</f>
        <v>0.11060256048052453</v>
      </c>
      <c r="H27">
        <f t="array" ref="H27">SQRT(SUM(($E27:$F27-$M$7:$N$7)^2))</f>
        <v>2.4123134292490755</v>
      </c>
      <c r="I27">
        <f t="shared" si="3"/>
        <v>0.11060256048052453</v>
      </c>
      <c r="Q27">
        <v>1.6</v>
      </c>
      <c r="R27">
        <v>0.2</v>
      </c>
      <c r="S27" t="s">
        <v>3</v>
      </c>
      <c r="T27">
        <v>1</v>
      </c>
    </row>
    <row r="28" spans="1:20" x14ac:dyDescent="0.3">
      <c r="A28">
        <v>1.6</v>
      </c>
      <c r="B28">
        <v>0.4</v>
      </c>
      <c r="C28" t="s">
        <v>3</v>
      </c>
      <c r="D28">
        <f t="shared" si="2"/>
        <v>1</v>
      </c>
      <c r="E28">
        <f t="shared" si="0"/>
        <v>-1.2265516727955603</v>
      </c>
      <c r="F28">
        <f t="shared" si="1"/>
        <v>-1.0521799264271401</v>
      </c>
      <c r="G28">
        <f t="array" ref="G28">SQRT(SUM(($E28:$F28-$M$6:$N$6)^2))</f>
        <v>0.28555394262554251</v>
      </c>
      <c r="H28">
        <f t="array" ref="H28">SQRT(SUM(($E28:$F28-$M$7:$N$7)^2))</f>
        <v>2.2291608645101708</v>
      </c>
      <c r="I28">
        <f t="shared" si="3"/>
        <v>0.28555394262554251</v>
      </c>
      <c r="Q28">
        <v>1.6</v>
      </c>
      <c r="R28">
        <v>0.4</v>
      </c>
      <c r="S28" t="s">
        <v>3</v>
      </c>
      <c r="T28">
        <v>1</v>
      </c>
    </row>
    <row r="29" spans="1:20" x14ac:dyDescent="0.3">
      <c r="A29">
        <v>1.5</v>
      </c>
      <c r="B29">
        <v>0.2</v>
      </c>
      <c r="C29" t="s">
        <v>3</v>
      </c>
      <c r="D29">
        <f t="shared" si="2"/>
        <v>1</v>
      </c>
      <c r="E29">
        <f t="shared" si="0"/>
        <v>-1.2833890997091637</v>
      </c>
      <c r="F29">
        <f t="shared" si="1"/>
        <v>-1.3154442950077423</v>
      </c>
      <c r="G29">
        <f t="array" ref="G29">SQRT(SUM(($E29:$F29-$M$6:$N$6)^2))</f>
        <v>5.3765133566921142E-2</v>
      </c>
      <c r="H29">
        <f t="array" ref="H29">SQRT(SUM(($E29:$F29-$M$7:$N$7)^2))</f>
        <v>2.4518737393133914</v>
      </c>
      <c r="I29">
        <f t="shared" si="3"/>
        <v>5.3765133566921142E-2</v>
      </c>
      <c r="Q29">
        <v>1.5</v>
      </c>
      <c r="R29">
        <v>0.2</v>
      </c>
      <c r="S29" t="s">
        <v>3</v>
      </c>
      <c r="T29">
        <v>1</v>
      </c>
    </row>
    <row r="30" spans="1:20" x14ac:dyDescent="0.3">
      <c r="A30">
        <v>1.4</v>
      </c>
      <c r="B30">
        <v>0.2</v>
      </c>
      <c r="C30" t="s">
        <v>3</v>
      </c>
      <c r="D30">
        <f t="shared" si="2"/>
        <v>1</v>
      </c>
      <c r="E30">
        <f t="shared" si="0"/>
        <v>-1.3402265266227671</v>
      </c>
      <c r="F30">
        <f t="shared" si="1"/>
        <v>-1.3154442950077423</v>
      </c>
      <c r="G30">
        <f t="array" ref="G30">SQRT(SUM(($E30:$F30-$M$6:$N$6)^2))</f>
        <v>3.0722933466822422E-3</v>
      </c>
      <c r="H30">
        <f t="array" ref="H30">SQRT(SUM(($E30:$F30-$M$7:$N$7)^2))</f>
        <v>2.492102440175795</v>
      </c>
      <c r="I30">
        <f t="shared" si="3"/>
        <v>3.0722933466822422E-3</v>
      </c>
      <c r="Q30">
        <v>1.4</v>
      </c>
      <c r="R30">
        <v>0.2</v>
      </c>
      <c r="S30" t="s">
        <v>3</v>
      </c>
      <c r="T30">
        <v>1</v>
      </c>
    </row>
    <row r="31" spans="1:20" x14ac:dyDescent="0.3">
      <c r="A31">
        <v>1.6</v>
      </c>
      <c r="B31">
        <v>0.2</v>
      </c>
      <c r="C31" t="s">
        <v>3</v>
      </c>
      <c r="D31">
        <f t="shared" si="2"/>
        <v>1</v>
      </c>
      <c r="E31">
        <f t="shared" si="0"/>
        <v>-1.2265516727955603</v>
      </c>
      <c r="F31">
        <f t="shared" si="1"/>
        <v>-1.3154442950077423</v>
      </c>
      <c r="G31">
        <f t="array" ref="G31">SQRT(SUM(($E31:$F31-$M$6:$N$6)^2))</f>
        <v>0.11060256048052453</v>
      </c>
      <c r="H31">
        <f t="array" ref="H31">SQRT(SUM(($E31:$F31-$M$7:$N$7)^2))</f>
        <v>2.4123134292490755</v>
      </c>
      <c r="I31">
        <f t="shared" si="3"/>
        <v>0.11060256048052453</v>
      </c>
      <c r="Q31">
        <v>1.6</v>
      </c>
      <c r="R31">
        <v>0.2</v>
      </c>
      <c r="S31" t="s">
        <v>3</v>
      </c>
      <c r="T31">
        <v>1</v>
      </c>
    </row>
    <row r="32" spans="1:20" x14ac:dyDescent="0.3">
      <c r="A32">
        <v>1.6</v>
      </c>
      <c r="B32">
        <v>0.2</v>
      </c>
      <c r="C32" t="s">
        <v>3</v>
      </c>
      <c r="D32">
        <f t="shared" si="2"/>
        <v>1</v>
      </c>
      <c r="E32">
        <f t="shared" si="0"/>
        <v>-1.2265516727955603</v>
      </c>
      <c r="F32">
        <f t="shared" si="1"/>
        <v>-1.3154442950077423</v>
      </c>
      <c r="G32">
        <f t="array" ref="G32">SQRT(SUM(($E32:$F32-$M$6:$N$6)^2))</f>
        <v>0.11060256048052453</v>
      </c>
      <c r="H32">
        <f t="array" ref="H32">SQRT(SUM(($E32:$F32-$M$7:$N$7)^2))</f>
        <v>2.4123134292490755</v>
      </c>
      <c r="I32">
        <f t="shared" si="3"/>
        <v>0.11060256048052453</v>
      </c>
      <c r="Q32">
        <v>1.6</v>
      </c>
      <c r="R32">
        <v>0.2</v>
      </c>
      <c r="S32" t="s">
        <v>3</v>
      </c>
      <c r="T32">
        <v>1</v>
      </c>
    </row>
    <row r="33" spans="1:20" x14ac:dyDescent="0.3">
      <c r="A33">
        <v>1.5</v>
      </c>
      <c r="B33">
        <v>0.4</v>
      </c>
      <c r="C33" t="s">
        <v>3</v>
      </c>
      <c r="D33">
        <f t="shared" si="2"/>
        <v>1</v>
      </c>
      <c r="E33">
        <f t="shared" si="0"/>
        <v>-1.2833890997091637</v>
      </c>
      <c r="F33">
        <f t="shared" si="1"/>
        <v>-1.0521799264271401</v>
      </c>
      <c r="G33">
        <f t="array" ref="G33">SQRT(SUM(($E33:$F33-$M$6:$N$6)^2))</f>
        <v>0.26869837616110076</v>
      </c>
      <c r="H33">
        <f t="array" ref="H33">SQRT(SUM(($E33:$F33-$M$7:$N$7)^2))</f>
        <v>2.2719126110972954</v>
      </c>
      <c r="I33">
        <f t="shared" si="3"/>
        <v>0.26869837616110076</v>
      </c>
      <c r="Q33">
        <v>1.5</v>
      </c>
      <c r="R33">
        <v>0.4</v>
      </c>
      <c r="S33" t="s">
        <v>3</v>
      </c>
      <c r="T33">
        <v>1</v>
      </c>
    </row>
    <row r="34" spans="1:20" x14ac:dyDescent="0.3">
      <c r="A34">
        <v>1.5</v>
      </c>
      <c r="B34">
        <v>0.1</v>
      </c>
      <c r="C34" t="s">
        <v>3</v>
      </c>
      <c r="D34">
        <f t="shared" si="2"/>
        <v>1</v>
      </c>
      <c r="E34">
        <f t="shared" ref="E34:E65" si="4">(A34-L$2)/L$3</f>
        <v>-1.2833890997091637</v>
      </c>
      <c r="F34">
        <f t="shared" ref="F34:F65" si="5">(B34-M$2)/M$3</f>
        <v>-1.4470764792980431</v>
      </c>
      <c r="G34">
        <f t="array" ref="G34">SQRT(SUM(($E34:$F34-$M$6:$N$6)^2))</f>
        <v>0.14218903448755957</v>
      </c>
      <c r="H34">
        <f t="array" ref="H34">SQRT(SUM(($E34:$F34-$M$7:$N$7)^2))</f>
        <v>2.5472956031630076</v>
      </c>
      <c r="I34">
        <f t="shared" si="3"/>
        <v>0.14218903448755957</v>
      </c>
      <c r="L34" s="1"/>
      <c r="Q34">
        <v>1.5</v>
      </c>
      <c r="R34">
        <v>0.1</v>
      </c>
      <c r="S34" t="s">
        <v>3</v>
      </c>
      <c r="T34">
        <v>1</v>
      </c>
    </row>
    <row r="35" spans="1:20" x14ac:dyDescent="0.3">
      <c r="A35">
        <v>1.4</v>
      </c>
      <c r="B35">
        <v>0.2</v>
      </c>
      <c r="C35" t="s">
        <v>3</v>
      </c>
      <c r="D35">
        <f t="shared" si="2"/>
        <v>1</v>
      </c>
      <c r="E35">
        <f t="shared" si="4"/>
        <v>-1.3402265266227671</v>
      </c>
      <c r="F35">
        <f t="shared" si="5"/>
        <v>-1.3154442950077423</v>
      </c>
      <c r="G35">
        <f t="array" ref="G35">SQRT(SUM(($E35:$F35-$M$6:$N$6)^2))</f>
        <v>3.0722933466822422E-3</v>
      </c>
      <c r="H35">
        <f t="array" ref="H35">SQRT(SUM(($E35:$F35-$M$7:$N$7)^2))</f>
        <v>2.492102440175795</v>
      </c>
      <c r="I35">
        <f t="shared" si="3"/>
        <v>3.0722933466822422E-3</v>
      </c>
      <c r="Q35">
        <v>1.4</v>
      </c>
      <c r="R35">
        <v>0.2</v>
      </c>
      <c r="S35" t="s">
        <v>3</v>
      </c>
      <c r="T35">
        <v>1</v>
      </c>
    </row>
    <row r="36" spans="1:20" x14ac:dyDescent="0.3">
      <c r="A36">
        <v>1.5</v>
      </c>
      <c r="B36">
        <v>0.2</v>
      </c>
      <c r="C36" t="s">
        <v>3</v>
      </c>
      <c r="D36">
        <f t="shared" si="2"/>
        <v>1</v>
      </c>
      <c r="E36">
        <f t="shared" si="4"/>
        <v>-1.2833890997091637</v>
      </c>
      <c r="F36">
        <f t="shared" si="5"/>
        <v>-1.3154442950077423</v>
      </c>
      <c r="G36">
        <f t="array" ref="G36">SQRT(SUM(($E36:$F36-$M$6:$N$6)^2))</f>
        <v>5.3765133566921142E-2</v>
      </c>
      <c r="H36">
        <f t="array" ref="H36">SQRT(SUM(($E36:$F36-$M$7:$N$7)^2))</f>
        <v>2.4518737393133914</v>
      </c>
      <c r="I36">
        <f t="shared" si="3"/>
        <v>5.3765133566921142E-2</v>
      </c>
      <c r="Q36">
        <v>1.5</v>
      </c>
      <c r="R36">
        <v>0.2</v>
      </c>
      <c r="S36" t="s">
        <v>3</v>
      </c>
      <c r="T36">
        <v>1</v>
      </c>
    </row>
    <row r="37" spans="1:20" x14ac:dyDescent="0.3">
      <c r="A37">
        <v>1.2</v>
      </c>
      <c r="B37">
        <v>0.2</v>
      </c>
      <c r="C37" t="s">
        <v>3</v>
      </c>
      <c r="D37">
        <f t="shared" si="2"/>
        <v>1</v>
      </c>
      <c r="E37">
        <f t="shared" si="4"/>
        <v>-1.4539013804499734</v>
      </c>
      <c r="F37">
        <f t="shared" si="5"/>
        <v>-1.3154442950077423</v>
      </c>
      <c r="G37">
        <f t="array" ref="G37">SQRT(SUM(($E37:$F37-$M$6:$N$6)^2))</f>
        <v>0.11674714717388857</v>
      </c>
      <c r="H37">
        <f t="array" ref="H37">SQRT(SUM(($E37:$F37-$M$7:$N$7)^2))</f>
        <v>2.5744391638782496</v>
      </c>
      <c r="I37">
        <f t="shared" si="3"/>
        <v>0.11674714717388857</v>
      </c>
      <c r="Q37">
        <v>1.2</v>
      </c>
      <c r="R37">
        <v>0.2</v>
      </c>
      <c r="S37" t="s">
        <v>3</v>
      </c>
      <c r="T37">
        <v>1</v>
      </c>
    </row>
    <row r="38" spans="1:20" x14ac:dyDescent="0.3">
      <c r="A38">
        <v>1.3</v>
      </c>
      <c r="B38">
        <v>0.2</v>
      </c>
      <c r="C38" t="s">
        <v>3</v>
      </c>
      <c r="D38">
        <f t="shared" si="2"/>
        <v>1</v>
      </c>
      <c r="E38">
        <f t="shared" si="4"/>
        <v>-1.3970639535363705</v>
      </c>
      <c r="F38">
        <f t="shared" si="5"/>
        <v>-1.3154442950077423</v>
      </c>
      <c r="G38">
        <f t="array" ref="G38">SQRT(SUM(($E38:$F38-$M$6:$N$6)^2))</f>
        <v>5.9909720260285626E-2</v>
      </c>
      <c r="H38">
        <f t="array" ref="H38">SQRT(SUM(($E38:$F38-$M$7:$N$7)^2))</f>
        <v>2.5329676858029568</v>
      </c>
      <c r="I38">
        <f t="shared" si="3"/>
        <v>5.9909720260285626E-2</v>
      </c>
      <c r="O38" t="s">
        <v>27</v>
      </c>
      <c r="Q38">
        <v>1.3</v>
      </c>
      <c r="R38">
        <v>0.2</v>
      </c>
      <c r="S38" t="s">
        <v>3</v>
      </c>
      <c r="T38">
        <v>1</v>
      </c>
    </row>
    <row r="39" spans="1:20" x14ac:dyDescent="0.3">
      <c r="A39">
        <v>1.4</v>
      </c>
      <c r="B39">
        <v>0.1</v>
      </c>
      <c r="C39" t="s">
        <v>3</v>
      </c>
      <c r="D39">
        <f t="shared" si="2"/>
        <v>1</v>
      </c>
      <c r="E39">
        <f t="shared" si="4"/>
        <v>-1.3402265266227671</v>
      </c>
      <c r="F39">
        <f t="shared" si="5"/>
        <v>-1.4470764792980431</v>
      </c>
      <c r="G39">
        <f t="array" ref="G39">SQRT(SUM(($E39:$F39-$M$6:$N$6)^2))</f>
        <v>0.13166803305071278</v>
      </c>
      <c r="H39">
        <f t="array" ref="H39">SQRT(SUM(($E39:$F39-$M$7:$N$7)^2))</f>
        <v>2.5860403377923378</v>
      </c>
      <c r="I39">
        <f t="shared" si="3"/>
        <v>0.13166803305071278</v>
      </c>
      <c r="L39" t="s">
        <v>22</v>
      </c>
      <c r="M39">
        <f ca="1">_xlfn.VAR.S((_pl1))</f>
        <v>3.0159183673467978E-2</v>
      </c>
      <c r="N39">
        <f ca="1">_xlfn.COVARIANCE.S(_pl1,_pw1)</f>
        <v>6.0693877551020407E-3</v>
      </c>
      <c r="O39">
        <f>O6/SUM(O6:O7)</f>
        <v>0.33333333333333331</v>
      </c>
      <c r="Q39">
        <v>1.4</v>
      </c>
      <c r="R39">
        <v>0.1</v>
      </c>
      <c r="S39" t="s">
        <v>3</v>
      </c>
      <c r="T39">
        <v>1</v>
      </c>
    </row>
    <row r="40" spans="1:20" x14ac:dyDescent="0.3">
      <c r="A40">
        <v>1.3</v>
      </c>
      <c r="B40">
        <v>0.2</v>
      </c>
      <c r="C40" t="s">
        <v>3</v>
      </c>
      <c r="D40">
        <f t="shared" si="2"/>
        <v>1</v>
      </c>
      <c r="E40">
        <f t="shared" si="4"/>
        <v>-1.3970639535363705</v>
      </c>
      <c r="F40">
        <f t="shared" si="5"/>
        <v>-1.3154442950077423</v>
      </c>
      <c r="G40">
        <f t="array" ref="G40">SQRT(SUM(($E40:$F40-$M$6:$N$6)^2))</f>
        <v>5.9909720260285626E-2</v>
      </c>
      <c r="H40">
        <f t="array" ref="H40">SQRT(SUM(($E40:$F40-$M$7:$N$7)^2))</f>
        <v>2.5329676858029568</v>
      </c>
      <c r="I40">
        <f t="shared" si="3"/>
        <v>5.9909720260285626E-2</v>
      </c>
      <c r="M40">
        <f ca="1">N39</f>
        <v>6.0693877551020407E-3</v>
      </c>
      <c r="N40">
        <f ca="1">_xlfn.VAR.S(_pw1)</f>
        <v>1.1106122448979655E-2</v>
      </c>
      <c r="Q40">
        <v>1.3</v>
      </c>
      <c r="R40">
        <v>0.2</v>
      </c>
      <c r="S40" t="s">
        <v>3</v>
      </c>
      <c r="T40">
        <v>1</v>
      </c>
    </row>
    <row r="41" spans="1:20" x14ac:dyDescent="0.3">
      <c r="A41">
        <v>1.5</v>
      </c>
      <c r="B41">
        <v>0.2</v>
      </c>
      <c r="C41" t="s">
        <v>3</v>
      </c>
      <c r="D41">
        <f t="shared" si="2"/>
        <v>1</v>
      </c>
      <c r="E41">
        <f t="shared" si="4"/>
        <v>-1.2833890997091637</v>
      </c>
      <c r="F41">
        <f t="shared" si="5"/>
        <v>-1.3154442950077423</v>
      </c>
      <c r="G41">
        <f t="array" ref="G41">SQRT(SUM(($E41:$F41-$M$6:$N$6)^2))</f>
        <v>5.3765133566921142E-2</v>
      </c>
      <c r="H41">
        <f t="array" ref="H41">SQRT(SUM(($E41:$F41-$M$7:$N$7)^2))</f>
        <v>2.4518737393133914</v>
      </c>
      <c r="I41">
        <f t="shared" si="3"/>
        <v>5.3765133566921142E-2</v>
      </c>
      <c r="L41" t="s">
        <v>23</v>
      </c>
      <c r="M41">
        <f ca="1">AVERAGE(_pl1)</f>
        <v>1.4620000000000002</v>
      </c>
      <c r="N41">
        <f ca="1">AVERAGE(_pw1)</f>
        <v>0.24599999999999991</v>
      </c>
      <c r="Q41">
        <v>1.5</v>
      </c>
      <c r="R41">
        <v>0.2</v>
      </c>
      <c r="S41" t="s">
        <v>3</v>
      </c>
      <c r="T41">
        <v>1</v>
      </c>
    </row>
    <row r="42" spans="1:20" x14ac:dyDescent="0.3">
      <c r="A42">
        <v>1.3</v>
      </c>
      <c r="B42">
        <v>0.3</v>
      </c>
      <c r="C42" t="s">
        <v>3</v>
      </c>
      <c r="D42">
        <f t="shared" si="2"/>
        <v>1</v>
      </c>
      <c r="E42">
        <f t="shared" si="4"/>
        <v>-1.3970639535363705</v>
      </c>
      <c r="F42">
        <f t="shared" si="5"/>
        <v>-1.1838121107174411</v>
      </c>
      <c r="G42">
        <f t="array" ref="G42">SQRT(SUM(($E42:$F42-$M$6:$N$6)^2))</f>
        <v>0.14462436351701491</v>
      </c>
      <c r="H42">
        <f t="array" ref="H42">SQRT(SUM(($E42:$F42-$M$7:$N$7)^2))</f>
        <v>2.4440845535384206</v>
      </c>
      <c r="I42">
        <f t="shared" si="3"/>
        <v>0.14462436351701491</v>
      </c>
      <c r="Q42">
        <v>1.3</v>
      </c>
      <c r="R42">
        <v>0.3</v>
      </c>
      <c r="S42" t="s">
        <v>3</v>
      </c>
      <c r="T42">
        <v>1</v>
      </c>
    </row>
    <row r="43" spans="1:20" x14ac:dyDescent="0.3">
      <c r="A43">
        <v>1.3</v>
      </c>
      <c r="B43">
        <v>0.3</v>
      </c>
      <c r="C43" t="s">
        <v>3</v>
      </c>
      <c r="D43">
        <f t="shared" si="2"/>
        <v>1</v>
      </c>
      <c r="E43">
        <f t="shared" si="4"/>
        <v>-1.3970639535363705</v>
      </c>
      <c r="F43">
        <f t="shared" si="5"/>
        <v>-1.1838121107174411</v>
      </c>
      <c r="G43">
        <f t="array" ref="G43">SQRT(SUM(($E43:$F43-$M$6:$N$6)^2))</f>
        <v>0.14462436351701491</v>
      </c>
      <c r="H43">
        <f t="array" ref="H43">SQRT(SUM(($E43:$F43-$M$7:$N$7)^2))</f>
        <v>2.4440845535384206</v>
      </c>
      <c r="I43">
        <f t="shared" si="3"/>
        <v>0.14462436351701491</v>
      </c>
      <c r="L43" t="s">
        <v>24</v>
      </c>
      <c r="M43">
        <f ca="1">_xlfn.VAR.S((_pl2))</f>
        <v>0.68157979797979351</v>
      </c>
      <c r="N43">
        <f ca="1">_xlfn.COVARIANCE.S(_pl2,_pw2)</f>
        <v>0.28873131313131317</v>
      </c>
      <c r="O43">
        <f>O7/SUM(O6:O7)</f>
        <v>0.66666666666666663</v>
      </c>
      <c r="Q43">
        <v>1.3</v>
      </c>
      <c r="R43">
        <v>0.3</v>
      </c>
      <c r="S43" t="s">
        <v>3</v>
      </c>
      <c r="T43">
        <v>1</v>
      </c>
    </row>
    <row r="44" spans="1:20" x14ac:dyDescent="0.3">
      <c r="A44">
        <v>1.3</v>
      </c>
      <c r="B44">
        <v>0.2</v>
      </c>
      <c r="C44" t="s">
        <v>3</v>
      </c>
      <c r="D44">
        <f t="shared" si="2"/>
        <v>1</v>
      </c>
      <c r="E44">
        <f t="shared" si="4"/>
        <v>-1.3970639535363705</v>
      </c>
      <c r="F44">
        <f t="shared" si="5"/>
        <v>-1.3154442950077423</v>
      </c>
      <c r="G44">
        <f t="array" ref="G44">SQRT(SUM(($E44:$F44-$M$6:$N$6)^2))</f>
        <v>5.9909720260285626E-2</v>
      </c>
      <c r="H44">
        <f t="array" ref="H44">SQRT(SUM(($E44:$F44-$M$7:$N$7)^2))</f>
        <v>2.5329676858029568</v>
      </c>
      <c r="I44">
        <f t="shared" si="3"/>
        <v>5.9909720260285626E-2</v>
      </c>
      <c r="M44">
        <f ca="1">N43</f>
        <v>0.28873131313131317</v>
      </c>
      <c r="N44">
        <f ca="1">_xlfn.VAR.S(_pw2)</f>
        <v>0.18042828282828205</v>
      </c>
      <c r="Q44">
        <v>1.3</v>
      </c>
      <c r="R44">
        <v>0.2</v>
      </c>
      <c r="S44" t="s">
        <v>3</v>
      </c>
      <c r="T44">
        <v>1</v>
      </c>
    </row>
    <row r="45" spans="1:20" x14ac:dyDescent="0.3">
      <c r="A45">
        <v>1.6</v>
      </c>
      <c r="B45">
        <v>0.6</v>
      </c>
      <c r="C45" t="s">
        <v>3</v>
      </c>
      <c r="D45">
        <f t="shared" si="2"/>
        <v>1</v>
      </c>
      <c r="E45">
        <f t="shared" si="4"/>
        <v>-1.2265516727955603</v>
      </c>
      <c r="F45">
        <f t="shared" si="5"/>
        <v>-0.78891555784653822</v>
      </c>
      <c r="G45">
        <f t="array" ref="G45">SQRT(SUM(($E45:$F45-$M$6:$N$6)^2))</f>
        <v>0.53801992290380951</v>
      </c>
      <c r="H45">
        <f t="array" ref="H45">SQRT(SUM(($E45:$F45-$M$7:$N$7)^2))</f>
        <v>2.063413796193172</v>
      </c>
      <c r="I45">
        <f t="shared" si="3"/>
        <v>0.53801992290380951</v>
      </c>
      <c r="L45" t="s">
        <v>23</v>
      </c>
      <c r="M45">
        <f ca="1">AVERAGE(_pl2)</f>
        <v>4.9060000000000006</v>
      </c>
      <c r="N45">
        <f ca="1">AVERAGE(_pw2)</f>
        <v>1.6760000000000006</v>
      </c>
      <c r="Q45">
        <v>1.6</v>
      </c>
      <c r="R45">
        <v>0.6</v>
      </c>
      <c r="S45" t="s">
        <v>3</v>
      </c>
      <c r="T45">
        <v>1</v>
      </c>
    </row>
    <row r="46" spans="1:20" x14ac:dyDescent="0.3">
      <c r="A46">
        <v>1.9</v>
      </c>
      <c r="B46">
        <v>0.4</v>
      </c>
      <c r="C46" t="s">
        <v>3</v>
      </c>
      <c r="D46">
        <f t="shared" si="2"/>
        <v>1</v>
      </c>
      <c r="E46">
        <f t="shared" si="4"/>
        <v>-1.0560393920547506</v>
      </c>
      <c r="F46">
        <f t="shared" si="5"/>
        <v>-1.0521799264271401</v>
      </c>
      <c r="G46">
        <f t="array" ref="G46">SQRT(SUM(($E46:$F46-$M$6:$N$6)^2))</f>
        <v>0.38514111922649791</v>
      </c>
      <c r="H46">
        <f t="array" ref="H46">SQRT(SUM(($E46:$F46-$M$7:$N$7)^2))</f>
        <v>2.1049080310655004</v>
      </c>
      <c r="I46">
        <f t="shared" si="3"/>
        <v>0.38514111922649791</v>
      </c>
      <c r="Q46">
        <v>1.9</v>
      </c>
      <c r="R46">
        <v>0.4</v>
      </c>
      <c r="S46" t="s">
        <v>3</v>
      </c>
      <c r="T46">
        <v>1</v>
      </c>
    </row>
    <row r="47" spans="1:20" x14ac:dyDescent="0.3">
      <c r="A47">
        <v>1.4</v>
      </c>
      <c r="B47">
        <v>0.3</v>
      </c>
      <c r="C47" t="s">
        <v>3</v>
      </c>
      <c r="D47">
        <f t="shared" si="2"/>
        <v>1</v>
      </c>
      <c r="E47">
        <f t="shared" si="4"/>
        <v>-1.3402265266227671</v>
      </c>
      <c r="F47">
        <f t="shared" si="5"/>
        <v>-1.1838121107174411</v>
      </c>
      <c r="G47">
        <f t="array" ref="G47">SQRT(SUM(($E47:$F47-$M$6:$N$6)^2))</f>
        <v>0.13166803305071456</v>
      </c>
      <c r="H47">
        <f t="array" ref="H47">SQRT(SUM(($E47:$F47-$M$7:$N$7)^2))</f>
        <v>2.4017074301115997</v>
      </c>
      <c r="I47">
        <f t="shared" si="3"/>
        <v>0.13166803305071456</v>
      </c>
      <c r="Q47">
        <v>1.4</v>
      </c>
      <c r="R47">
        <v>0.3</v>
      </c>
      <c r="S47" t="s">
        <v>3</v>
      </c>
      <c r="T47">
        <v>1</v>
      </c>
    </row>
    <row r="48" spans="1:20" x14ac:dyDescent="0.3">
      <c r="A48">
        <v>1.6</v>
      </c>
      <c r="B48">
        <v>0.2</v>
      </c>
      <c r="C48" t="s">
        <v>3</v>
      </c>
      <c r="D48">
        <f t="shared" si="2"/>
        <v>1</v>
      </c>
      <c r="E48">
        <f t="shared" si="4"/>
        <v>-1.2265516727955603</v>
      </c>
      <c r="F48">
        <f t="shared" si="5"/>
        <v>-1.3154442950077423</v>
      </c>
      <c r="G48">
        <f t="array" ref="G48">SQRT(SUM(($E48:$F48-$M$6:$N$6)^2))</f>
        <v>0.11060256048052453</v>
      </c>
      <c r="H48">
        <f t="array" ref="H48">SQRT(SUM(($E48:$F48-$M$7:$N$7)^2))</f>
        <v>2.4123134292490755</v>
      </c>
      <c r="I48">
        <f t="shared" si="3"/>
        <v>0.11060256048052453</v>
      </c>
      <c r="Q48">
        <v>1.6</v>
      </c>
      <c r="R48">
        <v>0.2</v>
      </c>
      <c r="S48" t="s">
        <v>3</v>
      </c>
      <c r="T48">
        <v>1</v>
      </c>
    </row>
    <row r="49" spans="1:20" x14ac:dyDescent="0.3">
      <c r="A49">
        <v>1.4</v>
      </c>
      <c r="B49">
        <v>0.2</v>
      </c>
      <c r="C49" t="s">
        <v>3</v>
      </c>
      <c r="D49">
        <f t="shared" si="2"/>
        <v>1</v>
      </c>
      <c r="E49">
        <f t="shared" si="4"/>
        <v>-1.3402265266227671</v>
      </c>
      <c r="F49">
        <f t="shared" si="5"/>
        <v>-1.3154442950077423</v>
      </c>
      <c r="G49">
        <f t="array" ref="G49">SQRT(SUM(($E49:$F49-$M$6:$N$6)^2))</f>
        <v>3.0722933466822422E-3</v>
      </c>
      <c r="H49">
        <f t="array" ref="H49">SQRT(SUM(($E49:$F49-$M$7:$N$7)^2))</f>
        <v>2.492102440175795</v>
      </c>
      <c r="I49">
        <f t="shared" si="3"/>
        <v>3.0722933466822422E-3</v>
      </c>
      <c r="Q49">
        <v>1.4</v>
      </c>
      <c r="R49">
        <v>0.2</v>
      </c>
      <c r="S49" t="s">
        <v>3</v>
      </c>
      <c r="T49">
        <v>1</v>
      </c>
    </row>
    <row r="50" spans="1:20" x14ac:dyDescent="0.3">
      <c r="A50">
        <v>1.5</v>
      </c>
      <c r="B50">
        <v>0.2</v>
      </c>
      <c r="C50" t="s">
        <v>3</v>
      </c>
      <c r="D50">
        <f t="shared" si="2"/>
        <v>1</v>
      </c>
      <c r="E50">
        <f t="shared" si="4"/>
        <v>-1.2833890997091637</v>
      </c>
      <c r="F50">
        <f t="shared" si="5"/>
        <v>-1.3154442950077423</v>
      </c>
      <c r="G50">
        <f t="array" ref="G50">SQRT(SUM(($E50:$F50-$M$6:$N$6)^2))</f>
        <v>5.3765133566921142E-2</v>
      </c>
      <c r="H50">
        <f t="array" ref="H50">SQRT(SUM(($E50:$F50-$M$7:$N$7)^2))</f>
        <v>2.4518737393133914</v>
      </c>
      <c r="I50">
        <f t="shared" si="3"/>
        <v>5.3765133566921142E-2</v>
      </c>
      <c r="Q50">
        <v>1.5</v>
      </c>
      <c r="R50">
        <v>0.2</v>
      </c>
      <c r="S50" t="s">
        <v>3</v>
      </c>
      <c r="T50">
        <v>1</v>
      </c>
    </row>
    <row r="51" spans="1:20" x14ac:dyDescent="0.3">
      <c r="A51">
        <v>1.4</v>
      </c>
      <c r="B51">
        <v>0.2</v>
      </c>
      <c r="C51" t="s">
        <v>3</v>
      </c>
      <c r="D51">
        <f t="shared" si="2"/>
        <v>1</v>
      </c>
      <c r="E51">
        <f t="shared" si="4"/>
        <v>-1.3402265266227671</v>
      </c>
      <c r="F51">
        <f t="shared" si="5"/>
        <v>-1.3154442950077423</v>
      </c>
      <c r="G51">
        <f t="array" ref="G51">SQRT(SUM(($E51:$F51-$M$6:$N$6)^2))</f>
        <v>3.0722933466822422E-3</v>
      </c>
      <c r="H51">
        <f t="array" ref="H51">SQRT(SUM(($E51:$F51-$M$7:$N$7)^2))</f>
        <v>2.492102440175795</v>
      </c>
      <c r="I51">
        <f t="shared" si="3"/>
        <v>3.0722933466822422E-3</v>
      </c>
      <c r="Q51">
        <v>1.4</v>
      </c>
      <c r="R51">
        <v>0.2</v>
      </c>
      <c r="S51" t="s">
        <v>3</v>
      </c>
      <c r="T51">
        <v>1</v>
      </c>
    </row>
    <row r="52" spans="1:20" x14ac:dyDescent="0.3">
      <c r="A52">
        <v>4.7</v>
      </c>
      <c r="B52">
        <v>1.4</v>
      </c>
      <c r="C52" t="s">
        <v>4</v>
      </c>
      <c r="D52">
        <f t="shared" si="2"/>
        <v>2</v>
      </c>
      <c r="E52">
        <f t="shared" si="4"/>
        <v>0.53540856152614158</v>
      </c>
      <c r="F52">
        <f t="shared" si="5"/>
        <v>0.2641419164758696</v>
      </c>
      <c r="G52">
        <f t="array" ref="G52">SQRT(SUM(($E52:$F52-$M$6:$N$6)^2))</f>
        <v>2.4498130581713125</v>
      </c>
      <c r="H52">
        <f t="array" ref="H52">SQRT(SUM(($E52:$F52-$M$7:$N$7)^2))</f>
        <v>0.19305494095788583</v>
      </c>
      <c r="I52">
        <f t="shared" si="3"/>
        <v>0.19305494095788583</v>
      </c>
      <c r="Q52">
        <v>4.7</v>
      </c>
      <c r="R52">
        <v>1.4</v>
      </c>
      <c r="S52" t="s">
        <v>4</v>
      </c>
      <c r="T52">
        <v>1</v>
      </c>
    </row>
    <row r="53" spans="1:20" x14ac:dyDescent="0.3">
      <c r="A53">
        <v>4.5</v>
      </c>
      <c r="B53">
        <v>1.5</v>
      </c>
      <c r="C53" t="s">
        <v>4</v>
      </c>
      <c r="D53">
        <f t="shared" si="2"/>
        <v>2</v>
      </c>
      <c r="E53">
        <f t="shared" si="4"/>
        <v>0.42173370769893487</v>
      </c>
      <c r="F53">
        <f t="shared" si="5"/>
        <v>0.3957741007661707</v>
      </c>
      <c r="G53">
        <f t="array" ref="G53">SQRT(SUM(($E53:$F53-$M$6:$N$6)^2))</f>
        <v>2.4539672342845966</v>
      </c>
      <c r="H53">
        <f t="array" ref="H53">SQRT(SUM(($E53:$F53-$M$7:$N$7)^2))</f>
        <v>3.8475077117554365E-2</v>
      </c>
      <c r="I53">
        <f t="shared" si="3"/>
        <v>3.8475077117554365E-2</v>
      </c>
      <c r="Q53">
        <v>4.5</v>
      </c>
      <c r="R53">
        <v>1.5</v>
      </c>
      <c r="S53" t="s">
        <v>4</v>
      </c>
      <c r="T53">
        <v>1</v>
      </c>
    </row>
    <row r="54" spans="1:20" x14ac:dyDescent="0.3">
      <c r="A54">
        <v>4.9000000000000004</v>
      </c>
      <c r="B54">
        <v>1.5</v>
      </c>
      <c r="C54" t="s">
        <v>4</v>
      </c>
      <c r="D54">
        <f t="shared" si="2"/>
        <v>2</v>
      </c>
      <c r="E54">
        <f t="shared" si="4"/>
        <v>0.64908341535334824</v>
      </c>
      <c r="F54">
        <f t="shared" si="5"/>
        <v>0.3957741007661707</v>
      </c>
      <c r="G54">
        <f t="array" ref="G54">SQRT(SUM(($E54:$F54-$M$6:$N$6)^2))</f>
        <v>2.6217185956673585</v>
      </c>
      <c r="H54">
        <f t="array" ref="H54">SQRT(SUM(($E54:$F54-$M$7:$N$7)^2))</f>
        <v>0.21412515475422542</v>
      </c>
      <c r="I54">
        <f t="shared" si="3"/>
        <v>0.21412515475422542</v>
      </c>
      <c r="Q54">
        <v>4.9000000000000004</v>
      </c>
      <c r="R54">
        <v>1.5</v>
      </c>
      <c r="S54" t="s">
        <v>4</v>
      </c>
      <c r="T54">
        <v>1</v>
      </c>
    </row>
    <row r="55" spans="1:20" x14ac:dyDescent="0.3">
      <c r="A55">
        <v>4</v>
      </c>
      <c r="B55">
        <v>1.3</v>
      </c>
      <c r="C55" t="s">
        <v>4</v>
      </c>
      <c r="D55">
        <f t="shared" si="2"/>
        <v>2</v>
      </c>
      <c r="E55">
        <f t="shared" si="4"/>
        <v>0.13754657313091845</v>
      </c>
      <c r="F55">
        <f t="shared" si="5"/>
        <v>0.1325097321855688</v>
      </c>
      <c r="G55">
        <f t="array" ref="G55">SQRT(SUM(($E55:$F55-$M$6:$N$6)^2))</f>
        <v>2.0667155908065329</v>
      </c>
      <c r="H55">
        <f t="array" ref="H55">SQRT(SUM(($E55:$F55-$M$7:$N$7)^2))</f>
        <v>0.4232014576042295</v>
      </c>
      <c r="I55">
        <f t="shared" si="3"/>
        <v>0.4232014576042295</v>
      </c>
      <c r="Q55">
        <v>4</v>
      </c>
      <c r="R55">
        <v>1.3</v>
      </c>
      <c r="S55" t="s">
        <v>4</v>
      </c>
      <c r="T55">
        <v>1</v>
      </c>
    </row>
    <row r="56" spans="1:20" x14ac:dyDescent="0.3">
      <c r="A56">
        <v>4.5999999999999996</v>
      </c>
      <c r="B56">
        <v>1.5</v>
      </c>
      <c r="C56" t="s">
        <v>4</v>
      </c>
      <c r="D56">
        <f t="shared" si="2"/>
        <v>2</v>
      </c>
      <c r="E56">
        <f t="shared" si="4"/>
        <v>0.47857113461253797</v>
      </c>
      <c r="F56">
        <f t="shared" si="5"/>
        <v>0.3957741007661707</v>
      </c>
      <c r="G56">
        <f t="array" ref="G56">SQRT(SUM(($E56:$F56-$M$6:$N$6)^2))</f>
        <v>2.4950204427277387</v>
      </c>
      <c r="H56">
        <f t="array" ref="H56">SQRT(SUM(($E56:$F56-$M$7:$N$7)^2))</f>
        <v>5.3676483207769285E-2</v>
      </c>
      <c r="I56">
        <f t="shared" si="3"/>
        <v>5.3676483207769285E-2</v>
      </c>
      <c r="Q56">
        <v>4.5999999999999996</v>
      </c>
      <c r="R56">
        <v>1.5</v>
      </c>
      <c r="S56" t="s">
        <v>4</v>
      </c>
      <c r="T56">
        <v>1</v>
      </c>
    </row>
    <row r="57" spans="1:20" x14ac:dyDescent="0.3">
      <c r="A57">
        <v>4.5</v>
      </c>
      <c r="B57">
        <v>1.3</v>
      </c>
      <c r="C57" t="s">
        <v>4</v>
      </c>
      <c r="D57">
        <f t="shared" si="2"/>
        <v>2</v>
      </c>
      <c r="E57">
        <f t="shared" si="4"/>
        <v>0.42173370769893487</v>
      </c>
      <c r="F57">
        <f t="shared" si="5"/>
        <v>0.1325097321855688</v>
      </c>
      <c r="G57">
        <f t="array" ref="G57">SQRT(SUM(($E57:$F57-$M$6:$N$6)^2))</f>
        <v>2.2782136980039152</v>
      </c>
      <c r="H57">
        <f t="array" ref="H57">SQRT(SUM(($E57:$F57-$M$7:$N$7)^2))</f>
        <v>0.29864501875191157</v>
      </c>
      <c r="I57">
        <f t="shared" si="3"/>
        <v>0.29864501875191157</v>
      </c>
      <c r="Q57">
        <v>4.5</v>
      </c>
      <c r="R57">
        <v>1.3</v>
      </c>
      <c r="S57" t="s">
        <v>4</v>
      </c>
      <c r="T57">
        <v>1</v>
      </c>
    </row>
    <row r="58" spans="1:20" x14ac:dyDescent="0.3">
      <c r="A58">
        <v>4.7</v>
      </c>
      <c r="B58">
        <v>1.6</v>
      </c>
      <c r="C58" t="s">
        <v>4</v>
      </c>
      <c r="D58">
        <f t="shared" si="2"/>
        <v>2</v>
      </c>
      <c r="E58">
        <f t="shared" si="4"/>
        <v>0.53540856152614158</v>
      </c>
      <c r="F58">
        <f t="shared" si="5"/>
        <v>0.5274062850564718</v>
      </c>
      <c r="G58">
        <f t="array" ref="G58">SQRT(SUM(($E58:$F58-$M$6:$N$6)^2))</f>
        <v>2.6272779984083408</v>
      </c>
      <c r="H58">
        <f t="array" ref="H58">SQRT(SUM(($E58:$F58-$M$7:$N$7)^2))</f>
        <v>0.13736747186385839</v>
      </c>
      <c r="I58">
        <f t="shared" si="3"/>
        <v>0.13736747186385839</v>
      </c>
      <c r="Q58">
        <v>4.7</v>
      </c>
      <c r="R58">
        <v>1.6</v>
      </c>
      <c r="S58" t="s">
        <v>4</v>
      </c>
      <c r="T58">
        <v>1</v>
      </c>
    </row>
    <row r="59" spans="1:20" x14ac:dyDescent="0.3">
      <c r="A59">
        <v>3.3</v>
      </c>
      <c r="B59">
        <v>1</v>
      </c>
      <c r="C59" t="s">
        <v>4</v>
      </c>
      <c r="D59">
        <f t="shared" si="2"/>
        <v>2</v>
      </c>
      <c r="E59">
        <f t="shared" si="4"/>
        <v>-0.26031541526430468</v>
      </c>
      <c r="F59">
        <f t="shared" si="5"/>
        <v>-0.2623868206853342</v>
      </c>
      <c r="G59">
        <f t="array" ref="G59">SQRT(SUM(($E59:$F59-$M$6:$N$6)^2))</f>
        <v>1.5061579877965321</v>
      </c>
      <c r="H59">
        <f t="array" ref="H59">SQRT(SUM(($E59:$F59-$M$7:$N$7)^2))</f>
        <v>0.98377031042244112</v>
      </c>
      <c r="I59">
        <f t="shared" si="3"/>
        <v>0.98377031042244112</v>
      </c>
      <c r="Q59">
        <v>3.3</v>
      </c>
      <c r="R59">
        <v>1</v>
      </c>
      <c r="S59" t="s">
        <v>4</v>
      </c>
      <c r="T59">
        <v>1</v>
      </c>
    </row>
    <row r="60" spans="1:20" x14ac:dyDescent="0.3">
      <c r="A60">
        <v>4.5999999999999996</v>
      </c>
      <c r="B60">
        <v>1.3</v>
      </c>
      <c r="C60" t="s">
        <v>4</v>
      </c>
      <c r="D60">
        <f t="shared" si="2"/>
        <v>2</v>
      </c>
      <c r="E60">
        <f t="shared" si="4"/>
        <v>0.47857113461253797</v>
      </c>
      <c r="F60">
        <f t="shared" si="5"/>
        <v>0.1325097321855688</v>
      </c>
      <c r="G60">
        <f t="array" ref="G60">SQRT(SUM(($E60:$F60-$M$6:$N$6)^2))</f>
        <v>2.3223758258429239</v>
      </c>
      <c r="H60">
        <f t="array" ref="H60">SQRT(SUM(($E60:$F60-$M$7:$N$7)^2))</f>
        <v>0.30098119628256148</v>
      </c>
      <c r="I60">
        <f t="shared" si="3"/>
        <v>0.30098119628256148</v>
      </c>
      <c r="Q60">
        <v>4.5999999999999996</v>
      </c>
      <c r="R60">
        <v>1.3</v>
      </c>
      <c r="S60" t="s">
        <v>4</v>
      </c>
      <c r="T60">
        <v>1</v>
      </c>
    </row>
    <row r="61" spans="1:20" x14ac:dyDescent="0.3">
      <c r="A61">
        <v>3.9</v>
      </c>
      <c r="B61">
        <v>1.4</v>
      </c>
      <c r="C61" t="s">
        <v>4</v>
      </c>
      <c r="D61">
        <f t="shared" si="2"/>
        <v>2</v>
      </c>
      <c r="E61">
        <f t="shared" si="4"/>
        <v>8.0709146217315106E-2</v>
      </c>
      <c r="F61">
        <f t="shared" si="5"/>
        <v>0.2641419164758696</v>
      </c>
      <c r="G61">
        <f t="array" ref="G61">SQRT(SUM(($E61:$F61-$M$6:$N$6)^2))</f>
        <v>2.1225996236731968</v>
      </c>
      <c r="H61">
        <f t="array" ref="H61">SQRT(SUM(($E61:$F61-$M$7:$N$7)^2))</f>
        <v>0.39405997999264403</v>
      </c>
      <c r="I61">
        <f t="shared" si="3"/>
        <v>0.39405997999264403</v>
      </c>
      <c r="Q61">
        <v>3.9</v>
      </c>
      <c r="R61">
        <v>1.4</v>
      </c>
      <c r="S61" t="s">
        <v>4</v>
      </c>
      <c r="T61">
        <v>1</v>
      </c>
    </row>
    <row r="62" spans="1:20" x14ac:dyDescent="0.3">
      <c r="A62">
        <v>3.5</v>
      </c>
      <c r="B62">
        <v>1</v>
      </c>
      <c r="C62" t="s">
        <v>4</v>
      </c>
      <c r="D62">
        <f t="shared" si="2"/>
        <v>2</v>
      </c>
      <c r="E62">
        <f t="shared" si="4"/>
        <v>-0.146640561437098</v>
      </c>
      <c r="F62">
        <f t="shared" si="5"/>
        <v>-0.2623868206853342</v>
      </c>
      <c r="G62">
        <f t="array" ref="G62">SQRT(SUM(($E62:$F62-$M$6:$N$6)^2))</f>
        <v>1.5894190281552054</v>
      </c>
      <c r="H62">
        <f t="array" ref="H62">SQRT(SUM(($E62:$F62-$M$7:$N$7)^2))</f>
        <v>0.90664381525163862</v>
      </c>
      <c r="I62">
        <f t="shared" si="3"/>
        <v>0.90664381525163862</v>
      </c>
      <c r="Q62">
        <v>3.5</v>
      </c>
      <c r="R62">
        <v>1</v>
      </c>
      <c r="S62" t="s">
        <v>4</v>
      </c>
      <c r="T62">
        <v>1</v>
      </c>
    </row>
    <row r="63" spans="1:20" x14ac:dyDescent="0.3">
      <c r="A63">
        <v>4.2</v>
      </c>
      <c r="B63">
        <v>1.5</v>
      </c>
      <c r="C63" t="s">
        <v>4</v>
      </c>
      <c r="D63">
        <f t="shared" si="2"/>
        <v>2</v>
      </c>
      <c r="E63">
        <f t="shared" si="4"/>
        <v>0.2512214269581251</v>
      </c>
      <c r="F63">
        <f t="shared" si="5"/>
        <v>0.3957741007661707</v>
      </c>
      <c r="G63">
        <f t="array" ref="G63">SQRT(SUM(($E63:$F63-$M$6:$N$6)^2))</f>
        <v>2.3347817105801365</v>
      </c>
      <c r="H63">
        <f t="array" ref="H63">SQRT(SUM(($E63:$F63-$M$7:$N$7)^2))</f>
        <v>0.18985191299024476</v>
      </c>
      <c r="I63">
        <f t="shared" si="3"/>
        <v>0.18985191299024476</v>
      </c>
      <c r="Q63">
        <v>4.2</v>
      </c>
      <c r="R63">
        <v>1.5</v>
      </c>
      <c r="S63" t="s">
        <v>4</v>
      </c>
      <c r="T63">
        <v>1</v>
      </c>
    </row>
    <row r="64" spans="1:20" x14ac:dyDescent="0.3">
      <c r="A64">
        <v>4</v>
      </c>
      <c r="B64">
        <v>1</v>
      </c>
      <c r="C64" t="s">
        <v>4</v>
      </c>
      <c r="D64">
        <f t="shared" si="2"/>
        <v>2</v>
      </c>
      <c r="E64">
        <f t="shared" si="4"/>
        <v>0.13754657313091845</v>
      </c>
      <c r="F64">
        <f t="shared" si="5"/>
        <v>-0.2623868206853342</v>
      </c>
      <c r="G64">
        <f t="array" ref="G64">SQRT(SUM(($E64:$F64-$M$6:$N$6)^2))</f>
        <v>1.8120906469169131</v>
      </c>
      <c r="H64">
        <f t="array" ref="H64">SQRT(SUM(($E64:$F64-$M$7:$N$7)^2))</f>
        <v>0.75535933590118065</v>
      </c>
      <c r="I64">
        <f t="shared" si="3"/>
        <v>0.75535933590118065</v>
      </c>
      <c r="Q64">
        <v>4</v>
      </c>
      <c r="R64">
        <v>1</v>
      </c>
      <c r="S64" t="s">
        <v>4</v>
      </c>
      <c r="T64">
        <v>1</v>
      </c>
    </row>
    <row r="65" spans="1:20" x14ac:dyDescent="0.3">
      <c r="A65">
        <v>4.7</v>
      </c>
      <c r="B65">
        <v>1.4</v>
      </c>
      <c r="C65" t="s">
        <v>4</v>
      </c>
      <c r="D65">
        <f t="shared" si="2"/>
        <v>2</v>
      </c>
      <c r="E65">
        <f t="shared" si="4"/>
        <v>0.53540856152614158</v>
      </c>
      <c r="F65">
        <f t="shared" si="5"/>
        <v>0.2641419164758696</v>
      </c>
      <c r="G65">
        <f t="array" ref="G65">SQRT(SUM(($E65:$F65-$M$6:$N$6)^2))</f>
        <v>2.4498130581713125</v>
      </c>
      <c r="H65">
        <f t="array" ref="H65">SQRT(SUM(($E65:$F65-$M$7:$N$7)^2))</f>
        <v>0.19305494095788583</v>
      </c>
      <c r="I65">
        <f t="shared" si="3"/>
        <v>0.19305494095788583</v>
      </c>
      <c r="Q65">
        <v>4.7</v>
      </c>
      <c r="R65">
        <v>1.4</v>
      </c>
      <c r="S65" t="s">
        <v>4</v>
      </c>
      <c r="T65">
        <v>1</v>
      </c>
    </row>
    <row r="66" spans="1:20" x14ac:dyDescent="0.3">
      <c r="A66">
        <v>3.6</v>
      </c>
      <c r="B66">
        <v>1.3</v>
      </c>
      <c r="C66" t="s">
        <v>4</v>
      </c>
      <c r="D66">
        <f t="shared" si="2"/>
        <v>2</v>
      </c>
      <c r="E66">
        <f t="shared" ref="E66:E97" si="6">(A66-L$2)/L$3</f>
        <v>-8.9803134523494657E-2</v>
      </c>
      <c r="F66">
        <f t="shared" ref="F66:F97" si="7">(B66-M$2)/M$3</f>
        <v>0.1325097321855688</v>
      </c>
      <c r="G66">
        <f t="array" ref="G66">SQRT(SUM(($E66:$F66-$M$6:$N$6)^2))</f>
        <v>1.911139876729232</v>
      </c>
      <c r="H66">
        <f t="array" ref="H66">SQRT(SUM(($E66:$F66-$M$7:$N$7)^2))</f>
        <v>0.60607402720005032</v>
      </c>
      <c r="I66">
        <f t="shared" si="3"/>
        <v>0.60607402720005032</v>
      </c>
      <c r="Q66">
        <v>3.6</v>
      </c>
      <c r="R66">
        <v>1.3</v>
      </c>
      <c r="S66" t="s">
        <v>4</v>
      </c>
      <c r="T66">
        <v>1</v>
      </c>
    </row>
    <row r="67" spans="1:20" x14ac:dyDescent="0.3">
      <c r="A67">
        <v>4.4000000000000004</v>
      </c>
      <c r="B67">
        <v>1.4</v>
      </c>
      <c r="C67" t="s">
        <v>4</v>
      </c>
      <c r="D67">
        <f t="shared" ref="D67:D130" si="8">IF(G67=I67,1,2)</f>
        <v>2</v>
      </c>
      <c r="E67">
        <f t="shared" si="6"/>
        <v>0.36489628078533176</v>
      </c>
      <c r="F67">
        <f t="shared" si="7"/>
        <v>0.2641419164758696</v>
      </c>
      <c r="G67">
        <f t="array" ref="G67">SQRT(SUM(($E67:$F67-$M$6:$N$6)^2))</f>
        <v>2.3220828047091442</v>
      </c>
      <c r="H67">
        <f t="array" ref="H67">SQRT(SUM(($E67:$F67-$M$7:$N$7)^2))</f>
        <v>0.18184529237017971</v>
      </c>
      <c r="I67">
        <f t="shared" ref="I67:I130" si="9">MIN(G67:H67)</f>
        <v>0.18184529237017971</v>
      </c>
      <c r="Q67">
        <v>4.4000000000000004</v>
      </c>
      <c r="R67">
        <v>1.4</v>
      </c>
      <c r="S67" t="s">
        <v>4</v>
      </c>
      <c r="T67">
        <v>1</v>
      </c>
    </row>
    <row r="68" spans="1:20" x14ac:dyDescent="0.3">
      <c r="A68">
        <v>4.5</v>
      </c>
      <c r="B68">
        <v>1.5</v>
      </c>
      <c r="C68" t="s">
        <v>4</v>
      </c>
      <c r="D68">
        <f t="shared" si="8"/>
        <v>2</v>
      </c>
      <c r="E68">
        <f t="shared" si="6"/>
        <v>0.42173370769893487</v>
      </c>
      <c r="F68">
        <f t="shared" si="7"/>
        <v>0.3957741007661707</v>
      </c>
      <c r="G68">
        <f t="array" ref="G68">SQRT(SUM(($E68:$F68-$M$6:$N$6)^2))</f>
        <v>2.4539672342845966</v>
      </c>
      <c r="H68">
        <f t="array" ref="H68">SQRT(SUM(($E68:$F68-$M$7:$N$7)^2))</f>
        <v>3.8475077117554365E-2</v>
      </c>
      <c r="I68">
        <f t="shared" si="9"/>
        <v>3.8475077117554365E-2</v>
      </c>
      <c r="Q68">
        <v>4.5</v>
      </c>
      <c r="R68">
        <v>1.5</v>
      </c>
      <c r="S68" t="s">
        <v>4</v>
      </c>
      <c r="T68">
        <v>1</v>
      </c>
    </row>
    <row r="69" spans="1:20" x14ac:dyDescent="0.3">
      <c r="A69">
        <v>4.0999999999999996</v>
      </c>
      <c r="B69">
        <v>1</v>
      </c>
      <c r="C69" t="s">
        <v>4</v>
      </c>
      <c r="D69">
        <f t="shared" si="8"/>
        <v>2</v>
      </c>
      <c r="E69">
        <f t="shared" si="6"/>
        <v>0.19438400004452153</v>
      </c>
      <c r="F69">
        <f t="shared" si="7"/>
        <v>-0.2623868206853342</v>
      </c>
      <c r="G69">
        <f t="array" ref="G69">SQRT(SUM(($E69:$F69-$M$6:$N$6)^2))</f>
        <v>1.858639126982184</v>
      </c>
      <c r="H69">
        <f t="array" ref="H69">SQRT(SUM(($E69:$F69-$M$7:$N$7)^2))</f>
        <v>0.73461801546234429</v>
      </c>
      <c r="I69">
        <f t="shared" si="9"/>
        <v>0.73461801546234429</v>
      </c>
      <c r="Q69">
        <v>4.0999999999999996</v>
      </c>
      <c r="R69">
        <v>1</v>
      </c>
      <c r="S69" t="s">
        <v>4</v>
      </c>
      <c r="T69">
        <v>1</v>
      </c>
    </row>
    <row r="70" spans="1:20" x14ac:dyDescent="0.3">
      <c r="A70">
        <v>4.5</v>
      </c>
      <c r="B70">
        <v>1.5</v>
      </c>
      <c r="C70" t="s">
        <v>4</v>
      </c>
      <c r="D70">
        <f t="shared" si="8"/>
        <v>2</v>
      </c>
      <c r="E70">
        <f t="shared" si="6"/>
        <v>0.42173370769893487</v>
      </c>
      <c r="F70">
        <f t="shared" si="7"/>
        <v>0.3957741007661707</v>
      </c>
      <c r="G70">
        <f t="array" ref="G70">SQRT(SUM(($E70:$F70-$M$6:$N$6)^2))</f>
        <v>2.4539672342845966</v>
      </c>
      <c r="H70">
        <f t="array" ref="H70">SQRT(SUM(($E70:$F70-$M$7:$N$7)^2))</f>
        <v>3.8475077117554365E-2</v>
      </c>
      <c r="I70">
        <f t="shared" si="9"/>
        <v>3.8475077117554365E-2</v>
      </c>
      <c r="Q70">
        <v>4.5</v>
      </c>
      <c r="R70">
        <v>1.5</v>
      </c>
      <c r="S70" t="s">
        <v>4</v>
      </c>
      <c r="T70">
        <v>2</v>
      </c>
    </row>
    <row r="71" spans="1:20" x14ac:dyDescent="0.3">
      <c r="A71">
        <v>3.9</v>
      </c>
      <c r="B71">
        <v>1.1000000000000001</v>
      </c>
      <c r="C71" t="s">
        <v>4</v>
      </c>
      <c r="D71">
        <f t="shared" si="8"/>
        <v>2</v>
      </c>
      <c r="E71">
        <f t="shared" si="6"/>
        <v>8.0709146217315106E-2</v>
      </c>
      <c r="F71">
        <f t="shared" si="7"/>
        <v>-0.13075463639503312</v>
      </c>
      <c r="G71">
        <f t="array" ref="G71">SQRT(SUM(($E71:$F71-$M$6:$N$6)^2))</f>
        <v>1.847654229051622</v>
      </c>
      <c r="H71">
        <f t="array" ref="H71">SQRT(SUM(($E71:$F71-$M$7:$N$7)^2))</f>
        <v>0.66542417208898907</v>
      </c>
      <c r="I71">
        <f t="shared" si="9"/>
        <v>0.66542417208898907</v>
      </c>
      <c r="Q71">
        <v>3.9</v>
      </c>
      <c r="R71">
        <v>1.1000000000000001</v>
      </c>
      <c r="S71" t="s">
        <v>4</v>
      </c>
      <c r="T71">
        <v>2</v>
      </c>
    </row>
    <row r="72" spans="1:20" x14ac:dyDescent="0.3">
      <c r="A72">
        <v>4.8</v>
      </c>
      <c r="B72">
        <v>1.8</v>
      </c>
      <c r="C72" t="s">
        <v>4</v>
      </c>
      <c r="D72">
        <f t="shared" si="8"/>
        <v>2</v>
      </c>
      <c r="E72">
        <f t="shared" si="6"/>
        <v>0.59224598843974463</v>
      </c>
      <c r="F72">
        <f t="shared" si="7"/>
        <v>0.79067065363707378</v>
      </c>
      <c r="G72">
        <f t="array" ref="G72">SQRT(SUM(($E72:$F72-$M$6:$N$6)^2))</f>
        <v>2.8562747403676436</v>
      </c>
      <c r="H72">
        <f t="array" ref="H72">SQRT(SUM(($E72:$F72-$M$7:$N$7)^2))</f>
        <v>0.39167396599156062</v>
      </c>
      <c r="I72">
        <f t="shared" si="9"/>
        <v>0.39167396599156062</v>
      </c>
      <c r="Q72">
        <v>4.8</v>
      </c>
      <c r="R72">
        <v>1.8</v>
      </c>
      <c r="S72" t="s">
        <v>4</v>
      </c>
      <c r="T72">
        <v>2</v>
      </c>
    </row>
    <row r="73" spans="1:20" x14ac:dyDescent="0.3">
      <c r="A73">
        <v>4</v>
      </c>
      <c r="B73">
        <v>1.3</v>
      </c>
      <c r="C73" t="s">
        <v>4</v>
      </c>
      <c r="D73">
        <f t="shared" si="8"/>
        <v>2</v>
      </c>
      <c r="E73">
        <f t="shared" si="6"/>
        <v>0.13754657313091845</v>
      </c>
      <c r="F73">
        <f t="shared" si="7"/>
        <v>0.1325097321855688</v>
      </c>
      <c r="G73">
        <f t="array" ref="G73">SQRT(SUM(($E73:$F73-$M$6:$N$6)^2))</f>
        <v>2.0667155908065329</v>
      </c>
      <c r="H73">
        <f t="array" ref="H73">SQRT(SUM(($E73:$F73-$M$7:$N$7)^2))</f>
        <v>0.4232014576042295</v>
      </c>
      <c r="I73">
        <f t="shared" si="9"/>
        <v>0.4232014576042295</v>
      </c>
      <c r="Q73">
        <v>4</v>
      </c>
      <c r="R73">
        <v>1.3</v>
      </c>
      <c r="S73" t="s">
        <v>4</v>
      </c>
      <c r="T73">
        <v>2</v>
      </c>
    </row>
    <row r="74" spans="1:20" x14ac:dyDescent="0.3">
      <c r="A74">
        <v>4.9000000000000004</v>
      </c>
      <c r="B74">
        <v>1.5</v>
      </c>
      <c r="C74" t="s">
        <v>4</v>
      </c>
      <c r="D74">
        <f t="shared" si="8"/>
        <v>2</v>
      </c>
      <c r="E74">
        <f t="shared" si="6"/>
        <v>0.64908341535334824</v>
      </c>
      <c r="F74">
        <f t="shared" si="7"/>
        <v>0.3957741007661707</v>
      </c>
      <c r="G74">
        <f t="array" ref="G74">SQRT(SUM(($E74:$F74-$M$6:$N$6)^2))</f>
        <v>2.6217185956673585</v>
      </c>
      <c r="H74">
        <f t="array" ref="H74">SQRT(SUM(($E74:$F74-$M$7:$N$7)^2))</f>
        <v>0.21412515475422542</v>
      </c>
      <c r="I74">
        <f t="shared" si="9"/>
        <v>0.21412515475422542</v>
      </c>
      <c r="Q74">
        <v>4.9000000000000004</v>
      </c>
      <c r="R74">
        <v>1.5</v>
      </c>
      <c r="S74" t="s">
        <v>4</v>
      </c>
      <c r="T74">
        <v>2</v>
      </c>
    </row>
    <row r="75" spans="1:20" x14ac:dyDescent="0.3">
      <c r="A75">
        <v>4.7</v>
      </c>
      <c r="B75">
        <v>1.2</v>
      </c>
      <c r="C75" t="s">
        <v>4</v>
      </c>
      <c r="D75">
        <f t="shared" si="8"/>
        <v>2</v>
      </c>
      <c r="E75">
        <f t="shared" si="6"/>
        <v>0.53540856152614158</v>
      </c>
      <c r="F75">
        <f t="shared" si="7"/>
        <v>8.7754789526769972E-4</v>
      </c>
      <c r="G75">
        <f t="array" ref="G75">SQRT(SUM(($E75:$F75-$M$6:$N$6)^2))</f>
        <v>2.2889287045648894</v>
      </c>
      <c r="H75">
        <f t="array" ref="H75">SQRT(SUM(($E75:$F75-$M$7:$N$7)^2))</f>
        <v>0.44077982446854769</v>
      </c>
      <c r="I75">
        <f t="shared" si="9"/>
        <v>0.44077982446854769</v>
      </c>
      <c r="Q75">
        <v>4.7</v>
      </c>
      <c r="R75">
        <v>1.2</v>
      </c>
      <c r="S75" t="s">
        <v>4</v>
      </c>
      <c r="T75">
        <v>2</v>
      </c>
    </row>
    <row r="76" spans="1:20" x14ac:dyDescent="0.3">
      <c r="A76">
        <v>4.3</v>
      </c>
      <c r="B76">
        <v>1.3</v>
      </c>
      <c r="C76" t="s">
        <v>4</v>
      </c>
      <c r="D76">
        <f t="shared" si="8"/>
        <v>2</v>
      </c>
      <c r="E76">
        <f t="shared" si="6"/>
        <v>0.30805885387172821</v>
      </c>
      <c r="F76">
        <f t="shared" si="7"/>
        <v>0.1325097321855688</v>
      </c>
      <c r="G76">
        <f t="array" ref="G76">SQRT(SUM(($E76:$F76-$M$6:$N$6)^2))</f>
        <v>2.1916425271899995</v>
      </c>
      <c r="H76">
        <f t="array" ref="H76">SQRT(SUM(($E76:$F76-$M$7:$N$7)^2))</f>
        <v>0.32522321447519764</v>
      </c>
      <c r="I76">
        <f t="shared" si="9"/>
        <v>0.32522321447519764</v>
      </c>
      <c r="Q76">
        <v>4.3</v>
      </c>
      <c r="R76">
        <v>1.3</v>
      </c>
      <c r="S76" t="s">
        <v>4</v>
      </c>
      <c r="T76">
        <v>2</v>
      </c>
    </row>
    <row r="77" spans="1:20" x14ac:dyDescent="0.3">
      <c r="A77">
        <v>4.4000000000000004</v>
      </c>
      <c r="B77">
        <v>1.4</v>
      </c>
      <c r="C77" t="s">
        <v>4</v>
      </c>
      <c r="D77">
        <f t="shared" si="8"/>
        <v>2</v>
      </c>
      <c r="E77">
        <f t="shared" si="6"/>
        <v>0.36489628078533176</v>
      </c>
      <c r="F77">
        <f t="shared" si="7"/>
        <v>0.2641419164758696</v>
      </c>
      <c r="G77">
        <f t="array" ref="G77">SQRT(SUM(($E77:$F77-$M$6:$N$6)^2))</f>
        <v>2.3220828047091442</v>
      </c>
      <c r="H77">
        <f t="array" ref="H77">SQRT(SUM(($E77:$F77-$M$7:$N$7)^2))</f>
        <v>0.18184529237017971</v>
      </c>
      <c r="I77">
        <f t="shared" si="9"/>
        <v>0.18184529237017971</v>
      </c>
      <c r="Q77">
        <v>4.4000000000000004</v>
      </c>
      <c r="R77">
        <v>1.4</v>
      </c>
      <c r="S77" t="s">
        <v>4</v>
      </c>
      <c r="T77">
        <v>2</v>
      </c>
    </row>
    <row r="78" spans="1:20" x14ac:dyDescent="0.3">
      <c r="A78">
        <v>4.8</v>
      </c>
      <c r="B78">
        <v>1.4</v>
      </c>
      <c r="C78" t="s">
        <v>4</v>
      </c>
      <c r="D78">
        <f t="shared" si="8"/>
        <v>2</v>
      </c>
      <c r="E78">
        <f t="shared" si="6"/>
        <v>0.59224598843974463</v>
      </c>
      <c r="F78">
        <f t="shared" si="7"/>
        <v>0.2641419164758696</v>
      </c>
      <c r="G78">
        <f t="array" ref="G78">SQRT(SUM(($E78:$F78-$M$6:$N$6)^2))</f>
        <v>2.4935271835426707</v>
      </c>
      <c r="H78">
        <f t="array" ref="H78">SQRT(SUM(($E78:$F78-$M$7:$N$7)^2))</f>
        <v>0.22714096044360144</v>
      </c>
      <c r="I78">
        <f t="shared" si="9"/>
        <v>0.22714096044360144</v>
      </c>
      <c r="Q78">
        <v>4.8</v>
      </c>
      <c r="R78">
        <v>1.4</v>
      </c>
      <c r="S78" t="s">
        <v>4</v>
      </c>
      <c r="T78">
        <v>2</v>
      </c>
    </row>
    <row r="79" spans="1:20" x14ac:dyDescent="0.3">
      <c r="A79">
        <v>5</v>
      </c>
      <c r="B79">
        <v>1.7</v>
      </c>
      <c r="C79" t="s">
        <v>4</v>
      </c>
      <c r="D79">
        <f t="shared" si="8"/>
        <v>2</v>
      </c>
      <c r="E79">
        <f t="shared" si="6"/>
        <v>0.70592084226695129</v>
      </c>
      <c r="F79">
        <f t="shared" si="7"/>
        <v>0.65903846934677268</v>
      </c>
      <c r="G79">
        <f t="array" ref="G79">SQRT(SUM(($E79:$F79-$M$6:$N$6)^2))</f>
        <v>2.8412564036070789</v>
      </c>
      <c r="H79">
        <f t="array" ref="H79">SQRT(SUM(($E79:$F79-$M$7:$N$7)^2))</f>
        <v>0.35213931878775601</v>
      </c>
      <c r="I79">
        <f t="shared" si="9"/>
        <v>0.35213931878775601</v>
      </c>
      <c r="Q79">
        <v>5</v>
      </c>
      <c r="R79">
        <v>1.7</v>
      </c>
      <c r="S79" t="s">
        <v>4</v>
      </c>
      <c r="T79">
        <v>2</v>
      </c>
    </row>
    <row r="80" spans="1:20" x14ac:dyDescent="0.3">
      <c r="A80">
        <v>4.5</v>
      </c>
      <c r="B80">
        <v>1.5</v>
      </c>
      <c r="C80" t="s">
        <v>4</v>
      </c>
      <c r="D80">
        <f t="shared" si="8"/>
        <v>2</v>
      </c>
      <c r="E80">
        <f t="shared" si="6"/>
        <v>0.42173370769893487</v>
      </c>
      <c r="F80">
        <f t="shared" si="7"/>
        <v>0.3957741007661707</v>
      </c>
      <c r="G80">
        <f t="array" ref="G80">SQRT(SUM(($E80:$F80-$M$6:$N$6)^2))</f>
        <v>2.4539672342845966</v>
      </c>
      <c r="H80">
        <f t="array" ref="H80">SQRT(SUM(($E80:$F80-$M$7:$N$7)^2))</f>
        <v>3.8475077117554365E-2</v>
      </c>
      <c r="I80">
        <f t="shared" si="9"/>
        <v>3.8475077117554365E-2</v>
      </c>
      <c r="Q80">
        <v>4.5</v>
      </c>
      <c r="R80">
        <v>1.5</v>
      </c>
      <c r="S80" t="s">
        <v>4</v>
      </c>
      <c r="T80">
        <v>2</v>
      </c>
    </row>
    <row r="81" spans="1:20" x14ac:dyDescent="0.3">
      <c r="A81">
        <v>3.5</v>
      </c>
      <c r="B81">
        <v>1</v>
      </c>
      <c r="C81" t="s">
        <v>4</v>
      </c>
      <c r="D81">
        <f t="shared" si="8"/>
        <v>2</v>
      </c>
      <c r="E81">
        <f t="shared" si="6"/>
        <v>-0.146640561437098</v>
      </c>
      <c r="F81">
        <f t="shared" si="7"/>
        <v>-0.2623868206853342</v>
      </c>
      <c r="G81">
        <f t="array" ref="G81">SQRT(SUM(($E81:$F81-$M$6:$N$6)^2))</f>
        <v>1.5894190281552054</v>
      </c>
      <c r="H81">
        <f t="array" ref="H81">SQRT(SUM(($E81:$F81-$M$7:$N$7)^2))</f>
        <v>0.90664381525163862</v>
      </c>
      <c r="I81">
        <f t="shared" si="9"/>
        <v>0.90664381525163862</v>
      </c>
      <c r="Q81">
        <v>3.5</v>
      </c>
      <c r="R81">
        <v>1</v>
      </c>
      <c r="S81" t="s">
        <v>4</v>
      </c>
      <c r="T81">
        <v>2</v>
      </c>
    </row>
    <row r="82" spans="1:20" x14ac:dyDescent="0.3">
      <c r="A82">
        <v>3.8</v>
      </c>
      <c r="B82">
        <v>1.1000000000000001</v>
      </c>
      <c r="C82" t="s">
        <v>4</v>
      </c>
      <c r="D82">
        <f t="shared" si="8"/>
        <v>2</v>
      </c>
      <c r="E82">
        <f t="shared" si="6"/>
        <v>2.387171930371176E-2</v>
      </c>
      <c r="F82">
        <f t="shared" si="7"/>
        <v>-0.13075463639503312</v>
      </c>
      <c r="G82">
        <f t="array" ref="G82">SQRT(SUM(($E82:$F82-$M$6:$N$6)^2))</f>
        <v>1.8044060604031569</v>
      </c>
      <c r="H82">
        <f t="array" ref="H82">SQRT(SUM(($E82:$F82-$M$7:$N$7)^2))</f>
        <v>0.69757823853973044</v>
      </c>
      <c r="I82">
        <f t="shared" si="9"/>
        <v>0.69757823853973044</v>
      </c>
      <c r="Q82">
        <v>3.8</v>
      </c>
      <c r="R82">
        <v>1.1000000000000001</v>
      </c>
      <c r="S82" t="s">
        <v>4</v>
      </c>
      <c r="T82">
        <v>2</v>
      </c>
    </row>
    <row r="83" spans="1:20" x14ac:dyDescent="0.3">
      <c r="A83">
        <v>3.7</v>
      </c>
      <c r="B83">
        <v>1</v>
      </c>
      <c r="C83" t="s">
        <v>4</v>
      </c>
      <c r="D83">
        <f t="shared" si="8"/>
        <v>2</v>
      </c>
      <c r="E83">
        <f t="shared" si="6"/>
        <v>-3.2965707609891322E-2</v>
      </c>
      <c r="F83">
        <f t="shared" si="7"/>
        <v>-0.2623868206853342</v>
      </c>
      <c r="G83">
        <f t="array" ref="G83">SQRT(SUM(($E83:$F83-$M$6:$N$6)^2))</f>
        <v>1.6762570670113968</v>
      </c>
      <c r="H83">
        <f t="array" ref="H83">SQRT(SUM(($E83:$F83-$M$7:$N$7)^2))</f>
        <v>0.83788181540399975</v>
      </c>
      <c r="I83">
        <f t="shared" si="9"/>
        <v>0.83788181540399975</v>
      </c>
      <c r="Q83">
        <v>3.7</v>
      </c>
      <c r="R83">
        <v>1</v>
      </c>
      <c r="S83" t="s">
        <v>4</v>
      </c>
      <c r="T83">
        <v>2</v>
      </c>
    </row>
    <row r="84" spans="1:20" x14ac:dyDescent="0.3">
      <c r="A84">
        <v>3.9</v>
      </c>
      <c r="B84">
        <v>1.2</v>
      </c>
      <c r="C84" t="s">
        <v>4</v>
      </c>
      <c r="D84">
        <f t="shared" si="8"/>
        <v>2</v>
      </c>
      <c r="E84">
        <f t="shared" si="6"/>
        <v>8.0709146217315106E-2</v>
      </c>
      <c r="F84">
        <f t="shared" si="7"/>
        <v>8.7754789526769972E-4</v>
      </c>
      <c r="G84">
        <f t="array" ref="G84">SQRT(SUM(($E84:$F84-$M$6:$N$6)^2))</f>
        <v>1.9346937114210152</v>
      </c>
      <c r="H84">
        <f t="array" ref="H84">SQRT(SUM(($E84:$F84-$M$7:$N$7)^2))</f>
        <v>0.55883800091088465</v>
      </c>
      <c r="I84">
        <f t="shared" si="9"/>
        <v>0.55883800091088465</v>
      </c>
      <c r="Q84">
        <v>3.9</v>
      </c>
      <c r="R84">
        <v>1.2</v>
      </c>
      <c r="S84" t="s">
        <v>4</v>
      </c>
      <c r="T84">
        <v>2</v>
      </c>
    </row>
    <row r="85" spans="1:20" x14ac:dyDescent="0.3">
      <c r="A85">
        <v>5.0999999999999996</v>
      </c>
      <c r="B85">
        <v>1.6</v>
      </c>
      <c r="C85" t="s">
        <v>4</v>
      </c>
      <c r="D85">
        <f t="shared" si="8"/>
        <v>2</v>
      </c>
      <c r="E85">
        <f t="shared" si="6"/>
        <v>0.76275826918055445</v>
      </c>
      <c r="F85">
        <f t="shared" si="7"/>
        <v>0.5274062850564718</v>
      </c>
      <c r="G85">
        <f t="array" ref="G85">SQRT(SUM(($E85:$F85-$M$6:$N$6)^2))</f>
        <v>2.793873794289341</v>
      </c>
      <c r="H85">
        <f t="array" ref="H85">SQRT(SUM(($E85:$F85-$M$7:$N$7)^2))</f>
        <v>0.33900879374454884</v>
      </c>
      <c r="I85">
        <f t="shared" si="9"/>
        <v>0.33900879374454884</v>
      </c>
      <c r="Q85">
        <v>5.0999999999999996</v>
      </c>
      <c r="R85">
        <v>1.6</v>
      </c>
      <c r="S85" t="s">
        <v>4</v>
      </c>
      <c r="T85">
        <v>2</v>
      </c>
    </row>
    <row r="86" spans="1:20" x14ac:dyDescent="0.3">
      <c r="A86">
        <v>4.5</v>
      </c>
      <c r="B86">
        <v>1.5</v>
      </c>
      <c r="C86" t="s">
        <v>4</v>
      </c>
      <c r="D86">
        <f t="shared" si="8"/>
        <v>2</v>
      </c>
      <c r="E86">
        <f t="shared" si="6"/>
        <v>0.42173370769893487</v>
      </c>
      <c r="F86">
        <f t="shared" si="7"/>
        <v>0.3957741007661707</v>
      </c>
      <c r="G86">
        <f t="array" ref="G86">SQRT(SUM(($E86:$F86-$M$6:$N$6)^2))</f>
        <v>2.4539672342845966</v>
      </c>
      <c r="H86">
        <f t="array" ref="H86">SQRT(SUM(($E86:$F86-$M$7:$N$7)^2))</f>
        <v>3.8475077117554365E-2</v>
      </c>
      <c r="I86">
        <f t="shared" si="9"/>
        <v>3.8475077117554365E-2</v>
      </c>
      <c r="Q86">
        <v>4.5</v>
      </c>
      <c r="R86">
        <v>1.5</v>
      </c>
      <c r="S86" t="s">
        <v>4</v>
      </c>
      <c r="T86">
        <v>2</v>
      </c>
    </row>
    <row r="87" spans="1:20" x14ac:dyDescent="0.3">
      <c r="A87">
        <v>4.5</v>
      </c>
      <c r="B87">
        <v>1.6</v>
      </c>
      <c r="C87" t="s">
        <v>4</v>
      </c>
      <c r="D87">
        <f t="shared" si="8"/>
        <v>2</v>
      </c>
      <c r="E87">
        <f t="shared" si="6"/>
        <v>0.42173370769893487</v>
      </c>
      <c r="F87">
        <f t="shared" si="7"/>
        <v>0.5274062850564718</v>
      </c>
      <c r="G87">
        <f t="array" ref="G87">SQRT(SUM(($E87:$F87-$M$6:$N$6)^2))</f>
        <v>2.5475056524668123</v>
      </c>
      <c r="H87">
        <f t="array" ref="H87">SQRT(SUM(($E87:$F87-$M$7:$N$7)^2))</f>
        <v>9.8016169835620073E-2</v>
      </c>
      <c r="I87">
        <f t="shared" si="9"/>
        <v>9.8016169835620073E-2</v>
      </c>
      <c r="Q87">
        <v>4.5</v>
      </c>
      <c r="R87">
        <v>1.6</v>
      </c>
      <c r="S87" t="s">
        <v>4</v>
      </c>
      <c r="T87">
        <v>2</v>
      </c>
    </row>
    <row r="88" spans="1:20" x14ac:dyDescent="0.3">
      <c r="A88">
        <v>4.7</v>
      </c>
      <c r="B88">
        <v>1.5</v>
      </c>
      <c r="C88" t="s">
        <v>4</v>
      </c>
      <c r="D88">
        <f t="shared" si="8"/>
        <v>2</v>
      </c>
      <c r="E88">
        <f t="shared" si="6"/>
        <v>0.53540856152614158</v>
      </c>
      <c r="F88">
        <f t="shared" si="7"/>
        <v>0.3957741007661707</v>
      </c>
      <c r="G88">
        <f t="array" ref="G88">SQRT(SUM(($E88:$F88-$M$6:$N$6)^2))</f>
        <v>2.5366828375878159</v>
      </c>
      <c r="H88">
        <f t="array" ref="H88">SQRT(SUM(($E88:$F88-$M$7:$N$7)^2))</f>
        <v>0.10364836870990574</v>
      </c>
      <c r="I88">
        <f t="shared" si="9"/>
        <v>0.10364836870990574</v>
      </c>
      <c r="Q88">
        <v>4.7</v>
      </c>
      <c r="R88">
        <v>1.5</v>
      </c>
      <c r="S88" t="s">
        <v>4</v>
      </c>
      <c r="T88">
        <v>2</v>
      </c>
    </row>
    <row r="89" spans="1:20" x14ac:dyDescent="0.3">
      <c r="A89">
        <v>4.4000000000000004</v>
      </c>
      <c r="B89">
        <v>1.3</v>
      </c>
      <c r="C89" t="s">
        <v>4</v>
      </c>
      <c r="D89">
        <f t="shared" si="8"/>
        <v>2</v>
      </c>
      <c r="E89">
        <f t="shared" si="6"/>
        <v>0.36489628078533176</v>
      </c>
      <c r="F89">
        <f t="shared" si="7"/>
        <v>0.1325097321855688</v>
      </c>
      <c r="G89">
        <f t="array" ref="G89">SQRT(SUM(($E89:$F89-$M$6:$N$6)^2))</f>
        <v>2.2346245360870052</v>
      </c>
      <c r="H89">
        <f t="array" ref="H89">SQRT(SUM(($E89:$F89-$M$7:$N$7)^2))</f>
        <v>0.30700000021383678</v>
      </c>
      <c r="I89">
        <f t="shared" si="9"/>
        <v>0.30700000021383678</v>
      </c>
      <c r="Q89">
        <v>4.4000000000000004</v>
      </c>
      <c r="R89">
        <v>1.3</v>
      </c>
      <c r="S89" t="s">
        <v>4</v>
      </c>
      <c r="T89">
        <v>2</v>
      </c>
    </row>
    <row r="90" spans="1:20" x14ac:dyDescent="0.3">
      <c r="A90">
        <v>4.0999999999999996</v>
      </c>
      <c r="B90">
        <v>1.3</v>
      </c>
      <c r="C90" t="s">
        <v>4</v>
      </c>
      <c r="D90">
        <f t="shared" si="8"/>
        <v>2</v>
      </c>
      <c r="E90">
        <f t="shared" si="6"/>
        <v>0.19438400004452153</v>
      </c>
      <c r="F90">
        <f t="shared" si="7"/>
        <v>0.1325097321855688</v>
      </c>
      <c r="G90">
        <f t="array" ref="G90">SQRT(SUM(($E90:$F90-$M$6:$N$6)^2))</f>
        <v>2.1076480315717174</v>
      </c>
      <c r="H90">
        <f t="array" ref="H90">SQRT(SUM(($E90:$F90-$M$7:$N$7)^2))</f>
        <v>0.38496152538546602</v>
      </c>
      <c r="I90">
        <f t="shared" si="9"/>
        <v>0.38496152538546602</v>
      </c>
      <c r="Q90">
        <v>4.0999999999999996</v>
      </c>
      <c r="R90">
        <v>1.3</v>
      </c>
      <c r="S90" t="s">
        <v>4</v>
      </c>
      <c r="T90">
        <v>2</v>
      </c>
    </row>
    <row r="91" spans="1:20" x14ac:dyDescent="0.3">
      <c r="A91">
        <v>4</v>
      </c>
      <c r="B91">
        <v>1.3</v>
      </c>
      <c r="C91" t="s">
        <v>4</v>
      </c>
      <c r="D91">
        <f t="shared" si="8"/>
        <v>2</v>
      </c>
      <c r="E91">
        <f t="shared" si="6"/>
        <v>0.13754657313091845</v>
      </c>
      <c r="F91">
        <f t="shared" si="7"/>
        <v>0.1325097321855688</v>
      </c>
      <c r="G91">
        <f t="array" ref="G91">SQRT(SUM(($E91:$F91-$M$6:$N$6)^2))</f>
        <v>2.0667155908065329</v>
      </c>
      <c r="H91">
        <f t="array" ref="H91">SQRT(SUM(($E91:$F91-$M$7:$N$7)^2))</f>
        <v>0.4232014576042295</v>
      </c>
      <c r="I91">
        <f t="shared" si="9"/>
        <v>0.4232014576042295</v>
      </c>
      <c r="Q91">
        <v>4</v>
      </c>
      <c r="R91">
        <v>1.3</v>
      </c>
      <c r="S91" t="s">
        <v>4</v>
      </c>
      <c r="T91">
        <v>2</v>
      </c>
    </row>
    <row r="92" spans="1:20" x14ac:dyDescent="0.3">
      <c r="A92">
        <v>4.4000000000000004</v>
      </c>
      <c r="B92">
        <v>1.2</v>
      </c>
      <c r="C92" t="s">
        <v>4</v>
      </c>
      <c r="D92">
        <f t="shared" si="8"/>
        <v>2</v>
      </c>
      <c r="E92">
        <f t="shared" si="6"/>
        <v>0.36489628078533176</v>
      </c>
      <c r="F92">
        <f t="shared" si="7"/>
        <v>8.7754789526769972E-4</v>
      </c>
      <c r="G92">
        <f t="array" ref="G92">SQRT(SUM(($E92:$F92-$M$6:$N$6)^2))</f>
        <v>2.1516689212144859</v>
      </c>
      <c r="H92">
        <f t="array" ref="H92">SQRT(SUM(($E92:$F92-$M$7:$N$7)^2))</f>
        <v>0.43598664404711646</v>
      </c>
      <c r="I92">
        <f t="shared" si="9"/>
        <v>0.43598664404711646</v>
      </c>
      <c r="Q92">
        <v>4.4000000000000004</v>
      </c>
      <c r="R92">
        <v>1.2</v>
      </c>
      <c r="S92" t="s">
        <v>4</v>
      </c>
      <c r="T92">
        <v>2</v>
      </c>
    </row>
    <row r="93" spans="1:20" x14ac:dyDescent="0.3">
      <c r="A93">
        <v>4.5999999999999996</v>
      </c>
      <c r="B93">
        <v>1.4</v>
      </c>
      <c r="C93" t="s">
        <v>4</v>
      </c>
      <c r="D93">
        <f t="shared" si="8"/>
        <v>2</v>
      </c>
      <c r="E93">
        <f t="shared" si="6"/>
        <v>0.47857113461253797</v>
      </c>
      <c r="F93">
        <f t="shared" si="7"/>
        <v>0.2641419164758696</v>
      </c>
      <c r="G93">
        <f t="array" ref="G93">SQRT(SUM(($E93:$F93-$M$6:$N$6)^2))</f>
        <v>2.4066472967810273</v>
      </c>
      <c r="H93">
        <f t="array" ref="H93">SQRT(SUM(($E93:$F93-$M$7:$N$7)^2))</f>
        <v>0.17148874814862392</v>
      </c>
      <c r="I93">
        <f t="shared" si="9"/>
        <v>0.17148874814862392</v>
      </c>
      <c r="Q93">
        <v>4.5999999999999996</v>
      </c>
      <c r="R93">
        <v>1.4</v>
      </c>
      <c r="S93" t="s">
        <v>4</v>
      </c>
      <c r="T93">
        <v>2</v>
      </c>
    </row>
    <row r="94" spans="1:20" x14ac:dyDescent="0.3">
      <c r="A94">
        <v>4</v>
      </c>
      <c r="B94">
        <v>1.2</v>
      </c>
      <c r="C94" t="s">
        <v>4</v>
      </c>
      <c r="D94">
        <f t="shared" si="8"/>
        <v>2</v>
      </c>
      <c r="E94">
        <f t="shared" si="6"/>
        <v>0.13754657313091845</v>
      </c>
      <c r="F94">
        <f t="shared" si="7"/>
        <v>8.7754789526769972E-4</v>
      </c>
      <c r="G94">
        <f t="array" ref="G94">SQRT(SUM(($E94:$F94-$M$6:$N$6)^2))</f>
        <v>1.9767259958125314</v>
      </c>
      <c r="H94">
        <f t="array" ref="H94">SQRT(SUM(($E94:$F94-$M$7:$N$7)^2))</f>
        <v>0.52434228074275657</v>
      </c>
      <c r="I94">
        <f t="shared" si="9"/>
        <v>0.52434228074275657</v>
      </c>
      <c r="Q94">
        <v>4</v>
      </c>
      <c r="R94">
        <v>1.2</v>
      </c>
      <c r="S94" t="s">
        <v>4</v>
      </c>
      <c r="T94">
        <v>2</v>
      </c>
    </row>
    <row r="95" spans="1:20" x14ac:dyDescent="0.3">
      <c r="A95">
        <v>3.3</v>
      </c>
      <c r="B95">
        <v>1</v>
      </c>
      <c r="C95" t="s">
        <v>4</v>
      </c>
      <c r="D95">
        <f t="shared" si="8"/>
        <v>2</v>
      </c>
      <c r="E95">
        <f t="shared" si="6"/>
        <v>-0.26031541526430468</v>
      </c>
      <c r="F95">
        <f t="shared" si="7"/>
        <v>-0.2623868206853342</v>
      </c>
      <c r="G95">
        <f t="array" ref="G95">SQRT(SUM(($E95:$F95-$M$6:$N$6)^2))</f>
        <v>1.5061579877965321</v>
      </c>
      <c r="H95">
        <f t="array" ref="H95">SQRT(SUM(($E95:$F95-$M$7:$N$7)^2))</f>
        <v>0.98377031042244112</v>
      </c>
      <c r="I95">
        <f t="shared" si="9"/>
        <v>0.98377031042244112</v>
      </c>
      <c r="Q95">
        <v>3.3</v>
      </c>
      <c r="R95">
        <v>1</v>
      </c>
      <c r="S95" t="s">
        <v>4</v>
      </c>
      <c r="T95">
        <v>2</v>
      </c>
    </row>
    <row r="96" spans="1:20" x14ac:dyDescent="0.3">
      <c r="A96">
        <v>4.2</v>
      </c>
      <c r="B96">
        <v>1.3</v>
      </c>
      <c r="C96" t="s">
        <v>4</v>
      </c>
      <c r="D96">
        <f t="shared" si="8"/>
        <v>2</v>
      </c>
      <c r="E96">
        <f t="shared" si="6"/>
        <v>0.2512214269581251</v>
      </c>
      <c r="F96">
        <f t="shared" si="7"/>
        <v>0.1325097321855688</v>
      </c>
      <c r="G96">
        <f t="array" ref="G96">SQRT(SUM(($E96:$F96-$M$6:$N$6)^2))</f>
        <v>2.1493040973509991</v>
      </c>
      <c r="H96">
        <f t="array" ref="H96">SQRT(SUM(($E96:$F96-$M$7:$N$7)^2))</f>
        <v>0.35178440063792388</v>
      </c>
      <c r="I96">
        <f t="shared" si="9"/>
        <v>0.35178440063792388</v>
      </c>
      <c r="Q96">
        <v>4.2</v>
      </c>
      <c r="R96">
        <v>1.3</v>
      </c>
      <c r="S96" t="s">
        <v>4</v>
      </c>
      <c r="T96">
        <v>2</v>
      </c>
    </row>
    <row r="97" spans="1:20" x14ac:dyDescent="0.3">
      <c r="A97">
        <v>4.2</v>
      </c>
      <c r="B97">
        <v>1.2</v>
      </c>
      <c r="C97" t="s">
        <v>4</v>
      </c>
      <c r="D97">
        <f t="shared" si="8"/>
        <v>2</v>
      </c>
      <c r="E97">
        <f t="shared" si="6"/>
        <v>0.2512214269581251</v>
      </c>
      <c r="F97">
        <f t="shared" si="7"/>
        <v>8.7754789526769972E-4</v>
      </c>
      <c r="G97">
        <f t="array" ref="G97">SQRT(SUM(($E97:$F97-$M$6:$N$6)^2))</f>
        <v>2.0629203649506298</v>
      </c>
      <c r="H97">
        <f t="array" ref="H97">SQRT(SUM(($E97:$F97-$M$7:$N$7)^2))</f>
        <v>0.46860176929708086</v>
      </c>
      <c r="I97">
        <f t="shared" si="9"/>
        <v>0.46860176929708086</v>
      </c>
      <c r="Q97">
        <v>4.2</v>
      </c>
      <c r="R97">
        <v>1.2</v>
      </c>
      <c r="S97" t="s">
        <v>4</v>
      </c>
      <c r="T97">
        <v>2</v>
      </c>
    </row>
    <row r="98" spans="1:20" x14ac:dyDescent="0.3">
      <c r="A98">
        <v>4.2</v>
      </c>
      <c r="B98">
        <v>1.3</v>
      </c>
      <c r="C98" t="s">
        <v>4</v>
      </c>
      <c r="D98">
        <f t="shared" si="8"/>
        <v>2</v>
      </c>
      <c r="E98">
        <f t="shared" ref="E98:E129" si="10">(A98-L$2)/L$3</f>
        <v>0.2512214269581251</v>
      </c>
      <c r="F98">
        <f t="shared" ref="F98:F129" si="11">(B98-M$2)/M$3</f>
        <v>0.1325097321855688</v>
      </c>
      <c r="G98">
        <f t="array" ref="G98">SQRT(SUM(($E98:$F98-$M$6:$N$6)^2))</f>
        <v>2.1493040973509991</v>
      </c>
      <c r="H98">
        <f t="array" ref="H98">SQRT(SUM(($E98:$F98-$M$7:$N$7)^2))</f>
        <v>0.35178440063792388</v>
      </c>
      <c r="I98">
        <f t="shared" si="9"/>
        <v>0.35178440063792388</v>
      </c>
      <c r="Q98">
        <v>4.2</v>
      </c>
      <c r="R98">
        <v>1.3</v>
      </c>
      <c r="S98" t="s">
        <v>4</v>
      </c>
      <c r="T98">
        <v>2</v>
      </c>
    </row>
    <row r="99" spans="1:20" x14ac:dyDescent="0.3">
      <c r="A99">
        <v>4.3</v>
      </c>
      <c r="B99">
        <v>1.3</v>
      </c>
      <c r="C99" t="s">
        <v>4</v>
      </c>
      <c r="D99">
        <f t="shared" si="8"/>
        <v>2</v>
      </c>
      <c r="E99">
        <f t="shared" si="10"/>
        <v>0.30805885387172821</v>
      </c>
      <c r="F99">
        <f t="shared" si="11"/>
        <v>0.1325097321855688</v>
      </c>
      <c r="G99">
        <f t="array" ref="G99">SQRT(SUM(($E99:$F99-$M$6:$N$6)^2))</f>
        <v>2.1916425271899995</v>
      </c>
      <c r="H99">
        <f t="array" ref="H99">SQRT(SUM(($E99:$F99-$M$7:$N$7)^2))</f>
        <v>0.32522321447519764</v>
      </c>
      <c r="I99">
        <f t="shared" si="9"/>
        <v>0.32522321447519764</v>
      </c>
      <c r="Q99">
        <v>4.3</v>
      </c>
      <c r="R99">
        <v>1.3</v>
      </c>
      <c r="S99" t="s">
        <v>4</v>
      </c>
      <c r="T99">
        <v>2</v>
      </c>
    </row>
    <row r="100" spans="1:20" x14ac:dyDescent="0.3">
      <c r="A100">
        <v>3</v>
      </c>
      <c r="B100">
        <v>1.1000000000000001</v>
      </c>
      <c r="C100" t="s">
        <v>4</v>
      </c>
      <c r="D100">
        <f t="shared" si="8"/>
        <v>2</v>
      </c>
      <c r="E100">
        <f t="shared" si="10"/>
        <v>-0.43082769600511445</v>
      </c>
      <c r="F100">
        <f t="shared" si="11"/>
        <v>-0.13075463639503312</v>
      </c>
      <c r="G100">
        <f t="array" ref="G100">SQRT(SUM(($E100:$F100-$M$6:$N$6)^2))</f>
        <v>1.491615694267624</v>
      </c>
      <c r="H100">
        <f t="array" ref="H100">SQRT(SUM(($E100:$F100-$M$7:$N$7)^2))</f>
        <v>1.0343207735623738</v>
      </c>
      <c r="I100">
        <f t="shared" si="9"/>
        <v>1.0343207735623738</v>
      </c>
      <c r="Q100">
        <v>3</v>
      </c>
      <c r="R100">
        <v>1.1000000000000001</v>
      </c>
      <c r="S100" t="s">
        <v>4</v>
      </c>
      <c r="T100">
        <v>2</v>
      </c>
    </row>
    <row r="101" spans="1:20" x14ac:dyDescent="0.3">
      <c r="A101">
        <v>4.0999999999999996</v>
      </c>
      <c r="B101">
        <v>1.3</v>
      </c>
      <c r="C101" t="s">
        <v>4</v>
      </c>
      <c r="D101">
        <f t="shared" si="8"/>
        <v>2</v>
      </c>
      <c r="E101">
        <f t="shared" si="10"/>
        <v>0.19438400004452153</v>
      </c>
      <c r="F101">
        <f t="shared" si="11"/>
        <v>0.1325097321855688</v>
      </c>
      <c r="G101">
        <f t="array" ref="G101">SQRT(SUM(($E101:$F101-$M$6:$N$6)^2))</f>
        <v>2.1076480315717174</v>
      </c>
      <c r="H101">
        <f t="array" ref="H101">SQRT(SUM(($E101:$F101-$M$7:$N$7)^2))</f>
        <v>0.38496152538546602</v>
      </c>
      <c r="I101">
        <f t="shared" si="9"/>
        <v>0.38496152538546602</v>
      </c>
      <c r="Q101">
        <v>4.0999999999999996</v>
      </c>
      <c r="R101">
        <v>1.3</v>
      </c>
      <c r="S101" t="s">
        <v>4</v>
      </c>
      <c r="T101">
        <v>2</v>
      </c>
    </row>
    <row r="102" spans="1:20" x14ac:dyDescent="0.3">
      <c r="A102">
        <v>6</v>
      </c>
      <c r="B102">
        <v>2.5</v>
      </c>
      <c r="C102" t="s">
        <v>5</v>
      </c>
      <c r="D102">
        <f t="shared" si="8"/>
        <v>2</v>
      </c>
      <c r="E102">
        <f t="shared" si="10"/>
        <v>1.2742951114029841</v>
      </c>
      <c r="F102">
        <f t="shared" si="11"/>
        <v>1.7120959436691805</v>
      </c>
      <c r="G102">
        <f t="array" ref="G102">SQRT(SUM(($E102:$F102-$M$6:$N$6)^2))</f>
        <v>3.9982080456915523</v>
      </c>
      <c r="H102">
        <f t="array" ref="H102">SQRT(SUM(($E102:$F102-$M$7:$N$7)^2))</f>
        <v>1.5302279686770752</v>
      </c>
      <c r="I102">
        <f t="shared" si="9"/>
        <v>1.5302279686770752</v>
      </c>
      <c r="Q102">
        <v>6</v>
      </c>
      <c r="R102">
        <v>2.5</v>
      </c>
      <c r="S102" t="s">
        <v>5</v>
      </c>
      <c r="T102">
        <v>2</v>
      </c>
    </row>
    <row r="103" spans="1:20" x14ac:dyDescent="0.3">
      <c r="A103">
        <v>5.0999999999999996</v>
      </c>
      <c r="B103">
        <v>1.9</v>
      </c>
      <c r="C103" t="s">
        <v>5</v>
      </c>
      <c r="D103">
        <f t="shared" si="8"/>
        <v>2</v>
      </c>
      <c r="E103">
        <f t="shared" si="10"/>
        <v>0.76275826918055445</v>
      </c>
      <c r="F103">
        <f t="shared" si="11"/>
        <v>0.92230283792737455</v>
      </c>
      <c r="G103">
        <f t="array" ref="G103">SQRT(SUM(($E103:$F103-$M$6:$N$6)^2))</f>
        <v>3.0687366698583056</v>
      </c>
      <c r="H103">
        <f t="array" ref="H103">SQRT(SUM(($E103:$F103-$M$7:$N$7)^2))</f>
        <v>0.58926382843230174</v>
      </c>
      <c r="I103">
        <f t="shared" si="9"/>
        <v>0.58926382843230174</v>
      </c>
      <c r="Q103">
        <v>5.0999999999999996</v>
      </c>
      <c r="R103">
        <v>1.9</v>
      </c>
      <c r="S103" t="s">
        <v>5</v>
      </c>
      <c r="T103">
        <v>2</v>
      </c>
    </row>
    <row r="104" spans="1:20" x14ac:dyDescent="0.3">
      <c r="A104">
        <v>5.9</v>
      </c>
      <c r="B104">
        <v>2.1</v>
      </c>
      <c r="C104" t="s">
        <v>5</v>
      </c>
      <c r="D104">
        <f t="shared" si="8"/>
        <v>2</v>
      </c>
      <c r="E104">
        <f t="shared" si="10"/>
        <v>1.2174576844893812</v>
      </c>
      <c r="F104">
        <f t="shared" si="11"/>
        <v>1.1855672065079768</v>
      </c>
      <c r="G104">
        <f t="array" ref="G104">SQRT(SUM(($E104:$F104-$M$6:$N$6)^2))</f>
        <v>3.5750665142208566</v>
      </c>
      <c r="H104">
        <f t="array" ref="H104">SQRT(SUM(($E104:$F104-$M$7:$N$7)^2))</f>
        <v>1.0851791223850742</v>
      </c>
      <c r="I104">
        <f t="shared" si="9"/>
        <v>1.0851791223850742</v>
      </c>
      <c r="Q104">
        <v>5.9</v>
      </c>
      <c r="R104">
        <v>2.1</v>
      </c>
      <c r="S104" t="s">
        <v>5</v>
      </c>
      <c r="T104">
        <v>2</v>
      </c>
    </row>
    <row r="105" spans="1:20" x14ac:dyDescent="0.3">
      <c r="A105">
        <v>5.6</v>
      </c>
      <c r="B105">
        <v>1.8</v>
      </c>
      <c r="C105" t="s">
        <v>5</v>
      </c>
      <c r="D105">
        <f t="shared" si="8"/>
        <v>2</v>
      </c>
      <c r="E105">
        <f t="shared" si="10"/>
        <v>1.0469454037485708</v>
      </c>
      <c r="F105">
        <f t="shared" si="11"/>
        <v>0.79067065363707378</v>
      </c>
      <c r="G105">
        <f t="array" ref="G105">SQRT(SUM(($E105:$F105-$M$6:$N$6)^2))</f>
        <v>3.1811399303026979</v>
      </c>
      <c r="H105">
        <f t="array" ref="H105">SQRT(SUM(($E105:$F105-$M$7:$N$7)^2))</f>
        <v>0.70752133831209063</v>
      </c>
      <c r="I105">
        <f t="shared" si="9"/>
        <v>0.70752133831209063</v>
      </c>
      <c r="Q105">
        <v>5.6</v>
      </c>
      <c r="R105">
        <v>1.8</v>
      </c>
      <c r="S105" t="s">
        <v>5</v>
      </c>
      <c r="T105">
        <v>2</v>
      </c>
    </row>
    <row r="106" spans="1:20" x14ac:dyDescent="0.3">
      <c r="A106">
        <v>5.8</v>
      </c>
      <c r="B106">
        <v>2.2000000000000002</v>
      </c>
      <c r="C106" t="s">
        <v>5</v>
      </c>
      <c r="D106">
        <f t="shared" si="8"/>
        <v>2</v>
      </c>
      <c r="E106">
        <f t="shared" si="10"/>
        <v>1.1606202575757776</v>
      </c>
      <c r="F106">
        <f t="shared" si="11"/>
        <v>1.317199390798278</v>
      </c>
      <c r="G106">
        <f t="array" ref="G106">SQRT(SUM(($E106:$F106-$M$6:$N$6)^2))</f>
        <v>3.6290067764561407</v>
      </c>
      <c r="H106">
        <f t="array" ref="H106">SQRT(SUM(($E106:$F106-$M$7:$N$7)^2))</f>
        <v>1.1437968766789062</v>
      </c>
      <c r="I106">
        <f t="shared" si="9"/>
        <v>1.1437968766789062</v>
      </c>
      <c r="Q106">
        <v>5.8</v>
      </c>
      <c r="R106">
        <v>2.2000000000000002</v>
      </c>
      <c r="S106" t="s">
        <v>5</v>
      </c>
      <c r="T106">
        <v>2</v>
      </c>
    </row>
    <row r="107" spans="1:20" x14ac:dyDescent="0.3">
      <c r="A107">
        <v>6.6</v>
      </c>
      <c r="B107">
        <v>2.1</v>
      </c>
      <c r="C107" t="s">
        <v>5</v>
      </c>
      <c r="D107">
        <f t="shared" si="8"/>
        <v>2</v>
      </c>
      <c r="E107">
        <f t="shared" si="10"/>
        <v>1.6153196728846038</v>
      </c>
      <c r="F107">
        <f t="shared" si="11"/>
        <v>1.1855672065079768</v>
      </c>
      <c r="G107">
        <f t="array" ref="G107">SQRT(SUM(($E107:$F107-$M$6:$N$6)^2))</f>
        <v>3.8693876385383863</v>
      </c>
      <c r="H107">
        <f t="array" ref="H107">SQRT(SUM(($E107:$F107-$M$7:$N$7)^2))</f>
        <v>1.3986696958377245</v>
      </c>
      <c r="I107">
        <f t="shared" si="9"/>
        <v>1.3986696958377245</v>
      </c>
      <c r="Q107">
        <v>6.6</v>
      </c>
      <c r="R107">
        <v>2.1</v>
      </c>
      <c r="S107" t="s">
        <v>5</v>
      </c>
      <c r="T107">
        <v>2</v>
      </c>
    </row>
    <row r="108" spans="1:20" x14ac:dyDescent="0.3">
      <c r="A108">
        <v>4.5</v>
      </c>
      <c r="B108">
        <v>1.7</v>
      </c>
      <c r="C108" t="s">
        <v>5</v>
      </c>
      <c r="D108">
        <f t="shared" si="8"/>
        <v>2</v>
      </c>
      <c r="E108">
        <f t="shared" si="10"/>
        <v>0.42173370769893487</v>
      </c>
      <c r="F108">
        <f t="shared" si="11"/>
        <v>0.65903846934677268</v>
      </c>
      <c r="G108">
        <f t="array" ref="G108">SQRT(SUM(($E108:$F108-$M$6:$N$6)^2))</f>
        <v>2.6442898811666611</v>
      </c>
      <c r="H108">
        <f t="array" ref="H108">SQRT(SUM(($E108:$F108-$M$7:$N$7)^2))</f>
        <v>0.22888440624332615</v>
      </c>
      <c r="I108">
        <f t="shared" si="9"/>
        <v>0.22888440624332615</v>
      </c>
      <c r="Q108">
        <v>4.5</v>
      </c>
      <c r="R108">
        <v>1.7</v>
      </c>
      <c r="S108" t="s">
        <v>5</v>
      </c>
      <c r="T108">
        <v>2</v>
      </c>
    </row>
    <row r="109" spans="1:20" x14ac:dyDescent="0.3">
      <c r="A109">
        <v>6.3</v>
      </c>
      <c r="B109">
        <v>1.8</v>
      </c>
      <c r="C109" t="s">
        <v>5</v>
      </c>
      <c r="D109">
        <f t="shared" si="8"/>
        <v>2</v>
      </c>
      <c r="E109">
        <f t="shared" si="10"/>
        <v>1.4448073921437941</v>
      </c>
      <c r="F109">
        <f t="shared" si="11"/>
        <v>0.79067065363707378</v>
      </c>
      <c r="G109">
        <f t="array" ref="G109">SQRT(SUM(($E109:$F109-$M$6:$N$6)^2))</f>
        <v>3.4892736582581159</v>
      </c>
      <c r="H109">
        <f t="array" ref="H109">SQRT(SUM(($E109:$F109-$M$7:$N$7)^2))</f>
        <v>1.0693778211832337</v>
      </c>
      <c r="I109">
        <f t="shared" si="9"/>
        <v>1.0693778211832337</v>
      </c>
      <c r="Q109">
        <v>6.3</v>
      </c>
      <c r="R109">
        <v>1.8</v>
      </c>
      <c r="S109" t="s">
        <v>5</v>
      </c>
      <c r="T109">
        <v>2</v>
      </c>
    </row>
    <row r="110" spans="1:20" x14ac:dyDescent="0.3">
      <c r="A110">
        <v>5.8</v>
      </c>
      <c r="B110">
        <v>1.8</v>
      </c>
      <c r="C110" t="s">
        <v>5</v>
      </c>
      <c r="D110">
        <f t="shared" si="8"/>
        <v>2</v>
      </c>
      <c r="E110">
        <f t="shared" si="10"/>
        <v>1.1606202575757776</v>
      </c>
      <c r="F110">
        <f t="shared" si="11"/>
        <v>0.79067065363707378</v>
      </c>
      <c r="G110">
        <f t="array" ref="G110">SQRT(SUM(($E110:$F110-$M$6:$N$6)^2))</f>
        <v>3.2672002669036742</v>
      </c>
      <c r="H110">
        <f t="array" ref="H110">SQRT(SUM(($E110:$F110-$M$7:$N$7)^2))</f>
        <v>0.80745946849545314</v>
      </c>
      <c r="I110">
        <f t="shared" si="9"/>
        <v>0.80745946849545314</v>
      </c>
      <c r="Q110">
        <v>5.8</v>
      </c>
      <c r="R110">
        <v>1.8</v>
      </c>
      <c r="S110" t="s">
        <v>5</v>
      </c>
      <c r="T110">
        <v>2</v>
      </c>
    </row>
    <row r="111" spans="1:20" x14ac:dyDescent="0.3">
      <c r="A111">
        <v>6.1</v>
      </c>
      <c r="B111">
        <v>2.5</v>
      </c>
      <c r="C111" t="s">
        <v>5</v>
      </c>
      <c r="D111">
        <f t="shared" si="8"/>
        <v>2</v>
      </c>
      <c r="E111">
        <f t="shared" si="10"/>
        <v>1.3311325383165873</v>
      </c>
      <c r="F111">
        <f t="shared" si="11"/>
        <v>1.7120959436691805</v>
      </c>
      <c r="G111">
        <f t="array" ref="G111">SQRT(SUM(($E111:$F111-$M$6:$N$6)^2))</f>
        <v>4.0355611991722249</v>
      </c>
      <c r="H111">
        <f t="array" ref="H111">SQRT(SUM(($E111:$F111-$M$7:$N$7)^2))</f>
        <v>1.5620221708915325</v>
      </c>
      <c r="I111">
        <f t="shared" si="9"/>
        <v>1.5620221708915325</v>
      </c>
      <c r="Q111">
        <v>6.1</v>
      </c>
      <c r="R111">
        <v>2.5</v>
      </c>
      <c r="S111" t="s">
        <v>5</v>
      </c>
      <c r="T111">
        <v>2</v>
      </c>
    </row>
    <row r="112" spans="1:20" x14ac:dyDescent="0.3">
      <c r="A112">
        <v>5.0999999999999996</v>
      </c>
      <c r="B112">
        <v>2</v>
      </c>
      <c r="C112" t="s">
        <v>5</v>
      </c>
      <c r="D112">
        <f t="shared" si="8"/>
        <v>2</v>
      </c>
      <c r="E112">
        <f t="shared" si="10"/>
        <v>0.76275826918055445</v>
      </c>
      <c r="F112">
        <f t="shared" si="11"/>
        <v>1.0539350222176758</v>
      </c>
      <c r="G112">
        <f t="array" ref="G112">SQRT(SUM(($E112:$F112-$M$6:$N$6)^2))</f>
        <v>3.1660055064496171</v>
      </c>
      <c r="H112">
        <f t="array" ref="H112">SQRT(SUM(($E112:$F112-$M$7:$N$7)^2))</f>
        <v>0.70283351728344801</v>
      </c>
      <c r="I112">
        <f t="shared" si="9"/>
        <v>0.70283351728344801</v>
      </c>
      <c r="Q112">
        <v>5.0999999999999996</v>
      </c>
      <c r="R112">
        <v>2</v>
      </c>
      <c r="S112" t="s">
        <v>5</v>
      </c>
      <c r="T112">
        <v>2</v>
      </c>
    </row>
    <row r="113" spans="1:20" x14ac:dyDescent="0.3">
      <c r="A113">
        <v>5.3</v>
      </c>
      <c r="B113">
        <v>1.9</v>
      </c>
      <c r="C113" t="s">
        <v>5</v>
      </c>
      <c r="D113">
        <f t="shared" si="8"/>
        <v>2</v>
      </c>
      <c r="E113">
        <f t="shared" si="10"/>
        <v>0.87643312300776111</v>
      </c>
      <c r="F113">
        <f t="shared" si="11"/>
        <v>0.92230283792737455</v>
      </c>
      <c r="G113">
        <f t="array" ref="G113">SQRT(SUM(($E113:$F113-$M$6:$N$6)^2))</f>
        <v>3.147615163081257</v>
      </c>
      <c r="H113">
        <f t="array" ref="H113">SQRT(SUM(($E113:$F113-$M$7:$N$7)^2))</f>
        <v>0.65880675970388813</v>
      </c>
      <c r="I113">
        <f t="shared" si="9"/>
        <v>0.65880675970388813</v>
      </c>
      <c r="Q113">
        <v>5.3</v>
      </c>
      <c r="R113">
        <v>1.9</v>
      </c>
      <c r="S113" t="s">
        <v>5</v>
      </c>
      <c r="T113">
        <v>2</v>
      </c>
    </row>
    <row r="114" spans="1:20" x14ac:dyDescent="0.3">
      <c r="A114">
        <v>5.5</v>
      </c>
      <c r="B114">
        <v>2.1</v>
      </c>
      <c r="C114" t="s">
        <v>5</v>
      </c>
      <c r="D114">
        <f t="shared" si="8"/>
        <v>2</v>
      </c>
      <c r="E114">
        <f t="shared" si="10"/>
        <v>0.99010797683496776</v>
      </c>
      <c r="F114">
        <f t="shared" si="11"/>
        <v>1.1855672065079768</v>
      </c>
      <c r="G114">
        <f t="array" ref="G114">SQRT(SUM(($E114:$F114-$M$6:$N$6)^2))</f>
        <v>3.4163149628400622</v>
      </c>
      <c r="H114">
        <f t="array" ref="H114">SQRT(SUM(($E114:$F114-$M$7:$N$7)^2))</f>
        <v>0.93531012475455677</v>
      </c>
      <c r="I114">
        <f t="shared" si="9"/>
        <v>0.93531012475455677</v>
      </c>
      <c r="Q114">
        <v>5.5</v>
      </c>
      <c r="R114">
        <v>2.1</v>
      </c>
      <c r="S114" t="s">
        <v>5</v>
      </c>
      <c r="T114">
        <v>2</v>
      </c>
    </row>
    <row r="115" spans="1:20" x14ac:dyDescent="0.3">
      <c r="A115">
        <v>5</v>
      </c>
      <c r="B115">
        <v>2</v>
      </c>
      <c r="C115" t="s">
        <v>5</v>
      </c>
      <c r="D115">
        <f t="shared" si="8"/>
        <v>2</v>
      </c>
      <c r="E115">
        <f t="shared" si="10"/>
        <v>0.70592084226695129</v>
      </c>
      <c r="F115">
        <f t="shared" si="11"/>
        <v>1.0539350222176758</v>
      </c>
      <c r="G115">
        <f t="array" ref="G115">SQRT(SUM(($E115:$F115-$M$6:$N$6)^2))</f>
        <v>3.128596188900187</v>
      </c>
      <c r="H115">
        <f t="array" ref="H115">SQRT(SUM(($E115:$F115-$M$7:$N$7)^2))</f>
        <v>0.67843141786408956</v>
      </c>
      <c r="I115">
        <f t="shared" si="9"/>
        <v>0.67843141786408956</v>
      </c>
      <c r="Q115">
        <v>5</v>
      </c>
      <c r="R115">
        <v>2</v>
      </c>
      <c r="S115" t="s">
        <v>5</v>
      </c>
      <c r="T115">
        <v>2</v>
      </c>
    </row>
    <row r="116" spans="1:20" x14ac:dyDescent="0.3">
      <c r="A116">
        <v>5.0999999999999996</v>
      </c>
      <c r="B116">
        <v>2.4</v>
      </c>
      <c r="C116" t="s">
        <v>5</v>
      </c>
      <c r="D116">
        <f t="shared" si="8"/>
        <v>2</v>
      </c>
      <c r="E116">
        <f t="shared" si="10"/>
        <v>0.76275826918055445</v>
      </c>
      <c r="F116">
        <f t="shared" si="11"/>
        <v>1.5804637593788795</v>
      </c>
      <c r="G116">
        <f t="array" ref="G116">SQRT(SUM(($E116:$F116-$M$6:$N$6)^2))</f>
        <v>3.5771379589603503</v>
      </c>
      <c r="H116">
        <f t="array" ref="H116">SQRT(SUM(($E116:$F116-$M$7:$N$7)^2))</f>
        <v>1.1947752784147552</v>
      </c>
      <c r="I116">
        <f t="shared" si="9"/>
        <v>1.1947752784147552</v>
      </c>
      <c r="Q116">
        <v>5.0999999999999996</v>
      </c>
      <c r="R116">
        <v>2.4</v>
      </c>
      <c r="S116" t="s">
        <v>5</v>
      </c>
      <c r="T116">
        <v>2</v>
      </c>
    </row>
    <row r="117" spans="1:20" x14ac:dyDescent="0.3">
      <c r="A117">
        <v>5.3</v>
      </c>
      <c r="B117">
        <v>2.2999999999999998</v>
      </c>
      <c r="C117" t="s">
        <v>5</v>
      </c>
      <c r="D117">
        <f t="shared" si="8"/>
        <v>2</v>
      </c>
      <c r="E117">
        <f t="shared" si="10"/>
        <v>0.87643312300776111</v>
      </c>
      <c r="F117">
        <f t="shared" si="11"/>
        <v>1.4488315750885783</v>
      </c>
      <c r="G117">
        <f t="array" ref="G117">SQRT(SUM(($E117:$F117-$M$6:$N$6)^2))</f>
        <v>3.5413542705999466</v>
      </c>
      <c r="H117">
        <f t="array" ref="H117">SQRT(SUM(($E117:$F117-$M$7:$N$7)^2))</f>
        <v>1.108568042114368</v>
      </c>
      <c r="I117">
        <f t="shared" si="9"/>
        <v>1.108568042114368</v>
      </c>
      <c r="Q117">
        <v>5.3</v>
      </c>
      <c r="R117">
        <v>2.2999999999999998</v>
      </c>
      <c r="S117" t="s">
        <v>5</v>
      </c>
      <c r="T117">
        <v>2</v>
      </c>
    </row>
    <row r="118" spans="1:20" x14ac:dyDescent="0.3">
      <c r="A118">
        <v>5.5</v>
      </c>
      <c r="B118">
        <v>1.8</v>
      </c>
      <c r="C118" t="s">
        <v>5</v>
      </c>
      <c r="D118">
        <f t="shared" si="8"/>
        <v>2</v>
      </c>
      <c r="E118">
        <f t="shared" si="10"/>
        <v>0.99010797683496776</v>
      </c>
      <c r="F118">
        <f t="shared" si="11"/>
        <v>0.79067065363707378</v>
      </c>
      <c r="G118">
        <f t="array" ref="G118">SQRT(SUM(($E118:$F118-$M$6:$N$6)^2))</f>
        <v>3.1387687986718835</v>
      </c>
      <c r="H118">
        <f t="array" ref="H118">SQRT(SUM(($E118:$F118-$M$7:$N$7)^2))</f>
        <v>0.65922359553750498</v>
      </c>
      <c r="I118">
        <f t="shared" si="9"/>
        <v>0.65922359553750498</v>
      </c>
      <c r="Q118">
        <v>5.5</v>
      </c>
      <c r="R118">
        <v>1.8</v>
      </c>
      <c r="S118" t="s">
        <v>5</v>
      </c>
      <c r="T118">
        <v>2</v>
      </c>
    </row>
    <row r="119" spans="1:20" x14ac:dyDescent="0.3">
      <c r="A119">
        <v>6.7</v>
      </c>
      <c r="B119">
        <v>2.2000000000000002</v>
      </c>
      <c r="C119" t="s">
        <v>5</v>
      </c>
      <c r="D119">
        <f t="shared" si="8"/>
        <v>2</v>
      </c>
      <c r="E119">
        <f t="shared" si="10"/>
        <v>1.6721570997982074</v>
      </c>
      <c r="F119">
        <f t="shared" si="11"/>
        <v>1.317199390798278</v>
      </c>
      <c r="G119">
        <f t="array" ref="G119">SQRT(SUM(($E119:$F119-$M$6:$N$6)^2))</f>
        <v>3.9983455923398723</v>
      </c>
      <c r="H119">
        <f t="array" ref="H119">SQRT(SUM(($E119:$F119-$M$7:$N$7)^2))</f>
        <v>1.5196742028310886</v>
      </c>
      <c r="I119">
        <f t="shared" si="9"/>
        <v>1.5196742028310886</v>
      </c>
      <c r="Q119">
        <v>6.7</v>
      </c>
      <c r="R119">
        <v>2.2000000000000002</v>
      </c>
      <c r="S119" t="s">
        <v>5</v>
      </c>
      <c r="T119">
        <v>2</v>
      </c>
    </row>
    <row r="120" spans="1:20" x14ac:dyDescent="0.3">
      <c r="A120">
        <v>6.9</v>
      </c>
      <c r="B120">
        <v>2.2999999999999998</v>
      </c>
      <c r="C120" t="s">
        <v>5</v>
      </c>
      <c r="D120">
        <f t="shared" si="8"/>
        <v>2</v>
      </c>
      <c r="E120">
        <f t="shared" si="10"/>
        <v>1.7858319536254139</v>
      </c>
      <c r="F120">
        <f t="shared" si="11"/>
        <v>1.4488315750885783</v>
      </c>
      <c r="G120">
        <f t="array" ref="G120">SQRT(SUM(($E120:$F120-$M$6:$N$6)^2))</f>
        <v>4.1706430930462437</v>
      </c>
      <c r="H120">
        <f t="array" ref="H120">SQRT(SUM(($E120:$F120-$M$7:$N$7)^2))</f>
        <v>1.6892782521923024</v>
      </c>
      <c r="I120">
        <f t="shared" si="9"/>
        <v>1.6892782521923024</v>
      </c>
      <c r="Q120">
        <v>6.9</v>
      </c>
      <c r="R120">
        <v>2.2999999999999998</v>
      </c>
      <c r="S120" t="s">
        <v>5</v>
      </c>
      <c r="T120">
        <v>2</v>
      </c>
    </row>
    <row r="121" spans="1:20" x14ac:dyDescent="0.3">
      <c r="A121">
        <v>5</v>
      </c>
      <c r="B121">
        <v>1.5</v>
      </c>
      <c r="C121" t="s">
        <v>5</v>
      </c>
      <c r="D121">
        <f t="shared" si="8"/>
        <v>2</v>
      </c>
      <c r="E121">
        <f t="shared" si="10"/>
        <v>0.70592084226695129</v>
      </c>
      <c r="F121">
        <f t="shared" si="11"/>
        <v>0.3957741007661707</v>
      </c>
      <c r="G121">
        <f t="array" ref="G121">SQRT(SUM(($E121:$F121-$M$6:$N$6)^2))</f>
        <v>2.6650373660307709</v>
      </c>
      <c r="H121">
        <f t="array" ref="H121">SQRT(SUM(($E121:$F121-$M$7:$N$7)^2))</f>
        <v>0.27035968629613888</v>
      </c>
      <c r="I121">
        <f t="shared" si="9"/>
        <v>0.27035968629613888</v>
      </c>
      <c r="Q121">
        <v>5</v>
      </c>
      <c r="R121">
        <v>1.5</v>
      </c>
      <c r="S121" t="s">
        <v>5</v>
      </c>
      <c r="T121">
        <v>2</v>
      </c>
    </row>
    <row r="122" spans="1:20" x14ac:dyDescent="0.3">
      <c r="A122">
        <v>5.7</v>
      </c>
      <c r="B122">
        <v>2.2999999999999998</v>
      </c>
      <c r="C122" t="s">
        <v>5</v>
      </c>
      <c r="D122">
        <f t="shared" si="8"/>
        <v>2</v>
      </c>
      <c r="E122">
        <f t="shared" si="10"/>
        <v>1.1037828306621744</v>
      </c>
      <c r="F122">
        <f t="shared" si="11"/>
        <v>1.4488315750885783</v>
      </c>
      <c r="G122">
        <f t="array" ref="G122">SQRT(SUM(($E122:$F122-$M$6:$N$6)^2))</f>
        <v>3.6877357329538003</v>
      </c>
      <c r="H122">
        <f t="array" ref="H122">SQRT(SUM(($E122:$F122-$M$7:$N$7)^2))</f>
        <v>1.2165705539009199</v>
      </c>
      <c r="I122">
        <f t="shared" si="9"/>
        <v>1.2165705539009199</v>
      </c>
      <c r="Q122">
        <v>5.7</v>
      </c>
      <c r="R122">
        <v>2.2999999999999998</v>
      </c>
      <c r="S122" t="s">
        <v>5</v>
      </c>
      <c r="T122">
        <v>2</v>
      </c>
    </row>
    <row r="123" spans="1:20" x14ac:dyDescent="0.3">
      <c r="A123">
        <v>4.9000000000000004</v>
      </c>
      <c r="B123">
        <v>2</v>
      </c>
      <c r="C123" t="s">
        <v>5</v>
      </c>
      <c r="D123">
        <f t="shared" si="8"/>
        <v>2</v>
      </c>
      <c r="E123">
        <f t="shared" si="10"/>
        <v>0.64908341535334824</v>
      </c>
      <c r="F123">
        <f t="shared" si="11"/>
        <v>1.0539350222176758</v>
      </c>
      <c r="G123">
        <f t="array" ref="G123">SQRT(SUM(($E123:$F123-$M$6:$N$6)^2))</f>
        <v>3.0917791553939571</v>
      </c>
      <c r="H123">
        <f t="array" ref="H123">SQRT(SUM(($E123:$F123-$M$7:$N$7)^2))</f>
        <v>0.65804590316288214</v>
      </c>
      <c r="I123">
        <f t="shared" si="9"/>
        <v>0.65804590316288214</v>
      </c>
      <c r="Q123">
        <v>4.9000000000000004</v>
      </c>
      <c r="R123">
        <v>2</v>
      </c>
      <c r="S123" t="s">
        <v>5</v>
      </c>
      <c r="T123">
        <v>2</v>
      </c>
    </row>
    <row r="124" spans="1:20" x14ac:dyDescent="0.3">
      <c r="A124">
        <v>6.7</v>
      </c>
      <c r="B124">
        <v>2</v>
      </c>
      <c r="C124" t="s">
        <v>5</v>
      </c>
      <c r="D124">
        <f t="shared" si="8"/>
        <v>2</v>
      </c>
      <c r="E124">
        <f t="shared" si="10"/>
        <v>1.6721570997982074</v>
      </c>
      <c r="F124">
        <f t="shared" si="11"/>
        <v>1.0539350222176758</v>
      </c>
      <c r="G124">
        <f t="array" ref="G124">SQRT(SUM(($E124:$F124-$M$6:$N$6)^2))</f>
        <v>3.8301322494484396</v>
      </c>
      <c r="H124">
        <f t="array" ref="H124">SQRT(SUM(($E124:$F124-$M$7:$N$7)^2))</f>
        <v>1.3827368889515572</v>
      </c>
      <c r="I124">
        <f t="shared" si="9"/>
        <v>1.3827368889515572</v>
      </c>
      <c r="Q124">
        <v>6.7</v>
      </c>
      <c r="R124">
        <v>2</v>
      </c>
      <c r="S124" t="s">
        <v>5</v>
      </c>
      <c r="T124">
        <v>2</v>
      </c>
    </row>
    <row r="125" spans="1:20" x14ac:dyDescent="0.3">
      <c r="A125">
        <v>4.9000000000000004</v>
      </c>
      <c r="B125">
        <v>1.8</v>
      </c>
      <c r="C125" t="s">
        <v>5</v>
      </c>
      <c r="D125">
        <f t="shared" si="8"/>
        <v>2</v>
      </c>
      <c r="E125">
        <f t="shared" si="10"/>
        <v>0.64908341535334824</v>
      </c>
      <c r="F125">
        <f t="shared" si="11"/>
        <v>0.79067065363707378</v>
      </c>
      <c r="G125">
        <f t="array" ref="G125">SQRT(SUM(($E125:$F125-$M$6:$N$6)^2))</f>
        <v>2.8949715324572951</v>
      </c>
      <c r="H125">
        <f t="array" ref="H125">SQRT(SUM(($E125:$F125-$M$7:$N$7)^2))</f>
        <v>0.41736349566638631</v>
      </c>
      <c r="I125">
        <f t="shared" si="9"/>
        <v>0.41736349566638631</v>
      </c>
      <c r="Q125">
        <v>4.9000000000000004</v>
      </c>
      <c r="R125">
        <v>1.8</v>
      </c>
      <c r="S125" t="s">
        <v>5</v>
      </c>
      <c r="T125">
        <v>2</v>
      </c>
    </row>
    <row r="126" spans="1:20" x14ac:dyDescent="0.3">
      <c r="A126">
        <v>5.7</v>
      </c>
      <c r="B126">
        <v>2.1</v>
      </c>
      <c r="C126" t="s">
        <v>5</v>
      </c>
      <c r="D126">
        <f t="shared" si="8"/>
        <v>2</v>
      </c>
      <c r="E126">
        <f t="shared" si="10"/>
        <v>1.1037828306621744</v>
      </c>
      <c r="F126">
        <f t="shared" si="11"/>
        <v>1.1855672065079768</v>
      </c>
      <c r="G126">
        <f t="array" ref="G126">SQRT(SUM(($E126:$F126-$M$6:$N$6)^2))</f>
        <v>3.4947435214649794</v>
      </c>
      <c r="H126">
        <f t="array" ref="H126">SQRT(SUM(($E126:$F126-$M$7:$N$7)^2))</f>
        <v>1.0066217791066192</v>
      </c>
      <c r="I126">
        <f t="shared" si="9"/>
        <v>1.0066217791066192</v>
      </c>
      <c r="Q126">
        <v>5.7</v>
      </c>
      <c r="R126">
        <v>2.1</v>
      </c>
      <c r="S126" t="s">
        <v>5</v>
      </c>
      <c r="T126">
        <v>2</v>
      </c>
    </row>
    <row r="127" spans="1:20" x14ac:dyDescent="0.3">
      <c r="A127">
        <v>6</v>
      </c>
      <c r="B127">
        <v>1.8</v>
      </c>
      <c r="C127" t="s">
        <v>5</v>
      </c>
      <c r="D127">
        <f t="shared" si="8"/>
        <v>2</v>
      </c>
      <c r="E127">
        <f t="shared" si="10"/>
        <v>1.2742951114029841</v>
      </c>
      <c r="F127">
        <f t="shared" si="11"/>
        <v>0.79067065363707378</v>
      </c>
      <c r="G127">
        <f t="array" ref="G127">SQRT(SUM(($E127:$F127-$M$6:$N$6)^2))</f>
        <v>3.3549050443686026</v>
      </c>
      <c r="H127">
        <f t="array" ref="H127">SQRT(SUM(($E127:$F127-$M$7:$N$7)^2))</f>
        <v>0.91062565697670772</v>
      </c>
      <c r="I127">
        <f t="shared" si="9"/>
        <v>0.91062565697670772</v>
      </c>
      <c r="Q127">
        <v>6</v>
      </c>
      <c r="R127">
        <v>1.8</v>
      </c>
      <c r="S127" t="s">
        <v>5</v>
      </c>
      <c r="T127">
        <v>2</v>
      </c>
    </row>
    <row r="128" spans="1:20" x14ac:dyDescent="0.3">
      <c r="A128">
        <v>4.8</v>
      </c>
      <c r="B128">
        <v>1.8</v>
      </c>
      <c r="C128" t="s">
        <v>5</v>
      </c>
      <c r="D128">
        <f t="shared" si="8"/>
        <v>2</v>
      </c>
      <c r="E128">
        <f t="shared" si="10"/>
        <v>0.59224598843974463</v>
      </c>
      <c r="F128">
        <f t="shared" si="11"/>
        <v>0.79067065363707378</v>
      </c>
      <c r="G128">
        <f t="array" ref="G128">SQRT(SUM(($E128:$F128-$M$6:$N$6)^2))</f>
        <v>2.8562747403676436</v>
      </c>
      <c r="H128">
        <f t="array" ref="H128">SQRT(SUM(($E128:$F128-$M$7:$N$7)^2))</f>
        <v>0.39167396599156062</v>
      </c>
      <c r="I128">
        <f t="shared" si="9"/>
        <v>0.39167396599156062</v>
      </c>
      <c r="Q128">
        <v>4.8</v>
      </c>
      <c r="R128">
        <v>1.8</v>
      </c>
      <c r="S128" t="s">
        <v>5</v>
      </c>
      <c r="T128">
        <v>2</v>
      </c>
    </row>
    <row r="129" spans="1:20" x14ac:dyDescent="0.3">
      <c r="A129">
        <v>4.9000000000000004</v>
      </c>
      <c r="B129">
        <v>1.8</v>
      </c>
      <c r="C129" t="s">
        <v>5</v>
      </c>
      <c r="D129">
        <f t="shared" si="8"/>
        <v>2</v>
      </c>
      <c r="E129">
        <f t="shared" si="10"/>
        <v>0.64908341535334824</v>
      </c>
      <c r="F129">
        <f t="shared" si="11"/>
        <v>0.79067065363707378</v>
      </c>
      <c r="G129">
        <f t="array" ref="G129">SQRT(SUM(($E129:$F129-$M$6:$N$6)^2))</f>
        <v>2.8949715324572951</v>
      </c>
      <c r="H129">
        <f t="array" ref="H129">SQRT(SUM(($E129:$F129-$M$7:$N$7)^2))</f>
        <v>0.41736349566638631</v>
      </c>
      <c r="I129">
        <f t="shared" si="9"/>
        <v>0.41736349566638631</v>
      </c>
      <c r="Q129">
        <v>4.9000000000000004</v>
      </c>
      <c r="R129">
        <v>1.8</v>
      </c>
      <c r="S129" t="s">
        <v>5</v>
      </c>
      <c r="T129">
        <v>2</v>
      </c>
    </row>
    <row r="130" spans="1:20" x14ac:dyDescent="0.3">
      <c r="A130">
        <v>5.6</v>
      </c>
      <c r="B130">
        <v>2.1</v>
      </c>
      <c r="C130" t="s">
        <v>5</v>
      </c>
      <c r="D130">
        <f t="shared" si="8"/>
        <v>2</v>
      </c>
      <c r="E130">
        <f t="shared" ref="E130:E151" si="12">(A130-L$2)/L$3</f>
        <v>1.0469454037485708</v>
      </c>
      <c r="F130">
        <f t="shared" ref="F130:F151" si="13">(B130-M$2)/M$3</f>
        <v>1.1855672065079768</v>
      </c>
      <c r="G130">
        <f t="array" ref="G130">SQRT(SUM(($E130:$F130-$M$6:$N$6)^2))</f>
        <v>3.4552843023367861</v>
      </c>
      <c r="H130">
        <f t="array" ref="H130">SQRT(SUM(($E130:$F130-$M$7:$N$7)^2))</f>
        <v>0.96995655816223048</v>
      </c>
      <c r="I130">
        <f t="shared" si="9"/>
        <v>0.96995655816223048</v>
      </c>
      <c r="Q130">
        <v>5.6</v>
      </c>
      <c r="R130">
        <v>2.1</v>
      </c>
      <c r="S130" t="s">
        <v>5</v>
      </c>
      <c r="T130">
        <v>2</v>
      </c>
    </row>
    <row r="131" spans="1:20" x14ac:dyDescent="0.3">
      <c r="A131">
        <v>5.8</v>
      </c>
      <c r="B131">
        <v>1.6</v>
      </c>
      <c r="C131" t="s">
        <v>5</v>
      </c>
      <c r="D131">
        <f t="shared" ref="D131:D151" si="14">IF(G131=I131,1,2)</f>
        <v>2</v>
      </c>
      <c r="E131">
        <f t="shared" si="12"/>
        <v>1.1606202575757776</v>
      </c>
      <c r="F131">
        <f t="shared" si="13"/>
        <v>0.5274062850564718</v>
      </c>
      <c r="G131">
        <f t="array" ref="G131">SQRT(SUM(($E131:$F131-$M$6:$N$6)^2))</f>
        <v>3.1040257195444263</v>
      </c>
      <c r="H131">
        <f t="array" ref="H131">SQRT(SUM(($E131:$F131-$M$7:$N$7)^2))</f>
        <v>0.72922899396325302</v>
      </c>
      <c r="I131">
        <f t="shared" ref="I131:I151" si="15">MIN(G131:H131)</f>
        <v>0.72922899396325302</v>
      </c>
      <c r="Q131">
        <v>5.8</v>
      </c>
      <c r="R131">
        <v>1.6</v>
      </c>
      <c r="S131" t="s">
        <v>5</v>
      </c>
      <c r="T131">
        <v>2</v>
      </c>
    </row>
    <row r="132" spans="1:20" x14ac:dyDescent="0.3">
      <c r="A132">
        <v>6.1</v>
      </c>
      <c r="B132">
        <v>1.9</v>
      </c>
      <c r="C132" t="s">
        <v>5</v>
      </c>
      <c r="D132">
        <f t="shared" si="14"/>
        <v>2</v>
      </c>
      <c r="E132">
        <f t="shared" si="12"/>
        <v>1.3311325383165873</v>
      </c>
      <c r="F132">
        <f t="shared" si="13"/>
        <v>0.92230283792737455</v>
      </c>
      <c r="G132">
        <f t="array" ref="G132">SQRT(SUM(($E132:$F132-$M$6:$N$6)^2))</f>
        <v>3.4824225083145475</v>
      </c>
      <c r="H132">
        <f t="array" ref="H132">SQRT(SUM(($E132:$F132-$M$7:$N$7)^2))</f>
        <v>1.0196292184003193</v>
      </c>
      <c r="I132">
        <f t="shared" si="15"/>
        <v>1.0196292184003193</v>
      </c>
      <c r="Q132">
        <v>6.1</v>
      </c>
      <c r="R132">
        <v>1.9</v>
      </c>
      <c r="S132" t="s">
        <v>5</v>
      </c>
      <c r="T132">
        <v>2</v>
      </c>
    </row>
    <row r="133" spans="1:20" x14ac:dyDescent="0.3">
      <c r="A133">
        <v>6.4</v>
      </c>
      <c r="B133">
        <v>2</v>
      </c>
      <c r="C133" t="s">
        <v>5</v>
      </c>
      <c r="D133">
        <f t="shared" si="14"/>
        <v>2</v>
      </c>
      <c r="E133">
        <f t="shared" si="12"/>
        <v>1.5016448190573974</v>
      </c>
      <c r="F133">
        <f t="shared" si="13"/>
        <v>1.0539350222176758</v>
      </c>
      <c r="G133">
        <f t="array" ref="G133">SQRT(SUM(($E133:$F133-$M$6:$N$6)^2))</f>
        <v>3.6976666167226417</v>
      </c>
      <c r="H133">
        <f t="array" ref="H133">SQRT(SUM(($E133:$F133-$M$7:$N$7)^2))</f>
        <v>1.2329232062124837</v>
      </c>
      <c r="I133">
        <f t="shared" si="15"/>
        <v>1.2329232062124837</v>
      </c>
      <c r="Q133">
        <v>6.4</v>
      </c>
      <c r="R133">
        <v>2</v>
      </c>
      <c r="S133" t="s">
        <v>5</v>
      </c>
      <c r="T133">
        <v>2</v>
      </c>
    </row>
    <row r="134" spans="1:20" x14ac:dyDescent="0.3">
      <c r="A134">
        <v>5.6</v>
      </c>
      <c r="B134">
        <v>2.2000000000000002</v>
      </c>
      <c r="C134" t="s">
        <v>5</v>
      </c>
      <c r="D134">
        <f t="shared" si="14"/>
        <v>2</v>
      </c>
      <c r="E134">
        <f t="shared" si="12"/>
        <v>1.0469454037485708</v>
      </c>
      <c r="F134">
        <f t="shared" si="13"/>
        <v>1.317199390798278</v>
      </c>
      <c r="G134">
        <f t="array" ref="G134">SQRT(SUM(($E134:$F134-$M$6:$N$6)^2))</f>
        <v>3.551724068065452</v>
      </c>
      <c r="H134">
        <f t="array" ref="H134">SQRT(SUM(($E134:$F134-$M$7:$N$7)^2))</f>
        <v>1.0755774941883052</v>
      </c>
      <c r="I134">
        <f t="shared" si="15"/>
        <v>1.0755774941883052</v>
      </c>
      <c r="Q134">
        <v>5.6</v>
      </c>
      <c r="R134">
        <v>2.2000000000000002</v>
      </c>
      <c r="S134" t="s">
        <v>5</v>
      </c>
      <c r="T134">
        <v>2</v>
      </c>
    </row>
    <row r="135" spans="1:20" x14ac:dyDescent="0.3">
      <c r="A135">
        <v>5.0999999999999996</v>
      </c>
      <c r="B135">
        <v>1.5</v>
      </c>
      <c r="C135" t="s">
        <v>5</v>
      </c>
      <c r="D135">
        <f t="shared" si="14"/>
        <v>2</v>
      </c>
      <c r="E135">
        <f t="shared" si="12"/>
        <v>0.76275826918055445</v>
      </c>
      <c r="F135">
        <f t="shared" si="13"/>
        <v>0.3957741007661707</v>
      </c>
      <c r="G135">
        <f t="array" ref="G135">SQRT(SUM(($E135:$F135-$M$6:$N$6)^2))</f>
        <v>2.708856016108784</v>
      </c>
      <c r="H135">
        <f t="array" ref="H135">SQRT(SUM(($E135:$F135-$M$7:$N$7)^2))</f>
        <v>0.32680288286074022</v>
      </c>
      <c r="I135">
        <f t="shared" si="15"/>
        <v>0.32680288286074022</v>
      </c>
      <c r="Q135">
        <v>5.0999999999999996</v>
      </c>
      <c r="R135">
        <v>1.5</v>
      </c>
      <c r="S135" t="s">
        <v>5</v>
      </c>
      <c r="T135">
        <v>2</v>
      </c>
    </row>
    <row r="136" spans="1:20" x14ac:dyDescent="0.3">
      <c r="A136">
        <v>5.6</v>
      </c>
      <c r="B136">
        <v>1.4</v>
      </c>
      <c r="C136" t="s">
        <v>5</v>
      </c>
      <c r="D136">
        <f t="shared" si="14"/>
        <v>2</v>
      </c>
      <c r="E136">
        <f t="shared" si="12"/>
        <v>1.0469454037485708</v>
      </c>
      <c r="F136">
        <f t="shared" si="13"/>
        <v>0.2641419164758696</v>
      </c>
      <c r="G136">
        <f t="array" ref="G136">SQRT(SUM(($E136:$F136-$M$6:$N$6)^2))</f>
        <v>2.8598992427654242</v>
      </c>
      <c r="H136">
        <f t="array" ref="H136">SQRT(SUM(($E136:$F136-$M$7:$N$7)^2))</f>
        <v>0.63148314660219984</v>
      </c>
      <c r="I136">
        <f t="shared" si="15"/>
        <v>0.63148314660219984</v>
      </c>
      <c r="Q136">
        <v>5.6</v>
      </c>
      <c r="R136">
        <v>1.4</v>
      </c>
      <c r="S136" t="s">
        <v>5</v>
      </c>
      <c r="T136">
        <v>2</v>
      </c>
    </row>
    <row r="137" spans="1:20" x14ac:dyDescent="0.3">
      <c r="A137">
        <v>6.1</v>
      </c>
      <c r="B137">
        <v>2.2999999999999998</v>
      </c>
      <c r="C137" t="s">
        <v>5</v>
      </c>
      <c r="D137">
        <f t="shared" si="14"/>
        <v>2</v>
      </c>
      <c r="E137">
        <f t="shared" si="12"/>
        <v>1.3311325383165873</v>
      </c>
      <c r="F137">
        <f t="shared" si="13"/>
        <v>1.4488315750885783</v>
      </c>
      <c r="G137">
        <f t="array" ref="G137">SQRT(SUM(($E137:$F137-$M$6:$N$6)^2))</f>
        <v>3.8420014811883165</v>
      </c>
      <c r="H137">
        <f t="array" ref="H137">SQRT(SUM(($E137:$F137-$M$7:$N$7)^2))</f>
        <v>1.3544521033914017</v>
      </c>
      <c r="I137">
        <f t="shared" si="15"/>
        <v>1.3544521033914017</v>
      </c>
      <c r="Q137">
        <v>6.1</v>
      </c>
      <c r="R137">
        <v>2.2999999999999998</v>
      </c>
      <c r="S137" t="s">
        <v>5</v>
      </c>
      <c r="T137">
        <v>2</v>
      </c>
    </row>
    <row r="138" spans="1:20" x14ac:dyDescent="0.3">
      <c r="A138">
        <v>5.6</v>
      </c>
      <c r="B138">
        <v>2.4</v>
      </c>
      <c r="C138" t="s">
        <v>5</v>
      </c>
      <c r="D138">
        <f t="shared" si="14"/>
        <v>2</v>
      </c>
      <c r="E138">
        <f t="shared" si="12"/>
        <v>1.0469454037485708</v>
      </c>
      <c r="F138">
        <f t="shared" si="13"/>
        <v>1.5804637593788795</v>
      </c>
      <c r="G138">
        <f t="array" ref="G138">SQRT(SUM(($E138:$F138-$M$6:$N$6)^2))</f>
        <v>3.751028464131192</v>
      </c>
      <c r="H138">
        <f t="array" ref="H138">SQRT(SUM(($E138:$F138-$M$7:$N$7)^2))</f>
        <v>1.3011270423043064</v>
      </c>
      <c r="I138">
        <f t="shared" si="15"/>
        <v>1.3011270423043064</v>
      </c>
      <c r="Q138">
        <v>5.6</v>
      </c>
      <c r="R138">
        <v>2.4</v>
      </c>
      <c r="S138" t="s">
        <v>5</v>
      </c>
      <c r="T138">
        <v>2</v>
      </c>
    </row>
    <row r="139" spans="1:20" x14ac:dyDescent="0.3">
      <c r="A139">
        <v>5.5</v>
      </c>
      <c r="B139">
        <v>1.8</v>
      </c>
      <c r="C139" t="s">
        <v>5</v>
      </c>
      <c r="D139">
        <f t="shared" si="14"/>
        <v>2</v>
      </c>
      <c r="E139">
        <f t="shared" si="12"/>
        <v>0.99010797683496776</v>
      </c>
      <c r="F139">
        <f t="shared" si="13"/>
        <v>0.79067065363707378</v>
      </c>
      <c r="G139">
        <f t="array" ref="G139">SQRT(SUM(($E139:$F139-$M$6:$N$6)^2))</f>
        <v>3.1387687986718835</v>
      </c>
      <c r="H139">
        <f t="array" ref="H139">SQRT(SUM(($E139:$F139-$M$7:$N$7)^2))</f>
        <v>0.65922359553750498</v>
      </c>
      <c r="I139">
        <f t="shared" si="15"/>
        <v>0.65922359553750498</v>
      </c>
      <c r="Q139">
        <v>5.5</v>
      </c>
      <c r="R139">
        <v>1.8</v>
      </c>
      <c r="S139" t="s">
        <v>5</v>
      </c>
      <c r="T139">
        <v>2</v>
      </c>
    </row>
    <row r="140" spans="1:20" x14ac:dyDescent="0.3">
      <c r="A140">
        <v>4.8</v>
      </c>
      <c r="B140">
        <v>1.8</v>
      </c>
      <c r="C140" t="s">
        <v>5</v>
      </c>
      <c r="D140">
        <f t="shared" si="14"/>
        <v>2</v>
      </c>
      <c r="E140">
        <f t="shared" si="12"/>
        <v>0.59224598843974463</v>
      </c>
      <c r="F140">
        <f t="shared" si="13"/>
        <v>0.79067065363707378</v>
      </c>
      <c r="G140">
        <f t="array" ref="G140">SQRT(SUM(($E140:$F140-$M$6:$N$6)^2))</f>
        <v>2.8562747403676436</v>
      </c>
      <c r="H140">
        <f t="array" ref="H140">SQRT(SUM(($E140:$F140-$M$7:$N$7)^2))</f>
        <v>0.39167396599156062</v>
      </c>
      <c r="I140">
        <f t="shared" si="15"/>
        <v>0.39167396599156062</v>
      </c>
      <c r="Q140">
        <v>4.8</v>
      </c>
      <c r="R140">
        <v>1.8</v>
      </c>
      <c r="S140" t="s">
        <v>5</v>
      </c>
      <c r="T140">
        <v>2</v>
      </c>
    </row>
    <row r="141" spans="1:20" x14ac:dyDescent="0.3">
      <c r="A141">
        <v>5.4</v>
      </c>
      <c r="B141">
        <v>2.1</v>
      </c>
      <c r="C141" t="s">
        <v>5</v>
      </c>
      <c r="D141">
        <f t="shared" si="14"/>
        <v>2</v>
      </c>
      <c r="E141">
        <f t="shared" si="12"/>
        <v>0.93327054992136471</v>
      </c>
      <c r="F141">
        <f t="shared" si="13"/>
        <v>1.1855672065079768</v>
      </c>
      <c r="G141">
        <f t="array" ref="G141">SQRT(SUM(($E141:$F141-$M$6:$N$6)^2))</f>
        <v>3.3778524578304334</v>
      </c>
      <c r="H141">
        <f t="array" ref="H141">SQRT(SUM(($E141:$F141-$M$7:$N$7)^2))</f>
        <v>0.90291490208721603</v>
      </c>
      <c r="I141">
        <f t="shared" si="15"/>
        <v>0.90291490208721603</v>
      </c>
      <c r="Q141">
        <v>5.4</v>
      </c>
      <c r="R141">
        <v>2.1</v>
      </c>
      <c r="S141" t="s">
        <v>5</v>
      </c>
      <c r="T141">
        <v>2</v>
      </c>
    </row>
    <row r="142" spans="1:20" x14ac:dyDescent="0.3">
      <c r="A142">
        <v>5.6</v>
      </c>
      <c r="B142">
        <v>2.4</v>
      </c>
      <c r="C142" t="s">
        <v>5</v>
      </c>
      <c r="D142">
        <f t="shared" si="14"/>
        <v>2</v>
      </c>
      <c r="E142">
        <f t="shared" si="12"/>
        <v>1.0469454037485708</v>
      </c>
      <c r="F142">
        <f t="shared" si="13"/>
        <v>1.5804637593788795</v>
      </c>
      <c r="G142">
        <f t="array" ref="G142">SQRT(SUM(($E142:$F142-$M$6:$N$6)^2))</f>
        <v>3.751028464131192</v>
      </c>
      <c r="H142">
        <f t="array" ref="H142">SQRT(SUM(($E142:$F142-$M$7:$N$7)^2))</f>
        <v>1.3011270423043064</v>
      </c>
      <c r="I142">
        <f t="shared" si="15"/>
        <v>1.3011270423043064</v>
      </c>
      <c r="Q142">
        <v>5.6</v>
      </c>
      <c r="R142">
        <v>2.4</v>
      </c>
      <c r="S142" t="s">
        <v>5</v>
      </c>
      <c r="T142">
        <v>2</v>
      </c>
    </row>
    <row r="143" spans="1:20" x14ac:dyDescent="0.3">
      <c r="A143">
        <v>5.0999999999999996</v>
      </c>
      <c r="B143">
        <v>2.2999999999999998</v>
      </c>
      <c r="C143" t="s">
        <v>5</v>
      </c>
      <c r="D143">
        <f t="shared" si="14"/>
        <v>2</v>
      </c>
      <c r="E143">
        <f t="shared" si="12"/>
        <v>0.76275826918055445</v>
      </c>
      <c r="F143">
        <f t="shared" si="13"/>
        <v>1.4488315750885783</v>
      </c>
      <c r="G143">
        <f t="array" ref="G143">SQRT(SUM(($E143:$F143-$M$6:$N$6)^2))</f>
        <v>3.471433940603001</v>
      </c>
      <c r="H143">
        <f t="array" ref="H143">SQRT(SUM(($E143:$F143-$M$7:$N$7)^2))</f>
        <v>1.06870417649808</v>
      </c>
      <c r="I143">
        <f t="shared" si="15"/>
        <v>1.06870417649808</v>
      </c>
      <c r="Q143">
        <v>5.0999999999999996</v>
      </c>
      <c r="R143">
        <v>2.2999999999999998</v>
      </c>
      <c r="S143" t="s">
        <v>5</v>
      </c>
      <c r="T143">
        <v>2</v>
      </c>
    </row>
    <row r="144" spans="1:20" x14ac:dyDescent="0.3">
      <c r="A144">
        <v>5.0999999999999996</v>
      </c>
      <c r="B144">
        <v>1.9</v>
      </c>
      <c r="C144" t="s">
        <v>5</v>
      </c>
      <c r="D144">
        <f t="shared" si="14"/>
        <v>2</v>
      </c>
      <c r="E144">
        <f t="shared" si="12"/>
        <v>0.76275826918055445</v>
      </c>
      <c r="F144">
        <f t="shared" si="13"/>
        <v>0.92230283792737455</v>
      </c>
      <c r="G144">
        <f t="array" ref="G144">SQRT(SUM(($E144:$F144-$M$6:$N$6)^2))</f>
        <v>3.0687366698583056</v>
      </c>
      <c r="H144">
        <f t="array" ref="H144">SQRT(SUM(($E144:$F144-$M$7:$N$7)^2))</f>
        <v>0.58926382843230174</v>
      </c>
      <c r="I144">
        <f t="shared" si="15"/>
        <v>0.58926382843230174</v>
      </c>
      <c r="Q144">
        <v>5.0999999999999996</v>
      </c>
      <c r="R144">
        <v>1.9</v>
      </c>
      <c r="S144" t="s">
        <v>5</v>
      </c>
      <c r="T144">
        <v>2</v>
      </c>
    </row>
    <row r="145" spans="1:20" x14ac:dyDescent="0.3">
      <c r="A145">
        <v>5.9</v>
      </c>
      <c r="B145">
        <v>2.2999999999999998</v>
      </c>
      <c r="C145" t="s">
        <v>5</v>
      </c>
      <c r="D145">
        <f t="shared" si="14"/>
        <v>2</v>
      </c>
      <c r="E145">
        <f t="shared" si="12"/>
        <v>1.2174576844893812</v>
      </c>
      <c r="F145">
        <f t="shared" si="13"/>
        <v>1.4488315750885783</v>
      </c>
      <c r="G145">
        <f t="array" ref="G145">SQRT(SUM(($E145:$F145-$M$6:$N$6)^2))</f>
        <v>3.7639424990807346</v>
      </c>
      <c r="H145">
        <f t="array" ref="H145">SQRT(SUM(($E145:$F145-$M$7:$N$7)^2))</f>
        <v>1.2823300020304662</v>
      </c>
      <c r="I145">
        <f t="shared" si="15"/>
        <v>1.2823300020304662</v>
      </c>
      <c r="Q145">
        <v>5.9</v>
      </c>
      <c r="R145">
        <v>2.2999999999999998</v>
      </c>
      <c r="S145" t="s">
        <v>5</v>
      </c>
      <c r="T145">
        <v>2</v>
      </c>
    </row>
    <row r="146" spans="1:20" x14ac:dyDescent="0.3">
      <c r="A146">
        <v>5.7</v>
      </c>
      <c r="B146">
        <v>2.5</v>
      </c>
      <c r="C146" t="s">
        <v>5</v>
      </c>
      <c r="D146">
        <f t="shared" si="14"/>
        <v>2</v>
      </c>
      <c r="E146">
        <f t="shared" si="12"/>
        <v>1.1037828306621744</v>
      </c>
      <c r="F146">
        <f t="shared" si="13"/>
        <v>1.7120959436691805</v>
      </c>
      <c r="G146">
        <f t="array" ref="G146">SQRT(SUM(($E146:$F146-$M$6:$N$6)^2))</f>
        <v>3.8889810550985526</v>
      </c>
      <c r="H146">
        <f t="array" ref="H146">SQRT(SUM(($E146:$F146-$M$7:$N$7)^2))</f>
        <v>1.4440971832235163</v>
      </c>
      <c r="I146">
        <f t="shared" si="15"/>
        <v>1.4440971832235163</v>
      </c>
      <c r="Q146">
        <v>5.7</v>
      </c>
      <c r="R146">
        <v>2.5</v>
      </c>
      <c r="S146" t="s">
        <v>5</v>
      </c>
      <c r="T146">
        <v>2</v>
      </c>
    </row>
    <row r="147" spans="1:20" x14ac:dyDescent="0.3">
      <c r="A147">
        <v>5.2</v>
      </c>
      <c r="B147">
        <v>2.2999999999999998</v>
      </c>
      <c r="C147" t="s">
        <v>5</v>
      </c>
      <c r="D147">
        <f t="shared" si="14"/>
        <v>2</v>
      </c>
      <c r="E147">
        <f t="shared" si="12"/>
        <v>0.81959569609415794</v>
      </c>
      <c r="F147">
        <f t="shared" si="13"/>
        <v>1.4488315750885783</v>
      </c>
      <c r="G147">
        <f t="array" ref="G147">SQRT(SUM(($E147:$F147-$M$6:$N$6)^2))</f>
        <v>3.5061077199417761</v>
      </c>
      <c r="H147">
        <f t="array" ref="H147">SQRT(SUM(($E147:$F147-$M$7:$N$7)^2))</f>
        <v>1.0873340642749598</v>
      </c>
      <c r="I147">
        <f t="shared" si="15"/>
        <v>1.0873340642749598</v>
      </c>
      <c r="Q147">
        <v>5.2</v>
      </c>
      <c r="R147">
        <v>2.2999999999999998</v>
      </c>
      <c r="S147" t="s">
        <v>5</v>
      </c>
      <c r="T147">
        <v>2</v>
      </c>
    </row>
    <row r="148" spans="1:20" x14ac:dyDescent="0.3">
      <c r="A148">
        <v>5</v>
      </c>
      <c r="B148">
        <v>1.9</v>
      </c>
      <c r="C148" t="s">
        <v>5</v>
      </c>
      <c r="D148">
        <f t="shared" si="14"/>
        <v>2</v>
      </c>
      <c r="E148">
        <f t="shared" si="12"/>
        <v>0.70592084226695129</v>
      </c>
      <c r="F148">
        <f t="shared" si="13"/>
        <v>0.92230283792737455</v>
      </c>
      <c r="G148">
        <f t="array" ref="G148">SQRT(SUM(($E148:$F148-$M$6:$N$6)^2))</f>
        <v>3.0301267292416205</v>
      </c>
      <c r="H148">
        <f t="array" ref="H148">SQRT(SUM(($E148:$F148-$M$7:$N$7)^2))</f>
        <v>0.55993400970716989</v>
      </c>
      <c r="I148">
        <f t="shared" si="15"/>
        <v>0.55993400970716989</v>
      </c>
      <c r="Q148">
        <v>5</v>
      </c>
      <c r="R148">
        <v>1.9</v>
      </c>
      <c r="S148" t="s">
        <v>5</v>
      </c>
      <c r="T148">
        <v>2</v>
      </c>
    </row>
    <row r="149" spans="1:20" x14ac:dyDescent="0.3">
      <c r="A149">
        <v>5.2</v>
      </c>
      <c r="B149">
        <v>2</v>
      </c>
      <c r="C149" t="s">
        <v>5</v>
      </c>
      <c r="D149">
        <f t="shared" si="14"/>
        <v>2</v>
      </c>
      <c r="E149">
        <f t="shared" si="12"/>
        <v>0.81959569609415794</v>
      </c>
      <c r="F149">
        <f t="shared" si="13"/>
        <v>1.0539350222176758</v>
      </c>
      <c r="G149">
        <f t="array" ref="G149">SQRT(SUM(($E149:$F149-$M$6:$N$6)^2))</f>
        <v>3.2039863618208706</v>
      </c>
      <c r="H149">
        <f t="array" ref="H149">SQRT(SUM(($E149:$F149-$M$7:$N$7)^2))</f>
        <v>0.73084998699136994</v>
      </c>
      <c r="I149">
        <f t="shared" si="15"/>
        <v>0.73084998699136994</v>
      </c>
      <c r="Q149">
        <v>5.2</v>
      </c>
      <c r="R149">
        <v>2</v>
      </c>
      <c r="S149" t="s">
        <v>5</v>
      </c>
      <c r="T149">
        <v>2</v>
      </c>
    </row>
    <row r="150" spans="1:20" x14ac:dyDescent="0.3">
      <c r="A150">
        <v>5.4</v>
      </c>
      <c r="B150">
        <v>2.2999999999999998</v>
      </c>
      <c r="C150" t="s">
        <v>5</v>
      </c>
      <c r="D150">
        <f t="shared" si="14"/>
        <v>2</v>
      </c>
      <c r="E150">
        <f t="shared" si="12"/>
        <v>0.93327054992136471</v>
      </c>
      <c r="F150">
        <f t="shared" si="13"/>
        <v>1.4488315750885783</v>
      </c>
      <c r="G150">
        <f t="array" ref="G150">SQRT(SUM(($E150:$F150-$M$6:$N$6)^2))</f>
        <v>3.5771566616733406</v>
      </c>
      <c r="H150">
        <f t="array" ref="H150">SQRT(SUM(($E150:$F150-$M$7:$N$7)^2))</f>
        <v>1.1322596110690264</v>
      </c>
      <c r="I150">
        <f t="shared" si="15"/>
        <v>1.1322596110690264</v>
      </c>
      <c r="Q150">
        <v>5.4</v>
      </c>
      <c r="R150">
        <v>2.2999999999999998</v>
      </c>
      <c r="S150" t="s">
        <v>5</v>
      </c>
      <c r="T150">
        <v>2</v>
      </c>
    </row>
    <row r="151" spans="1:20" x14ac:dyDescent="0.3">
      <c r="A151">
        <v>5.0999999999999996</v>
      </c>
      <c r="B151">
        <v>1.8</v>
      </c>
      <c r="C151" t="s">
        <v>5</v>
      </c>
      <c r="D151">
        <f t="shared" si="14"/>
        <v>2</v>
      </c>
      <c r="E151">
        <f t="shared" si="12"/>
        <v>0.76275826918055445</v>
      </c>
      <c r="F151">
        <f t="shared" si="13"/>
        <v>0.79067065363707378</v>
      </c>
      <c r="G151">
        <f t="array" ref="G151">SQRT(SUM(($E151:$F151-$M$6:$N$6)^2))</f>
        <v>2.9741137662972585</v>
      </c>
      <c r="H151">
        <f t="array" ref="H151">SQRT(SUM(($E151:$F151-$M$7:$N$7)^2))</f>
        <v>0.4849152811187078</v>
      </c>
      <c r="I151">
        <f t="shared" si="15"/>
        <v>0.4849152811187078</v>
      </c>
      <c r="Q151">
        <v>5.0999999999999996</v>
      </c>
      <c r="R151">
        <v>1.8</v>
      </c>
      <c r="S151" t="s">
        <v>5</v>
      </c>
      <c r="T151">
        <v>2</v>
      </c>
    </row>
  </sheetData>
  <sortState xmlns:xlrd2="http://schemas.microsoft.com/office/spreadsheetml/2017/richdata2" ref="Q2:T151">
    <sortCondition ref="T2:T15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INICJALIZACJA">
                <anchor moveWithCells="1" sizeWithCells="1">
                  <from>
                    <xdr:col>9</xdr:col>
                    <xdr:colOff>518160</xdr:colOff>
                    <xdr:row>14</xdr:row>
                    <xdr:rowOff>175260</xdr:rowOff>
                  </from>
                  <to>
                    <xdr:col>12</xdr:col>
                    <xdr:colOff>167640</xdr:colOff>
                    <xdr:row>17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KMeans">
                <anchor moveWithCells="1" sizeWithCells="1">
                  <from>
                    <xdr:col>13</xdr:col>
                    <xdr:colOff>144780</xdr:colOff>
                    <xdr:row>15</xdr:row>
                    <xdr:rowOff>22860</xdr:rowOff>
                  </from>
                  <to>
                    <xdr:col>15</xdr:col>
                    <xdr:colOff>434340</xdr:colOff>
                    <xdr:row>17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21BE3-7DAB-44AD-96BD-AB6CECAD8CF4}">
  <sheetPr codeName="Arkusz2"/>
  <dimension ref="A1:T151"/>
  <sheetViews>
    <sheetView topLeftCell="B1" zoomScaleNormal="100" workbookViewId="0">
      <selection activeCell="N17" sqref="N17:O18"/>
    </sheetView>
  </sheetViews>
  <sheetFormatPr defaultRowHeight="14.4" x14ac:dyDescent="0.3"/>
  <cols>
    <col min="1" max="1" width="12.109375" bestFit="1" customWidth="1"/>
    <col min="2" max="2" width="11.5546875" bestFit="1" customWidth="1"/>
  </cols>
  <sheetData>
    <row r="1" spans="1:20" x14ac:dyDescent="0.3">
      <c r="A1" t="s">
        <v>0</v>
      </c>
      <c r="B1" t="s">
        <v>1</v>
      </c>
      <c r="C1" t="s">
        <v>15</v>
      </c>
      <c r="D1" t="s">
        <v>6</v>
      </c>
      <c r="E1" t="s">
        <v>7</v>
      </c>
      <c r="F1" t="s">
        <v>8</v>
      </c>
      <c r="G1" t="s">
        <v>9</v>
      </c>
      <c r="H1" t="s">
        <v>20</v>
      </c>
      <c r="I1" t="s">
        <v>21</v>
      </c>
      <c r="J1" t="s">
        <v>10</v>
      </c>
      <c r="M1" t="s">
        <v>6</v>
      </c>
      <c r="N1" t="s">
        <v>7</v>
      </c>
      <c r="R1" t="s">
        <v>0</v>
      </c>
      <c r="S1" t="s">
        <v>1</v>
      </c>
      <c r="T1" t="s">
        <v>15</v>
      </c>
    </row>
    <row r="2" spans="1:20" x14ac:dyDescent="0.3">
      <c r="A2">
        <v>1.4</v>
      </c>
      <c r="B2">
        <v>0.2</v>
      </c>
      <c r="C2">
        <f ca="1">IF(F2=J2,1,IF(G2=J2,2,IF(H2=J2,3,4)))</f>
        <v>1</v>
      </c>
      <c r="D2">
        <f t="shared" ref="D2:D33" si="0">(A2-M$2)/M$3</f>
        <v>-1.3402265266227671</v>
      </c>
      <c r="E2">
        <f t="shared" ref="E2:E33" si="1">(B2-N$2)/N$3</f>
        <v>-1.3154442950077423</v>
      </c>
      <c r="F2">
        <f t="array" ref="F2" ca="1">SQRT(SUM(($D2:$E2-$N$6:$O$6)^2))</f>
        <v>0.11367485382720677</v>
      </c>
      <c r="G2">
        <f t="array" ref="G2" ca="1">SQRT(SUM(($D2:$E2-$N$7:$O$7)^2))</f>
        <v>3.5789423732216261</v>
      </c>
      <c r="H2">
        <f t="array" ref="H2" ca="1">SQRT(SUM(($D2:$E2-$N$8:$O$8)^2))</f>
        <v>2.8583509578736455</v>
      </c>
      <c r="I2">
        <f t="array" ref="I2" ca="1">SQRT(SUM(($D2:$E2-$N$9:$O$9)^2))</f>
        <v>0.31365995225335341</v>
      </c>
      <c r="J2">
        <f ca="1">MIN(F2:I2)</f>
        <v>0.11367485382720677</v>
      </c>
      <c r="L2" t="s">
        <v>11</v>
      </c>
      <c r="M2">
        <f>AVERAGE(A:A)</f>
        <v>3.7580000000000027</v>
      </c>
      <c r="N2">
        <f>AVERAGE(B:B)</f>
        <v>1.199333333333334</v>
      </c>
      <c r="R2">
        <v>1.4</v>
      </c>
      <c r="S2">
        <v>0.2</v>
      </c>
      <c r="T2">
        <f t="shared" ref="T2:T33" si="2">IF(W2=AA2,1,IF(X2=AA2,2,IF(Y2=AA2,3,4)))</f>
        <v>1</v>
      </c>
    </row>
    <row r="3" spans="1:20" x14ac:dyDescent="0.3">
      <c r="A3">
        <v>1.4</v>
      </c>
      <c r="B3">
        <v>0.2</v>
      </c>
      <c r="C3">
        <f t="shared" ref="C3:C66" ca="1" si="3">IF(F3=J3,1,IF(G3=J3,2,IF(H3=J3,3,4)))</f>
        <v>1</v>
      </c>
      <c r="D3">
        <f t="shared" si="0"/>
        <v>-1.3402265266227671</v>
      </c>
      <c r="E3">
        <f t="shared" si="1"/>
        <v>-1.3154442950077423</v>
      </c>
      <c r="F3">
        <f t="array" ref="F3" ca="1">SQRT(SUM(($D3:$E3-$N$6:$O$6)^2))</f>
        <v>0.11367485382720677</v>
      </c>
      <c r="G3">
        <f t="array" ref="G3" ca="1">SQRT(SUM(($D3:$E3-$N$7:$O$7)^2))</f>
        <v>3.5789423732216261</v>
      </c>
      <c r="H3" cm="1">
        <f t="array" aca="1" ref="H3" ca="1">SQRT(SUM(($D3:$E3-$N$8:$O$8)^2))</f>
        <v>2.8583509578736455</v>
      </c>
      <c r="I3">
        <f t="array" ref="I3" ca="1">SQRT(SUM(($D3:$E3-$N$9:$O$9)^2))</f>
        <v>0.31365995225335341</v>
      </c>
      <c r="J3">
        <f t="shared" ref="J3:J66" ca="1" si="4">MIN(F3:I3)</f>
        <v>0.11367485382720677</v>
      </c>
      <c r="L3" t="s">
        <v>12</v>
      </c>
      <c r="M3">
        <f>_xlfn.STDEV.P(A:A)</f>
        <v>1.7594040657752985</v>
      </c>
      <c r="N3">
        <f>_xlfn.STDEV.P(B:B)</f>
        <v>0.75969262790215863</v>
      </c>
      <c r="R3">
        <v>1.4</v>
      </c>
      <c r="S3">
        <v>0.2</v>
      </c>
      <c r="T3">
        <f t="shared" si="2"/>
        <v>1</v>
      </c>
    </row>
    <row r="4" spans="1:20" x14ac:dyDescent="0.3">
      <c r="A4">
        <v>1.3</v>
      </c>
      <c r="B4">
        <v>0.2</v>
      </c>
      <c r="C4">
        <f t="shared" ca="1" si="3"/>
        <v>1</v>
      </c>
      <c r="D4">
        <f t="shared" si="0"/>
        <v>-1.3970639535363705</v>
      </c>
      <c r="E4">
        <f t="shared" si="1"/>
        <v>-1.3154442950077423</v>
      </c>
      <c r="F4">
        <f t="array" ref="F4" ca="1">SQRT(SUM(($D4:$E4-$N$6:$O$6)^2))</f>
        <v>0.17051228074081015</v>
      </c>
      <c r="G4">
        <f t="array" ref="G4" ca="1">SQRT(SUM(($D4:$E4-$N$7:$O$7)^2))</f>
        <v>3.6126327647857024</v>
      </c>
      <c r="H4">
        <f t="array" ref="H4" ca="1">SQRT(SUM(($D4:$E4-$N$8:$O$8)^2))</f>
        <v>2.8970802926653878</v>
      </c>
      <c r="I4">
        <f t="array" ref="I4" ca="1">SQRT(SUM(($D4:$E4-$N$9:$O$9)^2))</f>
        <v>0.34784481789253435</v>
      </c>
      <c r="J4">
        <f t="shared" ca="1" si="4"/>
        <v>0.17051228074081015</v>
      </c>
      <c r="R4">
        <v>1.3</v>
      </c>
      <c r="S4">
        <v>0.2</v>
      </c>
      <c r="T4">
        <f t="shared" si="2"/>
        <v>1</v>
      </c>
    </row>
    <row r="5" spans="1:20" x14ac:dyDescent="0.3">
      <c r="A5">
        <v>1.5</v>
      </c>
      <c r="B5">
        <v>0.2</v>
      </c>
      <c r="C5">
        <f t="shared" ca="1" si="3"/>
        <v>1</v>
      </c>
      <c r="D5">
        <f t="shared" si="0"/>
        <v>-1.2833890997091637</v>
      </c>
      <c r="E5">
        <f t="shared" si="1"/>
        <v>-1.3154442950077423</v>
      </c>
      <c r="F5">
        <f t="array" ref="F5" ca="1">SQRT(SUM(($D5:$E5-$N$6:$O$6)^2))</f>
        <v>5.6837426913603384E-2</v>
      </c>
      <c r="G5">
        <f t="array" ref="G5" ca="1">SQRT(SUM(($D5:$E5-$N$7:$O$7)^2))</f>
        <v>3.5458429906970816</v>
      </c>
      <c r="H5">
        <f t="array" ref="H5" ca="1">SQRT(SUM(($D5:$E5-$N$8:$O$8)^2))</f>
        <v>2.8202353023817923</v>
      </c>
      <c r="I5">
        <f t="array" ref="I5" ca="1">SQRT(SUM(($D5:$E5-$N$9:$O$9)^2))</f>
        <v>0.28675791210841933</v>
      </c>
      <c r="J5">
        <f t="shared" ca="1" si="4"/>
        <v>5.6837426913603384E-2</v>
      </c>
      <c r="L5" t="s">
        <v>14</v>
      </c>
      <c r="M5" t="s">
        <v>13</v>
      </c>
      <c r="N5" t="s">
        <v>6</v>
      </c>
      <c r="O5" t="s">
        <v>7</v>
      </c>
      <c r="P5" t="s">
        <v>16</v>
      </c>
      <c r="R5">
        <v>1.5</v>
      </c>
      <c r="S5">
        <v>0.2</v>
      </c>
      <c r="T5">
        <f t="shared" si="2"/>
        <v>1</v>
      </c>
    </row>
    <row r="6" spans="1:20" x14ac:dyDescent="0.3">
      <c r="A6">
        <v>1.4</v>
      </c>
      <c r="B6">
        <v>0.2</v>
      </c>
      <c r="C6">
        <f t="shared" ca="1" si="3"/>
        <v>1</v>
      </c>
      <c r="D6">
        <f t="shared" si="0"/>
        <v>-1.3402265266227671</v>
      </c>
      <c r="E6">
        <f t="shared" si="1"/>
        <v>-1.3154442950077423</v>
      </c>
      <c r="F6">
        <f t="array" ref="F6" ca="1">SQRT(SUM(($D6:$E6-$N$6:$O$6)^2))</f>
        <v>0.11367485382720677</v>
      </c>
      <c r="G6">
        <f t="array" ref="G6" ca="1">SQRT(SUM(($D6:$E6-$N$7:$O$7)^2))</f>
        <v>3.5789423732216261</v>
      </c>
      <c r="H6">
        <f t="array" ref="H6" ca="1">SQRT(SUM(($D6:$E6-$N$8:$O$8)^2))</f>
        <v>2.8583509578736455</v>
      </c>
      <c r="I6">
        <f t="array" ref="I6" ca="1">SQRT(SUM(($D6:$E6-$N$9:$O$9)^2))</f>
        <v>0.31365995225335341</v>
      </c>
      <c r="J6">
        <f t="shared" ca="1" si="4"/>
        <v>0.11367485382720677</v>
      </c>
      <c r="L6">
        <v>1</v>
      </c>
      <c r="M6">
        <v>26</v>
      </c>
      <c r="N6">
        <f ca="1">OFFSET(D$1,$M6,0)</f>
        <v>-1.2265516727955603</v>
      </c>
      <c r="O6">
        <f ca="1">OFFSET(E$1,$M6,0)</f>
        <v>-1.3154442950077423</v>
      </c>
      <c r="P6">
        <f ca="1">COUNTIF(C:C,L6)</f>
        <v>40</v>
      </c>
      <c r="R6">
        <v>1.4</v>
      </c>
      <c r="S6">
        <v>0.2</v>
      </c>
      <c r="T6">
        <f t="shared" si="2"/>
        <v>1</v>
      </c>
    </row>
    <row r="7" spans="1:20" x14ac:dyDescent="0.3">
      <c r="A7">
        <v>1.7</v>
      </c>
      <c r="B7">
        <v>0.4</v>
      </c>
      <c r="C7">
        <f t="shared" ca="1" si="3"/>
        <v>4</v>
      </c>
      <c r="D7">
        <f t="shared" si="0"/>
        <v>-1.1697142458819572</v>
      </c>
      <c r="E7">
        <f t="shared" si="1"/>
        <v>-1.0521799264271401</v>
      </c>
      <c r="F7">
        <f t="array" ref="F7" ca="1">SQRT(SUM(($D7:$E7-$N$6:$O$6)^2))</f>
        <v>0.26932994794916948</v>
      </c>
      <c r="G7">
        <f t="array" ref="G7" ca="1">SQRT(SUM(($D7:$E7-$N$7:$O$7)^2))</f>
        <v>3.2657713940026993</v>
      </c>
      <c r="H7">
        <f t="array" ref="H7" ca="1">SQRT(SUM(($D7:$E7-$N$8:$O$8)^2))</f>
        <v>2.5496278410336668</v>
      </c>
      <c r="I7">
        <f t="array" ref="I7" ca="1">SQRT(SUM(($D7:$E7-$N$9:$O$9)^2))</f>
        <v>0</v>
      </c>
      <c r="J7">
        <f t="shared" ca="1" si="4"/>
        <v>0</v>
      </c>
      <c r="L7">
        <v>2</v>
      </c>
      <c r="M7">
        <v>115</v>
      </c>
      <c r="N7">
        <f t="shared" ref="N7:N9" ca="1" si="5">OFFSET(D$1,$M7,0)</f>
        <v>0.76275826918055445</v>
      </c>
      <c r="O7">
        <f t="shared" ref="O7:O9" ca="1" si="6">OFFSET(E$1,$M7,0)</f>
        <v>1.5804637593788795</v>
      </c>
      <c r="P7">
        <f ca="1">COUNTIF(C:C,L7)</f>
        <v>25</v>
      </c>
      <c r="R7">
        <v>1.7</v>
      </c>
      <c r="S7">
        <v>0.4</v>
      </c>
      <c r="T7">
        <f t="shared" si="2"/>
        <v>1</v>
      </c>
    </row>
    <row r="8" spans="1:20" x14ac:dyDescent="0.3">
      <c r="A8">
        <v>1.4</v>
      </c>
      <c r="B8">
        <v>0.3</v>
      </c>
      <c r="C8">
        <f t="shared" ca="1" si="3"/>
        <v>1</v>
      </c>
      <c r="D8">
        <f t="shared" si="0"/>
        <v>-1.3402265266227671</v>
      </c>
      <c r="E8">
        <f t="shared" si="1"/>
        <v>-1.1838121107174411</v>
      </c>
      <c r="F8">
        <f t="array" ref="F8" ca="1">SQRT(SUM(($D8:$E8-$N$6:$O$6)^2))</f>
        <v>0.17392240894626732</v>
      </c>
      <c r="G8">
        <f t="array" ref="G8" ca="1">SQRT(SUM(($D8:$E8-$N$7:$O$7)^2))</f>
        <v>3.4732932697048073</v>
      </c>
      <c r="H8">
        <f t="array" ref="H8" ca="1">SQRT(SUM(($D8:$E8-$N$8:$O$8)^2))</f>
        <v>2.7627942754039934</v>
      </c>
      <c r="I8">
        <f t="array" ref="I8" ca="1">SQRT(SUM(($D8:$E8-$N$9:$O$9)^2))</f>
        <v>0.21541000400275875</v>
      </c>
      <c r="J8">
        <f t="shared" ca="1" si="4"/>
        <v>0.17392240894626732</v>
      </c>
      <c r="L8">
        <v>3</v>
      </c>
      <c r="M8">
        <v>127</v>
      </c>
      <c r="N8">
        <f t="shared" ca="1" si="5"/>
        <v>0.59224598843974463</v>
      </c>
      <c r="O8">
        <f t="shared" ca="1" si="6"/>
        <v>0.79067065363707378</v>
      </c>
      <c r="P8">
        <f ca="1">COUNTIF(C:C,L8)</f>
        <v>72</v>
      </c>
      <c r="R8">
        <v>1.4</v>
      </c>
      <c r="S8">
        <v>0.3</v>
      </c>
      <c r="T8">
        <f t="shared" si="2"/>
        <v>1</v>
      </c>
    </row>
    <row r="9" spans="1:20" x14ac:dyDescent="0.3">
      <c r="A9">
        <v>1.5</v>
      </c>
      <c r="B9">
        <v>0.2</v>
      </c>
      <c r="C9">
        <f t="shared" ca="1" si="3"/>
        <v>1</v>
      </c>
      <c r="D9">
        <f t="shared" si="0"/>
        <v>-1.2833890997091637</v>
      </c>
      <c r="E9">
        <f t="shared" si="1"/>
        <v>-1.3154442950077423</v>
      </c>
      <c r="F9">
        <f t="array" ref="F9" ca="1">SQRT(SUM(($D9:$E9-$N$6:$O$6)^2))</f>
        <v>5.6837426913603384E-2</v>
      </c>
      <c r="G9">
        <f t="array" ref="G9" ca="1">SQRT(SUM(($D9:$E9-$N$7:$O$7)^2))</f>
        <v>3.5458429906970816</v>
      </c>
      <c r="H9">
        <f t="array" ref="H9" ca="1">SQRT(SUM(($D9:$E9-$N$8:$O$8)^2))</f>
        <v>2.8202353023817923</v>
      </c>
      <c r="I9">
        <f t="array" ref="I9" ca="1">SQRT(SUM(($D9:$E9-$N$9:$O$9)^2))</f>
        <v>0.28675791210841933</v>
      </c>
      <c r="J9">
        <f t="shared" ca="1" si="4"/>
        <v>5.6837426913603384E-2</v>
      </c>
      <c r="L9">
        <v>4</v>
      </c>
      <c r="M9">
        <v>6</v>
      </c>
      <c r="N9">
        <f t="shared" ca="1" si="5"/>
        <v>-1.1697142458819572</v>
      </c>
      <c r="O9">
        <f t="shared" ca="1" si="6"/>
        <v>-1.0521799264271401</v>
      </c>
      <c r="P9">
        <f ca="1">COUNTIF(C:C,L9)</f>
        <v>13</v>
      </c>
      <c r="R9">
        <v>1.5</v>
      </c>
      <c r="S9">
        <v>0.2</v>
      </c>
      <c r="T9">
        <f t="shared" si="2"/>
        <v>1</v>
      </c>
    </row>
    <row r="10" spans="1:20" x14ac:dyDescent="0.3">
      <c r="A10">
        <v>1.4</v>
      </c>
      <c r="B10">
        <v>0.2</v>
      </c>
      <c r="C10">
        <f t="shared" ca="1" si="3"/>
        <v>1</v>
      </c>
      <c r="D10">
        <f t="shared" si="0"/>
        <v>-1.3402265266227671</v>
      </c>
      <c r="E10">
        <f t="shared" si="1"/>
        <v>-1.3154442950077423</v>
      </c>
      <c r="F10">
        <f t="array" ref="F10" ca="1">SQRT(SUM(($D10:$E10-$N$6:$O$6)^2))</f>
        <v>0.11367485382720677</v>
      </c>
      <c r="G10">
        <f t="array" ref="G10" ca="1">SQRT(SUM(($D10:$E10-$N$7:$O$7)^2))</f>
        <v>3.5789423732216261</v>
      </c>
      <c r="H10">
        <f t="array" ref="H10" ca="1">SQRT(SUM(($D10:$E10-$N$8:$O$8)^2))</f>
        <v>2.8583509578736455</v>
      </c>
      <c r="I10">
        <f t="array" ref="I10" ca="1">SQRT(SUM(($D10:$E10-$N$9:$O$9)^2))</f>
        <v>0.31365995225335341</v>
      </c>
      <c r="J10">
        <f ca="1">MIN(F10:I10)</f>
        <v>0.11367485382720677</v>
      </c>
      <c r="L10" t="s">
        <v>17</v>
      </c>
      <c r="R10">
        <v>1.4</v>
      </c>
      <c r="S10">
        <v>0.2</v>
      </c>
      <c r="T10">
        <f t="shared" si="2"/>
        <v>1</v>
      </c>
    </row>
    <row r="11" spans="1:20" x14ac:dyDescent="0.3">
      <c r="A11">
        <v>1.5</v>
      </c>
      <c r="B11">
        <v>0.1</v>
      </c>
      <c r="C11">
        <f t="shared" ca="1" si="3"/>
        <v>1</v>
      </c>
      <c r="D11">
        <f t="shared" si="0"/>
        <v>-1.2833890997091637</v>
      </c>
      <c r="E11">
        <f t="shared" si="1"/>
        <v>-1.4470764792980431</v>
      </c>
      <c r="F11">
        <f t="array" ref="F11" ca="1">SQRT(SUM(($D11:$E11-$N$6:$O$6)^2))</f>
        <v>0.14337895605420942</v>
      </c>
      <c r="G11">
        <f t="array" ref="G11" ca="1">SQRT(SUM(($D11:$E11-$N$7:$O$7)^2))</f>
        <v>3.6541372377104606</v>
      </c>
      <c r="H11">
        <f t="array" ref="H11" ca="1">SQRT(SUM(($D11:$E11-$N$8:$O$8)^2))</f>
        <v>2.9198491767306574</v>
      </c>
      <c r="I11">
        <f t="array" ref="I11" ca="1">SQRT(SUM(($D11:$E11-$N$9:$O$9)^2))</f>
        <v>0.41093218401818887</v>
      </c>
      <c r="J11">
        <f t="shared" ca="1" si="4"/>
        <v>0.14337895605420942</v>
      </c>
      <c r="L11" t="s">
        <v>14</v>
      </c>
      <c r="M11" t="s">
        <v>6</v>
      </c>
      <c r="N11" t="s">
        <v>7</v>
      </c>
      <c r="O11" t="s">
        <v>18</v>
      </c>
      <c r="P11" t="s">
        <v>19</v>
      </c>
      <c r="R11">
        <v>1.5</v>
      </c>
      <c r="S11">
        <v>0.1</v>
      </c>
      <c r="T11">
        <f t="shared" si="2"/>
        <v>1</v>
      </c>
    </row>
    <row r="12" spans="1:20" x14ac:dyDescent="0.3">
      <c r="A12">
        <v>1.5</v>
      </c>
      <c r="B12">
        <v>0.2</v>
      </c>
      <c r="C12">
        <f t="shared" ca="1" si="3"/>
        <v>1</v>
      </c>
      <c r="D12">
        <f t="shared" si="0"/>
        <v>-1.2833890997091637</v>
      </c>
      <c r="E12">
        <f t="shared" si="1"/>
        <v>-1.3154442950077423</v>
      </c>
      <c r="F12">
        <f t="array" ref="F12" ca="1">SQRT(SUM(($D12:$E12-$N$6:$O$6)^2))</f>
        <v>5.6837426913603384E-2</v>
      </c>
      <c r="G12">
        <f t="array" ref="G12" ca="1">SQRT(SUM(($D12:$E12-$N$7:$O$7)^2))</f>
        <v>3.5458429906970816</v>
      </c>
      <c r="H12">
        <f t="array" ref="H12" ca="1">SQRT(SUM(($D12:$E12-$N$8:$O$8)^2))</f>
        <v>2.8202353023817923</v>
      </c>
      <c r="I12">
        <f t="array" ref="I12" ca="1">SQRT(SUM(($D12:$E12-$N$9:$O$9)^2))</f>
        <v>0.28675791210841933</v>
      </c>
      <c r="J12">
        <f t="shared" ca="1" si="4"/>
        <v>5.6837426913603384E-2</v>
      </c>
      <c r="L12">
        <v>1</v>
      </c>
      <c r="M12">
        <f t="shared" ref="M12:N15" ca="1" si="7">AVERAGEIF($C:$C,$L12,D:D)</f>
        <v>-1.3245962342215249</v>
      </c>
      <c r="N12">
        <f t="shared" ca="1" si="7"/>
        <v>-1.3121534904004855</v>
      </c>
      <c r="O12">
        <f ca="1">AVERAGE(OFFSET($R$2,0,0,$P$6,1))</f>
        <v>1.46</v>
      </c>
      <c r="P12">
        <f ca="1">AVERAGE(OFFSET($S$2,0,0,$P$6,1))</f>
        <v>0.23499999999999993</v>
      </c>
      <c r="R12">
        <v>1.5</v>
      </c>
      <c r="S12">
        <v>0.2</v>
      </c>
      <c r="T12">
        <f t="shared" si="2"/>
        <v>1</v>
      </c>
    </row>
    <row r="13" spans="1:20" x14ac:dyDescent="0.3">
      <c r="A13">
        <v>1.6</v>
      </c>
      <c r="B13">
        <v>0.2</v>
      </c>
      <c r="C13">
        <f t="shared" ca="1" si="3"/>
        <v>1</v>
      </c>
      <c r="D13">
        <f t="shared" si="0"/>
        <v>-1.2265516727955603</v>
      </c>
      <c r="E13">
        <f t="shared" si="1"/>
        <v>-1.3154442950077423</v>
      </c>
      <c r="F13">
        <f t="array" ref="F13" ca="1">SQRT(SUM(($D13:$E13-$N$6:$O$6)^2))</f>
        <v>0</v>
      </c>
      <c r="G13">
        <f t="array" ref="G13" ca="1">SQRT(SUM(($D13:$E13-$N$7:$O$7)^2))</f>
        <v>3.5133513209905898</v>
      </c>
      <c r="H13">
        <f t="array" ref="H13" ca="1">SQRT(SUM(($D13:$E13-$N$8:$O$8)^2))</f>
        <v>2.7827585431402722</v>
      </c>
      <c r="I13">
        <f t="array" ref="I13" ca="1">SQRT(SUM(($D13:$E13-$N$9:$O$9)^2))</f>
        <v>0.26932994794916948</v>
      </c>
      <c r="J13">
        <f t="shared" ca="1" si="4"/>
        <v>0</v>
      </c>
      <c r="L13">
        <v>2</v>
      </c>
      <c r="M13">
        <f t="shared" ca="1" si="7"/>
        <v>1.1742612400350421</v>
      </c>
      <c r="N13">
        <f t="shared" ca="1" si="7"/>
        <v>1.385648126629234</v>
      </c>
      <c r="O13">
        <f ca="1">AVERAGE(OFFSET($R$2,$P$6,0,$P$7,1))</f>
        <v>3.1360000000000001</v>
      </c>
      <c r="P13">
        <f ca="1">AVERAGE(OFFSET($S$2,$P$6,0,$P$7,1))</f>
        <v>0.91600000000000004</v>
      </c>
      <c r="R13">
        <v>1.6</v>
      </c>
      <c r="S13">
        <v>0.2</v>
      </c>
      <c r="T13">
        <f t="shared" si="2"/>
        <v>1</v>
      </c>
    </row>
    <row r="14" spans="1:20" x14ac:dyDescent="0.3">
      <c r="A14">
        <v>1.4</v>
      </c>
      <c r="B14">
        <v>0.1</v>
      </c>
      <c r="C14">
        <f t="shared" ca="1" si="3"/>
        <v>1</v>
      </c>
      <c r="D14">
        <f t="shared" si="0"/>
        <v>-1.3402265266227671</v>
      </c>
      <c r="E14">
        <f t="shared" si="1"/>
        <v>-1.4470764792980431</v>
      </c>
      <c r="F14">
        <f t="array" ref="F14" ca="1">SQRT(SUM(($D14:$E14-$N$6:$O$6)^2))</f>
        <v>0.17392240894626698</v>
      </c>
      <c r="G14">
        <f t="array" ref="G14" ca="1">SQRT(SUM(($D14:$E14-$N$7:$O$7)^2))</f>
        <v>3.6862643622219848</v>
      </c>
      <c r="H14">
        <f t="array" ref="H14" ca="1">SQRT(SUM(($D14:$E14-$N$8:$O$8)^2))</f>
        <v>2.9566809520865394</v>
      </c>
      <c r="I14">
        <f t="array" ref="I14" ca="1">SQRT(SUM(($D14:$E14-$N$9:$O$9)^2))</f>
        <v>0.43013686816262875</v>
      </c>
      <c r="J14">
        <f t="shared" ca="1" si="4"/>
        <v>0.17392240894626698</v>
      </c>
      <c r="L14">
        <v>3</v>
      </c>
      <c r="M14">
        <f t="shared" ca="1" si="7"/>
        <v>0.51172630031214028</v>
      </c>
      <c r="N14">
        <f t="shared" ca="1" si="7"/>
        <v>0.39943055032979008</v>
      </c>
      <c r="O14">
        <f ca="1">AVERAGE(OFFSET($R$2,$P$6+$P$7,0,$P$8,1))</f>
        <v>4.9708333333333341</v>
      </c>
      <c r="P14">
        <f ca="1">AVERAGE(OFFSET($S$2,$P$6+$P$7,0,$P$8,1))</f>
        <v>1.6694444444444443</v>
      </c>
      <c r="R14">
        <v>1.4</v>
      </c>
      <c r="S14">
        <v>0.1</v>
      </c>
      <c r="T14">
        <f t="shared" si="2"/>
        <v>1</v>
      </c>
    </row>
    <row r="15" spans="1:20" x14ac:dyDescent="0.3">
      <c r="A15">
        <v>1.1000000000000001</v>
      </c>
      <c r="B15">
        <v>0.1</v>
      </c>
      <c r="C15">
        <f t="shared" ca="1" si="3"/>
        <v>1</v>
      </c>
      <c r="D15">
        <f t="shared" si="0"/>
        <v>-1.5107388073635768</v>
      </c>
      <c r="E15">
        <f t="shared" si="1"/>
        <v>-1.4470764792980431</v>
      </c>
      <c r="F15">
        <f t="array" ref="F15" ca="1">SQRT(SUM(($D15:$E15-$N$6:$O$6)^2))</f>
        <v>0.31319220838810086</v>
      </c>
      <c r="G15">
        <f t="array" ref="G15" ca="1">SQRT(SUM(($D15:$E15-$N$7:$O$7)^2))</f>
        <v>3.7861311194757414</v>
      </c>
      <c r="H15">
        <f t="array" ref="H15" ca="1">SQRT(SUM(($D15:$E15-$N$8:$O$8)^2))</f>
        <v>3.0708398333907407</v>
      </c>
      <c r="I15">
        <f t="array" ref="I15" ca="1">SQRT(SUM(($D15:$E15-$N$9:$O$9)^2))</f>
        <v>0.52176722683880106</v>
      </c>
      <c r="J15">
        <f t="shared" ca="1" si="4"/>
        <v>0.31319220838810086</v>
      </c>
      <c r="L15">
        <v>4</v>
      </c>
      <c r="M15">
        <f t="shared" ca="1" si="7"/>
        <v>-1.0166904041914866</v>
      </c>
      <c r="N15">
        <f t="shared" ca="1" si="7"/>
        <v>-0.83954332103511531</v>
      </c>
      <c r="O15">
        <f ca="1">AVERAGE(OFFSET($R$2,$P$6+$P$7+$P$8,0,$P$9,1))</f>
        <v>5.3076923076923075</v>
      </c>
      <c r="P15">
        <f ca="1">AVERAGE(OFFSET($S$2,$P$6+$P$7+$P$8,0,$P$9,1))</f>
        <v>2.1076923076923078</v>
      </c>
      <c r="R15">
        <v>1.1000000000000001</v>
      </c>
      <c r="S15">
        <v>0.1</v>
      </c>
      <c r="T15">
        <f t="shared" si="2"/>
        <v>1</v>
      </c>
    </row>
    <row r="16" spans="1:20" x14ac:dyDescent="0.3">
      <c r="A16">
        <v>1.2</v>
      </c>
      <c r="B16">
        <v>0.2</v>
      </c>
      <c r="C16">
        <f t="shared" ca="1" si="3"/>
        <v>1</v>
      </c>
      <c r="D16">
        <f t="shared" si="0"/>
        <v>-1.4539013804499734</v>
      </c>
      <c r="E16">
        <f t="shared" si="1"/>
        <v>-1.3154442950077423</v>
      </c>
      <c r="F16">
        <f t="array" ref="F16" ca="1">SQRT(SUM(($D16:$E16-$N$6:$O$6)^2))</f>
        <v>0.22734970765441309</v>
      </c>
      <c r="G16">
        <f t="array" ref="G16" ca="1">SQRT(SUM(($D16:$E16-$N$7:$O$7)^2))</f>
        <v>3.6468977860314982</v>
      </c>
      <c r="H16">
        <f t="array" ref="H16" ca="1">SQRT(SUM(($D16:$E16-$N$8:$O$8)^2))</f>
        <v>2.9363990246762226</v>
      </c>
      <c r="I16">
        <f t="array" ref="I16" ca="1">SQRT(SUM(($D16:$E16-$N$9:$O$9)^2))</f>
        <v>0.38738928123803706</v>
      </c>
      <c r="J16">
        <f t="shared" ca="1" si="4"/>
        <v>0.22734970765441309</v>
      </c>
      <c r="R16">
        <v>1.2</v>
      </c>
      <c r="S16">
        <v>0.2</v>
      </c>
      <c r="T16">
        <f t="shared" si="2"/>
        <v>1</v>
      </c>
    </row>
    <row r="17" spans="1:20" x14ac:dyDescent="0.3">
      <c r="A17">
        <v>1.5</v>
      </c>
      <c r="B17">
        <v>0.4</v>
      </c>
      <c r="C17">
        <f t="shared" ca="1" si="3"/>
        <v>4</v>
      </c>
      <c r="D17">
        <f t="shared" si="0"/>
        <v>-1.2833890997091637</v>
      </c>
      <c r="E17">
        <f t="shared" si="1"/>
        <v>-1.0521799264271401</v>
      </c>
      <c r="F17">
        <f t="array" ref="F17" ca="1">SQRT(SUM(($D17:$E17-$N$6:$O$6)^2))</f>
        <v>0.26932994794916953</v>
      </c>
      <c r="G17">
        <f t="array" ref="G17" ca="1">SQRT(SUM(($D17:$E17-$N$7:$O$7)^2))</f>
        <v>3.3342963023145709</v>
      </c>
      <c r="H17">
        <f t="array" ref="H17" ca="1">SQRT(SUM(($D17:$E17-$N$8:$O$8)^2))</f>
        <v>2.6294686239501646</v>
      </c>
      <c r="I17">
        <f t="array" ref="I17" ca="1">SQRT(SUM(($D17:$E17-$N$9:$O$9)^2))</f>
        <v>0.11367485382720655</v>
      </c>
      <c r="J17">
        <f t="shared" ca="1" si="4"/>
        <v>0.11367485382720655</v>
      </c>
      <c r="N17" s="2" t="s">
        <v>37</v>
      </c>
      <c r="O17" s="2">
        <f ca="1">SUMSQ(J:J)+3*2</f>
        <v>49.480446252187527</v>
      </c>
      <c r="R17">
        <v>1.5</v>
      </c>
      <c r="S17">
        <v>0.4</v>
      </c>
      <c r="T17">
        <f t="shared" si="2"/>
        <v>1</v>
      </c>
    </row>
    <row r="18" spans="1:20" x14ac:dyDescent="0.3">
      <c r="A18">
        <v>1.3</v>
      </c>
      <c r="B18">
        <v>0.4</v>
      </c>
      <c r="C18">
        <f t="shared" ca="1" si="3"/>
        <v>4</v>
      </c>
      <c r="D18">
        <f t="shared" si="0"/>
        <v>-1.3970639535363705</v>
      </c>
      <c r="E18">
        <f t="shared" si="1"/>
        <v>-1.0521799264271401</v>
      </c>
      <c r="F18">
        <f t="array" ref="F18" ca="1">SQRT(SUM(($D18:$E18-$N$6:$O$6)^2))</f>
        <v>0.31365995225335352</v>
      </c>
      <c r="G18">
        <f t="array" ref="G18" ca="1">SQRT(SUM(($D18:$E18-$N$7:$O$7)^2))</f>
        <v>3.4052378492781066</v>
      </c>
      <c r="H18">
        <f t="array" ref="H18" ca="1">SQRT(SUM(($D18:$E18-$N$8:$O$8)^2))</f>
        <v>2.711724968666259</v>
      </c>
      <c r="I18">
        <f t="array" ref="I18" ca="1">SQRT(SUM(($D18:$E18-$N$9:$O$9)^2))</f>
        <v>0.22734970765441331</v>
      </c>
      <c r="J18">
        <f t="shared" ca="1" si="4"/>
        <v>0.22734970765441331</v>
      </c>
      <c r="N18" s="2" t="s">
        <v>38</v>
      </c>
      <c r="O18" s="2">
        <f ca="1">SUMSQ(J:J)+3*2*LN(SUM(P6:P9))</f>
        <v>73.544258016765056</v>
      </c>
      <c r="R18">
        <v>1.3</v>
      </c>
      <c r="S18">
        <v>0.4</v>
      </c>
      <c r="T18">
        <f t="shared" si="2"/>
        <v>1</v>
      </c>
    </row>
    <row r="19" spans="1:20" x14ac:dyDescent="0.3">
      <c r="A19">
        <v>1.4</v>
      </c>
      <c r="B19">
        <v>0.3</v>
      </c>
      <c r="C19">
        <f t="shared" ca="1" si="3"/>
        <v>1</v>
      </c>
      <c r="D19">
        <f t="shared" si="0"/>
        <v>-1.3402265266227671</v>
      </c>
      <c r="E19">
        <f t="shared" si="1"/>
        <v>-1.1838121107174411</v>
      </c>
      <c r="F19">
        <f t="array" ref="F19" ca="1">SQRT(SUM(($D19:$E19-$N$6:$O$6)^2))</f>
        <v>0.17392240894626732</v>
      </c>
      <c r="G19">
        <f t="array" ref="G19" ca="1">SQRT(SUM(($D19:$E19-$N$7:$O$7)^2))</f>
        <v>3.4732932697048073</v>
      </c>
      <c r="H19">
        <f t="array" ref="H19" ca="1">SQRT(SUM(($D19:$E19-$N$8:$O$8)^2))</f>
        <v>2.7627942754039934</v>
      </c>
      <c r="I19">
        <f t="array" ref="I19" ca="1">SQRT(SUM(($D19:$E19-$N$9:$O$9)^2))</f>
        <v>0.21541000400275875</v>
      </c>
      <c r="J19">
        <f t="shared" ca="1" si="4"/>
        <v>0.17392240894626732</v>
      </c>
      <c r="R19">
        <v>1.4</v>
      </c>
      <c r="S19">
        <v>0.3</v>
      </c>
      <c r="T19">
        <f t="shared" si="2"/>
        <v>1</v>
      </c>
    </row>
    <row r="20" spans="1:20" x14ac:dyDescent="0.3">
      <c r="A20">
        <v>1.7</v>
      </c>
      <c r="B20">
        <v>0.3</v>
      </c>
      <c r="C20">
        <f t="shared" ca="1" si="3"/>
        <v>4</v>
      </c>
      <c r="D20">
        <f t="shared" si="0"/>
        <v>-1.1697142458819572</v>
      </c>
      <c r="E20">
        <f t="shared" si="1"/>
        <v>-1.1838121107174411</v>
      </c>
      <c r="F20">
        <f t="array" ref="F20" ca="1">SQRT(SUM(($D20:$E20-$N$6:$O$6)^2))</f>
        <v>0.14337895605420972</v>
      </c>
      <c r="G20">
        <f t="array" ref="G20" ca="1">SQRT(SUM(($D20:$E20-$N$7:$O$7)^2))</f>
        <v>3.3727838809311219</v>
      </c>
      <c r="H20">
        <f t="array" ref="H20" ca="1">SQRT(SUM(($D20:$E20-$N$8:$O$8)^2))</f>
        <v>2.6463344561986175</v>
      </c>
      <c r="I20">
        <f t="array" ref="I20" ca="1">SQRT(SUM(($D20:$E20-$N$9:$O$9)^2))</f>
        <v>0.13163218429030099</v>
      </c>
      <c r="J20">
        <f t="shared" ca="1" si="4"/>
        <v>0.13163218429030099</v>
      </c>
      <c r="R20">
        <v>1.7</v>
      </c>
      <c r="S20">
        <v>0.3</v>
      </c>
      <c r="T20">
        <f t="shared" si="2"/>
        <v>1</v>
      </c>
    </row>
    <row r="21" spans="1:20" x14ac:dyDescent="0.3">
      <c r="A21">
        <v>1.5</v>
      </c>
      <c r="B21">
        <v>0.3</v>
      </c>
      <c r="C21">
        <f t="shared" ca="1" si="3"/>
        <v>1</v>
      </c>
      <c r="D21">
        <f t="shared" si="0"/>
        <v>-1.2833890997091637</v>
      </c>
      <c r="E21">
        <f t="shared" si="1"/>
        <v>-1.1838121107174411</v>
      </c>
      <c r="F21">
        <f t="array" ref="F21" ca="1">SQRT(SUM(($D21:$E21-$N$6:$O$6)^2))</f>
        <v>0.14337895605420981</v>
      </c>
      <c r="G21">
        <f t="array" ref="G21" ca="1">SQRT(SUM(($D21:$E21-$N$7:$O$7)^2))</f>
        <v>3.4391772477165361</v>
      </c>
      <c r="H21">
        <f t="array" ref="H21" ca="1">SQRT(SUM(($D21:$E21-$N$8:$O$8)^2))</f>
        <v>2.7233415449826359</v>
      </c>
      <c r="I21">
        <f t="array" ref="I21" ca="1">SQRT(SUM(($D21:$E21-$N$9:$O$9)^2))</f>
        <v>0.17392240894626701</v>
      </c>
      <c r="J21">
        <f t="shared" ca="1" si="4"/>
        <v>0.14337895605420981</v>
      </c>
      <c r="R21">
        <v>1.5</v>
      </c>
      <c r="S21">
        <v>0.3</v>
      </c>
      <c r="T21">
        <f t="shared" si="2"/>
        <v>1</v>
      </c>
    </row>
    <row r="22" spans="1:20" x14ac:dyDescent="0.3">
      <c r="A22">
        <v>1.7</v>
      </c>
      <c r="B22">
        <v>0.2</v>
      </c>
      <c r="C22">
        <f t="shared" ca="1" si="3"/>
        <v>1</v>
      </c>
      <c r="D22">
        <f t="shared" si="0"/>
        <v>-1.1697142458819572</v>
      </c>
      <c r="E22">
        <f t="shared" si="1"/>
        <v>-1.3154442950077423</v>
      </c>
      <c r="F22">
        <f t="array" ref="F22" ca="1">SQRT(SUM(($D22:$E22-$N$6:$O$6)^2))</f>
        <v>5.6837426913603162E-2</v>
      </c>
      <c r="G22">
        <f t="array" ref="G22" ca="1">SQRT(SUM(($D22:$E22-$N$7:$O$7)^2))</f>
        <v>3.4814843789586845</v>
      </c>
      <c r="H22">
        <f t="array" ref="H22" ca="1">SQRT(SUM(($D22:$E22-$N$8:$O$8)^2))</f>
        <v>2.7459468392953537</v>
      </c>
      <c r="I22">
        <f t="array" ref="I22" ca="1">SQRT(SUM(($D22:$E22-$N$9:$O$9)^2))</f>
        <v>0.2632643685806022</v>
      </c>
      <c r="J22">
        <f t="shared" ca="1" si="4"/>
        <v>5.6837426913603162E-2</v>
      </c>
      <c r="R22">
        <v>1.7</v>
      </c>
      <c r="S22">
        <v>0.2</v>
      </c>
      <c r="T22">
        <f t="shared" si="2"/>
        <v>1</v>
      </c>
    </row>
    <row r="23" spans="1:20" x14ac:dyDescent="0.3">
      <c r="A23">
        <v>1.5</v>
      </c>
      <c r="B23">
        <v>0.4</v>
      </c>
      <c r="C23">
        <f t="shared" ca="1" si="3"/>
        <v>4</v>
      </c>
      <c r="D23">
        <f t="shared" si="0"/>
        <v>-1.2833890997091637</v>
      </c>
      <c r="E23">
        <f t="shared" si="1"/>
        <v>-1.0521799264271401</v>
      </c>
      <c r="F23">
        <f t="array" ref="F23" ca="1">SQRT(SUM(($D23:$E23-$N$6:$O$6)^2))</f>
        <v>0.26932994794916953</v>
      </c>
      <c r="G23">
        <f t="array" ref="G23" ca="1">SQRT(SUM(($D23:$E23-$N$7:$O$7)^2))</f>
        <v>3.3342963023145709</v>
      </c>
      <c r="H23">
        <f t="array" ref="H23" ca="1">SQRT(SUM(($D23:$E23-$N$8:$O$8)^2))</f>
        <v>2.6294686239501646</v>
      </c>
      <c r="I23">
        <f t="array" ref="I23" ca="1">SQRT(SUM(($D23:$E23-$N$9:$O$9)^2))</f>
        <v>0.11367485382720655</v>
      </c>
      <c r="J23">
        <f t="shared" ca="1" si="4"/>
        <v>0.11367485382720655</v>
      </c>
      <c r="O23" t="s">
        <v>27</v>
      </c>
      <c r="R23">
        <v>1.5</v>
      </c>
      <c r="S23">
        <v>0.4</v>
      </c>
      <c r="T23">
        <f t="shared" si="2"/>
        <v>1</v>
      </c>
    </row>
    <row r="24" spans="1:20" x14ac:dyDescent="0.3">
      <c r="A24">
        <v>1</v>
      </c>
      <c r="B24">
        <v>0.2</v>
      </c>
      <c r="C24">
        <f t="shared" ca="1" si="3"/>
        <v>1</v>
      </c>
      <c r="D24">
        <f t="shared" si="0"/>
        <v>-1.5675762342771802</v>
      </c>
      <c r="E24">
        <f t="shared" si="1"/>
        <v>-1.3154442950077423</v>
      </c>
      <c r="F24">
        <f t="array" ref="F24" ca="1">SQRT(SUM(($D24:$E24-$N$6:$O$6)^2))</f>
        <v>0.34102456148161986</v>
      </c>
      <c r="G24">
        <f t="array" ref="G24" ca="1">SQRT(SUM(($D24:$E24-$N$7:$O$7)^2))</f>
        <v>3.7170878867020236</v>
      </c>
      <c r="H24">
        <f t="array" ref="H24" ca="1">SQRT(SUM(($D24:$E24-$N$8:$O$8)^2))</f>
        <v>3.0167121524346725</v>
      </c>
      <c r="I24">
        <f t="array" ref="I24" ca="1">SQRT(SUM(($D24:$E24-$N$9:$O$9)^2))</f>
        <v>0.47707681726734924</v>
      </c>
      <c r="J24">
        <f t="shared" ca="1" si="4"/>
        <v>0.34102456148161986</v>
      </c>
      <c r="L24" t="s">
        <v>22</v>
      </c>
      <c r="M24">
        <f ca="1">_xlfn.VAR.S((_l1))</f>
        <v>2.9641025641025429E-2</v>
      </c>
      <c r="N24">
        <f ca="1">_xlfn.COVARIANCE.S(_l1,_w1)</f>
        <v>5.0256410256410283E-3</v>
      </c>
      <c r="O24">
        <f ca="1">P6/SUM(P6:P9)</f>
        <v>0.26666666666666666</v>
      </c>
      <c r="R24">
        <v>1</v>
      </c>
      <c r="S24">
        <v>0.2</v>
      </c>
      <c r="T24">
        <f t="shared" si="2"/>
        <v>1</v>
      </c>
    </row>
    <row r="25" spans="1:20" x14ac:dyDescent="0.3">
      <c r="A25">
        <v>1.7</v>
      </c>
      <c r="B25">
        <v>0.5</v>
      </c>
      <c r="C25">
        <f t="shared" ca="1" si="3"/>
        <v>4</v>
      </c>
      <c r="D25">
        <f t="shared" si="0"/>
        <v>-1.1697142458819572</v>
      </c>
      <c r="E25">
        <f t="shared" si="1"/>
        <v>-0.92054774213683921</v>
      </c>
      <c r="F25">
        <f t="array" ref="F25" ca="1">SQRT(SUM(($D25:$E25-$N$6:$O$6)^2))</f>
        <v>0.39896588897734242</v>
      </c>
      <c r="G25">
        <f t="array" ref="G25" ca="1">SQRT(SUM(($D25:$E25-$N$7:$O$7)^2))</f>
        <v>3.1606183812959672</v>
      </c>
      <c r="H25">
        <f t="array" ref="H25" ca="1">SQRT(SUM(($D25:$E25-$N$8:$O$8)^2))</f>
        <v>2.456170243563347</v>
      </c>
      <c r="I25">
        <f t="array" ref="I25" ca="1">SQRT(SUM(($D25:$E25-$N$9:$O$9)^2))</f>
        <v>0.13163218429030088</v>
      </c>
      <c r="J25">
        <f t="shared" ca="1" si="4"/>
        <v>0.13163218429030088</v>
      </c>
      <c r="M25">
        <f ca="1">N24</f>
        <v>5.0256410256410283E-3</v>
      </c>
      <c r="N25">
        <f ca="1">_xlfn.VAR.S(_w1)</f>
        <v>9.512820512820569E-3</v>
      </c>
      <c r="R25">
        <v>1.7</v>
      </c>
      <c r="S25">
        <v>0.5</v>
      </c>
      <c r="T25">
        <f t="shared" si="2"/>
        <v>1</v>
      </c>
    </row>
    <row r="26" spans="1:20" x14ac:dyDescent="0.3">
      <c r="A26">
        <v>1.9</v>
      </c>
      <c r="B26">
        <v>0.2</v>
      </c>
      <c r="C26">
        <f t="shared" ca="1" si="3"/>
        <v>1</v>
      </c>
      <c r="D26">
        <f t="shared" si="0"/>
        <v>-1.0560393920547506</v>
      </c>
      <c r="E26">
        <f t="shared" si="1"/>
        <v>-1.3154442950077423</v>
      </c>
      <c r="F26">
        <f t="array" ref="F26" ca="1">SQRT(SUM(($D26:$E26-$N$6:$O$6)^2))</f>
        <v>0.17051228074080971</v>
      </c>
      <c r="G26">
        <f t="array" ref="G26" ca="1">SQRT(SUM(($D26:$E26-$N$7:$O$7)^2))</f>
        <v>3.4196941956812927</v>
      </c>
      <c r="H26">
        <f t="array" ref="H26" ca="1">SQRT(SUM(($D26:$E26-$N$8:$O$8)^2))</f>
        <v>2.6744279523773002</v>
      </c>
      <c r="I26">
        <f t="array" ref="I26" ca="1">SQRT(SUM(($D26:$E26-$N$9:$O$9)^2))</f>
        <v>0.28675791210841933</v>
      </c>
      <c r="J26">
        <f t="shared" ca="1" si="4"/>
        <v>0.17051228074080971</v>
      </c>
      <c r="L26" t="s">
        <v>23</v>
      </c>
      <c r="M26">
        <f ca="1">AVERAGE(_l1)</f>
        <v>1.46</v>
      </c>
      <c r="N26">
        <f ca="1">AVERAGE(_w1)</f>
        <v>0.23499999999999993</v>
      </c>
      <c r="R26">
        <v>1.9</v>
      </c>
      <c r="S26">
        <v>0.2</v>
      </c>
      <c r="T26">
        <f t="shared" si="2"/>
        <v>1</v>
      </c>
    </row>
    <row r="27" spans="1:20" x14ac:dyDescent="0.3">
      <c r="A27">
        <v>1.6</v>
      </c>
      <c r="B27">
        <v>0.2</v>
      </c>
      <c r="C27">
        <f t="shared" ca="1" si="3"/>
        <v>1</v>
      </c>
      <c r="D27">
        <f t="shared" si="0"/>
        <v>-1.2265516727955603</v>
      </c>
      <c r="E27">
        <f t="shared" si="1"/>
        <v>-1.3154442950077423</v>
      </c>
      <c r="F27">
        <f t="array" ref="F27" ca="1">SQRT(SUM(($D27:$E27-$N$6:$O$6)^2))</f>
        <v>0</v>
      </c>
      <c r="G27">
        <f t="array" ref="G27" ca="1">SQRT(SUM(($D27:$E27-$N$7:$O$7)^2))</f>
        <v>3.5133513209905898</v>
      </c>
      <c r="H27">
        <f t="array" ref="H27" ca="1">SQRT(SUM(($D27:$E27-$N$8:$O$8)^2))</f>
        <v>2.7827585431402722</v>
      </c>
      <c r="I27">
        <f t="array" ref="I27" ca="1">SQRT(SUM(($D27:$E27-$N$9:$O$9)^2))</f>
        <v>0.26932994794916948</v>
      </c>
      <c r="J27">
        <f t="shared" ca="1" si="4"/>
        <v>0</v>
      </c>
      <c r="R27">
        <v>1.6</v>
      </c>
      <c r="S27">
        <v>0.2</v>
      </c>
      <c r="T27">
        <f t="shared" si="2"/>
        <v>1</v>
      </c>
    </row>
    <row r="28" spans="1:20" x14ac:dyDescent="0.3">
      <c r="A28">
        <v>1.6</v>
      </c>
      <c r="B28">
        <v>0.4</v>
      </c>
      <c r="C28">
        <f t="shared" ca="1" si="3"/>
        <v>4</v>
      </c>
      <c r="D28">
        <f t="shared" si="0"/>
        <v>-1.2265516727955603</v>
      </c>
      <c r="E28">
        <f t="shared" si="1"/>
        <v>-1.0521799264271401</v>
      </c>
      <c r="F28">
        <f t="array" ref="F28" ca="1">SQRT(SUM(($D28:$E28-$N$6:$O$6)^2))</f>
        <v>0.2632643685806022</v>
      </c>
      <c r="G28">
        <f t="array" ref="G28" ca="1">SQRT(SUM(($D28:$E28-$N$7:$O$7)^2))</f>
        <v>3.2997222340159662</v>
      </c>
      <c r="H28">
        <f t="array" ref="H28" ca="1">SQRT(SUM(($D28:$E28-$N$8:$O$8)^2))</f>
        <v>2.5892321628154602</v>
      </c>
      <c r="I28">
        <f t="array" ref="I28" ca="1">SQRT(SUM(($D28:$E28-$N$9:$O$9)^2))</f>
        <v>5.6837426913603162E-2</v>
      </c>
      <c r="J28">
        <f t="shared" ca="1" si="4"/>
        <v>5.6837426913603162E-2</v>
      </c>
      <c r="L28" t="s">
        <v>24</v>
      </c>
      <c r="M28">
        <f ca="1">_xlfn.VAR.S((_l2))</f>
        <v>2.0882333333333292</v>
      </c>
      <c r="N28">
        <f ca="1">_xlfn.COVARIANCE.S(_l2,_w2)</f>
        <v>0.77065000000000017</v>
      </c>
      <c r="O28">
        <f ca="1">P7/SUM(P6:P9)</f>
        <v>0.16666666666666666</v>
      </c>
      <c r="R28">
        <v>1.6</v>
      </c>
      <c r="S28">
        <v>0.4</v>
      </c>
      <c r="T28">
        <f t="shared" si="2"/>
        <v>1</v>
      </c>
    </row>
    <row r="29" spans="1:20" x14ac:dyDescent="0.3">
      <c r="A29">
        <v>1.5</v>
      </c>
      <c r="B29">
        <v>0.2</v>
      </c>
      <c r="C29">
        <f t="shared" ca="1" si="3"/>
        <v>1</v>
      </c>
      <c r="D29">
        <f t="shared" si="0"/>
        <v>-1.2833890997091637</v>
      </c>
      <c r="E29">
        <f t="shared" si="1"/>
        <v>-1.3154442950077423</v>
      </c>
      <c r="F29">
        <f t="array" ref="F29" ca="1">SQRT(SUM(($D29:$E29-$N$6:$O$6)^2))</f>
        <v>5.6837426913603384E-2</v>
      </c>
      <c r="G29">
        <f t="array" ref="G29" ca="1">SQRT(SUM(($D29:$E29-$N$7:$O$7)^2))</f>
        <v>3.5458429906970816</v>
      </c>
      <c r="H29">
        <f t="array" ref="H29" ca="1">SQRT(SUM(($D29:$E29-$N$8:$O$8)^2))</f>
        <v>2.8202353023817923</v>
      </c>
      <c r="I29">
        <f t="array" ref="I29" ca="1">SQRT(SUM(($D29:$E29-$N$9:$O$9)^2))</f>
        <v>0.28675791210841933</v>
      </c>
      <c r="J29">
        <f t="shared" ca="1" si="4"/>
        <v>5.6837426913603384E-2</v>
      </c>
      <c r="M29">
        <f ca="1">N28</f>
        <v>0.77065000000000017</v>
      </c>
      <c r="N29">
        <f ca="1">_xlfn.VAR.S(_w2)</f>
        <v>0.30056666666666682</v>
      </c>
      <c r="R29">
        <v>1.5</v>
      </c>
      <c r="S29">
        <v>0.2</v>
      </c>
      <c r="T29">
        <f t="shared" si="2"/>
        <v>1</v>
      </c>
    </row>
    <row r="30" spans="1:20" x14ac:dyDescent="0.3">
      <c r="A30">
        <v>1.4</v>
      </c>
      <c r="B30">
        <v>0.2</v>
      </c>
      <c r="C30">
        <f t="shared" ca="1" si="3"/>
        <v>1</v>
      </c>
      <c r="D30">
        <f t="shared" si="0"/>
        <v>-1.3402265266227671</v>
      </c>
      <c r="E30">
        <f t="shared" si="1"/>
        <v>-1.3154442950077423</v>
      </c>
      <c r="F30">
        <f t="array" ref="F30" ca="1">SQRT(SUM(($D30:$E30-$N$6:$O$6)^2))</f>
        <v>0.11367485382720677</v>
      </c>
      <c r="G30">
        <f t="array" ref="G30" ca="1">SQRT(SUM(($D30:$E30-$N$7:$O$7)^2))</f>
        <v>3.5789423732216261</v>
      </c>
      <c r="H30">
        <f t="array" ref="H30" ca="1">SQRT(SUM(($D30:$E30-$N$8:$O$8)^2))</f>
        <v>2.8583509578736455</v>
      </c>
      <c r="I30">
        <f t="array" ref="I30" ca="1">SQRT(SUM(($D30:$E30-$N$9:$O$9)^2))</f>
        <v>0.31365995225335341</v>
      </c>
      <c r="J30">
        <f t="shared" ca="1" si="4"/>
        <v>0.11367485382720677</v>
      </c>
      <c r="L30" t="s">
        <v>23</v>
      </c>
      <c r="M30">
        <f ca="1">AVERAGE(_l2)</f>
        <v>3.1360000000000001</v>
      </c>
      <c r="N30">
        <f ca="1">AVERAGE(_w2)</f>
        <v>0.91600000000000004</v>
      </c>
      <c r="R30">
        <v>1.4</v>
      </c>
      <c r="S30">
        <v>0.2</v>
      </c>
      <c r="T30">
        <f t="shared" si="2"/>
        <v>1</v>
      </c>
    </row>
    <row r="31" spans="1:20" x14ac:dyDescent="0.3">
      <c r="A31">
        <v>1.6</v>
      </c>
      <c r="B31">
        <v>0.2</v>
      </c>
      <c r="C31">
        <f t="shared" ca="1" si="3"/>
        <v>1</v>
      </c>
      <c r="D31">
        <f t="shared" si="0"/>
        <v>-1.2265516727955603</v>
      </c>
      <c r="E31">
        <f t="shared" si="1"/>
        <v>-1.3154442950077423</v>
      </c>
      <c r="F31">
        <f t="array" ref="F31" ca="1">SQRT(SUM(($D31:$E31-$N$6:$O$6)^2))</f>
        <v>0</v>
      </c>
      <c r="G31">
        <f t="array" ref="G31" ca="1">SQRT(SUM(($D31:$E31-$N$7:$O$7)^2))</f>
        <v>3.5133513209905898</v>
      </c>
      <c r="H31">
        <f t="array" ref="H31" ca="1">SQRT(SUM(($D31:$E31-$N$8:$O$8)^2))</f>
        <v>2.7827585431402722</v>
      </c>
      <c r="I31">
        <f t="array" ref="I31" ca="1">SQRT(SUM(($D31:$E31-$N$9:$O$9)^2))</f>
        <v>0.26932994794916948</v>
      </c>
      <c r="J31">
        <f t="shared" ca="1" si="4"/>
        <v>0</v>
      </c>
      <c r="R31">
        <v>1.6</v>
      </c>
      <c r="S31">
        <v>0.2</v>
      </c>
      <c r="T31">
        <f t="shared" si="2"/>
        <v>1</v>
      </c>
    </row>
    <row r="32" spans="1:20" x14ac:dyDescent="0.3">
      <c r="A32">
        <v>1.6</v>
      </c>
      <c r="B32">
        <v>0.2</v>
      </c>
      <c r="C32">
        <f t="shared" ca="1" si="3"/>
        <v>1</v>
      </c>
      <c r="D32">
        <f t="shared" si="0"/>
        <v>-1.2265516727955603</v>
      </c>
      <c r="E32">
        <f t="shared" si="1"/>
        <v>-1.3154442950077423</v>
      </c>
      <c r="F32">
        <f t="array" ref="F32" ca="1">SQRT(SUM(($D32:$E32-$N$6:$O$6)^2))</f>
        <v>0</v>
      </c>
      <c r="G32">
        <f t="array" ref="G32" ca="1">SQRT(SUM(($D32:$E32-$N$7:$O$7)^2))</f>
        <v>3.5133513209905898</v>
      </c>
      <c r="H32">
        <f t="array" ref="H32" ca="1">SQRT(SUM(($D32:$E32-$N$8:$O$8)^2))</f>
        <v>2.7827585431402722</v>
      </c>
      <c r="I32">
        <f t="array" ref="I32" ca="1">SQRT(SUM(($D32:$E32-$N$9:$O$9)^2))</f>
        <v>0.26932994794916948</v>
      </c>
      <c r="J32">
        <f t="shared" ca="1" si="4"/>
        <v>0</v>
      </c>
      <c r="L32" t="s">
        <v>25</v>
      </c>
      <c r="M32">
        <f ca="1">_xlfn.VAR.S((_l3))</f>
        <v>0.75871478873238929</v>
      </c>
      <c r="N32">
        <f ca="1">_xlfn.COVARIANCE.S(_l3,_w3)</f>
        <v>0.30092723004694832</v>
      </c>
      <c r="O32">
        <f ca="1">P8/SUM(P6:P9)</f>
        <v>0.48</v>
      </c>
      <c r="R32">
        <v>1.6</v>
      </c>
      <c r="S32">
        <v>0.2</v>
      </c>
      <c r="T32">
        <f t="shared" si="2"/>
        <v>1</v>
      </c>
    </row>
    <row r="33" spans="1:20" x14ac:dyDescent="0.3">
      <c r="A33">
        <v>1.5</v>
      </c>
      <c r="B33">
        <v>0.4</v>
      </c>
      <c r="C33">
        <f t="shared" ca="1" si="3"/>
        <v>4</v>
      </c>
      <c r="D33">
        <f t="shared" si="0"/>
        <v>-1.2833890997091637</v>
      </c>
      <c r="E33">
        <f t="shared" si="1"/>
        <v>-1.0521799264271401</v>
      </c>
      <c r="F33">
        <f t="array" ref="F33" ca="1">SQRT(SUM(($D33:$E33-$N$6:$O$6)^2))</f>
        <v>0.26932994794916953</v>
      </c>
      <c r="G33">
        <f t="array" ref="G33" ca="1">SQRT(SUM(($D33:$E33-$N$7:$O$7)^2))</f>
        <v>3.3342963023145709</v>
      </c>
      <c r="H33">
        <f t="array" ref="H33" ca="1">SQRT(SUM(($D33:$E33-$N$8:$O$8)^2))</f>
        <v>2.6294686239501646</v>
      </c>
      <c r="I33">
        <f t="array" ref="I33" ca="1">SQRT(SUM(($D33:$E33-$N$9:$O$9)^2))</f>
        <v>0.11367485382720655</v>
      </c>
      <c r="J33">
        <f t="shared" ca="1" si="4"/>
        <v>0.11367485382720655</v>
      </c>
      <c r="M33">
        <f ca="1">N32</f>
        <v>0.30092723004694832</v>
      </c>
      <c r="N33">
        <f ca="1">_xlfn.VAR.S(_w3)</f>
        <v>0.17426447574334969</v>
      </c>
      <c r="R33">
        <v>1.5</v>
      </c>
      <c r="S33">
        <v>0.4</v>
      </c>
      <c r="T33">
        <f t="shared" si="2"/>
        <v>1</v>
      </c>
    </row>
    <row r="34" spans="1:20" x14ac:dyDescent="0.3">
      <c r="A34">
        <v>1.5</v>
      </c>
      <c r="B34">
        <v>0.1</v>
      </c>
      <c r="C34">
        <f t="shared" ca="1" si="3"/>
        <v>1</v>
      </c>
      <c r="D34">
        <f t="shared" ref="D34:D65" si="8">(A34-M$2)/M$3</f>
        <v>-1.2833890997091637</v>
      </c>
      <c r="E34">
        <f t="shared" ref="E34:E65" si="9">(B34-N$2)/N$3</f>
        <v>-1.4470764792980431</v>
      </c>
      <c r="F34">
        <f t="array" ref="F34" ca="1">SQRT(SUM(($D34:$E34-$N$6:$O$6)^2))</f>
        <v>0.14337895605420942</v>
      </c>
      <c r="G34">
        <f t="array" ref="G34" ca="1">SQRT(SUM(($D34:$E34-$N$7:$O$7)^2))</f>
        <v>3.6541372377104606</v>
      </c>
      <c r="H34">
        <f t="array" ref="H34" ca="1">SQRT(SUM(($D34:$E34-$N$8:$O$8)^2))</f>
        <v>2.9198491767306574</v>
      </c>
      <c r="I34">
        <f t="array" ref="I34" ca="1">SQRT(SUM(($D34:$E34-$N$9:$O$9)^2))</f>
        <v>0.41093218401818887</v>
      </c>
      <c r="J34">
        <f t="shared" ca="1" si="4"/>
        <v>0.14337895605420942</v>
      </c>
      <c r="L34" t="s">
        <v>23</v>
      </c>
      <c r="M34">
        <f ca="1">AVERAGE(_l3)</f>
        <v>4.9708333333333341</v>
      </c>
      <c r="N34">
        <f ca="1">AVERAGE(_w3)</f>
        <v>1.6694444444444443</v>
      </c>
      <c r="R34">
        <v>1.5</v>
      </c>
      <c r="S34">
        <v>0.1</v>
      </c>
      <c r="T34">
        <f t="shared" ref="T34:T65" si="10">IF(W34=AA34,1,IF(X34=AA34,2,IF(Y34=AA34,3,4)))</f>
        <v>1</v>
      </c>
    </row>
    <row r="35" spans="1:20" x14ac:dyDescent="0.3">
      <c r="A35">
        <v>1.4</v>
      </c>
      <c r="B35">
        <v>0.2</v>
      </c>
      <c r="C35">
        <f t="shared" ca="1" si="3"/>
        <v>1</v>
      </c>
      <c r="D35">
        <f t="shared" si="8"/>
        <v>-1.3402265266227671</v>
      </c>
      <c r="E35">
        <f t="shared" si="9"/>
        <v>-1.3154442950077423</v>
      </c>
      <c r="F35">
        <f t="array" ref="F35" ca="1">SQRT(SUM(($D35:$E35-$N$6:$O$6)^2))</f>
        <v>0.11367485382720677</v>
      </c>
      <c r="G35">
        <f t="array" ref="G35" ca="1">SQRT(SUM(($D35:$E35-$N$7:$O$7)^2))</f>
        <v>3.5789423732216261</v>
      </c>
      <c r="H35">
        <f t="array" ref="H35" ca="1">SQRT(SUM(($D35:$E35-$N$8:$O$8)^2))</f>
        <v>2.8583509578736455</v>
      </c>
      <c r="I35">
        <f t="array" ref="I35" ca="1">SQRT(SUM(($D35:$E35-$N$9:$O$9)^2))</f>
        <v>0.31365995225335341</v>
      </c>
      <c r="J35">
        <f t="shared" ca="1" si="4"/>
        <v>0.11367485382720677</v>
      </c>
      <c r="R35">
        <v>1.4</v>
      </c>
      <c r="S35">
        <v>0.2</v>
      </c>
      <c r="T35">
        <f t="shared" si="10"/>
        <v>1</v>
      </c>
    </row>
    <row r="36" spans="1:20" x14ac:dyDescent="0.3">
      <c r="A36">
        <v>1.5</v>
      </c>
      <c r="B36">
        <v>0.2</v>
      </c>
      <c r="C36">
        <f t="shared" ca="1" si="3"/>
        <v>1</v>
      </c>
      <c r="D36">
        <f t="shared" si="8"/>
        <v>-1.2833890997091637</v>
      </c>
      <c r="E36">
        <f t="shared" si="9"/>
        <v>-1.3154442950077423</v>
      </c>
      <c r="F36">
        <f t="array" ref="F36" ca="1">SQRT(SUM(($D36:$E36-$N$6:$O$6)^2))</f>
        <v>5.6837426913603384E-2</v>
      </c>
      <c r="G36">
        <f t="array" ref="G36" ca="1">SQRT(SUM(($D36:$E36-$N$7:$O$7)^2))</f>
        <v>3.5458429906970816</v>
      </c>
      <c r="H36">
        <f t="array" ref="H36" ca="1">SQRT(SUM(($D36:$E36-$N$8:$O$8)^2))</f>
        <v>2.8202353023817923</v>
      </c>
      <c r="I36">
        <f t="array" ref="I36" ca="1">SQRT(SUM(($D36:$E36-$N$9:$O$9)^2))</f>
        <v>0.28675791210841933</v>
      </c>
      <c r="J36">
        <f t="shared" ca="1" si="4"/>
        <v>5.6837426913603384E-2</v>
      </c>
      <c r="L36" t="s">
        <v>26</v>
      </c>
      <c r="M36">
        <f ca="1">_xlfn.VAR.S((_l4))</f>
        <v>9.5769230769230843E-2</v>
      </c>
      <c r="N36">
        <f ca="1">_xlfn.COVARIANCE.S(_l4,_w4)</f>
        <v>4.9102564102564118E-2</v>
      </c>
      <c r="O36">
        <f ca="1">P9/SUM(P6:P9)</f>
        <v>8.666666666666667E-2</v>
      </c>
      <c r="R36">
        <v>1.5</v>
      </c>
      <c r="S36">
        <v>0.2</v>
      </c>
      <c r="T36">
        <f t="shared" si="10"/>
        <v>1</v>
      </c>
    </row>
    <row r="37" spans="1:20" x14ac:dyDescent="0.3">
      <c r="A37">
        <v>1.2</v>
      </c>
      <c r="B37">
        <v>0.2</v>
      </c>
      <c r="C37">
        <f t="shared" ca="1" si="3"/>
        <v>1</v>
      </c>
      <c r="D37">
        <f t="shared" si="8"/>
        <v>-1.4539013804499734</v>
      </c>
      <c r="E37">
        <f t="shared" si="9"/>
        <v>-1.3154442950077423</v>
      </c>
      <c r="F37">
        <f t="array" ref="F37" ca="1">SQRT(SUM(($D37:$E37-$N$6:$O$6)^2))</f>
        <v>0.22734970765441309</v>
      </c>
      <c r="G37">
        <f t="array" ref="G37" ca="1">SQRT(SUM(($D37:$E37-$N$7:$O$7)^2))</f>
        <v>3.6468977860314982</v>
      </c>
      <c r="H37">
        <f t="array" ref="H37" ca="1">SQRT(SUM(($D37:$E37-$N$8:$O$8)^2))</f>
        <v>2.9363990246762226</v>
      </c>
      <c r="I37">
        <f t="array" ref="I37" ca="1">SQRT(SUM(($D37:$E37-$N$9:$O$9)^2))</f>
        <v>0.38738928123803706</v>
      </c>
      <c r="J37">
        <f t="shared" ca="1" si="4"/>
        <v>0.22734970765441309</v>
      </c>
      <c r="M37">
        <f ca="1">N36</f>
        <v>4.9102564102564118E-2</v>
      </c>
      <c r="N37">
        <f ca="1">_xlfn.VAR.S(_w4)</f>
        <v>6.4102564102564472E-2</v>
      </c>
      <c r="R37">
        <v>1.2</v>
      </c>
      <c r="S37">
        <v>0.2</v>
      </c>
      <c r="T37">
        <f t="shared" si="10"/>
        <v>1</v>
      </c>
    </row>
    <row r="38" spans="1:20" x14ac:dyDescent="0.3">
      <c r="A38">
        <v>1.3</v>
      </c>
      <c r="B38">
        <v>0.2</v>
      </c>
      <c r="C38">
        <f t="shared" ca="1" si="3"/>
        <v>1</v>
      </c>
      <c r="D38">
        <f t="shared" si="8"/>
        <v>-1.3970639535363705</v>
      </c>
      <c r="E38">
        <f t="shared" si="9"/>
        <v>-1.3154442950077423</v>
      </c>
      <c r="F38">
        <f t="array" ref="F38" ca="1">SQRT(SUM(($D38:$E38-$N$6:$O$6)^2))</f>
        <v>0.17051228074081015</v>
      </c>
      <c r="G38">
        <f t="array" ref="G38" ca="1">SQRT(SUM(($D38:$E38-$N$7:$O$7)^2))</f>
        <v>3.6126327647857024</v>
      </c>
      <c r="H38">
        <f t="array" ref="H38" ca="1">SQRT(SUM(($D38:$E38-$N$8:$O$8)^2))</f>
        <v>2.8970802926653878</v>
      </c>
      <c r="I38">
        <f t="array" ref="I38" ca="1">SQRT(SUM(($D38:$E38-$N$9:$O$9)^2))</f>
        <v>0.34784481789253435</v>
      </c>
      <c r="J38">
        <f t="shared" ca="1" si="4"/>
        <v>0.17051228074081015</v>
      </c>
      <c r="L38" t="s">
        <v>23</v>
      </c>
      <c r="M38">
        <f ca="1">AVERAGE(_l4)</f>
        <v>5.3076923076923075</v>
      </c>
      <c r="N38">
        <f ca="1">AVERAGE(_w4)</f>
        <v>2.1076923076923078</v>
      </c>
      <c r="R38">
        <v>1.3</v>
      </c>
      <c r="S38">
        <v>0.2</v>
      </c>
      <c r="T38">
        <f t="shared" si="10"/>
        <v>1</v>
      </c>
    </row>
    <row r="39" spans="1:20" x14ac:dyDescent="0.3">
      <c r="A39">
        <v>1.4</v>
      </c>
      <c r="B39">
        <v>0.1</v>
      </c>
      <c r="C39">
        <f t="shared" ca="1" si="3"/>
        <v>1</v>
      </c>
      <c r="D39">
        <f t="shared" si="8"/>
        <v>-1.3402265266227671</v>
      </c>
      <c r="E39">
        <f t="shared" si="9"/>
        <v>-1.4470764792980431</v>
      </c>
      <c r="F39">
        <f t="array" ref="F39" ca="1">SQRT(SUM(($D39:$E39-$N$6:$O$6)^2))</f>
        <v>0.17392240894626698</v>
      </c>
      <c r="G39">
        <f t="array" ref="G39" ca="1">SQRT(SUM(($D39:$E39-$N$7:$O$7)^2))</f>
        <v>3.6862643622219848</v>
      </c>
      <c r="H39">
        <f t="array" ref="H39" ca="1">SQRT(SUM(($D39:$E39-$N$8:$O$8)^2))</f>
        <v>2.9566809520865394</v>
      </c>
      <c r="I39">
        <f t="array" ref="I39" ca="1">SQRT(SUM(($D39:$E39-$N$9:$O$9)^2))</f>
        <v>0.43013686816262875</v>
      </c>
      <c r="J39">
        <f t="shared" ca="1" si="4"/>
        <v>0.17392240894626698</v>
      </c>
      <c r="R39">
        <v>1.4</v>
      </c>
      <c r="S39">
        <v>0.1</v>
      </c>
      <c r="T39">
        <f t="shared" si="10"/>
        <v>1</v>
      </c>
    </row>
    <row r="40" spans="1:20" x14ac:dyDescent="0.3">
      <c r="A40">
        <v>1.3</v>
      </c>
      <c r="B40">
        <v>0.2</v>
      </c>
      <c r="C40">
        <f t="shared" ca="1" si="3"/>
        <v>1</v>
      </c>
      <c r="D40">
        <f t="shared" si="8"/>
        <v>-1.3970639535363705</v>
      </c>
      <c r="E40">
        <f t="shared" si="9"/>
        <v>-1.3154442950077423</v>
      </c>
      <c r="F40">
        <f t="array" ref="F40" ca="1">SQRT(SUM(($D40:$E40-$N$6:$O$6)^2))</f>
        <v>0.17051228074081015</v>
      </c>
      <c r="G40">
        <f t="array" ref="G40" ca="1">SQRT(SUM(($D40:$E40-$N$7:$O$7)^2))</f>
        <v>3.6126327647857024</v>
      </c>
      <c r="H40">
        <f t="array" ref="H40" ca="1">SQRT(SUM(($D40:$E40-$N$8:$O$8)^2))</f>
        <v>2.8970802926653878</v>
      </c>
      <c r="I40">
        <f t="array" ref="I40" ca="1">SQRT(SUM(($D40:$E40-$N$9:$O$9)^2))</f>
        <v>0.34784481789253435</v>
      </c>
      <c r="J40">
        <f t="shared" ca="1" si="4"/>
        <v>0.17051228074081015</v>
      </c>
      <c r="R40">
        <v>1.3</v>
      </c>
      <c r="S40">
        <v>0.2</v>
      </c>
      <c r="T40">
        <f t="shared" si="10"/>
        <v>1</v>
      </c>
    </row>
    <row r="41" spans="1:20" x14ac:dyDescent="0.3">
      <c r="A41">
        <v>1.5</v>
      </c>
      <c r="B41">
        <v>0.2</v>
      </c>
      <c r="C41">
        <f t="shared" ca="1" si="3"/>
        <v>1</v>
      </c>
      <c r="D41">
        <f t="shared" si="8"/>
        <v>-1.2833890997091637</v>
      </c>
      <c r="E41">
        <f t="shared" si="9"/>
        <v>-1.3154442950077423</v>
      </c>
      <c r="F41">
        <f t="array" ref="F41" ca="1">SQRT(SUM(($D41:$E41-$N$6:$O$6)^2))</f>
        <v>5.6837426913603384E-2</v>
      </c>
      <c r="G41">
        <f t="array" ref="G41" ca="1">SQRT(SUM(($D41:$E41-$N$7:$O$7)^2))</f>
        <v>3.5458429906970816</v>
      </c>
      <c r="H41">
        <f t="array" ref="H41" ca="1">SQRT(SUM(($D41:$E41-$N$8:$O$8)^2))</f>
        <v>2.8202353023817923</v>
      </c>
      <c r="I41">
        <f t="array" ref="I41" ca="1">SQRT(SUM(($D41:$E41-$N$9:$O$9)^2))</f>
        <v>0.28675791210841933</v>
      </c>
      <c r="J41">
        <f t="shared" ca="1" si="4"/>
        <v>5.6837426913603384E-2</v>
      </c>
      <c r="R41">
        <v>1.5</v>
      </c>
      <c r="S41">
        <v>0.2</v>
      </c>
      <c r="T41">
        <f t="shared" si="10"/>
        <v>1</v>
      </c>
    </row>
    <row r="42" spans="1:20" x14ac:dyDescent="0.3">
      <c r="A42">
        <v>1.3</v>
      </c>
      <c r="B42">
        <v>0.3</v>
      </c>
      <c r="C42">
        <f t="shared" ca="1" si="3"/>
        <v>1</v>
      </c>
      <c r="D42">
        <f t="shared" si="8"/>
        <v>-1.3970639535363705</v>
      </c>
      <c r="E42">
        <f t="shared" si="9"/>
        <v>-1.1838121107174411</v>
      </c>
      <c r="F42">
        <f t="array" ref="F42" ca="1">SQRT(SUM(($D42:$E42-$N$6:$O$6)^2))</f>
        <v>0.21541000400275906</v>
      </c>
      <c r="G42">
        <f t="array" ref="G42" ca="1">SQRT(SUM(($D42:$E42-$N$7:$O$7)^2))</f>
        <v>3.5079984492212435</v>
      </c>
      <c r="H42">
        <f t="array" ref="H42" ca="1">SQRT(SUM(($D42:$E42-$N$8:$O$8)^2))</f>
        <v>2.8028443110487</v>
      </c>
      <c r="I42">
        <f t="array" ref="I42" ca="1">SQRT(SUM(($D42:$E42-$N$9:$O$9)^2))</f>
        <v>0.26270691180778433</v>
      </c>
      <c r="J42">
        <f t="shared" ca="1" si="4"/>
        <v>0.21541000400275906</v>
      </c>
      <c r="R42">
        <v>1.3</v>
      </c>
      <c r="S42">
        <v>0.3</v>
      </c>
      <c r="T42">
        <f t="shared" si="10"/>
        <v>1</v>
      </c>
    </row>
    <row r="43" spans="1:20" x14ac:dyDescent="0.3">
      <c r="A43">
        <v>1.3</v>
      </c>
      <c r="B43">
        <v>0.3</v>
      </c>
      <c r="C43">
        <f t="shared" ca="1" si="3"/>
        <v>1</v>
      </c>
      <c r="D43">
        <f t="shared" si="8"/>
        <v>-1.3970639535363705</v>
      </c>
      <c r="E43">
        <f t="shared" si="9"/>
        <v>-1.1838121107174411</v>
      </c>
      <c r="F43">
        <f t="array" ref="F43" ca="1">SQRT(SUM(($D43:$E43-$N$6:$O$6)^2))</f>
        <v>0.21541000400275906</v>
      </c>
      <c r="G43">
        <f t="array" ref="G43" ca="1">SQRT(SUM(($D43:$E43-$N$7:$O$7)^2))</f>
        <v>3.5079984492212435</v>
      </c>
      <c r="H43">
        <f t="array" ref="H43" ca="1">SQRT(SUM(($D43:$E43-$N$8:$O$8)^2))</f>
        <v>2.8028443110487</v>
      </c>
      <c r="I43">
        <f t="array" ref="I43" ca="1">SQRT(SUM(($D43:$E43-$N$9:$O$9)^2))</f>
        <v>0.26270691180778433</v>
      </c>
      <c r="J43">
        <f t="shared" ca="1" si="4"/>
        <v>0.21541000400275906</v>
      </c>
      <c r="R43">
        <v>1.3</v>
      </c>
      <c r="S43">
        <v>0.3</v>
      </c>
      <c r="T43">
        <f t="shared" si="10"/>
        <v>1</v>
      </c>
    </row>
    <row r="44" spans="1:20" x14ac:dyDescent="0.3">
      <c r="A44">
        <v>1.3</v>
      </c>
      <c r="B44">
        <v>0.2</v>
      </c>
      <c r="C44">
        <f t="shared" ca="1" si="3"/>
        <v>1</v>
      </c>
      <c r="D44">
        <f t="shared" si="8"/>
        <v>-1.3970639535363705</v>
      </c>
      <c r="E44">
        <f t="shared" si="9"/>
        <v>-1.3154442950077423</v>
      </c>
      <c r="F44">
        <f t="array" ref="F44" ca="1">SQRT(SUM(($D44:$E44-$N$6:$O$6)^2))</f>
        <v>0.17051228074081015</v>
      </c>
      <c r="G44">
        <f t="array" ref="G44" ca="1">SQRT(SUM(($D44:$E44-$N$7:$O$7)^2))</f>
        <v>3.6126327647857024</v>
      </c>
      <c r="H44">
        <f t="array" ref="H44" ca="1">SQRT(SUM(($D44:$E44-$N$8:$O$8)^2))</f>
        <v>2.8970802926653878</v>
      </c>
      <c r="I44">
        <f t="array" ref="I44" ca="1">SQRT(SUM(($D44:$E44-$N$9:$O$9)^2))</f>
        <v>0.34784481789253435</v>
      </c>
      <c r="J44">
        <f t="shared" ca="1" si="4"/>
        <v>0.17051228074081015</v>
      </c>
      <c r="R44">
        <v>1.3</v>
      </c>
      <c r="S44">
        <v>0.2</v>
      </c>
      <c r="T44">
        <f t="shared" si="10"/>
        <v>1</v>
      </c>
    </row>
    <row r="45" spans="1:20" x14ac:dyDescent="0.3">
      <c r="A45">
        <v>1.6</v>
      </c>
      <c r="B45">
        <v>0.6</v>
      </c>
      <c r="C45">
        <f t="shared" ca="1" si="3"/>
        <v>4</v>
      </c>
      <c r="D45">
        <f t="shared" si="8"/>
        <v>-1.2265516727955603</v>
      </c>
      <c r="E45">
        <f t="shared" si="9"/>
        <v>-0.78891555784653822</v>
      </c>
      <c r="F45">
        <f t="array" ref="F45" ca="1">SQRT(SUM(($D45:$E45-$N$6:$O$6)^2))</f>
        <v>0.52652873716120407</v>
      </c>
      <c r="G45">
        <f t="array" ref="G45" ca="1">SQRT(SUM(($D45:$E45-$N$7:$O$7)^2))</f>
        <v>3.0937537707679001</v>
      </c>
      <c r="H45">
        <f t="array" ref="H45" ca="1">SQRT(SUM(($D45:$E45-$N$8:$O$8)^2))</f>
        <v>2.4089660711650063</v>
      </c>
      <c r="I45">
        <f t="array" ref="I45" ca="1">SQRT(SUM(($D45:$E45-$N$9:$O$9)^2))</f>
        <v>0.26932994794916915</v>
      </c>
      <c r="J45">
        <f t="shared" ca="1" si="4"/>
        <v>0.26932994794916915</v>
      </c>
      <c r="R45">
        <v>1.6</v>
      </c>
      <c r="S45">
        <v>0.6</v>
      </c>
      <c r="T45">
        <f t="shared" si="10"/>
        <v>1</v>
      </c>
    </row>
    <row r="46" spans="1:20" x14ac:dyDescent="0.3">
      <c r="A46">
        <v>1.9</v>
      </c>
      <c r="B46">
        <v>0.4</v>
      </c>
      <c r="C46">
        <f t="shared" ca="1" si="3"/>
        <v>4</v>
      </c>
      <c r="D46">
        <f t="shared" si="8"/>
        <v>-1.0560393920547506</v>
      </c>
      <c r="E46">
        <f t="shared" si="9"/>
        <v>-1.0521799264271401</v>
      </c>
      <c r="F46">
        <f t="array" ref="F46" ca="1">SQRT(SUM(($D46:$E46-$N$6:$O$6)^2))</f>
        <v>0.3136599522533533</v>
      </c>
      <c r="G46">
        <f t="array" ref="G46" ca="1">SQRT(SUM(($D46:$E46-$N$7:$O$7)^2))</f>
        <v>3.1998183868665611</v>
      </c>
      <c r="H46">
        <f t="array" ref="H46" ca="1">SQRT(SUM(($D46:$E46-$N$8:$O$8)^2))</f>
        <v>2.4724366434743867</v>
      </c>
      <c r="I46">
        <f t="array" ref="I46" ca="1">SQRT(SUM(($D46:$E46-$N$9:$O$9)^2))</f>
        <v>0.11367485382720655</v>
      </c>
      <c r="J46">
        <f t="shared" ca="1" si="4"/>
        <v>0.11367485382720655</v>
      </c>
      <c r="R46">
        <v>1.9</v>
      </c>
      <c r="S46">
        <v>0.4</v>
      </c>
      <c r="T46">
        <f t="shared" si="10"/>
        <v>1</v>
      </c>
    </row>
    <row r="47" spans="1:20" x14ac:dyDescent="0.3">
      <c r="A47">
        <v>1.4</v>
      </c>
      <c r="B47">
        <v>0.3</v>
      </c>
      <c r="C47">
        <f t="shared" ca="1" si="3"/>
        <v>1</v>
      </c>
      <c r="D47">
        <f t="shared" si="8"/>
        <v>-1.3402265266227671</v>
      </c>
      <c r="E47">
        <f t="shared" si="9"/>
        <v>-1.1838121107174411</v>
      </c>
      <c r="F47">
        <f t="array" ref="F47" ca="1">SQRT(SUM(($D47:$E47-$N$6:$O$6)^2))</f>
        <v>0.17392240894626732</v>
      </c>
      <c r="G47">
        <f t="array" ref="G47" ca="1">SQRT(SUM(($D47:$E47-$N$7:$O$7)^2))</f>
        <v>3.4732932697048073</v>
      </c>
      <c r="H47">
        <f t="array" ref="H47" ca="1">SQRT(SUM(($D47:$E47-$N$8:$O$8)^2))</f>
        <v>2.7627942754039934</v>
      </c>
      <c r="I47">
        <f t="array" ref="I47" ca="1">SQRT(SUM(($D47:$E47-$N$9:$O$9)^2))</f>
        <v>0.21541000400275875</v>
      </c>
      <c r="J47">
        <f t="shared" ca="1" si="4"/>
        <v>0.17392240894626732</v>
      </c>
      <c r="R47">
        <v>1.4</v>
      </c>
      <c r="S47">
        <v>0.3</v>
      </c>
      <c r="T47">
        <f t="shared" si="10"/>
        <v>1</v>
      </c>
    </row>
    <row r="48" spans="1:20" x14ac:dyDescent="0.3">
      <c r="A48">
        <v>1.6</v>
      </c>
      <c r="B48">
        <v>0.2</v>
      </c>
      <c r="C48">
        <f t="shared" ca="1" si="3"/>
        <v>1</v>
      </c>
      <c r="D48">
        <f t="shared" si="8"/>
        <v>-1.2265516727955603</v>
      </c>
      <c r="E48">
        <f t="shared" si="9"/>
        <v>-1.3154442950077423</v>
      </c>
      <c r="F48">
        <f t="array" ref="F48" ca="1">SQRT(SUM(($D48:$E48-$N$6:$O$6)^2))</f>
        <v>0</v>
      </c>
      <c r="G48">
        <f t="array" ref="G48" ca="1">SQRT(SUM(($D48:$E48-$N$7:$O$7)^2))</f>
        <v>3.5133513209905898</v>
      </c>
      <c r="H48">
        <f t="array" ref="H48" ca="1">SQRT(SUM(($D48:$E48-$N$8:$O$8)^2))</f>
        <v>2.7827585431402722</v>
      </c>
      <c r="I48">
        <f t="array" ref="I48" ca="1">SQRT(SUM(($D48:$E48-$N$9:$O$9)^2))</f>
        <v>0.26932994794916948</v>
      </c>
      <c r="J48">
        <f t="shared" ca="1" si="4"/>
        <v>0</v>
      </c>
      <c r="R48">
        <v>1.6</v>
      </c>
      <c r="S48">
        <v>0.2</v>
      </c>
      <c r="T48">
        <f t="shared" si="10"/>
        <v>1</v>
      </c>
    </row>
    <row r="49" spans="1:20" x14ac:dyDescent="0.3">
      <c r="A49">
        <v>1.4</v>
      </c>
      <c r="B49">
        <v>0.2</v>
      </c>
      <c r="C49">
        <f t="shared" ca="1" si="3"/>
        <v>1</v>
      </c>
      <c r="D49">
        <f t="shared" si="8"/>
        <v>-1.3402265266227671</v>
      </c>
      <c r="E49">
        <f t="shared" si="9"/>
        <v>-1.3154442950077423</v>
      </c>
      <c r="F49">
        <f t="array" ref="F49" ca="1">SQRT(SUM(($D49:$E49-$N$6:$O$6)^2))</f>
        <v>0.11367485382720677</v>
      </c>
      <c r="G49">
        <f t="array" ref="G49" ca="1">SQRT(SUM(($D49:$E49-$N$7:$O$7)^2))</f>
        <v>3.5789423732216261</v>
      </c>
      <c r="H49">
        <f t="array" ref="H49" ca="1">SQRT(SUM(($D49:$E49-$N$8:$O$8)^2))</f>
        <v>2.8583509578736455</v>
      </c>
      <c r="I49">
        <f t="array" ref="I49" ca="1">SQRT(SUM(($D49:$E49-$N$9:$O$9)^2))</f>
        <v>0.31365995225335341</v>
      </c>
      <c r="J49">
        <f t="shared" ca="1" si="4"/>
        <v>0.11367485382720677</v>
      </c>
      <c r="R49">
        <v>1.4</v>
      </c>
      <c r="S49">
        <v>0.2</v>
      </c>
      <c r="T49">
        <f t="shared" si="10"/>
        <v>1</v>
      </c>
    </row>
    <row r="50" spans="1:20" x14ac:dyDescent="0.3">
      <c r="A50">
        <v>1.5</v>
      </c>
      <c r="B50">
        <v>0.2</v>
      </c>
      <c r="C50">
        <f t="shared" ca="1" si="3"/>
        <v>1</v>
      </c>
      <c r="D50">
        <f t="shared" si="8"/>
        <v>-1.2833890997091637</v>
      </c>
      <c r="E50">
        <f t="shared" si="9"/>
        <v>-1.3154442950077423</v>
      </c>
      <c r="F50">
        <f t="array" ref="F50" ca="1">SQRT(SUM(($D50:$E50-$N$6:$O$6)^2))</f>
        <v>5.6837426913603384E-2</v>
      </c>
      <c r="G50">
        <f t="array" ref="G50" ca="1">SQRT(SUM(($D50:$E50-$N$7:$O$7)^2))</f>
        <v>3.5458429906970816</v>
      </c>
      <c r="H50">
        <f t="array" ref="H50" ca="1">SQRT(SUM(($D50:$E50-$N$8:$O$8)^2))</f>
        <v>2.8202353023817923</v>
      </c>
      <c r="I50">
        <f t="array" ref="I50" ca="1">SQRT(SUM(($D50:$E50-$N$9:$O$9)^2))</f>
        <v>0.28675791210841933</v>
      </c>
      <c r="J50">
        <f t="shared" ca="1" si="4"/>
        <v>5.6837426913603384E-2</v>
      </c>
      <c r="R50">
        <v>1.5</v>
      </c>
      <c r="S50">
        <v>0.2</v>
      </c>
      <c r="T50">
        <f t="shared" si="10"/>
        <v>1</v>
      </c>
    </row>
    <row r="51" spans="1:20" x14ac:dyDescent="0.3">
      <c r="A51">
        <v>1.4</v>
      </c>
      <c r="B51">
        <v>0.2</v>
      </c>
      <c r="C51">
        <f t="shared" ca="1" si="3"/>
        <v>1</v>
      </c>
      <c r="D51">
        <f t="shared" si="8"/>
        <v>-1.3402265266227671</v>
      </c>
      <c r="E51">
        <f t="shared" si="9"/>
        <v>-1.3154442950077423</v>
      </c>
      <c r="F51">
        <f t="array" ref="F51" ca="1">SQRT(SUM(($D51:$E51-$N$6:$O$6)^2))</f>
        <v>0.11367485382720677</v>
      </c>
      <c r="G51">
        <f t="array" ref="G51" ca="1">SQRT(SUM(($D51:$E51-$N$7:$O$7)^2))</f>
        <v>3.5789423732216261</v>
      </c>
      <c r="H51">
        <f t="array" ref="H51" ca="1">SQRT(SUM(($D51:$E51-$N$8:$O$8)^2))</f>
        <v>2.8583509578736455</v>
      </c>
      <c r="I51">
        <f t="array" ref="I51" ca="1">SQRT(SUM(($D51:$E51-$N$9:$O$9)^2))</f>
        <v>0.31365995225335341</v>
      </c>
      <c r="J51">
        <f t="shared" ca="1" si="4"/>
        <v>0.11367485382720677</v>
      </c>
      <c r="R51">
        <v>1.4</v>
      </c>
      <c r="S51">
        <v>0.2</v>
      </c>
      <c r="T51">
        <f t="shared" si="10"/>
        <v>1</v>
      </c>
    </row>
    <row r="52" spans="1:20" x14ac:dyDescent="0.3">
      <c r="A52">
        <v>4.7</v>
      </c>
      <c r="B52">
        <v>1.4</v>
      </c>
      <c r="C52">
        <f t="shared" ca="1" si="3"/>
        <v>3</v>
      </c>
      <c r="D52">
        <f t="shared" si="8"/>
        <v>0.53540856152614158</v>
      </c>
      <c r="E52">
        <f t="shared" si="9"/>
        <v>0.2641419164758696</v>
      </c>
      <c r="F52">
        <f t="array" ref="F52" ca="1">SQRT(SUM(($D52:$E52-$N$6:$O$6)^2))</f>
        <v>2.3663466497620624</v>
      </c>
      <c r="G52">
        <f t="array" ref="G52" ca="1">SQRT(SUM(($D52:$E52-$N$7:$O$7)^2))</f>
        <v>1.3358110209435028</v>
      </c>
      <c r="H52">
        <f t="array" ref="H52" ca="1">SQRT(SUM(($D52:$E52-$N$8:$O$8)^2))</f>
        <v>0.52958757930556832</v>
      </c>
      <c r="I52">
        <f t="array" ref="I52" ca="1">SQRT(SUM(($D52:$E52-$N$9:$O$9)^2))</f>
        <v>2.1541000400275871</v>
      </c>
      <c r="J52">
        <f t="shared" ca="1" si="4"/>
        <v>0.52958757930556832</v>
      </c>
      <c r="R52">
        <v>4.7</v>
      </c>
      <c r="S52">
        <v>1.4</v>
      </c>
      <c r="T52">
        <f t="shared" si="10"/>
        <v>1</v>
      </c>
    </row>
    <row r="53" spans="1:20" x14ac:dyDescent="0.3">
      <c r="A53">
        <v>4.5</v>
      </c>
      <c r="B53">
        <v>1.5</v>
      </c>
      <c r="C53">
        <f t="shared" ca="1" si="3"/>
        <v>3</v>
      </c>
      <c r="D53">
        <f t="shared" si="8"/>
        <v>0.42173370769893487</v>
      </c>
      <c r="E53">
        <f t="shared" si="9"/>
        <v>0.3957741007661707</v>
      </c>
      <c r="F53">
        <f t="array" ref="F53" ca="1">SQRT(SUM(($D53:$E53-$N$6:$O$6)^2))</f>
        <v>2.3759446739322292</v>
      </c>
      <c r="G53">
        <f t="array" ref="G53" ca="1">SQRT(SUM(($D53:$E53-$N$7:$O$7)^2))</f>
        <v>1.2327965520545665</v>
      </c>
      <c r="H53">
        <f t="array" ref="H53" ca="1">SQRT(SUM(($D53:$E53-$N$8:$O$8)^2))</f>
        <v>0.43013686816262875</v>
      </c>
      <c r="I53">
        <f t="array" ref="I53" ca="1">SQRT(SUM(($D53:$E53-$N$9:$O$9)^2))</f>
        <v>2.1515755747410168</v>
      </c>
      <c r="J53">
        <f t="shared" ca="1" si="4"/>
        <v>0.43013686816262875</v>
      </c>
      <c r="R53">
        <v>4.5</v>
      </c>
      <c r="S53">
        <v>1.5</v>
      </c>
      <c r="T53">
        <f t="shared" si="10"/>
        <v>1</v>
      </c>
    </row>
    <row r="54" spans="1:20" x14ac:dyDescent="0.3">
      <c r="A54">
        <v>4.9000000000000004</v>
      </c>
      <c r="B54">
        <v>1.5</v>
      </c>
      <c r="C54">
        <f t="shared" ca="1" si="3"/>
        <v>3</v>
      </c>
      <c r="D54">
        <f t="shared" si="8"/>
        <v>0.64908341535334824</v>
      </c>
      <c r="E54">
        <f t="shared" si="9"/>
        <v>0.3957741007661707</v>
      </c>
      <c r="F54">
        <f t="array" ref="F54" ca="1">SQRT(SUM(($D54:$E54-$N$6:$O$6)^2))</f>
        <v>2.5389516304826305</v>
      </c>
      <c r="G54">
        <f t="array" ref="G54" ca="1">SQRT(SUM(($D54:$E54-$N$7:$O$7)^2))</f>
        <v>1.1901309002023825</v>
      </c>
      <c r="H54">
        <f t="array" ref="H54" ca="1">SQRT(SUM(($D54:$E54-$N$8:$O$8)^2))</f>
        <v>0.39896588897734253</v>
      </c>
      <c r="I54">
        <f t="array" ref="I54" ca="1">SQRT(SUM(($D54:$E54-$N$9:$O$9)^2))</f>
        <v>2.3247786555670937</v>
      </c>
      <c r="J54">
        <f t="shared" ca="1" si="4"/>
        <v>0.39896588897734253</v>
      </c>
      <c r="R54">
        <v>4.9000000000000004</v>
      </c>
      <c r="S54">
        <v>1.5</v>
      </c>
      <c r="T54">
        <f t="shared" si="10"/>
        <v>1</v>
      </c>
    </row>
    <row r="55" spans="1:20" x14ac:dyDescent="0.3">
      <c r="A55">
        <v>4</v>
      </c>
      <c r="B55">
        <v>1.3</v>
      </c>
      <c r="C55">
        <f t="shared" ca="1" si="3"/>
        <v>3</v>
      </c>
      <c r="D55">
        <f t="shared" si="8"/>
        <v>0.13754657313091845</v>
      </c>
      <c r="E55">
        <f t="shared" si="9"/>
        <v>0.1325097321855688</v>
      </c>
      <c r="F55">
        <f t="array" ref="F55" ca="1">SQRT(SUM(($D55:$E55-$N$6:$O$6)^2))</f>
        <v>1.9893051272756084</v>
      </c>
      <c r="G55">
        <f t="array" ref="G55" ca="1">SQRT(SUM(($D55:$E55-$N$7:$O$7)^2))</f>
        <v>1.577168516596305</v>
      </c>
      <c r="H55">
        <f t="array" ref="H55" ca="1">SQRT(SUM(($D55:$E55-$N$8:$O$8)^2))</f>
        <v>0.79995459671664015</v>
      </c>
      <c r="I55">
        <f t="array" ref="I55" ca="1">SQRT(SUM(($D55:$E55-$N$9:$O$9)^2))</f>
        <v>1.7642053270949249</v>
      </c>
      <c r="J55">
        <f t="shared" ca="1" si="4"/>
        <v>0.79995459671664015</v>
      </c>
      <c r="R55">
        <v>4</v>
      </c>
      <c r="S55">
        <v>1.3</v>
      </c>
      <c r="T55">
        <f t="shared" si="10"/>
        <v>1</v>
      </c>
    </row>
    <row r="56" spans="1:20" x14ac:dyDescent="0.3">
      <c r="A56">
        <v>4.5999999999999996</v>
      </c>
      <c r="B56">
        <v>1.5</v>
      </c>
      <c r="C56">
        <f t="shared" ca="1" si="3"/>
        <v>3</v>
      </c>
      <c r="D56">
        <f t="shared" si="8"/>
        <v>0.47857113461253797</v>
      </c>
      <c r="E56">
        <f t="shared" si="9"/>
        <v>0.3957741007661707</v>
      </c>
      <c r="F56">
        <f t="array" ref="F56" ca="1">SQRT(SUM(($D56:$E56-$N$6:$O$6)^2))</f>
        <v>2.4157218768679312</v>
      </c>
      <c r="G56">
        <f t="array" ref="G56" ca="1">SQRT(SUM(($D56:$E56-$N$7:$O$7)^2))</f>
        <v>1.2182987789035482</v>
      </c>
      <c r="H56">
        <f t="array" ref="H56" ca="1">SQRT(SUM(($D56:$E56-$N$8:$O$8)^2))</f>
        <v>0.41093218401818898</v>
      </c>
      <c r="I56">
        <f t="array" ref="I56" ca="1">SQRT(SUM(($D56:$E56-$N$9:$O$9)^2))</f>
        <v>2.1939497625098916</v>
      </c>
      <c r="J56">
        <f t="shared" ca="1" si="4"/>
        <v>0.41093218401818898</v>
      </c>
      <c r="R56">
        <v>4.5999999999999996</v>
      </c>
      <c r="S56">
        <v>1.5</v>
      </c>
      <c r="T56">
        <f t="shared" si="10"/>
        <v>1</v>
      </c>
    </row>
    <row r="57" spans="1:20" x14ac:dyDescent="0.3">
      <c r="A57">
        <v>4.5</v>
      </c>
      <c r="B57">
        <v>1.3</v>
      </c>
      <c r="C57">
        <f t="shared" ca="1" si="3"/>
        <v>3</v>
      </c>
      <c r="D57">
        <f t="shared" si="8"/>
        <v>0.42173370769893487</v>
      </c>
      <c r="E57">
        <f t="shared" si="9"/>
        <v>0.1325097321855688</v>
      </c>
      <c r="F57">
        <f t="array" ref="F57" ca="1">SQRT(SUM(($D57:$E57-$N$6:$O$6)^2))</f>
        <v>2.1939497625098916</v>
      </c>
      <c r="G57">
        <f t="array" ref="G57" ca="1">SQRT(SUM(($D57:$E57-$N$7:$O$7)^2))</f>
        <v>1.4875713819508152</v>
      </c>
      <c r="H57">
        <f t="array" ref="H57" ca="1">SQRT(SUM(($D57:$E57-$N$8:$O$8)^2))</f>
        <v>0.67988987079476837</v>
      </c>
      <c r="I57">
        <f t="array" ref="I57" ca="1">SQRT(SUM(($D57:$E57-$N$9:$O$9)^2))</f>
        <v>1.9839849233753533</v>
      </c>
      <c r="J57">
        <f t="shared" ca="1" si="4"/>
        <v>0.67988987079476837</v>
      </c>
      <c r="R57">
        <v>4.5</v>
      </c>
      <c r="S57">
        <v>1.3</v>
      </c>
      <c r="T57">
        <f t="shared" si="10"/>
        <v>1</v>
      </c>
    </row>
    <row r="58" spans="1:20" x14ac:dyDescent="0.3">
      <c r="A58">
        <v>4.7</v>
      </c>
      <c r="B58">
        <v>1.6</v>
      </c>
      <c r="C58">
        <f t="shared" ca="1" si="3"/>
        <v>3</v>
      </c>
      <c r="D58">
        <f t="shared" si="8"/>
        <v>0.53540856152614158</v>
      </c>
      <c r="E58">
        <f t="shared" si="9"/>
        <v>0.5274062850564718</v>
      </c>
      <c r="F58">
        <f t="array" ref="F58" ca="1">SQRT(SUM(($D58:$E58-$N$6:$O$6)^2))</f>
        <v>2.5496278410336668</v>
      </c>
      <c r="G58">
        <f t="array" ref="G58" ca="1">SQRT(SUM(($D58:$E58-$N$7:$O$7)^2))</f>
        <v>1.077319791796677</v>
      </c>
      <c r="H58">
        <f t="array" ref="H58" ca="1">SQRT(SUM(($D58:$E58-$N$8:$O$8)^2))</f>
        <v>0.26932994794916926</v>
      </c>
      <c r="I58">
        <f t="array" ref="I58" ca="1">SQRT(SUM(($D58:$E58-$N$9:$O$9)^2))</f>
        <v>2.3243356874282224</v>
      </c>
      <c r="J58">
        <f t="shared" ca="1" si="4"/>
        <v>0.26932994794916926</v>
      </c>
      <c r="R58">
        <v>4.7</v>
      </c>
      <c r="S58">
        <v>1.6</v>
      </c>
      <c r="T58">
        <f t="shared" si="10"/>
        <v>1</v>
      </c>
    </row>
    <row r="59" spans="1:20" x14ac:dyDescent="0.3">
      <c r="A59">
        <v>3.3</v>
      </c>
      <c r="B59">
        <v>1</v>
      </c>
      <c r="C59">
        <f t="shared" ca="1" si="3"/>
        <v>4</v>
      </c>
      <c r="D59">
        <f t="shared" si="8"/>
        <v>-0.26031541526430468</v>
      </c>
      <c r="E59">
        <f t="shared" si="9"/>
        <v>-0.2623868206853342</v>
      </c>
      <c r="F59">
        <f t="array" ref="F59" ca="1">SQRT(SUM(($D59:$E59-$N$6:$O$6)^2))</f>
        <v>1.4291754789368227</v>
      </c>
      <c r="G59">
        <f t="array" ref="G59" ca="1">SQRT(SUM(($D59:$E59-$N$7:$O$7)^2))</f>
        <v>2.1077898434726805</v>
      </c>
      <c r="H59">
        <f t="array" ref="H59" ca="1">SQRT(SUM(($D59:$E59-$N$8:$O$8)^2))</f>
        <v>1.3549136471790768</v>
      </c>
      <c r="I59">
        <f t="array" ref="I59" ca="1">SQRT(SUM(($D59:$E59-$N$9:$O$9)^2))</f>
        <v>1.2044830355825031</v>
      </c>
      <c r="J59">
        <f t="shared" ca="1" si="4"/>
        <v>1.2044830355825031</v>
      </c>
      <c r="R59">
        <v>3.3</v>
      </c>
      <c r="S59">
        <v>1</v>
      </c>
      <c r="T59">
        <f t="shared" si="10"/>
        <v>1</v>
      </c>
    </row>
    <row r="60" spans="1:20" x14ac:dyDescent="0.3">
      <c r="A60">
        <v>4.5999999999999996</v>
      </c>
      <c r="B60">
        <v>1.3</v>
      </c>
      <c r="C60">
        <f t="shared" ca="1" si="3"/>
        <v>3</v>
      </c>
      <c r="D60">
        <f t="shared" si="8"/>
        <v>0.47857113461253797</v>
      </c>
      <c r="E60">
        <f t="shared" si="9"/>
        <v>0.1325097321855688</v>
      </c>
      <c r="F60">
        <f t="array" ref="F60" ca="1">SQRT(SUM(($D60:$E60-$N$6:$O$6)^2))</f>
        <v>2.2369655011216878</v>
      </c>
      <c r="G60">
        <f t="array" ref="G60" ca="1">SQRT(SUM(($D60:$E60-$N$7:$O$7)^2))</f>
        <v>1.4755789346284756</v>
      </c>
      <c r="H60">
        <f t="array" ref="H60" ca="1">SQRT(SUM(($D60:$E60-$N$8:$O$8)^2))</f>
        <v>0.6679055104717514</v>
      </c>
      <c r="I60">
        <f t="array" ref="I60" ca="1">SQRT(SUM(($D60:$E60-$N$9:$O$9)^2))</f>
        <v>2.029860655999761</v>
      </c>
      <c r="J60">
        <f t="shared" ca="1" si="4"/>
        <v>0.6679055104717514</v>
      </c>
      <c r="R60">
        <v>4.5999999999999996</v>
      </c>
      <c r="S60">
        <v>1.3</v>
      </c>
      <c r="T60">
        <f t="shared" si="10"/>
        <v>1</v>
      </c>
    </row>
    <row r="61" spans="1:20" x14ac:dyDescent="0.3">
      <c r="A61">
        <v>3.9</v>
      </c>
      <c r="B61">
        <v>1.4</v>
      </c>
      <c r="C61">
        <f t="shared" ca="1" si="3"/>
        <v>3</v>
      </c>
      <c r="D61">
        <f t="shared" si="8"/>
        <v>8.0709146217315106E-2</v>
      </c>
      <c r="E61">
        <f t="shared" si="9"/>
        <v>0.2641419164758696</v>
      </c>
      <c r="F61">
        <f t="array" ref="F61" ca="1">SQRT(SUM(($D61:$E61-$N$6:$O$6)^2))</f>
        <v>2.0503715391204991</v>
      </c>
      <c r="G61">
        <f t="array" ref="G61" ca="1">SQRT(SUM(($D61:$E61-$N$7:$O$7)^2))</f>
        <v>1.48252966251556</v>
      </c>
      <c r="H61">
        <f t="array" ref="H61" ca="1">SQRT(SUM(($D61:$E61-$N$8:$O$8)^2))</f>
        <v>0.73409975616905587</v>
      </c>
      <c r="I61">
        <f t="array" ref="I61" ca="1">SQRT(SUM(($D61:$E61-$N$9:$O$9)^2))</f>
        <v>1.8155610299884237</v>
      </c>
      <c r="J61">
        <f t="shared" ca="1" si="4"/>
        <v>0.73409975616905587</v>
      </c>
      <c r="R61">
        <v>3.9</v>
      </c>
      <c r="S61">
        <v>1.4</v>
      </c>
      <c r="T61">
        <f t="shared" si="10"/>
        <v>1</v>
      </c>
    </row>
    <row r="62" spans="1:20" x14ac:dyDescent="0.3">
      <c r="A62">
        <v>3.5</v>
      </c>
      <c r="B62">
        <v>1</v>
      </c>
      <c r="C62">
        <f t="shared" ca="1" si="3"/>
        <v>3</v>
      </c>
      <c r="D62">
        <f t="shared" si="8"/>
        <v>-0.146640561437098</v>
      </c>
      <c r="E62">
        <f t="shared" si="9"/>
        <v>-0.2623868206853342</v>
      </c>
      <c r="F62">
        <f t="array" ref="F62" ca="1">SQRT(SUM(($D62:$E62-$N$6:$O$6)^2))</f>
        <v>1.5083560762173363</v>
      </c>
      <c r="G62">
        <f t="array" ref="G62" ca="1">SQRT(SUM(($D62:$E62-$N$7:$O$7)^2))</f>
        <v>2.0550193414106257</v>
      </c>
      <c r="H62">
        <f t="array" ref="H62" ca="1">SQRT(SUM(($D62:$E62-$N$8:$O$8)^2))</f>
        <v>1.2864227057290278</v>
      </c>
      <c r="I62">
        <f t="array" ref="I62" ca="1">SQRT(SUM(($D62:$E62-$N$9:$O$9)^2))</f>
        <v>1.2924600240165522</v>
      </c>
      <c r="J62">
        <f t="shared" ca="1" si="4"/>
        <v>1.2864227057290278</v>
      </c>
      <c r="R62">
        <v>3.5</v>
      </c>
      <c r="S62">
        <v>1</v>
      </c>
      <c r="T62">
        <f t="shared" si="10"/>
        <v>1</v>
      </c>
    </row>
    <row r="63" spans="1:20" x14ac:dyDescent="0.3">
      <c r="A63">
        <v>4.2</v>
      </c>
      <c r="B63">
        <v>1.5</v>
      </c>
      <c r="C63">
        <f t="shared" ca="1" si="3"/>
        <v>3</v>
      </c>
      <c r="D63">
        <f t="shared" si="8"/>
        <v>0.2512214269581251</v>
      </c>
      <c r="E63">
        <f t="shared" si="9"/>
        <v>0.3957741007661707</v>
      </c>
      <c r="F63">
        <f t="array" ref="F63" ca="1">SQRT(SUM(($D63:$E63-$N$6:$O$6)^2))</f>
        <v>2.2609913163014714</v>
      </c>
      <c r="G63">
        <f t="array" ref="G63" ca="1">SQRT(SUM(($D63:$E63-$N$7:$O$7)^2))</f>
        <v>1.290410604487886</v>
      </c>
      <c r="H63">
        <f t="array" ref="H63" ca="1">SQRT(SUM(($D63:$E63-$N$8:$O$8)^2))</f>
        <v>0.52176722683880106</v>
      </c>
      <c r="I63">
        <f t="array" ref="I63" ca="1">SQRT(SUM(($D63:$E63-$N$9:$O$9)^2))</f>
        <v>2.028701321342012</v>
      </c>
      <c r="J63">
        <f t="shared" ca="1" si="4"/>
        <v>0.52176722683880106</v>
      </c>
      <c r="R63">
        <v>4.2</v>
      </c>
      <c r="S63">
        <v>1.5</v>
      </c>
      <c r="T63">
        <f t="shared" si="10"/>
        <v>1</v>
      </c>
    </row>
    <row r="64" spans="1:20" x14ac:dyDescent="0.3">
      <c r="A64">
        <v>4</v>
      </c>
      <c r="B64">
        <v>1</v>
      </c>
      <c r="C64">
        <f t="shared" ca="1" si="3"/>
        <v>3</v>
      </c>
      <c r="D64">
        <f t="shared" si="8"/>
        <v>0.13754657313091845</v>
      </c>
      <c r="E64">
        <f t="shared" si="9"/>
        <v>-0.2623868206853342</v>
      </c>
      <c r="F64">
        <f t="array" ref="F64" ca="1">SQRT(SUM(($D64:$E64-$N$6:$O$6)^2))</f>
        <v>1.7232800320220696</v>
      </c>
      <c r="G64">
        <f t="array" ref="G64" ca="1">SQRT(SUM(($D64:$E64-$N$7:$O$7)^2))</f>
        <v>1.9460184802103682</v>
      </c>
      <c r="H64">
        <f t="array" ref="H64" ca="1">SQRT(SUM(($D64:$E64-$N$8:$O$8)^2))</f>
        <v>1.1470316484336764</v>
      </c>
      <c r="I64">
        <f t="array" ref="I64" ca="1">SQRT(SUM(($D64:$E64-$N$9:$O$9)^2))</f>
        <v>1.5273192196798617</v>
      </c>
      <c r="J64">
        <f t="shared" ca="1" si="4"/>
        <v>1.1470316484336764</v>
      </c>
      <c r="R64">
        <v>4</v>
      </c>
      <c r="S64">
        <v>1</v>
      </c>
      <c r="T64">
        <f t="shared" si="10"/>
        <v>1</v>
      </c>
    </row>
    <row r="65" spans="1:20" x14ac:dyDescent="0.3">
      <c r="A65">
        <v>4.7</v>
      </c>
      <c r="B65">
        <v>1.4</v>
      </c>
      <c r="C65">
        <f t="shared" ca="1" si="3"/>
        <v>3</v>
      </c>
      <c r="D65">
        <f t="shared" si="8"/>
        <v>0.53540856152614158</v>
      </c>
      <c r="E65">
        <f t="shared" si="9"/>
        <v>0.2641419164758696</v>
      </c>
      <c r="F65">
        <f t="array" ref="F65" ca="1">SQRT(SUM(($D65:$E65-$N$6:$O$6)^2))</f>
        <v>2.3663466497620624</v>
      </c>
      <c r="G65">
        <f t="array" ref="G65" ca="1">SQRT(SUM(($D65:$E65-$N$7:$O$7)^2))</f>
        <v>1.3358110209435028</v>
      </c>
      <c r="H65">
        <f t="array" ref="H65" ca="1">SQRT(SUM(($D65:$E65-$N$8:$O$8)^2))</f>
        <v>0.52958757930556832</v>
      </c>
      <c r="I65">
        <f t="array" ref="I65" ca="1">SQRT(SUM(($D65:$E65-$N$9:$O$9)^2))</f>
        <v>2.1541000400275871</v>
      </c>
      <c r="J65">
        <f t="shared" ca="1" si="4"/>
        <v>0.52958757930556832</v>
      </c>
      <c r="R65">
        <v>4.7</v>
      </c>
      <c r="S65">
        <v>1.4</v>
      </c>
      <c r="T65">
        <f t="shared" si="10"/>
        <v>1</v>
      </c>
    </row>
    <row r="66" spans="1:20" x14ac:dyDescent="0.3">
      <c r="A66">
        <v>3.6</v>
      </c>
      <c r="B66">
        <v>1.3</v>
      </c>
      <c r="C66">
        <f t="shared" ca="1" si="3"/>
        <v>3</v>
      </c>
      <c r="D66">
        <f t="shared" ref="D66:D97" si="11">(A66-M$2)/M$3</f>
        <v>-8.9803134523494657E-2</v>
      </c>
      <c r="E66">
        <f t="shared" ref="E66:E97" si="12">(B66-N$2)/N$3</f>
        <v>0.1325097321855688</v>
      </c>
      <c r="F66">
        <f t="array" ref="F66" ca="1">SQRT(SUM(($D66:$E66-$N$6:$O$6)^2))</f>
        <v>1.8408606965571854</v>
      </c>
      <c r="G66">
        <f t="array" ref="G66" ca="1">SQRT(SUM(($D66:$E66-$N$7:$O$7)^2))</f>
        <v>1.6803070588291729</v>
      </c>
      <c r="H66">
        <f t="array" ref="H66" ca="1">SQRT(SUM(($D66:$E66-$N$8:$O$8)^2))</f>
        <v>0.94782213767184087</v>
      </c>
      <c r="I66">
        <f t="array" ref="I66" ca="1">SQRT(SUM(($D66:$E66-$N$9:$O$9)^2))</f>
        <v>1.603027634090993</v>
      </c>
      <c r="J66">
        <f t="shared" ca="1" si="4"/>
        <v>0.94782213767184087</v>
      </c>
      <c r="R66">
        <v>3.6</v>
      </c>
      <c r="S66">
        <v>1.3</v>
      </c>
      <c r="T66">
        <f t="shared" ref="T66:T97" si="13">IF(W66=AA66,1,IF(X66=AA66,2,IF(Y66=AA66,3,4)))</f>
        <v>1</v>
      </c>
    </row>
    <row r="67" spans="1:20" x14ac:dyDescent="0.3">
      <c r="A67">
        <v>4.4000000000000004</v>
      </c>
      <c r="B67">
        <v>1.4</v>
      </c>
      <c r="C67">
        <f t="shared" ref="C67:C130" ca="1" si="14">IF(F67=J67,1,IF(G67=J67,2,IF(H67=J67,3,4)))</f>
        <v>3</v>
      </c>
      <c r="D67">
        <f t="shared" si="11"/>
        <v>0.36489628078533176</v>
      </c>
      <c r="E67">
        <f t="shared" si="12"/>
        <v>0.2641419164758696</v>
      </c>
      <c r="F67">
        <f t="array" ref="F67" ca="1">SQRT(SUM(($D67:$E67-$N$6:$O$6)^2))</f>
        <v>2.24227544883896</v>
      </c>
      <c r="G67">
        <f t="array" ref="G67" ca="1">SQRT(SUM(($D67:$E67-$N$7:$O$7)^2))</f>
        <v>1.3751353954841599</v>
      </c>
      <c r="H67">
        <f t="array" ref="H67" ca="1">SQRT(SUM(($D67:$E67-$N$8:$O$8)^2))</f>
        <v>0.57351582421683833</v>
      </c>
      <c r="I67">
        <f t="array" ref="I67" ca="1">SQRT(SUM(($D67:$E67-$N$9:$O$9)^2))</f>
        <v>2.0218142008259883</v>
      </c>
      <c r="J67">
        <f t="shared" ref="J67:J130" ca="1" si="15">MIN(F67:I67)</f>
        <v>0.57351582421683833</v>
      </c>
      <c r="R67">
        <v>4.4000000000000004</v>
      </c>
      <c r="S67">
        <v>1.4</v>
      </c>
      <c r="T67">
        <f t="shared" si="13"/>
        <v>1</v>
      </c>
    </row>
    <row r="68" spans="1:20" x14ac:dyDescent="0.3">
      <c r="A68">
        <v>4.5</v>
      </c>
      <c r="B68">
        <v>1.5</v>
      </c>
      <c r="C68">
        <f t="shared" ca="1" si="14"/>
        <v>3</v>
      </c>
      <c r="D68">
        <f t="shared" si="11"/>
        <v>0.42173370769893487</v>
      </c>
      <c r="E68">
        <f t="shared" si="12"/>
        <v>0.3957741007661707</v>
      </c>
      <c r="F68">
        <f t="array" ref="F68" ca="1">SQRT(SUM(($D68:$E68-$N$6:$O$6)^2))</f>
        <v>2.3759446739322292</v>
      </c>
      <c r="G68">
        <f t="array" ref="G68" ca="1">SQRT(SUM(($D68:$E68-$N$7:$O$7)^2))</f>
        <v>1.2327965520545665</v>
      </c>
      <c r="H68">
        <f t="array" ref="H68" ca="1">SQRT(SUM(($D68:$E68-$N$8:$O$8)^2))</f>
        <v>0.43013686816262875</v>
      </c>
      <c r="I68">
        <f t="array" ref="I68" ca="1">SQRT(SUM(($D68:$E68-$N$9:$O$9)^2))</f>
        <v>2.1515755747410168</v>
      </c>
      <c r="J68">
        <f t="shared" ca="1" si="15"/>
        <v>0.43013686816262875</v>
      </c>
      <c r="R68">
        <v>4.5</v>
      </c>
      <c r="S68">
        <v>1.5</v>
      </c>
      <c r="T68">
        <f t="shared" si="13"/>
        <v>1</v>
      </c>
    </row>
    <row r="69" spans="1:20" x14ac:dyDescent="0.3">
      <c r="A69">
        <v>4.0999999999999996</v>
      </c>
      <c r="B69">
        <v>1</v>
      </c>
      <c r="C69">
        <f t="shared" ca="1" si="14"/>
        <v>3</v>
      </c>
      <c r="D69">
        <f t="shared" si="11"/>
        <v>0.19438400004452153</v>
      </c>
      <c r="E69">
        <f t="shared" si="12"/>
        <v>-0.2623868206853342</v>
      </c>
      <c r="F69">
        <f t="array" ref="F69" ca="1">SQRT(SUM(($D69:$E69-$N$6:$O$6)^2))</f>
        <v>1.7686119502524531</v>
      </c>
      <c r="G69">
        <f t="array" ref="G69" ca="1">SQRT(SUM(($D69:$E69-$N$7:$O$7)^2))</f>
        <v>1.9285091574215893</v>
      </c>
      <c r="H69">
        <f t="array" ref="H69" ca="1">SQRT(SUM(($D69:$E69-$N$8:$O$8)^2))</f>
        <v>1.1257105338567679</v>
      </c>
      <c r="I69">
        <f t="array" ref="I69" ca="1">SQRT(SUM(($D69:$E69-$N$9:$O$9)^2))</f>
        <v>1.576241470846705</v>
      </c>
      <c r="J69">
        <f t="shared" ca="1" si="15"/>
        <v>1.1257105338567679</v>
      </c>
      <c r="R69">
        <v>4.0999999999999996</v>
      </c>
      <c r="S69">
        <v>1</v>
      </c>
      <c r="T69">
        <f t="shared" si="13"/>
        <v>1</v>
      </c>
    </row>
    <row r="70" spans="1:20" x14ac:dyDescent="0.3">
      <c r="A70">
        <v>4.5</v>
      </c>
      <c r="B70">
        <v>1.5</v>
      </c>
      <c r="C70">
        <f t="shared" ca="1" si="14"/>
        <v>3</v>
      </c>
      <c r="D70">
        <f t="shared" si="11"/>
        <v>0.42173370769893487</v>
      </c>
      <c r="E70">
        <f t="shared" si="12"/>
        <v>0.3957741007661707</v>
      </c>
      <c r="F70">
        <f t="array" ref="F70" ca="1">SQRT(SUM(($D70:$E70-$N$6:$O$6)^2))</f>
        <v>2.3759446739322292</v>
      </c>
      <c r="G70">
        <f t="array" ref="G70" ca="1">SQRT(SUM(($D70:$E70-$N$7:$O$7)^2))</f>
        <v>1.2327965520545665</v>
      </c>
      <c r="H70">
        <f t="array" ref="H70" ca="1">SQRT(SUM(($D70:$E70-$N$8:$O$8)^2))</f>
        <v>0.43013686816262875</v>
      </c>
      <c r="I70">
        <f t="array" ref="I70" ca="1">SQRT(SUM(($D70:$E70-$N$9:$O$9)^2))</f>
        <v>2.1515755747410168</v>
      </c>
      <c r="J70">
        <f t="shared" ca="1" si="15"/>
        <v>0.43013686816262875</v>
      </c>
      <c r="R70">
        <v>4.5</v>
      </c>
      <c r="S70">
        <v>1.5</v>
      </c>
      <c r="T70">
        <f t="shared" si="13"/>
        <v>1</v>
      </c>
    </row>
    <row r="71" spans="1:20" x14ac:dyDescent="0.3">
      <c r="A71">
        <v>3.9</v>
      </c>
      <c r="B71">
        <v>1.1000000000000001</v>
      </c>
      <c r="C71">
        <f t="shared" ca="1" si="14"/>
        <v>3</v>
      </c>
      <c r="D71">
        <f t="shared" si="11"/>
        <v>8.0709146217315106E-2</v>
      </c>
      <c r="E71">
        <f t="shared" si="12"/>
        <v>-0.13075463639503312</v>
      </c>
      <c r="F71">
        <f t="array" ref="F71" ca="1">SQRT(SUM(($D71:$E71-$N$6:$O$6)^2))</f>
        <v>1.7642053270949249</v>
      </c>
      <c r="G71">
        <f t="array" ref="G71" ca="1">SQRT(SUM(($D71:$E71-$N$7:$O$7)^2))</f>
        <v>1.8421344696221194</v>
      </c>
      <c r="H71">
        <f t="array" ref="H71" ca="1">SQRT(SUM(($D71:$E71-$N$8:$O$8)^2))</f>
        <v>1.0538949217363405</v>
      </c>
      <c r="I71">
        <f t="array" ref="I71" ca="1">SQRT(SUM(($D71:$E71-$N$9:$O$9)^2))</f>
        <v>1.5532492474228992</v>
      </c>
      <c r="J71">
        <f t="shared" ca="1" si="15"/>
        <v>1.0538949217363405</v>
      </c>
      <c r="R71">
        <v>3.9</v>
      </c>
      <c r="S71">
        <v>1.1000000000000001</v>
      </c>
      <c r="T71">
        <f t="shared" si="13"/>
        <v>1</v>
      </c>
    </row>
    <row r="72" spans="1:20" x14ac:dyDescent="0.3">
      <c r="A72">
        <v>4.8</v>
      </c>
      <c r="B72">
        <v>1.8</v>
      </c>
      <c r="C72">
        <f t="shared" ca="1" si="14"/>
        <v>3</v>
      </c>
      <c r="D72">
        <f t="shared" si="11"/>
        <v>0.59224598843974463</v>
      </c>
      <c r="E72">
        <f t="shared" si="12"/>
        <v>0.79067065363707378</v>
      </c>
      <c r="F72">
        <f t="array" ref="F72" ca="1">SQRT(SUM(($D72:$E72-$N$6:$O$6)^2))</f>
        <v>2.7827585431402722</v>
      </c>
      <c r="G72">
        <f t="array" ref="G72" ca="1">SQRT(SUM(($D72:$E72-$N$7:$O$7)^2))</f>
        <v>0.80798984384750772</v>
      </c>
      <c r="H72">
        <f t="array" ref="H72" ca="1">SQRT(SUM(($D72:$E72-$N$8:$O$8)^2))</f>
        <v>0</v>
      </c>
      <c r="I72">
        <f t="array" ref="I72" ca="1">SQRT(SUM(($D72:$E72-$N$9:$O$9)^2))</f>
        <v>2.5496278410336668</v>
      </c>
      <c r="J72">
        <f t="shared" ca="1" si="15"/>
        <v>0</v>
      </c>
      <c r="R72">
        <v>4.8</v>
      </c>
      <c r="S72">
        <v>1.8</v>
      </c>
      <c r="T72">
        <f t="shared" si="13"/>
        <v>1</v>
      </c>
    </row>
    <row r="73" spans="1:20" x14ac:dyDescent="0.3">
      <c r="A73">
        <v>4</v>
      </c>
      <c r="B73">
        <v>1.3</v>
      </c>
      <c r="C73">
        <f t="shared" ca="1" si="14"/>
        <v>3</v>
      </c>
      <c r="D73">
        <f t="shared" si="11"/>
        <v>0.13754657313091845</v>
      </c>
      <c r="E73">
        <f t="shared" si="12"/>
        <v>0.1325097321855688</v>
      </c>
      <c r="F73">
        <f t="array" ref="F73" ca="1">SQRT(SUM(($D73:$E73-$N$6:$O$6)^2))</f>
        <v>1.9893051272756084</v>
      </c>
      <c r="G73">
        <f t="array" ref="G73" ca="1">SQRT(SUM(($D73:$E73-$N$7:$O$7)^2))</f>
        <v>1.577168516596305</v>
      </c>
      <c r="H73">
        <f t="array" ref="H73" ca="1">SQRT(SUM(($D73:$E73-$N$8:$O$8)^2))</f>
        <v>0.79995459671664015</v>
      </c>
      <c r="I73">
        <f t="array" ref="I73" ca="1">SQRT(SUM(($D73:$E73-$N$9:$O$9)^2))</f>
        <v>1.7642053270949249</v>
      </c>
      <c r="J73">
        <f t="shared" ca="1" si="15"/>
        <v>0.79995459671664015</v>
      </c>
      <c r="R73">
        <v>4</v>
      </c>
      <c r="S73">
        <v>1.3</v>
      </c>
      <c r="T73">
        <f t="shared" si="13"/>
        <v>1</v>
      </c>
    </row>
    <row r="74" spans="1:20" x14ac:dyDescent="0.3">
      <c r="A74">
        <v>4.9000000000000004</v>
      </c>
      <c r="B74">
        <v>1.5</v>
      </c>
      <c r="C74">
        <f t="shared" ca="1" si="14"/>
        <v>3</v>
      </c>
      <c r="D74">
        <f t="shared" si="11"/>
        <v>0.64908341535334824</v>
      </c>
      <c r="E74">
        <f t="shared" si="12"/>
        <v>0.3957741007661707</v>
      </c>
      <c r="F74">
        <f t="array" ref="F74" ca="1">SQRT(SUM(($D74:$E74-$N$6:$O$6)^2))</f>
        <v>2.5389516304826305</v>
      </c>
      <c r="G74">
        <f t="array" ref="G74" ca="1">SQRT(SUM(($D74:$E74-$N$7:$O$7)^2))</f>
        <v>1.1901309002023825</v>
      </c>
      <c r="H74">
        <f t="array" ref="H74" ca="1">SQRT(SUM(($D74:$E74-$N$8:$O$8)^2))</f>
        <v>0.39896588897734253</v>
      </c>
      <c r="I74">
        <f t="array" ref="I74" ca="1">SQRT(SUM(($D74:$E74-$N$9:$O$9)^2))</f>
        <v>2.3247786555670937</v>
      </c>
      <c r="J74">
        <f t="shared" ca="1" si="15"/>
        <v>0.39896588897734253</v>
      </c>
      <c r="R74">
        <v>4.9000000000000004</v>
      </c>
      <c r="S74">
        <v>1.5</v>
      </c>
      <c r="T74">
        <f t="shared" si="13"/>
        <v>1</v>
      </c>
    </row>
    <row r="75" spans="1:20" x14ac:dyDescent="0.3">
      <c r="A75">
        <v>4.7</v>
      </c>
      <c r="B75">
        <v>1.2</v>
      </c>
      <c r="C75">
        <f t="shared" ca="1" si="14"/>
        <v>3</v>
      </c>
      <c r="D75">
        <f t="shared" si="11"/>
        <v>0.53540856152614158</v>
      </c>
      <c r="E75">
        <f t="shared" si="12"/>
        <v>8.7754789526769972E-4</v>
      </c>
      <c r="F75">
        <f t="array" ref="F75" ca="1">SQRT(SUM(($D75:$E75-$N$6:$O$6)^2))</f>
        <v>2.1993651496362676</v>
      </c>
      <c r="G75">
        <f t="array" ref="G75" ca="1">SQRT(SUM(($D75:$E75-$N$7:$O$7)^2))</f>
        <v>1.5958635559093692</v>
      </c>
      <c r="H75">
        <f t="array" ref="H75" ca="1">SQRT(SUM(($D75:$E75-$N$8:$O$8)^2))</f>
        <v>0.79183561613219111</v>
      </c>
      <c r="I75">
        <f t="array" ref="I75" ca="1">SQRT(SUM(($D75:$E75-$N$9:$O$9)^2))</f>
        <v>2.0040892775945798</v>
      </c>
      <c r="J75">
        <f t="shared" ca="1" si="15"/>
        <v>0.79183561613219111</v>
      </c>
      <c r="R75">
        <v>4.7</v>
      </c>
      <c r="S75">
        <v>1.2</v>
      </c>
      <c r="T75">
        <f t="shared" si="13"/>
        <v>1</v>
      </c>
    </row>
    <row r="76" spans="1:20" x14ac:dyDescent="0.3">
      <c r="A76">
        <v>4.3</v>
      </c>
      <c r="B76">
        <v>1.3</v>
      </c>
      <c r="C76">
        <f t="shared" ca="1" si="14"/>
        <v>3</v>
      </c>
      <c r="D76">
        <f t="shared" si="11"/>
        <v>0.30805885387172821</v>
      </c>
      <c r="E76">
        <f t="shared" si="12"/>
        <v>0.1325097321855688</v>
      </c>
      <c r="F76">
        <f t="array" ref="F76" ca="1">SQRT(SUM(($D76:$E76-$N$6:$O$6)^2))</f>
        <v>2.1098815922755905</v>
      </c>
      <c r="G76">
        <f t="array" ref="G76" ca="1">SQRT(SUM(($D76:$E76-$N$7:$O$7)^2))</f>
        <v>1.5176700639953058</v>
      </c>
      <c r="H76">
        <f t="array" ref="H76" ca="1">SQRT(SUM(($D76:$E76-$N$8:$O$8)^2))</f>
        <v>0.7168947802710478</v>
      </c>
      <c r="I76">
        <f t="array" ref="I76" ca="1">SQRT(SUM(($D76:$E76-$N$9:$O$9)^2))</f>
        <v>1.8940176666492614</v>
      </c>
      <c r="J76">
        <f t="shared" ca="1" si="15"/>
        <v>0.7168947802710478</v>
      </c>
      <c r="R76">
        <v>4.3</v>
      </c>
      <c r="S76">
        <v>1.3</v>
      </c>
      <c r="T76">
        <f t="shared" si="13"/>
        <v>1</v>
      </c>
    </row>
    <row r="77" spans="1:20" x14ac:dyDescent="0.3">
      <c r="A77">
        <v>4.4000000000000004</v>
      </c>
      <c r="B77">
        <v>1.4</v>
      </c>
      <c r="C77">
        <f t="shared" ca="1" si="14"/>
        <v>3</v>
      </c>
      <c r="D77">
        <f t="shared" si="11"/>
        <v>0.36489628078533176</v>
      </c>
      <c r="E77">
        <f t="shared" si="12"/>
        <v>0.2641419164758696</v>
      </c>
      <c r="F77">
        <f t="array" ref="F77" ca="1">SQRT(SUM(($D77:$E77-$N$6:$O$6)^2))</f>
        <v>2.24227544883896</v>
      </c>
      <c r="G77">
        <f t="array" ref="G77" ca="1">SQRT(SUM(($D77:$E77-$N$7:$O$7)^2))</f>
        <v>1.3751353954841599</v>
      </c>
      <c r="H77">
        <f t="array" ref="H77" ca="1">SQRT(SUM(($D77:$E77-$N$8:$O$8)^2))</f>
        <v>0.57351582421683833</v>
      </c>
      <c r="I77">
        <f t="array" ref="I77" ca="1">SQRT(SUM(($D77:$E77-$N$9:$O$9)^2))</f>
        <v>2.0218142008259883</v>
      </c>
      <c r="J77">
        <f t="shared" ca="1" si="15"/>
        <v>0.57351582421683833</v>
      </c>
      <c r="R77">
        <v>4.4000000000000004</v>
      </c>
      <c r="S77">
        <v>1.4</v>
      </c>
      <c r="T77">
        <f t="shared" si="13"/>
        <v>1</v>
      </c>
    </row>
    <row r="78" spans="1:20" x14ac:dyDescent="0.3">
      <c r="A78">
        <v>4.8</v>
      </c>
      <c r="B78">
        <v>1.4</v>
      </c>
      <c r="C78">
        <f t="shared" ca="1" si="14"/>
        <v>3</v>
      </c>
      <c r="D78">
        <f t="shared" si="11"/>
        <v>0.59224598843974463</v>
      </c>
      <c r="E78">
        <f t="shared" si="12"/>
        <v>0.2641419164758696</v>
      </c>
      <c r="F78">
        <f t="array" ref="F78" ca="1">SQRT(SUM(($D78:$E78-$N$6:$O$6)^2))</f>
        <v>2.4089660711650063</v>
      </c>
      <c r="G78">
        <f t="array" ref="G78" ca="1">SQRT(SUM(($D78:$E78-$N$7:$O$7)^2))</f>
        <v>1.3273197173202125</v>
      </c>
      <c r="H78">
        <f t="array" ref="H78" ca="1">SQRT(SUM(($D78:$E78-$N$8:$O$8)^2))</f>
        <v>0.52652873716120419</v>
      </c>
      <c r="I78">
        <f t="array" ref="I78" ca="1">SQRT(SUM(($D78:$E78-$N$9:$O$9)^2))</f>
        <v>2.1993651496362676</v>
      </c>
      <c r="J78">
        <f t="shared" ca="1" si="15"/>
        <v>0.52652873716120419</v>
      </c>
      <c r="R78">
        <v>4.8</v>
      </c>
      <c r="S78">
        <v>1.4</v>
      </c>
      <c r="T78">
        <f t="shared" si="13"/>
        <v>1</v>
      </c>
    </row>
    <row r="79" spans="1:20" x14ac:dyDescent="0.3">
      <c r="A79">
        <v>5</v>
      </c>
      <c r="B79">
        <v>1.7</v>
      </c>
      <c r="C79">
        <f t="shared" ca="1" si="14"/>
        <v>3</v>
      </c>
      <c r="D79">
        <f t="shared" si="11"/>
        <v>0.70592084226695129</v>
      </c>
      <c r="E79">
        <f t="shared" si="12"/>
        <v>0.65903846934677268</v>
      </c>
      <c r="F79">
        <f t="array" ref="F79" ca="1">SQRT(SUM(($D79:$E79-$N$6:$O$6)^2))</f>
        <v>2.7627942754039929</v>
      </c>
      <c r="G79">
        <f t="array" ref="G79" ca="1">SQRT(SUM(($D79:$E79-$N$7:$O$7)^2))</f>
        <v>0.92317661268519546</v>
      </c>
      <c r="H79">
        <f t="array" ref="H79" ca="1">SQRT(SUM(($D79:$E79-$N$8:$O$8)^2))</f>
        <v>0.17392240894626718</v>
      </c>
      <c r="I79">
        <f t="array" ref="I79" ca="1">SQRT(SUM(($D79:$E79-$N$9:$O$9)^2))</f>
        <v>2.5389516304826305</v>
      </c>
      <c r="J79">
        <f t="shared" ca="1" si="15"/>
        <v>0.17392240894626718</v>
      </c>
      <c r="R79">
        <v>5</v>
      </c>
      <c r="S79">
        <v>1.7</v>
      </c>
      <c r="T79">
        <f t="shared" si="13"/>
        <v>1</v>
      </c>
    </row>
    <row r="80" spans="1:20" x14ac:dyDescent="0.3">
      <c r="A80">
        <v>4.5</v>
      </c>
      <c r="B80">
        <v>1.5</v>
      </c>
      <c r="C80">
        <f t="shared" ca="1" si="14"/>
        <v>3</v>
      </c>
      <c r="D80">
        <f t="shared" si="11"/>
        <v>0.42173370769893487</v>
      </c>
      <c r="E80">
        <f t="shared" si="12"/>
        <v>0.3957741007661707</v>
      </c>
      <c r="F80">
        <f t="array" ref="F80" ca="1">SQRT(SUM(($D80:$E80-$N$6:$O$6)^2))</f>
        <v>2.3759446739322292</v>
      </c>
      <c r="G80">
        <f t="array" ref="G80" ca="1">SQRT(SUM(($D80:$E80-$N$7:$O$7)^2))</f>
        <v>1.2327965520545665</v>
      </c>
      <c r="H80">
        <f t="array" ref="H80" ca="1">SQRT(SUM(($D80:$E80-$N$8:$O$8)^2))</f>
        <v>0.43013686816262875</v>
      </c>
      <c r="I80">
        <f t="array" ref="I80" ca="1">SQRT(SUM(($D80:$E80-$N$9:$O$9)^2))</f>
        <v>2.1515755747410168</v>
      </c>
      <c r="J80">
        <f t="shared" ca="1" si="15"/>
        <v>0.43013686816262875</v>
      </c>
      <c r="R80">
        <v>4.5</v>
      </c>
      <c r="S80">
        <v>1.5</v>
      </c>
      <c r="T80">
        <f t="shared" si="13"/>
        <v>1</v>
      </c>
    </row>
    <row r="81" spans="1:20" x14ac:dyDescent="0.3">
      <c r="A81">
        <v>3.5</v>
      </c>
      <c r="B81">
        <v>1</v>
      </c>
      <c r="C81">
        <f t="shared" ca="1" si="14"/>
        <v>3</v>
      </c>
      <c r="D81">
        <f t="shared" si="11"/>
        <v>-0.146640561437098</v>
      </c>
      <c r="E81">
        <f t="shared" si="12"/>
        <v>-0.2623868206853342</v>
      </c>
      <c r="F81">
        <f t="array" ref="F81" ca="1">SQRT(SUM(($D81:$E81-$N$6:$O$6)^2))</f>
        <v>1.5083560762173363</v>
      </c>
      <c r="G81">
        <f t="array" ref="G81" ca="1">SQRT(SUM(($D81:$E81-$N$7:$O$7)^2))</f>
        <v>2.0550193414106257</v>
      </c>
      <c r="H81">
        <f t="array" ref="H81" ca="1">SQRT(SUM(($D81:$E81-$N$8:$O$8)^2))</f>
        <v>1.2864227057290278</v>
      </c>
      <c r="I81">
        <f t="array" ref="I81" ca="1">SQRT(SUM(($D81:$E81-$N$9:$O$9)^2))</f>
        <v>1.2924600240165522</v>
      </c>
      <c r="J81">
        <f t="shared" ca="1" si="15"/>
        <v>1.2864227057290278</v>
      </c>
      <c r="R81">
        <v>3.5</v>
      </c>
      <c r="S81">
        <v>1</v>
      </c>
      <c r="T81">
        <f t="shared" si="13"/>
        <v>1</v>
      </c>
    </row>
    <row r="82" spans="1:20" x14ac:dyDescent="0.3">
      <c r="A82">
        <v>3.8</v>
      </c>
      <c r="B82">
        <v>1.1000000000000001</v>
      </c>
      <c r="C82">
        <f t="shared" ca="1" si="14"/>
        <v>3</v>
      </c>
      <c r="D82">
        <f t="shared" si="11"/>
        <v>2.387171930371176E-2</v>
      </c>
      <c r="E82">
        <f t="shared" si="12"/>
        <v>-0.13075463639503312</v>
      </c>
      <c r="F82">
        <f t="array" ref="F82" ca="1">SQRT(SUM(($D82:$E82-$N$6:$O$6)^2))</f>
        <v>1.7225121905905185</v>
      </c>
      <c r="G82">
        <f t="array" ref="G82" ca="1">SQRT(SUM(($D82:$E82-$N$7:$O$7)^2))</f>
        <v>1.8639264287047241</v>
      </c>
      <c r="H82">
        <f t="array" ref="H82" ca="1">SQRT(SUM(($D82:$E82-$N$8:$O$8)^2))</f>
        <v>1.0826236072276791</v>
      </c>
      <c r="I82">
        <f t="array" ref="I82" ca="1">SQRT(SUM(($D82:$E82-$N$9:$O$9)^2))</f>
        <v>1.5078700280193109</v>
      </c>
      <c r="J82">
        <f t="shared" ca="1" si="15"/>
        <v>1.0826236072276791</v>
      </c>
      <c r="R82">
        <v>3.8</v>
      </c>
      <c r="S82">
        <v>1.1000000000000001</v>
      </c>
      <c r="T82">
        <f t="shared" si="13"/>
        <v>1</v>
      </c>
    </row>
    <row r="83" spans="1:20" x14ac:dyDescent="0.3">
      <c r="A83">
        <v>3.7</v>
      </c>
      <c r="B83">
        <v>1</v>
      </c>
      <c r="C83">
        <f t="shared" ca="1" si="14"/>
        <v>3</v>
      </c>
      <c r="D83">
        <f t="shared" si="11"/>
        <v>-3.2965707609891322E-2</v>
      </c>
      <c r="E83">
        <f t="shared" si="12"/>
        <v>-0.2623868206853342</v>
      </c>
      <c r="F83">
        <f t="array" ref="F83" ca="1">SQRT(SUM(($D83:$E83-$N$6:$O$6)^2))</f>
        <v>1.5917215524439237</v>
      </c>
      <c r="G83">
        <f t="array" ref="G83" ca="1">SQRT(SUM(($D83:$E83-$N$7:$O$7)^2))</f>
        <v>2.0073053847589337</v>
      </c>
      <c r="H83">
        <f t="array" ref="H83" ca="1">SQRT(SUM(($D83:$E83-$N$8:$O$8)^2))</f>
        <v>1.2246712657295227</v>
      </c>
      <c r="I83">
        <f t="array" ref="I83" ca="1">SQRT(SUM(($D83:$E83-$N$9:$O$9)^2))</f>
        <v>1.3841858217526164</v>
      </c>
      <c r="J83">
        <f t="shared" ca="1" si="15"/>
        <v>1.2246712657295227</v>
      </c>
      <c r="R83">
        <v>3.7</v>
      </c>
      <c r="S83">
        <v>1</v>
      </c>
      <c r="T83">
        <f t="shared" si="13"/>
        <v>1</v>
      </c>
    </row>
    <row r="84" spans="1:20" x14ac:dyDescent="0.3">
      <c r="A84">
        <v>3.9</v>
      </c>
      <c r="B84">
        <v>1.2</v>
      </c>
      <c r="C84">
        <f t="shared" ca="1" si="14"/>
        <v>3</v>
      </c>
      <c r="D84">
        <f t="shared" si="11"/>
        <v>8.0709146217315106E-2</v>
      </c>
      <c r="E84">
        <f t="shared" si="12"/>
        <v>8.7754789526769972E-4</v>
      </c>
      <c r="F84">
        <f t="array" ref="F84" ca="1">SQRT(SUM(($D84:$E84-$N$6:$O$6)^2))</f>
        <v>1.8551641552783922</v>
      </c>
      <c r="G84">
        <f t="array" ref="G84" ca="1">SQRT(SUM(($D84:$E84-$N$7:$O$7)^2))</f>
        <v>1.7205474726505148</v>
      </c>
      <c r="H84">
        <f t="array" ref="H84" ca="1">SQRT(SUM(($D84:$E84-$N$8:$O$8)^2))</f>
        <v>0.94097985676005969</v>
      </c>
      <c r="I84">
        <f t="array" ref="I84" ca="1">SQRT(SUM(($D84:$E84-$N$9:$O$9)^2))</f>
        <v>1.6347748174398022</v>
      </c>
      <c r="J84">
        <f t="shared" ca="1" si="15"/>
        <v>0.94097985676005969</v>
      </c>
      <c r="R84">
        <v>3.9</v>
      </c>
      <c r="S84">
        <v>1.2</v>
      </c>
      <c r="T84">
        <f t="shared" si="13"/>
        <v>1</v>
      </c>
    </row>
    <row r="85" spans="1:20" x14ac:dyDescent="0.3">
      <c r="A85">
        <v>5.0999999999999996</v>
      </c>
      <c r="B85">
        <v>1.6</v>
      </c>
      <c r="C85">
        <f t="shared" ca="1" si="14"/>
        <v>3</v>
      </c>
      <c r="D85">
        <f t="shared" si="11"/>
        <v>0.76275826918055445</v>
      </c>
      <c r="E85">
        <f t="shared" si="12"/>
        <v>0.5274062850564718</v>
      </c>
      <c r="F85">
        <f t="array" ref="F85" ca="1">SQRT(SUM(($D85:$E85-$N$6:$O$6)^2))</f>
        <v>2.711724968666259</v>
      </c>
      <c r="G85">
        <f t="array" ref="G85" ca="1">SQRT(SUM(($D85:$E85-$N$7:$O$7)^2))</f>
        <v>1.0530574743224077</v>
      </c>
      <c r="H85">
        <f t="array" ref="H85" ca="1">SQRT(SUM(($D85:$E85-$N$8:$O$8)^2))</f>
        <v>0.31365995225335319</v>
      </c>
      <c r="I85">
        <f t="array" ref="I85" ca="1">SQRT(SUM(($D85:$E85-$N$9:$O$9)^2))</f>
        <v>2.4959051706707887</v>
      </c>
      <c r="J85">
        <f t="shared" ca="1" si="15"/>
        <v>0.31365995225335319</v>
      </c>
      <c r="R85">
        <v>5.0999999999999996</v>
      </c>
      <c r="S85">
        <v>1.6</v>
      </c>
      <c r="T85">
        <f t="shared" si="13"/>
        <v>1</v>
      </c>
    </row>
    <row r="86" spans="1:20" x14ac:dyDescent="0.3">
      <c r="A86">
        <v>4.5</v>
      </c>
      <c r="B86">
        <v>1.5</v>
      </c>
      <c r="C86">
        <f t="shared" ca="1" si="14"/>
        <v>3</v>
      </c>
      <c r="D86">
        <f t="shared" si="11"/>
        <v>0.42173370769893487</v>
      </c>
      <c r="E86">
        <f t="shared" si="12"/>
        <v>0.3957741007661707</v>
      </c>
      <c r="F86">
        <f t="array" ref="F86" ca="1">SQRT(SUM(($D86:$E86-$N$6:$O$6)^2))</f>
        <v>2.3759446739322292</v>
      </c>
      <c r="G86">
        <f t="array" ref="G86" ca="1">SQRT(SUM(($D86:$E86-$N$7:$O$7)^2))</f>
        <v>1.2327965520545665</v>
      </c>
      <c r="H86">
        <f t="array" ref="H86" ca="1">SQRT(SUM(($D86:$E86-$N$8:$O$8)^2))</f>
        <v>0.43013686816262875</v>
      </c>
      <c r="I86">
        <f t="array" ref="I86" ca="1">SQRT(SUM(($D86:$E86-$N$9:$O$9)^2))</f>
        <v>2.1515755747410168</v>
      </c>
      <c r="J86">
        <f t="shared" ca="1" si="15"/>
        <v>0.43013686816262875</v>
      </c>
      <c r="R86">
        <v>4.5</v>
      </c>
      <c r="S86">
        <v>1.5</v>
      </c>
      <c r="T86">
        <f t="shared" si="13"/>
        <v>1</v>
      </c>
    </row>
    <row r="87" spans="1:20" x14ac:dyDescent="0.3">
      <c r="A87">
        <v>4.5</v>
      </c>
      <c r="B87">
        <v>1.6</v>
      </c>
      <c r="C87">
        <f t="shared" ca="1" si="14"/>
        <v>3</v>
      </c>
      <c r="D87">
        <f t="shared" si="11"/>
        <v>0.42173370769893487</v>
      </c>
      <c r="E87">
        <f t="shared" si="12"/>
        <v>0.5274062850564718</v>
      </c>
      <c r="F87">
        <f t="array" ref="F87" ca="1">SQRT(SUM(($D87:$E87-$N$6:$O$6)^2))</f>
        <v>2.4724366434743872</v>
      </c>
      <c r="G87">
        <f t="array" ref="G87" ca="1">SQRT(SUM(($D87:$E87-$N$7:$O$7)^2))</f>
        <v>1.1069000839100245</v>
      </c>
      <c r="H87">
        <f t="array" ref="H87" ca="1">SQRT(SUM(($D87:$E87-$N$8:$O$8)^2))</f>
        <v>0.31365995225335314</v>
      </c>
      <c r="I87">
        <f t="array" ref="I87" ca="1">SQRT(SUM(($D87:$E87-$N$9:$O$9)^2))</f>
        <v>2.24227544883896</v>
      </c>
      <c r="J87">
        <f t="shared" ca="1" si="15"/>
        <v>0.31365995225335314</v>
      </c>
      <c r="R87">
        <v>4.5</v>
      </c>
      <c r="S87">
        <v>1.6</v>
      </c>
      <c r="T87">
        <f t="shared" si="13"/>
        <v>1</v>
      </c>
    </row>
    <row r="88" spans="1:20" x14ac:dyDescent="0.3">
      <c r="A88">
        <v>4.7</v>
      </c>
      <c r="B88">
        <v>1.5</v>
      </c>
      <c r="C88">
        <f t="shared" ca="1" si="14"/>
        <v>3</v>
      </c>
      <c r="D88">
        <f t="shared" si="11"/>
        <v>0.53540856152614158</v>
      </c>
      <c r="E88">
        <f t="shared" si="12"/>
        <v>0.3957741007661707</v>
      </c>
      <c r="F88">
        <f t="array" ref="F88" ca="1">SQRT(SUM(($D88:$E88-$N$6:$O$6)^2))</f>
        <v>2.456170243563347</v>
      </c>
      <c r="G88">
        <f t="array" ref="G88" ca="1">SQRT(SUM(($D88:$E88-$N$7:$O$7)^2))</f>
        <v>1.2063073724364135</v>
      </c>
      <c r="H88">
        <f t="array" ref="H88" ca="1">SQRT(SUM(($D88:$E88-$N$8:$O$8)^2))</f>
        <v>0.39896588897734242</v>
      </c>
      <c r="I88">
        <f t="array" ref="I88" ca="1">SQRT(SUM(($D88:$E88-$N$9:$O$9)^2))</f>
        <v>2.2369655011216878</v>
      </c>
      <c r="J88">
        <f t="shared" ca="1" si="15"/>
        <v>0.39896588897734242</v>
      </c>
      <c r="R88">
        <v>4.7</v>
      </c>
      <c r="S88">
        <v>1.5</v>
      </c>
      <c r="T88">
        <f t="shared" si="13"/>
        <v>1</v>
      </c>
    </row>
    <row r="89" spans="1:20" x14ac:dyDescent="0.3">
      <c r="A89">
        <v>4.4000000000000004</v>
      </c>
      <c r="B89">
        <v>1.3</v>
      </c>
      <c r="C89">
        <f t="shared" ca="1" si="14"/>
        <v>3</v>
      </c>
      <c r="D89">
        <f t="shared" si="11"/>
        <v>0.36489628078533176</v>
      </c>
      <c r="E89">
        <f t="shared" si="12"/>
        <v>0.1325097321855688</v>
      </c>
      <c r="F89">
        <f t="array" ref="F89" ca="1">SQRT(SUM(($D89:$E89-$N$6:$O$6)^2))</f>
        <v>2.1515755747410168</v>
      </c>
      <c r="G89">
        <f t="array" ref="G89" ca="1">SQRT(SUM(($D89:$E89-$N$7:$O$7)^2))</f>
        <v>1.5016207998942765</v>
      </c>
      <c r="H89">
        <f t="array" ref="H89" ca="1">SQRT(SUM(($D89:$E89-$N$8:$O$8)^2))</f>
        <v>0.69632154073850183</v>
      </c>
      <c r="I89">
        <f t="array" ref="I89" ca="1">SQRT(SUM(($D89:$E89-$N$9:$O$9)^2))</f>
        <v>1.9386900360248285</v>
      </c>
      <c r="J89">
        <f t="shared" ca="1" si="15"/>
        <v>0.69632154073850183</v>
      </c>
      <c r="R89">
        <v>4.4000000000000004</v>
      </c>
      <c r="S89">
        <v>1.3</v>
      </c>
      <c r="T89">
        <f t="shared" si="13"/>
        <v>1</v>
      </c>
    </row>
    <row r="90" spans="1:20" x14ac:dyDescent="0.3">
      <c r="A90">
        <v>4.0999999999999996</v>
      </c>
      <c r="B90">
        <v>1.3</v>
      </c>
      <c r="C90">
        <f t="shared" ca="1" si="14"/>
        <v>3</v>
      </c>
      <c r="D90">
        <f t="shared" si="11"/>
        <v>0.19438400004452153</v>
      </c>
      <c r="E90">
        <f t="shared" si="12"/>
        <v>0.1325097321855688</v>
      </c>
      <c r="F90">
        <f t="array" ref="F90" ca="1">SQRT(SUM(($D90:$E90-$N$6:$O$6)^2))</f>
        <v>2.028701321342012</v>
      </c>
      <c r="G90">
        <f t="array" ref="G90" ca="1">SQRT(SUM(($D90:$E90-$N$7:$O$7)^2))</f>
        <v>1.5555128333386539</v>
      </c>
      <c r="H90">
        <f t="array" ref="H90" ca="1">SQRT(SUM(($D90:$E90-$N$8:$O$8)^2))</f>
        <v>0.76907084220876221</v>
      </c>
      <c r="I90">
        <f t="array" ref="I90" ca="1">SQRT(SUM(($D90:$E90-$N$9:$O$9)^2))</f>
        <v>1.8067245533737546</v>
      </c>
      <c r="J90">
        <f t="shared" ca="1" si="15"/>
        <v>0.76907084220876221</v>
      </c>
      <c r="R90">
        <v>4.0999999999999996</v>
      </c>
      <c r="S90">
        <v>1.3</v>
      </c>
      <c r="T90">
        <f t="shared" si="13"/>
        <v>1</v>
      </c>
    </row>
    <row r="91" spans="1:20" x14ac:dyDescent="0.3">
      <c r="A91">
        <v>4</v>
      </c>
      <c r="B91">
        <v>1.3</v>
      </c>
      <c r="C91">
        <f t="shared" ca="1" si="14"/>
        <v>3</v>
      </c>
      <c r="D91">
        <f t="shared" si="11"/>
        <v>0.13754657313091845</v>
      </c>
      <c r="E91">
        <f t="shared" si="12"/>
        <v>0.1325097321855688</v>
      </c>
      <c r="F91">
        <f t="array" ref="F91" ca="1">SQRT(SUM(($D91:$E91-$N$6:$O$6)^2))</f>
        <v>1.9893051272756084</v>
      </c>
      <c r="G91">
        <f t="array" ref="G91" ca="1">SQRT(SUM(($D91:$E91-$N$7:$O$7)^2))</f>
        <v>1.577168516596305</v>
      </c>
      <c r="H91">
        <f t="array" ref="H91" ca="1">SQRT(SUM(($D91:$E91-$N$8:$O$8)^2))</f>
        <v>0.79995459671664015</v>
      </c>
      <c r="I91">
        <f t="array" ref="I91" ca="1">SQRT(SUM(($D91:$E91-$N$9:$O$9)^2))</f>
        <v>1.7642053270949249</v>
      </c>
      <c r="J91">
        <f t="shared" ca="1" si="15"/>
        <v>0.79995459671664015</v>
      </c>
      <c r="R91">
        <v>4</v>
      </c>
      <c r="S91">
        <v>1.3</v>
      </c>
      <c r="T91">
        <f t="shared" si="13"/>
        <v>1</v>
      </c>
    </row>
    <row r="92" spans="1:20" x14ac:dyDescent="0.3">
      <c r="A92">
        <v>4.4000000000000004</v>
      </c>
      <c r="B92">
        <v>1.2</v>
      </c>
      <c r="C92">
        <f t="shared" ca="1" si="14"/>
        <v>3</v>
      </c>
      <c r="D92">
        <f t="shared" si="11"/>
        <v>0.36489628078533176</v>
      </c>
      <c r="E92">
        <f t="shared" si="12"/>
        <v>8.7754789526769972E-4</v>
      </c>
      <c r="F92">
        <f t="array" ref="F92" ca="1">SQRT(SUM(($D92:$E92-$N$6:$O$6)^2))</f>
        <v>2.065286852488144</v>
      </c>
      <c r="G92">
        <f t="array" ref="G92" ca="1">SQRT(SUM(($D92:$E92-$N$7:$O$7)^2))</f>
        <v>1.6289219629309903</v>
      </c>
      <c r="H92">
        <f t="array" ref="H92" ca="1">SQRT(SUM(($D92:$E92-$N$8:$O$8)^2))</f>
        <v>0.82186436803637775</v>
      </c>
      <c r="I92">
        <f t="array" ref="I92" ca="1">SQRT(SUM(($D92:$E92-$N$9:$O$9)^2))</f>
        <v>1.8611715430836413</v>
      </c>
      <c r="J92">
        <f t="shared" ca="1" si="15"/>
        <v>0.82186436803637775</v>
      </c>
      <c r="R92">
        <v>4.4000000000000004</v>
      </c>
      <c r="S92">
        <v>1.2</v>
      </c>
      <c r="T92">
        <f t="shared" si="13"/>
        <v>1</v>
      </c>
    </row>
    <row r="93" spans="1:20" x14ac:dyDescent="0.3">
      <c r="A93">
        <v>4.5999999999999996</v>
      </c>
      <c r="B93">
        <v>1.4</v>
      </c>
      <c r="C93">
        <f t="shared" ca="1" si="14"/>
        <v>3</v>
      </c>
      <c r="D93">
        <f t="shared" si="11"/>
        <v>0.47857113461253797</v>
      </c>
      <c r="E93">
        <f t="shared" si="12"/>
        <v>0.2641419164758696</v>
      </c>
      <c r="F93">
        <f t="array" ref="F93" ca="1">SQRT(SUM(($D93:$E93-$N$6:$O$6)^2))</f>
        <v>2.3243356874282219</v>
      </c>
      <c r="G93">
        <f t="array" ref="G93" ca="1">SQRT(SUM(($D93:$E93-$N$7:$O$7)^2))</f>
        <v>1.3466497397458466</v>
      </c>
      <c r="H93">
        <f t="array" ref="H93" ca="1">SQRT(SUM(($D93:$E93-$N$8:$O$8)^2))</f>
        <v>0.53865989589833885</v>
      </c>
      <c r="I93">
        <f t="array" ref="I93" ca="1">SQRT(SUM(($D93:$E93-$N$9:$O$9)^2))</f>
        <v>2.1093951478221094</v>
      </c>
      <c r="J93">
        <f t="shared" ca="1" si="15"/>
        <v>0.53865989589833885</v>
      </c>
      <c r="R93">
        <v>4.5999999999999996</v>
      </c>
      <c r="S93">
        <v>1.4</v>
      </c>
      <c r="T93">
        <f t="shared" si="13"/>
        <v>1</v>
      </c>
    </row>
    <row r="94" spans="1:20" x14ac:dyDescent="0.3">
      <c r="A94">
        <v>4</v>
      </c>
      <c r="B94">
        <v>1.2</v>
      </c>
      <c r="C94">
        <f t="shared" ca="1" si="14"/>
        <v>3</v>
      </c>
      <c r="D94">
        <f t="shared" si="11"/>
        <v>0.13754657313091845</v>
      </c>
      <c r="E94">
        <f t="shared" si="12"/>
        <v>8.7754789526769972E-4</v>
      </c>
      <c r="F94">
        <f t="array" ref="F94" ca="1">SQRT(SUM(($D94:$E94-$N$6:$O$6)^2))</f>
        <v>1.8956442753436817</v>
      </c>
      <c r="G94">
        <f t="array" ref="G94" ca="1">SQRT(SUM(($D94:$E94-$N$7:$O$7)^2))</f>
        <v>1.6988179020679093</v>
      </c>
      <c r="H94">
        <f t="array" ref="H94" ca="1">SQRT(SUM(($D94:$E94-$N$8:$O$8)^2))</f>
        <v>0.91133128343071601</v>
      </c>
      <c r="I94">
        <f t="array" ref="I94" ca="1">SQRT(SUM(($D94:$E94-$N$9:$O$9)^2))</f>
        <v>1.6786485317518085</v>
      </c>
      <c r="J94">
        <f t="shared" ca="1" si="15"/>
        <v>0.91133128343071601</v>
      </c>
      <c r="R94">
        <v>4</v>
      </c>
      <c r="S94">
        <v>1.2</v>
      </c>
      <c r="T94">
        <f t="shared" si="13"/>
        <v>1</v>
      </c>
    </row>
    <row r="95" spans="1:20" x14ac:dyDescent="0.3">
      <c r="A95">
        <v>3.3</v>
      </c>
      <c r="B95">
        <v>1</v>
      </c>
      <c r="C95">
        <f t="shared" ca="1" si="14"/>
        <v>4</v>
      </c>
      <c r="D95">
        <f t="shared" si="11"/>
        <v>-0.26031541526430468</v>
      </c>
      <c r="E95">
        <f t="shared" si="12"/>
        <v>-0.2623868206853342</v>
      </c>
      <c r="F95">
        <f t="array" ref="F95" ca="1">SQRT(SUM(($D95:$E95-$N$6:$O$6)^2))</f>
        <v>1.4291754789368227</v>
      </c>
      <c r="G95">
        <f t="array" ref="G95" ca="1">SQRT(SUM(($D95:$E95-$N$7:$O$7)^2))</f>
        <v>2.1077898434726805</v>
      </c>
      <c r="H95">
        <f t="array" ref="H95" ca="1">SQRT(SUM(($D95:$E95-$N$8:$O$8)^2))</f>
        <v>1.3549136471790768</v>
      </c>
      <c r="I95">
        <f t="array" ref="I95" ca="1">SQRT(SUM(($D95:$E95-$N$9:$O$9)^2))</f>
        <v>1.2044830355825031</v>
      </c>
      <c r="J95">
        <f t="shared" ca="1" si="15"/>
        <v>1.2044830355825031</v>
      </c>
      <c r="R95">
        <v>3.3</v>
      </c>
      <c r="S95">
        <v>1</v>
      </c>
      <c r="T95">
        <f t="shared" si="13"/>
        <v>1</v>
      </c>
    </row>
    <row r="96" spans="1:20" x14ac:dyDescent="0.3">
      <c r="A96">
        <v>4.2</v>
      </c>
      <c r="B96">
        <v>1.3</v>
      </c>
      <c r="C96">
        <f t="shared" ca="1" si="14"/>
        <v>3</v>
      </c>
      <c r="D96">
        <f t="shared" si="11"/>
        <v>0.2512214269581251</v>
      </c>
      <c r="E96">
        <f t="shared" si="12"/>
        <v>0.1325097321855688</v>
      </c>
      <c r="F96">
        <f t="array" ref="F96" ca="1">SQRT(SUM(($D96:$E96-$N$6:$O$6)^2))</f>
        <v>2.0689089393254947</v>
      </c>
      <c r="G96">
        <f t="array" ref="G96" ca="1">SQRT(SUM(($D96:$E96-$N$7:$O$7)^2))</f>
        <v>1.5356564738951941</v>
      </c>
      <c r="H96">
        <f t="array" ref="H96" ca="1">SQRT(SUM(($D96:$E96-$N$8:$O$8)^2))</f>
        <v>0.74126483125777998</v>
      </c>
      <c r="I96">
        <f t="array" ref="I96" ca="1">SQRT(SUM(($D96:$E96-$N$9:$O$9)^2))</f>
        <v>1.8500129117315356</v>
      </c>
      <c r="J96">
        <f t="shared" ca="1" si="15"/>
        <v>0.74126483125777998</v>
      </c>
      <c r="R96">
        <v>4.2</v>
      </c>
      <c r="S96">
        <v>1.3</v>
      </c>
      <c r="T96">
        <f t="shared" si="13"/>
        <v>1</v>
      </c>
    </row>
    <row r="97" spans="1:20" x14ac:dyDescent="0.3">
      <c r="A97">
        <v>4.2</v>
      </c>
      <c r="B97">
        <v>1.2</v>
      </c>
      <c r="C97">
        <f t="shared" ca="1" si="14"/>
        <v>3</v>
      </c>
      <c r="D97">
        <f t="shared" si="11"/>
        <v>0.2512214269581251</v>
      </c>
      <c r="E97">
        <f t="shared" si="12"/>
        <v>8.7754789526769972E-4</v>
      </c>
      <c r="F97">
        <f t="array" ref="F97" ca="1">SQRT(SUM(($D97:$E97-$N$6:$O$6)^2))</f>
        <v>1.9790190823888465</v>
      </c>
      <c r="G97">
        <f t="array" ref="G97" ca="1">SQRT(SUM(($D97:$E97-$N$7:$O$7)^2))</f>
        <v>1.6603501258650371</v>
      </c>
      <c r="H97">
        <f t="array" ref="H97" ca="1">SQRT(SUM(($D97:$E97-$N$8:$O$8)^2))</f>
        <v>0.86027373632525739</v>
      </c>
      <c r="I97">
        <f t="array" ref="I97" ca="1">SQRT(SUM(($D97:$E97-$N$9:$O$9)^2))</f>
        <v>1.7686119502524531</v>
      </c>
      <c r="J97">
        <f t="shared" ca="1" si="15"/>
        <v>0.86027373632525739</v>
      </c>
      <c r="R97">
        <v>4.2</v>
      </c>
      <c r="S97">
        <v>1.2</v>
      </c>
      <c r="T97">
        <f t="shared" si="13"/>
        <v>1</v>
      </c>
    </row>
    <row r="98" spans="1:20" x14ac:dyDescent="0.3">
      <c r="A98">
        <v>4.2</v>
      </c>
      <c r="B98">
        <v>1.3</v>
      </c>
      <c r="C98">
        <f t="shared" ca="1" si="14"/>
        <v>3</v>
      </c>
      <c r="D98">
        <f t="shared" ref="D98:D129" si="16">(A98-M$2)/M$3</f>
        <v>0.2512214269581251</v>
      </c>
      <c r="E98">
        <f t="shared" ref="E98:E129" si="17">(B98-N$2)/N$3</f>
        <v>0.1325097321855688</v>
      </c>
      <c r="F98">
        <f t="array" ref="F98" ca="1">SQRT(SUM(($D98:$E98-$N$6:$O$6)^2))</f>
        <v>2.0689089393254947</v>
      </c>
      <c r="G98">
        <f t="array" ref="G98" ca="1">SQRT(SUM(($D98:$E98-$N$7:$O$7)^2))</f>
        <v>1.5356564738951941</v>
      </c>
      <c r="H98">
        <f t="array" ref="H98" ca="1">SQRT(SUM(($D98:$E98-$N$8:$O$8)^2))</f>
        <v>0.74126483125777998</v>
      </c>
      <c r="I98">
        <f t="array" ref="I98" ca="1">SQRT(SUM(($D98:$E98-$N$9:$O$9)^2))</f>
        <v>1.8500129117315356</v>
      </c>
      <c r="J98">
        <f t="shared" ca="1" si="15"/>
        <v>0.74126483125777998</v>
      </c>
      <c r="R98">
        <v>4.2</v>
      </c>
      <c r="S98">
        <v>1.3</v>
      </c>
      <c r="T98">
        <f t="shared" ref="T98:T129" si="18">IF(W98=AA98,1,IF(X98=AA98,2,IF(Y98=AA98,3,4)))</f>
        <v>1</v>
      </c>
    </row>
    <row r="99" spans="1:20" x14ac:dyDescent="0.3">
      <c r="A99">
        <v>4.3</v>
      </c>
      <c r="B99">
        <v>1.3</v>
      </c>
      <c r="C99">
        <f t="shared" ca="1" si="14"/>
        <v>3</v>
      </c>
      <c r="D99">
        <f t="shared" si="16"/>
        <v>0.30805885387172821</v>
      </c>
      <c r="E99">
        <f t="shared" si="17"/>
        <v>0.1325097321855688</v>
      </c>
      <c r="F99">
        <f t="array" ref="F99" ca="1">SQRT(SUM(($D99:$E99-$N$6:$O$6)^2))</f>
        <v>2.1098815922755905</v>
      </c>
      <c r="G99">
        <f t="array" ref="G99" ca="1">SQRT(SUM(($D99:$E99-$N$7:$O$7)^2))</f>
        <v>1.5176700639953058</v>
      </c>
      <c r="H99">
        <f t="array" ref="H99" ca="1">SQRT(SUM(($D99:$E99-$N$8:$O$8)^2))</f>
        <v>0.7168947802710478</v>
      </c>
      <c r="I99">
        <f t="array" ref="I99" ca="1">SQRT(SUM(($D99:$E99-$N$9:$O$9)^2))</f>
        <v>1.8940176666492614</v>
      </c>
      <c r="J99">
        <f t="shared" ca="1" si="15"/>
        <v>0.7168947802710478</v>
      </c>
      <c r="R99">
        <v>4.3</v>
      </c>
      <c r="S99">
        <v>1.3</v>
      </c>
      <c r="T99">
        <f t="shared" si="18"/>
        <v>1</v>
      </c>
    </row>
    <row r="100" spans="1:20" x14ac:dyDescent="0.3">
      <c r="A100">
        <v>3</v>
      </c>
      <c r="B100">
        <v>1.1000000000000001</v>
      </c>
      <c r="C100">
        <f t="shared" ca="1" si="14"/>
        <v>4</v>
      </c>
      <c r="D100">
        <f t="shared" si="16"/>
        <v>-0.43082769600511445</v>
      </c>
      <c r="E100">
        <f t="shared" si="17"/>
        <v>-0.13075463639503312</v>
      </c>
      <c r="F100">
        <f t="array" ref="F100" ca="1">SQRT(SUM(($D100:$E100-$N$6:$O$6)^2))</f>
        <v>1.4271181571485589</v>
      </c>
      <c r="G100">
        <f t="array" ref="G100" ca="1">SQRT(SUM(($D100:$E100-$N$7:$O$7)^2))</f>
        <v>2.0863642669302136</v>
      </c>
      <c r="H100">
        <f t="array" ref="H100" ca="1">SQRT(SUM(($D100:$E100-$N$8:$O$8)^2))</f>
        <v>1.3768457898088411</v>
      </c>
      <c r="I100">
        <f t="array" ref="I100" ca="1">SQRT(SUM(($D100:$E100-$N$9:$O$9)^2))</f>
        <v>1.1810918248382114</v>
      </c>
      <c r="J100">
        <f t="shared" ca="1" si="15"/>
        <v>1.1810918248382114</v>
      </c>
      <c r="R100">
        <v>3</v>
      </c>
      <c r="S100">
        <v>1.1000000000000001</v>
      </c>
      <c r="T100">
        <f t="shared" si="18"/>
        <v>1</v>
      </c>
    </row>
    <row r="101" spans="1:20" x14ac:dyDescent="0.3">
      <c r="A101">
        <v>4.0999999999999996</v>
      </c>
      <c r="B101">
        <v>1.3</v>
      </c>
      <c r="C101">
        <f t="shared" ca="1" si="14"/>
        <v>3</v>
      </c>
      <c r="D101">
        <f t="shared" si="16"/>
        <v>0.19438400004452153</v>
      </c>
      <c r="E101">
        <f t="shared" si="17"/>
        <v>0.1325097321855688</v>
      </c>
      <c r="F101">
        <f t="array" ref="F101" ca="1">SQRT(SUM(($D101:$E101-$N$6:$O$6)^2))</f>
        <v>2.028701321342012</v>
      </c>
      <c r="G101">
        <f t="array" ref="G101" ca="1">SQRT(SUM(($D101:$E101-$N$7:$O$7)^2))</f>
        <v>1.5555128333386539</v>
      </c>
      <c r="H101">
        <f t="array" ref="H101" ca="1">SQRT(SUM(($D101:$E101-$N$8:$O$8)^2))</f>
        <v>0.76907084220876221</v>
      </c>
      <c r="I101">
        <f t="array" ref="I101" ca="1">SQRT(SUM(($D101:$E101-$N$9:$O$9)^2))</f>
        <v>1.8067245533737546</v>
      </c>
      <c r="J101">
        <f t="shared" ca="1" si="15"/>
        <v>0.76907084220876221</v>
      </c>
      <c r="R101">
        <v>4.0999999999999996</v>
      </c>
      <c r="S101">
        <v>1.3</v>
      </c>
      <c r="T101">
        <f t="shared" si="18"/>
        <v>1</v>
      </c>
    </row>
    <row r="102" spans="1:20" x14ac:dyDescent="0.3">
      <c r="A102">
        <v>6</v>
      </c>
      <c r="B102">
        <v>2.5</v>
      </c>
      <c r="C102">
        <f t="shared" ca="1" si="14"/>
        <v>2</v>
      </c>
      <c r="D102">
        <f t="shared" si="16"/>
        <v>1.2742951114029841</v>
      </c>
      <c r="E102">
        <f t="shared" si="17"/>
        <v>1.7120959436691805</v>
      </c>
      <c r="F102">
        <f t="array" ref="F102" ca="1">SQRT(SUM(($D102:$E102-$N$6:$O$6)^2))</f>
        <v>3.9268606462216251</v>
      </c>
      <c r="G102">
        <f t="array" ref="G102" ca="1">SQRT(SUM(($D102:$E102-$N$7:$O$7)^2))</f>
        <v>0.52820164037224515</v>
      </c>
      <c r="H102">
        <f t="array" ref="H102" ca="1">SQRT(SUM(($D102:$E102-$N$8:$O$8)^2))</f>
        <v>1.1463924159055119</v>
      </c>
      <c r="I102">
        <f t="array" ref="I102" ca="1">SQRT(SUM(($D102:$E102-$N$9:$O$9)^2))</f>
        <v>3.6897700232525503</v>
      </c>
      <c r="J102">
        <f t="shared" ca="1" si="15"/>
        <v>0.52820164037224515</v>
      </c>
      <c r="R102">
        <v>6</v>
      </c>
      <c r="S102">
        <v>2.5</v>
      </c>
      <c r="T102">
        <f t="shared" si="18"/>
        <v>1</v>
      </c>
    </row>
    <row r="103" spans="1:20" x14ac:dyDescent="0.3">
      <c r="A103">
        <v>5.0999999999999996</v>
      </c>
      <c r="B103">
        <v>1.9</v>
      </c>
      <c r="C103">
        <f t="shared" ca="1" si="14"/>
        <v>3</v>
      </c>
      <c r="D103">
        <f t="shared" si="16"/>
        <v>0.76275826918055445</v>
      </c>
      <c r="E103">
        <f t="shared" si="17"/>
        <v>0.92230283792737455</v>
      </c>
      <c r="F103">
        <f t="array" ref="F103" ca="1">SQRT(SUM(($D103:$E103-$N$6:$O$6)^2))</f>
        <v>2.994138653470201</v>
      </c>
      <c r="G103">
        <f t="array" ref="G103" ca="1">SQRT(SUM(($D103:$E103-$N$7:$O$7)^2))</f>
        <v>0.65816092145150495</v>
      </c>
      <c r="H103">
        <f t="array" ref="H103" ca="1">SQRT(SUM(($D103:$E103-$N$8:$O$8)^2))</f>
        <v>0.21541000400275853</v>
      </c>
      <c r="I103">
        <f t="array" ref="I103" ca="1">SQRT(SUM(($D103:$E103-$N$9:$O$9)^2))</f>
        <v>2.7627942754039929</v>
      </c>
      <c r="J103">
        <f t="shared" ca="1" si="15"/>
        <v>0.21541000400275853</v>
      </c>
      <c r="R103">
        <v>5.0999999999999996</v>
      </c>
      <c r="S103">
        <v>1.9</v>
      </c>
      <c r="T103">
        <f t="shared" si="18"/>
        <v>1</v>
      </c>
    </row>
    <row r="104" spans="1:20" x14ac:dyDescent="0.3">
      <c r="A104">
        <v>5.9</v>
      </c>
      <c r="B104">
        <v>2.1</v>
      </c>
      <c r="C104">
        <f t="shared" ca="1" si="14"/>
        <v>2</v>
      </c>
      <c r="D104">
        <f t="shared" si="16"/>
        <v>1.2174576844893812</v>
      </c>
      <c r="E104">
        <f t="shared" si="17"/>
        <v>1.1855672065079768</v>
      </c>
      <c r="F104">
        <f t="array" ref="F104" ca="1">SQRT(SUM(($D104:$E104-$N$6:$O$6)^2))</f>
        <v>3.4968900853773293</v>
      </c>
      <c r="G104">
        <f t="array" ref="G104" ca="1">SQRT(SUM(($D104:$E104-$N$7:$O$7)^2))</f>
        <v>0.60224151779125168</v>
      </c>
      <c r="H104">
        <f t="array" ref="H104" ca="1">SQRT(SUM(($D104:$E104-$N$8:$O$8)^2))</f>
        <v>0.73948154293841917</v>
      </c>
      <c r="I104">
        <f t="array" ref="I104" ca="1">SQRT(SUM(($D104:$E104-$N$9:$O$9)^2))</f>
        <v>3.2720180403097046</v>
      </c>
      <c r="J104">
        <f t="shared" ca="1" si="15"/>
        <v>0.60224151779125168</v>
      </c>
      <c r="R104">
        <v>5.9</v>
      </c>
      <c r="S104">
        <v>2.1</v>
      </c>
      <c r="T104">
        <f t="shared" si="18"/>
        <v>1</v>
      </c>
    </row>
    <row r="105" spans="1:20" x14ac:dyDescent="0.3">
      <c r="A105">
        <v>5.6</v>
      </c>
      <c r="B105">
        <v>1.8</v>
      </c>
      <c r="C105">
        <f t="shared" ca="1" si="14"/>
        <v>3</v>
      </c>
      <c r="D105">
        <f t="shared" si="16"/>
        <v>1.0469454037485708</v>
      </c>
      <c r="E105">
        <f t="shared" si="17"/>
        <v>0.79067065363707378</v>
      </c>
      <c r="F105">
        <f t="array" ref="F105" ca="1">SQRT(SUM(($D105:$E105-$N$6:$O$6)^2))</f>
        <v>3.0991142499042956</v>
      </c>
      <c r="G105">
        <f t="array" ref="G105" ca="1">SQRT(SUM(($D105:$E105-$N$7:$O$7)^2))</f>
        <v>0.83936611638263492</v>
      </c>
      <c r="H105">
        <f t="array" ref="H105" ca="1">SQRT(SUM(($D105:$E105-$N$8:$O$8)^2))</f>
        <v>0.45469941530882618</v>
      </c>
      <c r="I105">
        <f t="array" ref="I105" ca="1">SQRT(SUM(($D105:$E105-$N$9:$O$9)^2))</f>
        <v>2.8826512558308446</v>
      </c>
      <c r="J105">
        <f t="shared" ca="1" si="15"/>
        <v>0.45469941530882618</v>
      </c>
      <c r="R105">
        <v>5.6</v>
      </c>
      <c r="S105">
        <v>1.8</v>
      </c>
      <c r="T105">
        <f t="shared" si="18"/>
        <v>1</v>
      </c>
    </row>
    <row r="106" spans="1:20" x14ac:dyDescent="0.3">
      <c r="A106">
        <v>5.8</v>
      </c>
      <c r="B106">
        <v>2.2000000000000002</v>
      </c>
      <c r="C106">
        <f t="shared" ca="1" si="14"/>
        <v>2</v>
      </c>
      <c r="D106">
        <f t="shared" si="16"/>
        <v>1.1606202575757776</v>
      </c>
      <c r="E106">
        <f t="shared" si="17"/>
        <v>1.317199390798278</v>
      </c>
      <c r="F106">
        <f t="array" ref="F106" ca="1">SQRT(SUM(($D106:$E106-$N$6:$O$6)^2))</f>
        <v>3.5537870788170647</v>
      </c>
      <c r="G106">
        <f t="array" ref="G106" ca="1">SQRT(SUM(($D106:$E106-$N$7:$O$7)^2))</f>
        <v>0.47707681726734896</v>
      </c>
      <c r="H106">
        <f t="array" ref="H106" ca="1">SQRT(SUM(($D106:$E106-$N$8:$O$8)^2))</f>
        <v>0.77477856247607424</v>
      </c>
      <c r="I106">
        <f t="array" ref="I106" ca="1">SQRT(SUM(($D106:$E106-$N$9:$O$9)^2))</f>
        <v>3.3233141962356183</v>
      </c>
      <c r="J106">
        <f t="shared" ca="1" si="15"/>
        <v>0.47707681726734896</v>
      </c>
      <c r="R106">
        <v>5.8</v>
      </c>
      <c r="S106">
        <v>2.2000000000000002</v>
      </c>
      <c r="T106">
        <f t="shared" si="18"/>
        <v>1</v>
      </c>
    </row>
    <row r="107" spans="1:20" x14ac:dyDescent="0.3">
      <c r="A107">
        <v>6.6</v>
      </c>
      <c r="B107">
        <v>2.1</v>
      </c>
      <c r="C107">
        <f t="shared" ca="1" si="14"/>
        <v>2</v>
      </c>
      <c r="D107">
        <f t="shared" si="16"/>
        <v>1.6153196728846038</v>
      </c>
      <c r="E107">
        <f t="shared" si="17"/>
        <v>1.1855672065079768</v>
      </c>
      <c r="F107">
        <f t="array" ref="F107" ca="1">SQRT(SUM(($D107:$E107-$N$6:$O$6)^2))</f>
        <v>3.7856691979241788</v>
      </c>
      <c r="G107">
        <f t="array" ref="G107" ca="1">SQRT(SUM(($D107:$E107-$N$7:$O$7)^2))</f>
        <v>0.93957662516430274</v>
      </c>
      <c r="H107">
        <f t="array" ref="H107" ca="1">SQRT(SUM(($D107:$E107-$N$8:$O$8)^2))</f>
        <v>1.0966417150887984</v>
      </c>
      <c r="I107">
        <f t="array" ref="I107" ca="1">SQRT(SUM(($D107:$E107-$N$9:$O$9)^2))</f>
        <v>3.5726637344759391</v>
      </c>
      <c r="J107">
        <f t="shared" ca="1" si="15"/>
        <v>0.93957662516430274</v>
      </c>
      <c r="R107">
        <v>6.6</v>
      </c>
      <c r="S107">
        <v>2.1</v>
      </c>
      <c r="T107">
        <f t="shared" si="18"/>
        <v>1</v>
      </c>
    </row>
    <row r="108" spans="1:20" x14ac:dyDescent="0.3">
      <c r="A108">
        <v>4.5</v>
      </c>
      <c r="B108">
        <v>1.7</v>
      </c>
      <c r="C108">
        <f t="shared" ca="1" si="14"/>
        <v>3</v>
      </c>
      <c r="D108">
        <f t="shared" si="16"/>
        <v>0.42173370769893487</v>
      </c>
      <c r="E108">
        <f t="shared" si="17"/>
        <v>0.65903846934677268</v>
      </c>
      <c r="F108">
        <f t="array" ref="F108" ca="1">SQRT(SUM(($D108:$E108-$N$6:$O$6)^2))</f>
        <v>2.5720472161849846</v>
      </c>
      <c r="G108">
        <f t="array" ref="G108" ca="1">SQRT(SUM(($D108:$E108-$N$7:$O$7)^2))</f>
        <v>0.98250817637538423</v>
      </c>
      <c r="H108">
        <f t="array" ref="H108" ca="1">SQRT(SUM(($D108:$E108-$N$8:$O$8)^2))</f>
        <v>0.2154100040027587</v>
      </c>
      <c r="I108">
        <f t="array" ref="I108" ca="1">SQRT(SUM(($D108:$E108-$N$9:$O$9)^2))</f>
        <v>2.3368729077534049</v>
      </c>
      <c r="J108">
        <f t="shared" ca="1" si="15"/>
        <v>0.2154100040027587</v>
      </c>
      <c r="R108">
        <v>4.5</v>
      </c>
      <c r="S108">
        <v>1.7</v>
      </c>
      <c r="T108">
        <f t="shared" si="18"/>
        <v>1</v>
      </c>
    </row>
    <row r="109" spans="1:20" x14ac:dyDescent="0.3">
      <c r="A109">
        <v>6.3</v>
      </c>
      <c r="B109">
        <v>1.8</v>
      </c>
      <c r="C109">
        <f t="shared" ca="1" si="14"/>
        <v>3</v>
      </c>
      <c r="D109">
        <f t="shared" si="16"/>
        <v>1.4448073921437941</v>
      </c>
      <c r="E109">
        <f t="shared" si="17"/>
        <v>0.79067065363707378</v>
      </c>
      <c r="F109">
        <f t="array" ref="F109" ca="1">SQRT(SUM(($D109:$E109-$N$6:$O$6)^2))</f>
        <v>3.4017465265270452</v>
      </c>
      <c r="G109">
        <f t="array" ref="G109" ca="1">SQRT(SUM(($D109:$E109-$N$7:$O$7)^2))</f>
        <v>1.0435344536776021</v>
      </c>
      <c r="H109">
        <f t="array" ref="H109" ca="1">SQRT(SUM(($D109:$E109-$N$8:$O$8)^2))</f>
        <v>0.85256140370404943</v>
      </c>
      <c r="I109">
        <f t="array" ref="I109" ca="1">SQRT(SUM(($D109:$E109-$N$9:$O$9)^2))</f>
        <v>3.1987218785239624</v>
      </c>
      <c r="J109">
        <f t="shared" ca="1" si="15"/>
        <v>0.85256140370404943</v>
      </c>
      <c r="R109">
        <v>6.3</v>
      </c>
      <c r="S109">
        <v>1.8</v>
      </c>
      <c r="T109">
        <f t="shared" si="18"/>
        <v>1</v>
      </c>
    </row>
    <row r="110" spans="1:20" x14ac:dyDescent="0.3">
      <c r="A110">
        <v>5.8</v>
      </c>
      <c r="B110">
        <v>1.8</v>
      </c>
      <c r="C110">
        <f t="shared" ca="1" si="14"/>
        <v>3</v>
      </c>
      <c r="D110">
        <f t="shared" si="16"/>
        <v>1.1606202575757776</v>
      </c>
      <c r="E110">
        <f t="shared" si="17"/>
        <v>0.79067065363707378</v>
      </c>
      <c r="F110">
        <f t="array" ref="F110" ca="1">SQRT(SUM(($D110:$E110-$N$6:$O$6)^2))</f>
        <v>3.1834431048878469</v>
      </c>
      <c r="G110">
        <f t="array" ref="G110" ca="1">SQRT(SUM(($D110:$E110-$N$7:$O$7)^2))</f>
        <v>0.8843456969347947</v>
      </c>
      <c r="H110">
        <f t="array" ref="H110" ca="1">SQRT(SUM(($D110:$E110-$N$8:$O$8)^2))</f>
        <v>0.56837426913603295</v>
      </c>
      <c r="I110">
        <f t="array" ref="I110" ca="1">SQRT(SUM(($D110:$E110-$N$9:$O$9)^2))</f>
        <v>2.9709522309267475</v>
      </c>
      <c r="J110">
        <f t="shared" ca="1" si="15"/>
        <v>0.56837426913603295</v>
      </c>
      <c r="R110">
        <v>5.8</v>
      </c>
      <c r="S110">
        <v>1.8</v>
      </c>
      <c r="T110">
        <f t="shared" si="18"/>
        <v>1</v>
      </c>
    </row>
    <row r="111" spans="1:20" x14ac:dyDescent="0.3">
      <c r="A111">
        <v>6.1</v>
      </c>
      <c r="B111">
        <v>2.5</v>
      </c>
      <c r="C111">
        <f t="shared" ca="1" si="14"/>
        <v>2</v>
      </c>
      <c r="D111">
        <f t="shared" si="16"/>
        <v>1.3311325383165873</v>
      </c>
      <c r="E111">
        <f t="shared" si="17"/>
        <v>1.7120959436691805</v>
      </c>
      <c r="F111">
        <f t="array" ref="F111" ca="1">SQRT(SUM(($D111:$E111-$N$6:$O$6)^2))</f>
        <v>3.9633001930941703</v>
      </c>
      <c r="G111">
        <f t="array" ref="G111" ca="1">SQRT(SUM(($D111:$E111-$N$7:$O$7)^2))</f>
        <v>0.58341781062713127</v>
      </c>
      <c r="H111">
        <f t="array" ref="H111" ca="1">SQRT(SUM(($D111:$E111-$N$8:$O$8)^2))</f>
        <v>1.1810918248382112</v>
      </c>
      <c r="I111">
        <f t="array" ref="I111" ca="1">SQRT(SUM(($D111:$E111-$N$9:$O$9)^2))</f>
        <v>3.7276608917701961</v>
      </c>
      <c r="J111">
        <f t="shared" ca="1" si="15"/>
        <v>0.58341781062713127</v>
      </c>
      <c r="R111">
        <v>6.1</v>
      </c>
      <c r="S111">
        <v>2.5</v>
      </c>
      <c r="T111">
        <f t="shared" si="18"/>
        <v>1</v>
      </c>
    </row>
    <row r="112" spans="1:20" x14ac:dyDescent="0.3">
      <c r="A112">
        <v>5.0999999999999996</v>
      </c>
      <c r="B112">
        <v>2</v>
      </c>
      <c r="C112">
        <f t="shared" ca="1" si="14"/>
        <v>3</v>
      </c>
      <c r="D112">
        <f t="shared" si="16"/>
        <v>0.76275826918055445</v>
      </c>
      <c r="E112">
        <f t="shared" si="17"/>
        <v>1.0539350222176758</v>
      </c>
      <c r="F112">
        <f t="array" ref="F112" ca="1">SQRT(SUM(($D112:$E112-$N$6:$O$6)^2))</f>
        <v>3.0937537707679001</v>
      </c>
      <c r="G112">
        <f t="array" ref="G112" ca="1">SQRT(SUM(($D112:$E112-$N$7:$O$7)^2))</f>
        <v>0.52652873716120374</v>
      </c>
      <c r="H112">
        <f t="array" ref="H112" ca="1">SQRT(SUM(($D112:$E112-$N$8:$O$8)^2))</f>
        <v>0.31365995225335319</v>
      </c>
      <c r="I112">
        <f t="array" ref="I112" ca="1">SQRT(SUM(($D112:$E112-$N$9:$O$9)^2))</f>
        <v>2.858350957873645</v>
      </c>
      <c r="J112">
        <f t="shared" ca="1" si="15"/>
        <v>0.31365995225335319</v>
      </c>
      <c r="R112">
        <v>5.0999999999999996</v>
      </c>
      <c r="S112">
        <v>2</v>
      </c>
      <c r="T112">
        <f t="shared" si="18"/>
        <v>1</v>
      </c>
    </row>
    <row r="113" spans="1:20" x14ac:dyDescent="0.3">
      <c r="A113">
        <v>5.3</v>
      </c>
      <c r="B113">
        <v>1.9</v>
      </c>
      <c r="C113">
        <f t="shared" ca="1" si="14"/>
        <v>3</v>
      </c>
      <c r="D113">
        <f t="shared" si="16"/>
        <v>0.87643312300776111</v>
      </c>
      <c r="E113">
        <f t="shared" si="17"/>
        <v>0.92230283792737455</v>
      </c>
      <c r="F113">
        <f t="array" ref="F113" ca="1">SQRT(SUM(($D113:$E113-$N$6:$O$6)^2))</f>
        <v>3.0708398333907407</v>
      </c>
      <c r="G113">
        <f t="array" ref="G113" ca="1">SQRT(SUM(($D113:$E113-$N$7:$O$7)^2))</f>
        <v>0.6679055104717514</v>
      </c>
      <c r="H113">
        <f t="array" ref="H113" ca="1">SQRT(SUM(($D113:$E113-$N$8:$O$8)^2))</f>
        <v>0.31319220838810086</v>
      </c>
      <c r="I113">
        <f t="array" ref="I113" ca="1">SQRT(SUM(($D113:$E113-$N$9:$O$9)^2))</f>
        <v>2.8434664130155225</v>
      </c>
      <c r="J113">
        <f t="shared" ca="1" si="15"/>
        <v>0.31319220838810086</v>
      </c>
      <c r="R113">
        <v>5.3</v>
      </c>
      <c r="S113">
        <v>1.9</v>
      </c>
      <c r="T113">
        <f t="shared" si="18"/>
        <v>1</v>
      </c>
    </row>
    <row r="114" spans="1:20" x14ac:dyDescent="0.3">
      <c r="A114">
        <v>5.5</v>
      </c>
      <c r="B114">
        <v>2.1</v>
      </c>
      <c r="C114">
        <f t="shared" ca="1" si="14"/>
        <v>2</v>
      </c>
      <c r="D114">
        <f t="shared" si="16"/>
        <v>0.99010797683496776</v>
      </c>
      <c r="E114">
        <f t="shared" si="17"/>
        <v>1.1855672065079768</v>
      </c>
      <c r="F114">
        <f t="array" ref="F114" ca="1">SQRT(SUM(($D114:$E114-$N$6:$O$6)^2))</f>
        <v>3.3419513062003228</v>
      </c>
      <c r="G114">
        <f t="array" ref="G114" ca="1">SQRT(SUM(($D114:$E114-$N$7:$O$7)^2))</f>
        <v>0.45566564171535789</v>
      </c>
      <c r="H114">
        <f t="array" ref="H114" ca="1">SQRT(SUM(($D114:$E114-$N$8:$O$8)^2))</f>
        <v>0.56056886220974012</v>
      </c>
      <c r="I114">
        <f t="array" ref="I114" ca="1">SQRT(SUM(($D114:$E114-$N$9:$O$9)^2))</f>
        <v>3.110039270604346</v>
      </c>
      <c r="J114">
        <f t="shared" ca="1" si="15"/>
        <v>0.45566564171535789</v>
      </c>
      <c r="R114">
        <v>5.5</v>
      </c>
      <c r="S114">
        <v>2.1</v>
      </c>
      <c r="T114">
        <f t="shared" si="18"/>
        <v>1</v>
      </c>
    </row>
    <row r="115" spans="1:20" x14ac:dyDescent="0.3">
      <c r="A115">
        <v>5</v>
      </c>
      <c r="B115">
        <v>2</v>
      </c>
      <c r="C115">
        <f t="shared" ca="1" si="14"/>
        <v>3</v>
      </c>
      <c r="D115">
        <f t="shared" si="16"/>
        <v>0.70592084226695129</v>
      </c>
      <c r="E115">
        <f t="shared" si="17"/>
        <v>1.0539350222176758</v>
      </c>
      <c r="F115">
        <f t="array" ref="F115" ca="1">SQRT(SUM(($D115:$E115-$N$6:$O$6)^2))</f>
        <v>3.0575166999327439</v>
      </c>
      <c r="G115">
        <f t="array" ref="G115" ca="1">SQRT(SUM(($D115:$E115-$N$7:$O$7)^2))</f>
        <v>0.52958757930556788</v>
      </c>
      <c r="H115">
        <f t="array" ref="H115" ca="1">SQRT(SUM(($D115:$E115-$N$8:$O$8)^2))</f>
        <v>0.28675791210841917</v>
      </c>
      <c r="I115">
        <f t="array" ref="I115" ca="1">SQRT(SUM(($D115:$E115-$N$9:$O$9)^2))</f>
        <v>2.8202353023817923</v>
      </c>
      <c r="J115">
        <f t="shared" ca="1" si="15"/>
        <v>0.28675791210841917</v>
      </c>
      <c r="R115">
        <v>5</v>
      </c>
      <c r="S115">
        <v>2</v>
      </c>
      <c r="T115">
        <f t="shared" si="18"/>
        <v>1</v>
      </c>
    </row>
    <row r="116" spans="1:20" x14ac:dyDescent="0.3">
      <c r="A116">
        <v>5.0999999999999996</v>
      </c>
      <c r="B116">
        <v>2.4</v>
      </c>
      <c r="C116">
        <f t="shared" ca="1" si="14"/>
        <v>2</v>
      </c>
      <c r="D116">
        <f t="shared" si="16"/>
        <v>0.76275826918055445</v>
      </c>
      <c r="E116">
        <f t="shared" si="17"/>
        <v>1.5804637593788795</v>
      </c>
      <c r="F116">
        <f t="array" ref="F116" ca="1">SQRT(SUM(($D116:$E116-$N$6:$O$6)^2))</f>
        <v>3.5133513209905898</v>
      </c>
      <c r="G116">
        <f t="array" ref="G116" ca="1">SQRT(SUM(($D116:$E116-$N$7:$O$7)^2))</f>
        <v>0</v>
      </c>
      <c r="H116">
        <f t="array" ref="H116" ca="1">SQRT(SUM(($D116:$E116-$N$8:$O$8)^2))</f>
        <v>0.80798984384750772</v>
      </c>
      <c r="I116">
        <f t="array" ref="I116" ca="1">SQRT(SUM(($D116:$E116-$N$9:$O$9)^2))</f>
        <v>3.2657713940026993</v>
      </c>
      <c r="J116">
        <f t="shared" ca="1" si="15"/>
        <v>0</v>
      </c>
      <c r="R116">
        <v>5.0999999999999996</v>
      </c>
      <c r="S116">
        <v>2.4</v>
      </c>
      <c r="T116">
        <f t="shared" si="18"/>
        <v>1</v>
      </c>
    </row>
    <row r="117" spans="1:20" x14ac:dyDescent="0.3">
      <c r="A117">
        <v>5.3</v>
      </c>
      <c r="B117">
        <v>2.2999999999999998</v>
      </c>
      <c r="C117">
        <f t="shared" ca="1" si="14"/>
        <v>2</v>
      </c>
      <c r="D117">
        <f t="shared" si="16"/>
        <v>0.87643312300776111</v>
      </c>
      <c r="E117">
        <f t="shared" si="17"/>
        <v>1.4488315750885783</v>
      </c>
      <c r="F117">
        <f t="array" ref="F117" ca="1">SQRT(SUM(($D117:$E117-$N$6:$O$6)^2))</f>
        <v>3.4732932697048065</v>
      </c>
      <c r="G117">
        <f t="array" ref="G117" ca="1">SQRT(SUM(($D117:$E117-$N$7:$O$7)^2))</f>
        <v>0.17392240894626723</v>
      </c>
      <c r="H117">
        <f t="array" ref="H117" ca="1">SQRT(SUM(($D117:$E117-$N$8:$O$8)^2))</f>
        <v>0.71689478027104747</v>
      </c>
      <c r="I117">
        <f t="array" ref="I117" ca="1">SQRT(SUM(($D117:$E117-$N$9:$O$9)^2))</f>
        <v>3.2313739470894149</v>
      </c>
      <c r="J117">
        <f t="shared" ca="1" si="15"/>
        <v>0.17392240894626723</v>
      </c>
      <c r="R117">
        <v>5.3</v>
      </c>
      <c r="S117">
        <v>2.2999999999999998</v>
      </c>
      <c r="T117">
        <f t="shared" si="18"/>
        <v>1</v>
      </c>
    </row>
    <row r="118" spans="1:20" x14ac:dyDescent="0.3">
      <c r="A118">
        <v>5.5</v>
      </c>
      <c r="B118">
        <v>1.8</v>
      </c>
      <c r="C118">
        <f t="shared" ca="1" si="14"/>
        <v>3</v>
      </c>
      <c r="D118">
        <f t="shared" si="16"/>
        <v>0.99010797683496776</v>
      </c>
      <c r="E118">
        <f t="shared" si="17"/>
        <v>0.79067065363707378</v>
      </c>
      <c r="F118">
        <f t="array" ref="F118" ca="1">SQRT(SUM(($D118:$E118-$N$6:$O$6)^2))</f>
        <v>3.0576625352064752</v>
      </c>
      <c r="G118">
        <f t="array" ref="G118" ca="1">SQRT(SUM(($D118:$E118-$N$7:$O$7)^2))</f>
        <v>0.82186436803637763</v>
      </c>
      <c r="H118">
        <f t="array" ref="H118" ca="1">SQRT(SUM(($D118:$E118-$N$8:$O$8)^2))</f>
        <v>0.39786198839522313</v>
      </c>
      <c r="I118">
        <f t="array" ref="I118" ca="1">SQRT(SUM(($D118:$E118-$N$9:$O$9)^2))</f>
        <v>2.8391777496636044</v>
      </c>
      <c r="J118">
        <f t="shared" ca="1" si="15"/>
        <v>0.39786198839522313</v>
      </c>
      <c r="R118">
        <v>5.5</v>
      </c>
      <c r="S118">
        <v>1.8</v>
      </c>
      <c r="T118">
        <f t="shared" si="18"/>
        <v>1</v>
      </c>
    </row>
    <row r="119" spans="1:20" x14ac:dyDescent="0.3">
      <c r="A119">
        <v>6.7</v>
      </c>
      <c r="B119">
        <v>2.2000000000000002</v>
      </c>
      <c r="C119">
        <f t="shared" ca="1" si="14"/>
        <v>2</v>
      </c>
      <c r="D119">
        <f t="shared" si="16"/>
        <v>1.6721570997982074</v>
      </c>
      <c r="E119">
        <f t="shared" si="17"/>
        <v>1.317199390798278</v>
      </c>
      <c r="F119">
        <f t="array" ref="F119" ca="1">SQRT(SUM(($D119:$E119-$N$6:$O$6)^2))</f>
        <v>3.9157790188832635</v>
      </c>
      <c r="G119">
        <f t="array" ref="G119" ca="1">SQRT(SUM(($D119:$E119-$N$7:$O$7)^2))</f>
        <v>0.94673880288752155</v>
      </c>
      <c r="H119">
        <f t="array" ref="H119" ca="1">SQRT(SUM(($D119:$E119-$N$8:$O$8)^2))</f>
        <v>1.2014326945326743</v>
      </c>
      <c r="I119">
        <f t="array" ref="I119" ca="1">SQRT(SUM(($D119:$E119-$N$9:$O$9)^2))</f>
        <v>3.7000258234630712</v>
      </c>
      <c r="J119">
        <f t="shared" ca="1" si="15"/>
        <v>0.94673880288752155</v>
      </c>
      <c r="R119">
        <v>6.7</v>
      </c>
      <c r="S119">
        <v>2.2000000000000002</v>
      </c>
      <c r="T119">
        <f t="shared" si="18"/>
        <v>1</v>
      </c>
    </row>
    <row r="120" spans="1:20" x14ac:dyDescent="0.3">
      <c r="A120">
        <v>6.9</v>
      </c>
      <c r="B120">
        <v>2.2999999999999998</v>
      </c>
      <c r="C120">
        <f t="shared" ca="1" si="14"/>
        <v>2</v>
      </c>
      <c r="D120">
        <f t="shared" si="16"/>
        <v>1.7858319536254139</v>
      </c>
      <c r="E120">
        <f t="shared" si="17"/>
        <v>1.4488315750885783</v>
      </c>
      <c r="F120">
        <f t="array" ref="F120" ca="1">SQRT(SUM(($D120:$E120-$N$6:$O$6)^2))</f>
        <v>4.0884809157835083</v>
      </c>
      <c r="G120">
        <f t="array" ref="G120" ca="1">SQRT(SUM(($D120:$E120-$N$7:$O$7)^2))</f>
        <v>1.0315070507488624</v>
      </c>
      <c r="H120">
        <f t="array" ref="H120" ca="1">SQRT(SUM(($D120:$E120-$N$8:$O$8)^2))</f>
        <v>1.3630199025744631</v>
      </c>
      <c r="I120">
        <f t="array" ref="I120" ca="1">SQRT(SUM(($D120:$E120-$N$9:$O$9)^2))</f>
        <v>3.8717324117423679</v>
      </c>
      <c r="J120">
        <f t="shared" ca="1" si="15"/>
        <v>1.0315070507488624</v>
      </c>
      <c r="R120">
        <v>6.9</v>
      </c>
      <c r="S120">
        <v>2.2999999999999998</v>
      </c>
      <c r="T120">
        <f t="shared" si="18"/>
        <v>1</v>
      </c>
    </row>
    <row r="121" spans="1:20" x14ac:dyDescent="0.3">
      <c r="A121">
        <v>5</v>
      </c>
      <c r="B121">
        <v>1.5</v>
      </c>
      <c r="C121">
        <f t="shared" ca="1" si="14"/>
        <v>3</v>
      </c>
      <c r="D121">
        <f t="shared" si="16"/>
        <v>0.70592084226695129</v>
      </c>
      <c r="E121">
        <f t="shared" si="17"/>
        <v>0.3957741007661707</v>
      </c>
      <c r="F121">
        <f t="array" ref="F121" ca="1">SQRT(SUM(($D121:$E121-$N$6:$O$6)^2))</f>
        <v>2.5812242094609048</v>
      </c>
      <c r="G121">
        <f t="array" ref="G121" ca="1">SQRT(SUM(($D121:$E121-$N$7:$O$7)^2))</f>
        <v>1.1860523092688855</v>
      </c>
      <c r="H121">
        <f t="array" ref="H121" ca="1">SQRT(SUM(($D121:$E121-$N$8:$O$8)^2))</f>
        <v>0.41093218401818898</v>
      </c>
      <c r="I121">
        <f t="array" ref="I121" ca="1">SQRT(SUM(($D121:$E121-$N$9:$O$9)^2))</f>
        <v>2.3695100440303456</v>
      </c>
      <c r="J121">
        <f t="shared" ca="1" si="15"/>
        <v>0.41093218401818898</v>
      </c>
      <c r="R121">
        <v>5</v>
      </c>
      <c r="S121">
        <v>1.5</v>
      </c>
      <c r="T121">
        <f t="shared" si="18"/>
        <v>1</v>
      </c>
    </row>
    <row r="122" spans="1:20" x14ac:dyDescent="0.3">
      <c r="A122">
        <v>5.7</v>
      </c>
      <c r="B122">
        <v>2.2999999999999998</v>
      </c>
      <c r="C122">
        <f t="shared" ca="1" si="14"/>
        <v>2</v>
      </c>
      <c r="D122">
        <f t="shared" si="16"/>
        <v>1.1037828306621744</v>
      </c>
      <c r="E122">
        <f t="shared" si="17"/>
        <v>1.4488315750885783</v>
      </c>
      <c r="F122">
        <f t="array" ref="F122" ca="1">SQRT(SUM(($D122:$E122-$N$6:$O$6)^2))</f>
        <v>3.6154778361929396</v>
      </c>
      <c r="G122">
        <f t="array" ref="G122" ca="1">SQRT(SUM(($D122:$E122-$N$7:$O$7)^2))</f>
        <v>0.36554723836293312</v>
      </c>
      <c r="H122">
        <f t="array" ref="H122" ca="1">SQRT(SUM(($D122:$E122-$N$8:$O$8)^2))</f>
        <v>0.8335740755786426</v>
      </c>
      <c r="I122">
        <f t="array" ref="I122" ca="1">SQRT(SUM(($D122:$E122-$N$9:$O$9)^2))</f>
        <v>3.3799182664331724</v>
      </c>
      <c r="J122">
        <f t="shared" ca="1" si="15"/>
        <v>0.36554723836293312</v>
      </c>
      <c r="R122">
        <v>5.7</v>
      </c>
      <c r="S122">
        <v>2.2999999999999998</v>
      </c>
      <c r="T122">
        <f t="shared" si="18"/>
        <v>1</v>
      </c>
    </row>
    <row r="123" spans="1:20" x14ac:dyDescent="0.3">
      <c r="A123">
        <v>4.9000000000000004</v>
      </c>
      <c r="B123">
        <v>2</v>
      </c>
      <c r="C123">
        <f t="shared" ca="1" si="14"/>
        <v>3</v>
      </c>
      <c r="D123">
        <f t="shared" si="16"/>
        <v>0.64908341535334824</v>
      </c>
      <c r="E123">
        <f t="shared" si="17"/>
        <v>1.0539350222176758</v>
      </c>
      <c r="F123">
        <f t="array" ref="F123" ca="1">SQRT(SUM(($D123:$E123-$N$6:$O$6)^2))</f>
        <v>3.0219141835583208</v>
      </c>
      <c r="G123">
        <f t="array" ref="G123" ca="1">SQRT(SUM(($D123:$E123-$N$7:$O$7)^2))</f>
        <v>0.53865989589833829</v>
      </c>
      <c r="H123">
        <f t="array" ref="H123" ca="1">SQRT(SUM(($D123:$E123-$N$8:$O$8)^2))</f>
        <v>0.26932994794916937</v>
      </c>
      <c r="I123">
        <f t="array" ref="I123" ca="1">SQRT(SUM(($D123:$E123-$N$9:$O$9)^2))</f>
        <v>2.7827585431402726</v>
      </c>
      <c r="J123">
        <f t="shared" ca="1" si="15"/>
        <v>0.26932994794916937</v>
      </c>
      <c r="R123">
        <v>4.9000000000000004</v>
      </c>
      <c r="S123">
        <v>2</v>
      </c>
      <c r="T123">
        <f t="shared" si="18"/>
        <v>1</v>
      </c>
    </row>
    <row r="124" spans="1:20" x14ac:dyDescent="0.3">
      <c r="A124">
        <v>6.7</v>
      </c>
      <c r="B124">
        <v>2</v>
      </c>
      <c r="C124">
        <f t="shared" ca="1" si="14"/>
        <v>2</v>
      </c>
      <c r="D124">
        <f t="shared" si="16"/>
        <v>1.6721570997982074</v>
      </c>
      <c r="E124">
        <f t="shared" si="17"/>
        <v>1.0539350222176758</v>
      </c>
      <c r="F124">
        <f t="array" ref="F124" ca="1">SQRT(SUM(($D124:$E124-$N$6:$O$6)^2))</f>
        <v>3.7438577560061832</v>
      </c>
      <c r="G124">
        <f t="array" ref="G124" ca="1">SQRT(SUM(($D124:$E124-$N$7:$O$7)^2))</f>
        <v>1.0508276472311369</v>
      </c>
      <c r="H124">
        <f t="array" ref="H124" ca="1">SQRT(SUM(($D124:$E124-$N$8:$O$8)^2))</f>
        <v>1.1115377349418296</v>
      </c>
      <c r="I124">
        <f t="array" ref="I124" ca="1">SQRT(SUM(($D124:$E124-$N$9:$O$9)^2))</f>
        <v>3.5372239005049066</v>
      </c>
      <c r="J124">
        <f t="shared" ca="1" si="15"/>
        <v>1.0508276472311369</v>
      </c>
      <c r="R124">
        <v>6.7</v>
      </c>
      <c r="S124">
        <v>2</v>
      </c>
      <c r="T124">
        <f t="shared" si="18"/>
        <v>1</v>
      </c>
    </row>
    <row r="125" spans="1:20" x14ac:dyDescent="0.3">
      <c r="A125">
        <v>4.9000000000000004</v>
      </c>
      <c r="B125">
        <v>1.8</v>
      </c>
      <c r="C125">
        <f t="shared" ca="1" si="14"/>
        <v>3</v>
      </c>
      <c r="D125">
        <f t="shared" si="16"/>
        <v>0.64908341535334824</v>
      </c>
      <c r="E125">
        <f t="shared" si="17"/>
        <v>0.79067065363707378</v>
      </c>
      <c r="F125">
        <f t="array" ref="F125" ca="1">SQRT(SUM(($D125:$E125-$N$6:$O$6)^2))</f>
        <v>2.8202353023817923</v>
      </c>
      <c r="G125">
        <f t="array" ref="G125" ca="1">SQRT(SUM(($D125:$E125-$N$7:$O$7)^2))</f>
        <v>0.79793177795468451</v>
      </c>
      <c r="H125">
        <f t="array" ref="H125" ca="1">SQRT(SUM(($D125:$E125-$N$8:$O$8)^2))</f>
        <v>5.6837426913603606E-2</v>
      </c>
      <c r="I125">
        <f t="array" ref="I125" ca="1">SQRT(SUM(($D125:$E125-$N$9:$O$9)^2))</f>
        <v>2.5892321628154602</v>
      </c>
      <c r="J125">
        <f t="shared" ca="1" si="15"/>
        <v>5.6837426913603606E-2</v>
      </c>
      <c r="R125">
        <v>4.9000000000000004</v>
      </c>
      <c r="S125">
        <v>1.8</v>
      </c>
      <c r="T125">
        <f t="shared" si="18"/>
        <v>1</v>
      </c>
    </row>
    <row r="126" spans="1:20" x14ac:dyDescent="0.3">
      <c r="A126">
        <v>5.7</v>
      </c>
      <c r="B126">
        <v>2.1</v>
      </c>
      <c r="C126">
        <f t="shared" ca="1" si="14"/>
        <v>2</v>
      </c>
      <c r="D126">
        <f t="shared" si="16"/>
        <v>1.1037828306621744</v>
      </c>
      <c r="E126">
        <f t="shared" si="17"/>
        <v>1.1855672065079768</v>
      </c>
      <c r="F126">
        <f t="array" ref="F126" ca="1">SQRT(SUM(($D126:$E126-$N$6:$O$6)^2))</f>
        <v>3.4184086105554319</v>
      </c>
      <c r="G126">
        <f t="array" ref="G126" ca="1">SQRT(SUM(($D126:$E126-$N$7:$O$7)^2))</f>
        <v>0.52176722683880106</v>
      </c>
      <c r="H126">
        <f t="array" ref="H126" ca="1">SQRT(SUM(($D126:$E126-$N$8:$O$8)^2))</f>
        <v>0.64623001200827623</v>
      </c>
      <c r="I126">
        <f t="array" ref="I126" ca="1">SQRT(SUM(($D126:$E126-$N$9:$O$9)^2))</f>
        <v>3.19003153401562</v>
      </c>
      <c r="J126">
        <f t="shared" ca="1" si="15"/>
        <v>0.52176722683880106</v>
      </c>
      <c r="R126">
        <v>5.7</v>
      </c>
      <c r="S126">
        <v>2.1</v>
      </c>
      <c r="T126">
        <f t="shared" si="18"/>
        <v>1</v>
      </c>
    </row>
    <row r="127" spans="1:20" x14ac:dyDescent="0.3">
      <c r="A127">
        <v>6</v>
      </c>
      <c r="B127">
        <v>1.8</v>
      </c>
      <c r="C127">
        <f t="shared" ca="1" si="14"/>
        <v>3</v>
      </c>
      <c r="D127">
        <f t="shared" si="16"/>
        <v>1.2742951114029841</v>
      </c>
      <c r="E127">
        <f t="shared" si="17"/>
        <v>0.79067065363707378</v>
      </c>
      <c r="F127">
        <f t="array" ref="F127" ca="1">SQRT(SUM(($D127:$E127-$N$6:$O$6)^2))</f>
        <v>3.2695496348796045</v>
      </c>
      <c r="G127">
        <f t="array" ref="G127" ca="1">SQRT(SUM(($D127:$E127-$N$7:$O$7)^2))</f>
        <v>0.94097985676005946</v>
      </c>
      <c r="H127">
        <f t="array" ref="H127" ca="1">SQRT(SUM(($D127:$E127-$N$8:$O$8)^2))</f>
        <v>0.6820491229632395</v>
      </c>
      <c r="I127">
        <f t="array" ref="I127" ca="1">SQRT(SUM(($D127:$E127-$N$9:$O$9)^2))</f>
        <v>3.0609279636965261</v>
      </c>
      <c r="J127">
        <f t="shared" ca="1" si="15"/>
        <v>0.6820491229632395</v>
      </c>
      <c r="R127">
        <v>6</v>
      </c>
      <c r="S127">
        <v>1.8</v>
      </c>
      <c r="T127">
        <f t="shared" si="18"/>
        <v>1</v>
      </c>
    </row>
    <row r="128" spans="1:20" x14ac:dyDescent="0.3">
      <c r="A128">
        <v>4.8</v>
      </c>
      <c r="B128">
        <v>1.8</v>
      </c>
      <c r="C128">
        <f t="shared" ca="1" si="14"/>
        <v>3</v>
      </c>
      <c r="D128">
        <f t="shared" si="16"/>
        <v>0.59224598843974463</v>
      </c>
      <c r="E128">
        <f t="shared" si="17"/>
        <v>0.79067065363707378</v>
      </c>
      <c r="F128">
        <f t="array" ref="F128" ca="1">SQRT(SUM(($D128:$E128-$N$6:$O$6)^2))</f>
        <v>2.7827585431402722</v>
      </c>
      <c r="G128">
        <f t="array" ref="G128" ca="1">SQRT(SUM(($D128:$E128-$N$7:$O$7)^2))</f>
        <v>0.80798984384750772</v>
      </c>
      <c r="H128">
        <f t="array" ref="H128" ca="1">SQRT(SUM(($D128:$E128-$N$8:$O$8)^2))</f>
        <v>0</v>
      </c>
      <c r="I128">
        <f t="array" ref="I128" ca="1">SQRT(SUM(($D128:$E128-$N$9:$O$9)^2))</f>
        <v>2.5496278410336668</v>
      </c>
      <c r="J128">
        <f t="shared" ca="1" si="15"/>
        <v>0</v>
      </c>
      <c r="R128">
        <v>4.8</v>
      </c>
      <c r="S128">
        <v>1.8</v>
      </c>
      <c r="T128">
        <f t="shared" si="18"/>
        <v>1</v>
      </c>
    </row>
    <row r="129" spans="1:20" x14ac:dyDescent="0.3">
      <c r="A129">
        <v>4.9000000000000004</v>
      </c>
      <c r="B129">
        <v>1.8</v>
      </c>
      <c r="C129">
        <f t="shared" ca="1" si="14"/>
        <v>3</v>
      </c>
      <c r="D129">
        <f t="shared" si="16"/>
        <v>0.64908341535334824</v>
      </c>
      <c r="E129">
        <f t="shared" si="17"/>
        <v>0.79067065363707378</v>
      </c>
      <c r="F129">
        <f t="array" ref="F129" ca="1">SQRT(SUM(($D129:$E129-$N$6:$O$6)^2))</f>
        <v>2.8202353023817923</v>
      </c>
      <c r="G129">
        <f t="array" ref="G129" ca="1">SQRT(SUM(($D129:$E129-$N$7:$O$7)^2))</f>
        <v>0.79793177795468451</v>
      </c>
      <c r="H129">
        <f t="array" ref="H129" ca="1">SQRT(SUM(($D129:$E129-$N$8:$O$8)^2))</f>
        <v>5.6837426913603606E-2</v>
      </c>
      <c r="I129">
        <f t="array" ref="I129" ca="1">SQRT(SUM(($D129:$E129-$N$9:$O$9)^2))</f>
        <v>2.5892321628154602</v>
      </c>
      <c r="J129">
        <f t="shared" ca="1" si="15"/>
        <v>5.6837426913603606E-2</v>
      </c>
      <c r="R129">
        <v>4.9000000000000004</v>
      </c>
      <c r="S129">
        <v>1.8</v>
      </c>
      <c r="T129">
        <f t="shared" si="18"/>
        <v>1</v>
      </c>
    </row>
    <row r="130" spans="1:20" x14ac:dyDescent="0.3">
      <c r="A130">
        <v>5.6</v>
      </c>
      <c r="B130">
        <v>2.1</v>
      </c>
      <c r="C130">
        <f t="shared" ca="1" si="14"/>
        <v>2</v>
      </c>
      <c r="D130">
        <f t="shared" ref="D130:D151" si="19">(A130-M$2)/M$3</f>
        <v>1.0469454037485708</v>
      </c>
      <c r="E130">
        <f t="shared" ref="E130:E151" si="20">(B130-N$2)/N$3</f>
        <v>1.1855672065079768</v>
      </c>
      <c r="F130">
        <f t="array" ref="F130" ca="1">SQRT(SUM(($D130:$E130-$N$6:$O$6)^2))</f>
        <v>3.3799182664331719</v>
      </c>
      <c r="G130">
        <f t="array" ref="G130" ca="1">SQRT(SUM(($D130:$E130-$N$7:$O$7)^2))</f>
        <v>0.48652401268930345</v>
      </c>
      <c r="H130">
        <f t="array" ref="H130" ca="1">SQRT(SUM(($D130:$E130-$N$8:$O$8)^2))</f>
        <v>0.60224151779125146</v>
      </c>
      <c r="I130">
        <f t="array" ref="I130" ca="1">SQRT(SUM(($D130:$E130-$N$9:$O$9)^2))</f>
        <v>3.1497765370355197</v>
      </c>
      <c r="J130">
        <f t="shared" ca="1" si="15"/>
        <v>0.48652401268930345</v>
      </c>
      <c r="R130">
        <v>5.6</v>
      </c>
      <c r="S130">
        <v>2.1</v>
      </c>
      <c r="T130">
        <f t="shared" ref="T130:T151" si="21">IF(W130=AA130,1,IF(X130=AA130,2,IF(Y130=AA130,3,4)))</f>
        <v>1</v>
      </c>
    </row>
    <row r="131" spans="1:20" x14ac:dyDescent="0.3">
      <c r="A131">
        <v>5.8</v>
      </c>
      <c r="B131">
        <v>1.6</v>
      </c>
      <c r="C131">
        <f t="shared" ref="C131:C151" ca="1" si="22">IF(F131=J131,1,IF(G131=J131,2,IF(H131=J131,3,4)))</f>
        <v>3</v>
      </c>
      <c r="D131">
        <f t="shared" si="19"/>
        <v>1.1606202575757776</v>
      </c>
      <c r="E131">
        <f t="shared" si="20"/>
        <v>0.5274062850564718</v>
      </c>
      <c r="F131">
        <f t="array" ref="F131" ca="1">SQRT(SUM(($D131:$E131-$N$6:$O$6)^2))</f>
        <v>3.0157400560386218</v>
      </c>
      <c r="G131">
        <f t="array" ref="G131" ca="1">SQRT(SUM(($D131:$E131-$N$7:$O$7)^2))</f>
        <v>1.1257105338567677</v>
      </c>
      <c r="H131">
        <f t="array" ref="H131" ca="1">SQRT(SUM(($D131:$E131-$N$8:$O$8)^2))</f>
        <v>0.62638441677620194</v>
      </c>
      <c r="I131">
        <f t="array" ref="I131" ca="1">SQRT(SUM(($D131:$E131-$N$9:$O$9)^2))</f>
        <v>2.815235602487784</v>
      </c>
      <c r="J131">
        <f t="shared" ref="J131:J151" ca="1" si="23">MIN(F131:I131)</f>
        <v>0.62638441677620194</v>
      </c>
      <c r="R131">
        <v>5.8</v>
      </c>
      <c r="S131">
        <v>1.6</v>
      </c>
      <c r="T131">
        <f t="shared" si="21"/>
        <v>1</v>
      </c>
    </row>
    <row r="132" spans="1:20" x14ac:dyDescent="0.3">
      <c r="A132">
        <v>6.1</v>
      </c>
      <c r="B132">
        <v>1.9</v>
      </c>
      <c r="C132">
        <f t="shared" ca="1" si="22"/>
        <v>3</v>
      </c>
      <c r="D132">
        <f t="shared" si="19"/>
        <v>1.3311325383165873</v>
      </c>
      <c r="E132">
        <f t="shared" si="20"/>
        <v>0.92230283792737455</v>
      </c>
      <c r="F132">
        <f t="array" ref="F132" ca="1">SQRT(SUM(($D132:$E132-$N$6:$O$6)^2))</f>
        <v>3.3984203322619915</v>
      </c>
      <c r="G132">
        <f t="array" ref="G132" ca="1">SQRT(SUM(($D132:$E132-$N$7:$O$7)^2))</f>
        <v>0.86961204473133513</v>
      </c>
      <c r="H132">
        <f t="array" ref="H132" ca="1">SQRT(SUM(($D132:$E132-$N$8:$O$8)^2))</f>
        <v>0.75052006337601629</v>
      </c>
      <c r="I132">
        <f t="array" ref="I132" ca="1">SQRT(SUM(($D132:$E132-$N$9:$O$9)^2))</f>
        <v>3.1863485096218285</v>
      </c>
      <c r="J132">
        <f t="shared" ca="1" si="23"/>
        <v>0.75052006337601629</v>
      </c>
      <c r="R132">
        <v>6.1</v>
      </c>
      <c r="S132">
        <v>1.9</v>
      </c>
      <c r="T132">
        <f t="shared" si="21"/>
        <v>1</v>
      </c>
    </row>
    <row r="133" spans="1:20" x14ac:dyDescent="0.3">
      <c r="A133">
        <v>6.4</v>
      </c>
      <c r="B133">
        <v>2</v>
      </c>
      <c r="C133">
        <f t="shared" ca="1" si="22"/>
        <v>2</v>
      </c>
      <c r="D133">
        <f t="shared" si="19"/>
        <v>1.5016448190573974</v>
      </c>
      <c r="E133">
        <f t="shared" si="20"/>
        <v>1.0539350222176758</v>
      </c>
      <c r="F133">
        <f t="array" ref="F133" ca="1">SQRT(SUM(($D133:$E133-$N$6:$O$6)^2))</f>
        <v>3.6134491067475096</v>
      </c>
      <c r="G133">
        <f t="array" ref="G133" ca="1">SQRT(SUM(($D133:$E133-$N$7:$O$7)^2))</f>
        <v>0.90729589696276947</v>
      </c>
      <c r="H133">
        <f t="array" ref="H133" ca="1">SQRT(SUM(($D133:$E133-$N$8:$O$8)^2))</f>
        <v>0.94673880288752166</v>
      </c>
      <c r="I133">
        <f t="array" ref="I133" ca="1">SQRT(SUM(($D133:$E133-$N$9:$O$9)^2))</f>
        <v>3.4017465265270452</v>
      </c>
      <c r="J133">
        <f t="shared" ca="1" si="23"/>
        <v>0.90729589696276947</v>
      </c>
      <c r="R133">
        <v>6.4</v>
      </c>
      <c r="S133">
        <v>2</v>
      </c>
      <c r="T133">
        <f t="shared" si="21"/>
        <v>1</v>
      </c>
    </row>
    <row r="134" spans="1:20" x14ac:dyDescent="0.3">
      <c r="A134">
        <v>5.6</v>
      </c>
      <c r="B134">
        <v>2.2000000000000002</v>
      </c>
      <c r="C134">
        <f t="shared" ca="1" si="22"/>
        <v>2</v>
      </c>
      <c r="D134">
        <f t="shared" si="19"/>
        <v>1.0469454037485708</v>
      </c>
      <c r="E134">
        <f t="shared" si="20"/>
        <v>1.317199390798278</v>
      </c>
      <c r="F134">
        <f t="array" ref="F134" ca="1">SQRT(SUM(($D134:$E134-$N$6:$O$6)^2))</f>
        <v>3.4784481789253405</v>
      </c>
      <c r="G134">
        <f t="array" ref="G134" ca="1">SQRT(SUM(($D134:$E134-$N$7:$O$7)^2))</f>
        <v>0.38738928123803662</v>
      </c>
      <c r="H134">
        <f t="array" ref="H134" ca="1">SQRT(SUM(($D134:$E134-$N$8:$O$8)^2))</f>
        <v>0.69568963578506815</v>
      </c>
      <c r="I134">
        <f t="array" ref="I134" ca="1">SQRT(SUM(($D134:$E134-$N$9:$O$9)^2))</f>
        <v>3.2446168265599136</v>
      </c>
      <c r="J134">
        <f t="shared" ca="1" si="23"/>
        <v>0.38738928123803662</v>
      </c>
      <c r="R134">
        <v>5.6</v>
      </c>
      <c r="S134">
        <v>2.2000000000000002</v>
      </c>
      <c r="T134">
        <f t="shared" si="21"/>
        <v>1</v>
      </c>
    </row>
    <row r="135" spans="1:20" x14ac:dyDescent="0.3">
      <c r="A135">
        <v>5.0999999999999996</v>
      </c>
      <c r="B135">
        <v>1.5</v>
      </c>
      <c r="C135">
        <f t="shared" ca="1" si="22"/>
        <v>3</v>
      </c>
      <c r="D135">
        <f t="shared" si="19"/>
        <v>0.76275826918055445</v>
      </c>
      <c r="E135">
        <f t="shared" si="20"/>
        <v>0.3957741007661707</v>
      </c>
      <c r="F135">
        <f t="array" ref="F135" ca="1">SQRT(SUM(($D135:$E135-$N$6:$O$6)^2))</f>
        <v>2.6240469590462854</v>
      </c>
      <c r="G135">
        <f t="array" ref="G135" ca="1">SQRT(SUM(($D135:$E135-$N$7:$O$7)^2))</f>
        <v>1.1846896586127089</v>
      </c>
      <c r="H135">
        <f t="array" ref="H135" ca="1">SQRT(SUM(($D135:$E135-$N$8:$O$8)^2))</f>
        <v>0.4301368681626288</v>
      </c>
      <c r="I135">
        <f t="array" ref="I135" ca="1">SQRT(SUM(($D135:$E135-$N$9:$O$9)^2))</f>
        <v>2.4147506882362322</v>
      </c>
      <c r="J135">
        <f t="shared" ca="1" si="23"/>
        <v>0.4301368681626288</v>
      </c>
      <c r="R135">
        <v>5.0999999999999996</v>
      </c>
      <c r="S135">
        <v>1.5</v>
      </c>
      <c r="T135">
        <f t="shared" si="21"/>
        <v>1</v>
      </c>
    </row>
    <row r="136" spans="1:20" x14ac:dyDescent="0.3">
      <c r="A136">
        <v>5.6</v>
      </c>
      <c r="B136">
        <v>1.4</v>
      </c>
      <c r="C136">
        <f t="shared" ca="1" si="22"/>
        <v>3</v>
      </c>
      <c r="D136">
        <f t="shared" si="19"/>
        <v>1.0469454037485708</v>
      </c>
      <c r="E136">
        <f t="shared" si="20"/>
        <v>0.2641419164758696</v>
      </c>
      <c r="F136">
        <f t="array" ref="F136" ca="1">SQRT(SUM(($D136:$E136-$N$6:$O$6)^2))</f>
        <v>2.7683716435052319</v>
      </c>
      <c r="G136">
        <f t="array" ref="G136" ca="1">SQRT(SUM(($D136:$E136-$N$7:$O$7)^2))</f>
        <v>1.3466497397458466</v>
      </c>
      <c r="H136">
        <f t="array" ref="H136" ca="1">SQRT(SUM(($D136:$E136-$N$8:$O$8)^2))</f>
        <v>0.69568963578506815</v>
      </c>
      <c r="I136">
        <f t="array" ref="I136" ca="1">SQRT(SUM(($D136:$E136-$N$9:$O$9)^2))</f>
        <v>2.5780386336134899</v>
      </c>
      <c r="J136">
        <f t="shared" ca="1" si="23"/>
        <v>0.69568963578506815</v>
      </c>
      <c r="R136">
        <v>5.6</v>
      </c>
      <c r="S136">
        <v>1.4</v>
      </c>
      <c r="T136">
        <f t="shared" si="21"/>
        <v>1</v>
      </c>
    </row>
    <row r="137" spans="1:20" x14ac:dyDescent="0.3">
      <c r="A137">
        <v>6.1</v>
      </c>
      <c r="B137">
        <v>2.2999999999999998</v>
      </c>
      <c r="C137">
        <f t="shared" ca="1" si="22"/>
        <v>2</v>
      </c>
      <c r="D137">
        <f t="shared" si="19"/>
        <v>1.3311325383165873</v>
      </c>
      <c r="E137">
        <f t="shared" si="20"/>
        <v>1.4488315750885783</v>
      </c>
      <c r="F137">
        <f t="array" ref="F137" ca="1">SQRT(SUM(($D137:$E137-$N$6:$O$6)^2))</f>
        <v>3.7660283601918265</v>
      </c>
      <c r="G137">
        <f t="array" ref="G137" ca="1">SQRT(SUM(($D137:$E137-$N$7:$O$7)^2))</f>
        <v>0.58341781062713138</v>
      </c>
      <c r="H137">
        <f t="array" ref="H137" ca="1">SQRT(SUM(($D137:$E137-$N$8:$O$8)^2))</f>
        <v>0.98950954119442291</v>
      </c>
      <c r="I137">
        <f t="array" ref="I137" ca="1">SQRT(SUM(($D137:$E137-$N$9:$O$9)^2))</f>
        <v>3.5368479142804699</v>
      </c>
      <c r="J137">
        <f t="shared" ca="1" si="23"/>
        <v>0.58341781062713138</v>
      </c>
      <c r="R137">
        <v>6.1</v>
      </c>
      <c r="S137">
        <v>2.2999999999999998</v>
      </c>
      <c r="T137">
        <f t="shared" si="21"/>
        <v>1</v>
      </c>
    </row>
    <row r="138" spans="1:20" x14ac:dyDescent="0.3">
      <c r="A138">
        <v>5.6</v>
      </c>
      <c r="B138">
        <v>2.4</v>
      </c>
      <c r="C138">
        <f t="shared" ca="1" si="22"/>
        <v>2</v>
      </c>
      <c r="D138">
        <f t="shared" si="19"/>
        <v>1.0469454037485708</v>
      </c>
      <c r="E138">
        <f t="shared" si="20"/>
        <v>1.5804637593788795</v>
      </c>
      <c r="F138">
        <f t="array" ref="F138" ca="1">SQRT(SUM(($D138:$E138-$N$6:$O$6)^2))</f>
        <v>3.6817213931143704</v>
      </c>
      <c r="G138">
        <f t="array" ref="G138" ca="1">SQRT(SUM(($D138:$E138-$N$7:$O$7)^2))</f>
        <v>0.28418713456801636</v>
      </c>
      <c r="H138">
        <f t="array" ref="H138" ca="1">SQRT(SUM(($D138:$E138-$N$8:$O$8)^2))</f>
        <v>0.91133128343071579</v>
      </c>
      <c r="I138">
        <f t="array" ref="I138" ca="1">SQRT(SUM(($D138:$E138-$N$9:$O$9)^2))</f>
        <v>3.4415683603140064</v>
      </c>
      <c r="J138">
        <f t="shared" ca="1" si="23"/>
        <v>0.28418713456801636</v>
      </c>
      <c r="R138">
        <v>5.6</v>
      </c>
      <c r="S138">
        <v>2.4</v>
      </c>
      <c r="T138">
        <f t="shared" si="21"/>
        <v>1</v>
      </c>
    </row>
    <row r="139" spans="1:20" x14ac:dyDescent="0.3">
      <c r="A139">
        <v>5.5</v>
      </c>
      <c r="B139">
        <v>1.8</v>
      </c>
      <c r="C139">
        <f t="shared" ca="1" si="22"/>
        <v>3</v>
      </c>
      <c r="D139">
        <f t="shared" si="19"/>
        <v>0.99010797683496776</v>
      </c>
      <c r="E139">
        <f t="shared" si="20"/>
        <v>0.79067065363707378</v>
      </c>
      <c r="F139">
        <f t="array" ref="F139" ca="1">SQRT(SUM(($D139:$E139-$N$6:$O$6)^2))</f>
        <v>3.0576625352064752</v>
      </c>
      <c r="G139">
        <f t="array" ref="G139" ca="1">SQRT(SUM(($D139:$E139-$N$7:$O$7)^2))</f>
        <v>0.82186436803637763</v>
      </c>
      <c r="H139">
        <f t="array" ref="H139" ca="1">SQRT(SUM(($D139:$E139-$N$8:$O$8)^2))</f>
        <v>0.39786198839522313</v>
      </c>
      <c r="I139">
        <f t="array" ref="I139" ca="1">SQRT(SUM(($D139:$E139-$N$9:$O$9)^2))</f>
        <v>2.8391777496636044</v>
      </c>
      <c r="J139">
        <f t="shared" ca="1" si="23"/>
        <v>0.39786198839522313</v>
      </c>
      <c r="R139">
        <v>5.5</v>
      </c>
      <c r="S139">
        <v>1.8</v>
      </c>
      <c r="T139">
        <f t="shared" si="21"/>
        <v>1</v>
      </c>
    </row>
    <row r="140" spans="1:20" x14ac:dyDescent="0.3">
      <c r="A140">
        <v>4.8</v>
      </c>
      <c r="B140">
        <v>1.8</v>
      </c>
      <c r="C140">
        <f t="shared" ca="1" si="22"/>
        <v>3</v>
      </c>
      <c r="D140">
        <f t="shared" si="19"/>
        <v>0.59224598843974463</v>
      </c>
      <c r="E140">
        <f t="shared" si="20"/>
        <v>0.79067065363707378</v>
      </c>
      <c r="F140">
        <f t="array" ref="F140" ca="1">SQRT(SUM(($D140:$E140-$N$6:$O$6)^2))</f>
        <v>2.7827585431402722</v>
      </c>
      <c r="G140">
        <f t="array" ref="G140" ca="1">SQRT(SUM(($D140:$E140-$N$7:$O$7)^2))</f>
        <v>0.80798984384750772</v>
      </c>
      <c r="H140">
        <f t="array" ref="H140" ca="1">SQRT(SUM(($D140:$E140-$N$8:$O$8)^2))</f>
        <v>0</v>
      </c>
      <c r="I140">
        <f t="array" ref="I140" ca="1">SQRT(SUM(($D140:$E140-$N$9:$O$9)^2))</f>
        <v>2.5496278410336668</v>
      </c>
      <c r="J140">
        <f t="shared" ca="1" si="23"/>
        <v>0</v>
      </c>
      <c r="R140">
        <v>4.8</v>
      </c>
      <c r="S140">
        <v>1.8</v>
      </c>
      <c r="T140">
        <f t="shared" si="21"/>
        <v>1</v>
      </c>
    </row>
    <row r="141" spans="1:20" x14ac:dyDescent="0.3">
      <c r="A141">
        <v>5.4</v>
      </c>
      <c r="B141">
        <v>2.1</v>
      </c>
      <c r="C141">
        <f t="shared" ca="1" si="22"/>
        <v>2</v>
      </c>
      <c r="D141">
        <f t="shared" si="19"/>
        <v>0.93327054992136471</v>
      </c>
      <c r="E141">
        <f t="shared" si="20"/>
        <v>1.1855672065079768</v>
      </c>
      <c r="F141">
        <f t="array" ref="F141" ca="1">SQRT(SUM(($D141:$E141-$N$6:$O$6)^2))</f>
        <v>3.3045257699790733</v>
      </c>
      <c r="G141">
        <f t="array" ref="G141" ca="1">SQRT(SUM(($D141:$E141-$N$7:$O$7)^2))</f>
        <v>0.43013686816262864</v>
      </c>
      <c r="H141">
        <f t="array" ref="H141" ca="1">SQRT(SUM(($D141:$E141-$N$8:$O$8)^2))</f>
        <v>0.52176722683880128</v>
      </c>
      <c r="I141">
        <f t="array" ref="I141" ca="1">SQRT(SUM(($D141:$E141-$N$9:$O$9)^2))</f>
        <v>3.0708398333907416</v>
      </c>
      <c r="J141">
        <f t="shared" ca="1" si="23"/>
        <v>0.43013686816262864</v>
      </c>
      <c r="R141">
        <v>5.4</v>
      </c>
      <c r="S141">
        <v>2.1</v>
      </c>
      <c r="T141">
        <f t="shared" si="21"/>
        <v>1</v>
      </c>
    </row>
    <row r="142" spans="1:20" x14ac:dyDescent="0.3">
      <c r="A142">
        <v>5.6</v>
      </c>
      <c r="B142">
        <v>2.4</v>
      </c>
      <c r="C142">
        <f t="shared" ca="1" si="22"/>
        <v>2</v>
      </c>
      <c r="D142">
        <f t="shared" si="19"/>
        <v>1.0469454037485708</v>
      </c>
      <c r="E142">
        <f t="shared" si="20"/>
        <v>1.5804637593788795</v>
      </c>
      <c r="F142">
        <f t="array" ref="F142" ca="1">SQRT(SUM(($D142:$E142-$N$6:$O$6)^2))</f>
        <v>3.6817213931143704</v>
      </c>
      <c r="G142">
        <f t="array" ref="G142" ca="1">SQRT(SUM(($D142:$E142-$N$7:$O$7)^2))</f>
        <v>0.28418713456801636</v>
      </c>
      <c r="H142">
        <f t="array" ref="H142" ca="1">SQRT(SUM(($D142:$E142-$N$8:$O$8)^2))</f>
        <v>0.91133128343071579</v>
      </c>
      <c r="I142">
        <f t="array" ref="I142" ca="1">SQRT(SUM(($D142:$E142-$N$9:$O$9)^2))</f>
        <v>3.4415683603140064</v>
      </c>
      <c r="J142">
        <f t="shared" ca="1" si="23"/>
        <v>0.28418713456801636</v>
      </c>
      <c r="R142">
        <v>5.6</v>
      </c>
      <c r="S142">
        <v>2.4</v>
      </c>
      <c r="T142">
        <f t="shared" si="21"/>
        <v>1</v>
      </c>
    </row>
    <row r="143" spans="1:20" x14ac:dyDescent="0.3">
      <c r="A143">
        <v>5.0999999999999996</v>
      </c>
      <c r="B143">
        <v>2.2999999999999998</v>
      </c>
      <c r="C143">
        <f t="shared" ca="1" si="22"/>
        <v>2</v>
      </c>
      <c r="D143">
        <f t="shared" si="19"/>
        <v>0.76275826918055445</v>
      </c>
      <c r="E143">
        <f t="shared" si="20"/>
        <v>1.4488315750885783</v>
      </c>
      <c r="F143">
        <f t="array" ref="F143" ca="1">SQRT(SUM(($D143:$E143-$N$6:$O$6)^2))</f>
        <v>3.4056680888251258</v>
      </c>
      <c r="G143">
        <f t="array" ref="G143" ca="1">SQRT(SUM(($D143:$E143-$N$7:$O$7)^2))</f>
        <v>0.13163218429030121</v>
      </c>
      <c r="H143">
        <f t="array" ref="H143" ca="1">SQRT(SUM(($D143:$E143-$N$8:$O$8)^2))</f>
        <v>0.67988987079476793</v>
      </c>
      <c r="I143">
        <f t="array" ref="I143" ca="1">SQRT(SUM(($D143:$E143-$N$9:$O$9)^2))</f>
        <v>3.1606183812959667</v>
      </c>
      <c r="J143">
        <f t="shared" ca="1" si="23"/>
        <v>0.13163218429030121</v>
      </c>
      <c r="R143">
        <v>5.0999999999999996</v>
      </c>
      <c r="S143">
        <v>2.2999999999999998</v>
      </c>
      <c r="T143">
        <f t="shared" si="21"/>
        <v>1</v>
      </c>
    </row>
    <row r="144" spans="1:20" x14ac:dyDescent="0.3">
      <c r="A144">
        <v>5.0999999999999996</v>
      </c>
      <c r="B144">
        <v>1.9</v>
      </c>
      <c r="C144">
        <f t="shared" ca="1" si="22"/>
        <v>3</v>
      </c>
      <c r="D144">
        <f t="shared" si="19"/>
        <v>0.76275826918055445</v>
      </c>
      <c r="E144">
        <f t="shared" si="20"/>
        <v>0.92230283792737455</v>
      </c>
      <c r="F144">
        <f t="array" ref="F144" ca="1">SQRT(SUM(($D144:$E144-$N$6:$O$6)^2))</f>
        <v>2.994138653470201</v>
      </c>
      <c r="G144">
        <f t="array" ref="G144" ca="1">SQRT(SUM(($D144:$E144-$N$7:$O$7)^2))</f>
        <v>0.65816092145150495</v>
      </c>
      <c r="H144">
        <f t="array" ref="H144" ca="1">SQRT(SUM(($D144:$E144-$N$8:$O$8)^2))</f>
        <v>0.21541000400275853</v>
      </c>
      <c r="I144">
        <f t="array" ref="I144" ca="1">SQRT(SUM(($D144:$E144-$N$9:$O$9)^2))</f>
        <v>2.7627942754039929</v>
      </c>
      <c r="J144">
        <f t="shared" ca="1" si="23"/>
        <v>0.21541000400275853</v>
      </c>
      <c r="R144">
        <v>5.0999999999999996</v>
      </c>
      <c r="S144">
        <v>1.9</v>
      </c>
      <c r="T144">
        <f t="shared" si="21"/>
        <v>1</v>
      </c>
    </row>
    <row r="145" spans="1:20" x14ac:dyDescent="0.3">
      <c r="A145">
        <v>5.9</v>
      </c>
      <c r="B145">
        <v>2.2999999999999998</v>
      </c>
      <c r="C145">
        <f t="shared" ca="1" si="22"/>
        <v>2</v>
      </c>
      <c r="D145">
        <f t="shared" si="19"/>
        <v>1.2174576844893812</v>
      </c>
      <c r="E145">
        <f t="shared" si="20"/>
        <v>1.4488315750885783</v>
      </c>
      <c r="F145">
        <f t="array" ref="F145" ca="1">SQRT(SUM(($D145:$E145-$N$6:$O$6)^2))</f>
        <v>3.6897700232525503</v>
      </c>
      <c r="G145">
        <f t="array" ref="G145" ca="1">SQRT(SUM(($D145:$E145-$N$7:$O$7)^2))</f>
        <v>0.47336940144376116</v>
      </c>
      <c r="H145">
        <f t="array" ref="H145" ca="1">SQRT(SUM(($D145:$E145-$N$8:$O$8)^2))</f>
        <v>0.90778051499421186</v>
      </c>
      <c r="I145">
        <f t="array" ref="I145" ca="1">SQRT(SUM(($D145:$E145-$N$9:$O$9)^2))</f>
        <v>3.4574048585415524</v>
      </c>
      <c r="J145">
        <f t="shared" ca="1" si="23"/>
        <v>0.47336940144376116</v>
      </c>
      <c r="R145">
        <v>5.9</v>
      </c>
      <c r="S145">
        <v>2.2999999999999998</v>
      </c>
      <c r="T145">
        <f t="shared" si="21"/>
        <v>1</v>
      </c>
    </row>
    <row r="146" spans="1:20" x14ac:dyDescent="0.3">
      <c r="A146">
        <v>5.7</v>
      </c>
      <c r="B146">
        <v>2.5</v>
      </c>
      <c r="C146">
        <f t="shared" ca="1" si="22"/>
        <v>2</v>
      </c>
      <c r="D146">
        <f t="shared" si="19"/>
        <v>1.1037828306621744</v>
      </c>
      <c r="E146">
        <f t="shared" si="20"/>
        <v>1.7120959436691805</v>
      </c>
      <c r="F146">
        <f t="array" ref="F146" ca="1">SQRT(SUM(($D146:$E146-$N$6:$O$6)^2))</f>
        <v>3.8205312189293159</v>
      </c>
      <c r="G146">
        <f t="array" ref="G146" ca="1">SQRT(SUM(($D146:$E146-$N$7:$O$7)^2))</f>
        <v>0.36554723836293301</v>
      </c>
      <c r="H146">
        <f t="array" ref="H146" ca="1">SQRT(SUM(($D146:$E146-$N$8:$O$8)^2))</f>
        <v>1.0538949217363403</v>
      </c>
      <c r="I146">
        <f t="array" ref="I146" ca="1">SQRT(SUM(($D146:$E146-$N$9:$O$9)^2))</f>
        <v>3.5791074366455504</v>
      </c>
      <c r="J146">
        <f t="shared" ca="1" si="23"/>
        <v>0.36554723836293301</v>
      </c>
      <c r="R146">
        <v>5.7</v>
      </c>
      <c r="S146">
        <v>2.5</v>
      </c>
      <c r="T146">
        <f t="shared" si="21"/>
        <v>1</v>
      </c>
    </row>
    <row r="147" spans="1:20" x14ac:dyDescent="0.3">
      <c r="A147">
        <v>5.2</v>
      </c>
      <c r="B147">
        <v>2.2999999999999998</v>
      </c>
      <c r="C147">
        <f t="shared" ca="1" si="22"/>
        <v>2</v>
      </c>
      <c r="D147">
        <f t="shared" si="19"/>
        <v>0.81959569609415794</v>
      </c>
      <c r="E147">
        <f t="shared" si="20"/>
        <v>1.4488315750885783</v>
      </c>
      <c r="F147">
        <f t="array" ref="F147" ca="1">SQRT(SUM(($D147:$E147-$N$6:$O$6)^2))</f>
        <v>3.4391772477165361</v>
      </c>
      <c r="G147">
        <f t="array" ref="G147" ca="1">SQRT(SUM(($D147:$E147-$N$7:$O$7)^2))</f>
        <v>0.14337895605420986</v>
      </c>
      <c r="H147">
        <f t="array" ref="H147" ca="1">SQRT(SUM(($D147:$E147-$N$8:$O$8)^2))</f>
        <v>0.69632154073850161</v>
      </c>
      <c r="I147">
        <f t="array" ref="I147" ca="1">SQRT(SUM(($D147:$E147-$N$9:$O$9)^2))</f>
        <v>3.195686557839946</v>
      </c>
      <c r="J147">
        <f t="shared" ca="1" si="23"/>
        <v>0.14337895605420986</v>
      </c>
      <c r="R147">
        <v>5.2</v>
      </c>
      <c r="S147">
        <v>2.2999999999999998</v>
      </c>
      <c r="T147">
        <f t="shared" si="21"/>
        <v>1</v>
      </c>
    </row>
    <row r="148" spans="1:20" x14ac:dyDescent="0.3">
      <c r="A148">
        <v>5</v>
      </c>
      <c r="B148">
        <v>1.9</v>
      </c>
      <c r="C148">
        <f t="shared" ca="1" si="22"/>
        <v>3</v>
      </c>
      <c r="D148">
        <f t="shared" si="19"/>
        <v>0.70592084226695129</v>
      </c>
      <c r="E148">
        <f t="shared" si="20"/>
        <v>0.92230283792737455</v>
      </c>
      <c r="F148">
        <f t="array" ref="F148" ca="1">SQRT(SUM(($D148:$E148-$N$6:$O$6)^2))</f>
        <v>2.9566809520865394</v>
      </c>
      <c r="G148">
        <f t="array" ref="G148" ca="1">SQRT(SUM(($D148:$E148-$N$7:$O$7)^2))</f>
        <v>0.66061054459042146</v>
      </c>
      <c r="H148">
        <f t="array" ref="H148" ca="1">SQRT(SUM(($D148:$E148-$N$8:$O$8)^2))</f>
        <v>0.1739224089462669</v>
      </c>
      <c r="I148">
        <f t="array" ref="I148" ca="1">SQRT(SUM(($D148:$E148-$N$9:$O$9)^2))</f>
        <v>2.7233415449826359</v>
      </c>
      <c r="J148">
        <f t="shared" ca="1" si="23"/>
        <v>0.1739224089462669</v>
      </c>
      <c r="R148">
        <v>5</v>
      </c>
      <c r="S148">
        <v>1.9</v>
      </c>
      <c r="T148">
        <f t="shared" si="21"/>
        <v>1</v>
      </c>
    </row>
    <row r="149" spans="1:20" x14ac:dyDescent="0.3">
      <c r="A149">
        <v>5.2</v>
      </c>
      <c r="B149">
        <v>2</v>
      </c>
      <c r="C149">
        <f t="shared" ca="1" si="22"/>
        <v>3</v>
      </c>
      <c r="D149">
        <f t="shared" si="19"/>
        <v>0.81959569609415794</v>
      </c>
      <c r="E149">
        <f t="shared" si="20"/>
        <v>1.0539350222176758</v>
      </c>
      <c r="F149">
        <f t="array" ref="F149" ca="1">SQRT(SUM(($D149:$E149-$N$6:$O$6)^2))</f>
        <v>3.1306033610328066</v>
      </c>
      <c r="G149">
        <f t="array" ref="G149" ca="1">SQRT(SUM(($D149:$E149-$N$7:$O$7)^2))</f>
        <v>0.52958757930556788</v>
      </c>
      <c r="H149">
        <f t="array" ref="H149" ca="1">SQRT(SUM(($D149:$E149-$N$8:$O$8)^2))</f>
        <v>0.34784481789253419</v>
      </c>
      <c r="I149">
        <f t="array" ref="I149" ca="1">SQRT(SUM(($D149:$E149-$N$9:$O$9)^2))</f>
        <v>2.8970802926653878</v>
      </c>
      <c r="J149">
        <f t="shared" ca="1" si="23"/>
        <v>0.34784481789253419</v>
      </c>
      <c r="R149">
        <v>5.2</v>
      </c>
      <c r="S149">
        <v>2</v>
      </c>
      <c r="T149">
        <f t="shared" si="21"/>
        <v>1</v>
      </c>
    </row>
    <row r="150" spans="1:20" x14ac:dyDescent="0.3">
      <c r="A150">
        <v>5.4</v>
      </c>
      <c r="B150">
        <v>2.2999999999999998</v>
      </c>
      <c r="C150">
        <f t="shared" ca="1" si="22"/>
        <v>2</v>
      </c>
      <c r="D150">
        <f t="shared" si="19"/>
        <v>0.93327054992136471</v>
      </c>
      <c r="E150">
        <f t="shared" si="20"/>
        <v>1.4488315750885783</v>
      </c>
      <c r="F150">
        <f t="array" ref="F150" ca="1">SQRT(SUM(($D150:$E150-$N$6:$O$6)^2))</f>
        <v>3.5079984492212435</v>
      </c>
      <c r="G150">
        <f t="array" ref="G150" ca="1">SQRT(SUM(($D150:$E150-$N$7:$O$7)^2))</f>
        <v>0.21541000400275917</v>
      </c>
      <c r="H150">
        <f t="array" ref="H150" ca="1">SQRT(SUM(($D150:$E150-$N$8:$O$8)^2))</f>
        <v>0.74126483125777975</v>
      </c>
      <c r="I150">
        <f t="array" ref="I150" ca="1">SQRT(SUM(($D150:$E150-$N$9:$O$9)^2))</f>
        <v>3.2676602611186261</v>
      </c>
      <c r="J150">
        <f t="shared" ca="1" si="23"/>
        <v>0.21541000400275917</v>
      </c>
      <c r="R150">
        <v>5.4</v>
      </c>
      <c r="S150">
        <v>2.2999999999999998</v>
      </c>
      <c r="T150">
        <f t="shared" si="21"/>
        <v>1</v>
      </c>
    </row>
    <row r="151" spans="1:20" x14ac:dyDescent="0.3">
      <c r="A151">
        <v>5.0999999999999996</v>
      </c>
      <c r="B151">
        <v>1.8</v>
      </c>
      <c r="C151">
        <f t="shared" ca="1" si="22"/>
        <v>3</v>
      </c>
      <c r="D151">
        <f t="shared" si="19"/>
        <v>0.76275826918055445</v>
      </c>
      <c r="E151">
        <f t="shared" si="20"/>
        <v>0.79067065363707378</v>
      </c>
      <c r="F151">
        <f t="array" ref="F151" ca="1">SQRT(SUM(($D151:$E151-$N$6:$O$6)^2))</f>
        <v>2.8970802926653878</v>
      </c>
      <c r="G151">
        <f t="array" ref="G151" ca="1">SQRT(SUM(($D151:$E151-$N$7:$O$7)^2))</f>
        <v>0.78979310574180572</v>
      </c>
      <c r="H151">
        <f t="array" ref="H151" ca="1">SQRT(SUM(($D151:$E151-$N$8:$O$8)^2))</f>
        <v>0.17051228074080982</v>
      </c>
      <c r="I151">
        <f t="array" ref="I151" ca="1">SQRT(SUM(($D151:$E151-$N$9:$O$9)^2))</f>
        <v>2.6703086491855279</v>
      </c>
      <c r="J151">
        <f t="shared" ca="1" si="23"/>
        <v>0.17051228074080982</v>
      </c>
      <c r="R151">
        <v>5.0999999999999996</v>
      </c>
      <c r="S151">
        <v>1.8</v>
      </c>
      <c r="T151">
        <f t="shared" si="21"/>
        <v>1</v>
      </c>
    </row>
  </sheetData>
  <sortState xmlns:xlrd2="http://schemas.microsoft.com/office/spreadsheetml/2017/richdata2" ref="R2:T151">
    <sortCondition ref="T2:T15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ICJALIZACJA2">
                <anchor moveWithCells="1" sizeWithCells="1">
                  <from>
                    <xdr:col>11</xdr:col>
                    <xdr:colOff>15240</xdr:colOff>
                    <xdr:row>18</xdr:row>
                    <xdr:rowOff>137160</xdr:rowOff>
                  </from>
                  <to>
                    <xdr:col>13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Means2">
                <anchor moveWithCells="1" sizeWithCells="1">
                  <from>
                    <xdr:col>14</xdr:col>
                    <xdr:colOff>190500</xdr:colOff>
                    <xdr:row>18</xdr:row>
                    <xdr:rowOff>152400</xdr:rowOff>
                  </from>
                  <to>
                    <xdr:col>16</xdr:col>
                    <xdr:colOff>518160</xdr:colOff>
                    <xdr:row>21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0F66C-5C24-4962-BA6E-7429354653FD}">
  <sheetPr codeName="Arkusz4"/>
  <dimension ref="A1:R151"/>
  <sheetViews>
    <sheetView topLeftCell="A13" workbookViewId="0">
      <selection activeCell="N34" sqref="N34:O35"/>
    </sheetView>
  </sheetViews>
  <sheetFormatPr defaultRowHeight="14.4" x14ac:dyDescent="0.3"/>
  <cols>
    <col min="1" max="1" width="12.109375" bestFit="1" customWidth="1"/>
    <col min="2" max="2" width="11.5546875" bestFit="1" customWidth="1"/>
    <col min="4" max="4" width="12.6640625" bestFit="1" customWidth="1"/>
    <col min="5" max="6" width="12" bestFit="1" customWidth="1"/>
    <col min="9" max="9" width="11" bestFit="1" customWidth="1"/>
    <col min="10" max="11" width="9.109375" bestFit="1" customWidth="1"/>
    <col min="14" max="14" width="12.5546875" bestFit="1" customWidth="1"/>
    <col min="16" max="16" width="12.109375" bestFit="1" customWidth="1"/>
    <col min="17" max="17" width="11.5546875" bestFit="1" customWidth="1"/>
    <col min="18" max="18" width="12.109375" bestFit="1" customWidth="1"/>
    <col min="19" max="19" width="11.5546875" bestFit="1" customWidth="1"/>
  </cols>
  <sheetData>
    <row r="1" spans="1:18" x14ac:dyDescent="0.3">
      <c r="A1" t="s">
        <v>0</v>
      </c>
      <c r="B1" t="s">
        <v>1</v>
      </c>
      <c r="C1" t="s">
        <v>15</v>
      </c>
      <c r="D1" t="s">
        <v>28</v>
      </c>
      <c r="E1" t="s">
        <v>29</v>
      </c>
      <c r="F1" t="s">
        <v>30</v>
      </c>
      <c r="G1" t="s">
        <v>33</v>
      </c>
      <c r="I1" t="s">
        <v>14</v>
      </c>
      <c r="J1" t="s">
        <v>16</v>
      </c>
      <c r="K1" t="s">
        <v>34</v>
      </c>
      <c r="P1" t="s">
        <v>0</v>
      </c>
      <c r="Q1" t="s">
        <v>1</v>
      </c>
      <c r="R1" t="s">
        <v>15</v>
      </c>
    </row>
    <row r="2" spans="1:18" x14ac:dyDescent="0.3">
      <c r="A2">
        <v>1.4</v>
      </c>
      <c r="B2">
        <v>0.2</v>
      </c>
      <c r="C2">
        <f>IF(E2=G2,1,IF(F2=G2,2,IF(#REF!=G2,3,4)))</f>
        <v>1</v>
      </c>
      <c r="D2" cm="1">
        <f t="array" ref="D2">$L$12*NMultDensity(A2:B2,$J$14:$K$14,$J$12:$K$13)+$L$8*NMultDensity(A2:B2,$J$10:$K$10,$J$8:$K$9)</f>
        <v>2.7764639014678072</v>
      </c>
      <c r="E2" cm="1">
        <f t="array" ref="E2">$L$8*NMultDensity(A2:B2,$J$10:$K$10,$J$8:$K$9)/D2</f>
        <v>0.99997769903709099</v>
      </c>
      <c r="F2" cm="1">
        <f t="array" ref="F2">$L$12*NMultDensity(A2:B2,$J$14:$K$14,$J$12:$K$13)/D2</f>
        <v>2.2300962909056577E-5</v>
      </c>
      <c r="G2">
        <f t="shared" ref="G2:G33" si="0">MAX(E2:F2)</f>
        <v>0.99997769903709099</v>
      </c>
      <c r="I2">
        <v>1</v>
      </c>
      <c r="J2">
        <f>COUNTIF(C:C,I2)</f>
        <v>50</v>
      </c>
      <c r="K2">
        <f>J2/SUM($J$2:$J$3)</f>
        <v>0.33333333333333331</v>
      </c>
      <c r="P2">
        <v>1.4</v>
      </c>
      <c r="Q2">
        <v>0.2</v>
      </c>
      <c r="R2">
        <v>1</v>
      </c>
    </row>
    <row r="3" spans="1:18" x14ac:dyDescent="0.3">
      <c r="A3">
        <v>1.4</v>
      </c>
      <c r="B3">
        <v>0.2</v>
      </c>
      <c r="C3">
        <f>IF(E3=G3,1,IF(F3=G3,2,IF(#REF!=G3,3,4)))</f>
        <v>1</v>
      </c>
      <c r="D3" cm="1">
        <f t="array" ref="D3">$L$12*NMultDensity(A3:B3,$J$14:$K$14,$J$12:$K$13)+$L$8*NMultDensity(A3:B3,$J$10:$K$10,$J$8:$K$9)</f>
        <v>2.7764639014678072</v>
      </c>
      <c r="E3" cm="1">
        <f t="array" ref="E3">$L$8*NMultDensity(A3:B3,$J$10:$K$10,$J$8:$K$9)/D3</f>
        <v>0.99997769903709099</v>
      </c>
      <c r="F3" cm="1">
        <f t="array" ref="F3">$L$12*NMultDensity(A3:B3,$J$14:$K$14,$J$12:$K$13)/D3</f>
        <v>2.2300962909056577E-5</v>
      </c>
      <c r="G3">
        <f t="shared" si="0"/>
        <v>0.99997769903709099</v>
      </c>
      <c r="I3">
        <v>2</v>
      </c>
      <c r="J3">
        <f>COUNTIF(C:C,I3)</f>
        <v>100</v>
      </c>
      <c r="K3">
        <f>J3/SUM($J$2:$J$3)</f>
        <v>0.66666666666666663</v>
      </c>
      <c r="P3">
        <v>1.4</v>
      </c>
      <c r="Q3">
        <v>0.2</v>
      </c>
      <c r="R3">
        <v>1</v>
      </c>
    </row>
    <row r="4" spans="1:18" x14ac:dyDescent="0.3">
      <c r="A4">
        <v>1.3</v>
      </c>
      <c r="B4">
        <v>0.2</v>
      </c>
      <c r="C4">
        <f>IF(E4=G4,1,IF(F4=G4,2,IF(#REF!=G4,3,4)))</f>
        <v>1</v>
      </c>
      <c r="D4" cm="1">
        <f t="array" ref="D4">$L$12*NMultDensity(A4:B4,$J$14:$K$14,$J$12:$K$13)+$L$8*NMultDensity(A4:B4,$J$10:$K$10,$J$8:$K$9)</f>
        <v>1.9954853621973765</v>
      </c>
      <c r="E4" cm="1">
        <f t="array" ref="E4">$L$8*NMultDensity(A4:B4,$J$10:$K$10,$J$8:$K$9)/D4</f>
        <v>0.99998204569915239</v>
      </c>
      <c r="F4" cm="1">
        <f t="array" ref="F4">$L$12*NMultDensity(A4:B4,$J$14:$K$14,$J$12:$K$13)/D4</f>
        <v>1.795430084753049E-5</v>
      </c>
      <c r="G4">
        <f t="shared" si="0"/>
        <v>0.99998204569915239</v>
      </c>
      <c r="P4">
        <v>1.3</v>
      </c>
      <c r="Q4">
        <v>0.2</v>
      </c>
      <c r="R4">
        <v>1</v>
      </c>
    </row>
    <row r="5" spans="1:18" x14ac:dyDescent="0.3">
      <c r="A5">
        <v>1.5</v>
      </c>
      <c r="B5">
        <v>0.2</v>
      </c>
      <c r="C5">
        <f>IF(E5=G5,1,IF(F5=G5,2,IF(#REF!=G5,3,4)))</f>
        <v>1</v>
      </c>
      <c r="D5" cm="1">
        <f t="array" ref="D5">$L$12*NMultDensity(A5:B5,$J$14:$K$14,$J$12:$K$13)+$L$8*NMultDensity(A5:B5,$J$10:$K$10,$J$8:$K$9)</f>
        <v>2.6396443639973945</v>
      </c>
      <c r="E5" cm="1">
        <f t="array" ref="E5">$L$8*NMultDensity(A5:B5,$J$10:$K$10,$J$8:$K$9)/D5</f>
        <v>0.99996128197183576</v>
      </c>
      <c r="F5" cm="1">
        <f t="array" ref="F5">$L$12*NMultDensity(A5:B5,$J$14:$K$14,$J$12:$K$13)/D5</f>
        <v>3.8718028164209257E-5</v>
      </c>
      <c r="G5">
        <f t="shared" si="0"/>
        <v>0.99996128197183576</v>
      </c>
      <c r="N5" t="s">
        <v>14</v>
      </c>
      <c r="O5" t="s">
        <v>16</v>
      </c>
      <c r="P5">
        <v>1.5</v>
      </c>
      <c r="Q5">
        <v>0.2</v>
      </c>
      <c r="R5">
        <v>1</v>
      </c>
    </row>
    <row r="6" spans="1:18" x14ac:dyDescent="0.3">
      <c r="A6">
        <v>1.4</v>
      </c>
      <c r="B6">
        <v>0.2</v>
      </c>
      <c r="C6">
        <f>IF(E6=G6,1,IF(F6=G6,2,IF(#REF!=G6,3,4)))</f>
        <v>1</v>
      </c>
      <c r="D6" cm="1">
        <f t="array" ref="D6">$L$12*NMultDensity(A6:B6,$J$14:$K$14,$J$12:$K$13)+$L$8*NMultDensity(A6:B6,$J$10:$K$10,$J$8:$K$9)</f>
        <v>2.7764639014678072</v>
      </c>
      <c r="E6" cm="1">
        <f t="array" ref="E6">$L$8*NMultDensity(A6:B6,$J$10:$K$10,$J$8:$K$9)/D6</f>
        <v>0.99997769903709099</v>
      </c>
      <c r="F6" cm="1">
        <f t="array" ref="F6">$L$12*NMultDensity(A6:B6,$J$14:$K$14,$J$12:$K$13)/D6</f>
        <v>2.2300962909056577E-5</v>
      </c>
      <c r="G6">
        <f t="shared" si="0"/>
        <v>0.99997769903709099</v>
      </c>
      <c r="N6">
        <v>1</v>
      </c>
      <c r="O6">
        <f>COUNTIF(C:C,N6)</f>
        <v>50</v>
      </c>
      <c r="P6">
        <v>1.4</v>
      </c>
      <c r="Q6">
        <v>0.2</v>
      </c>
      <c r="R6">
        <v>1</v>
      </c>
    </row>
    <row r="7" spans="1:18" x14ac:dyDescent="0.3">
      <c r="A7">
        <v>1.7</v>
      </c>
      <c r="B7">
        <v>0.4</v>
      </c>
      <c r="C7">
        <f>IF(E7=G7,1,IF(F7=G7,2,IF(#REF!=G7,3,4)))</f>
        <v>1</v>
      </c>
      <c r="D7" cm="1">
        <f t="array" ref="D7">$L$12*NMultDensity(A7:B7,$J$14:$K$14,$J$12:$K$13)+$L$8*NMultDensity(A7:B7,$J$10:$K$10,$J$8:$K$9)</f>
        <v>0.67054024891677688</v>
      </c>
      <c r="E7" cm="1">
        <f t="array" ref="E7">$L$8*NMultDensity(A7:B7,$J$10:$K$10,$J$8:$K$9)/D7</f>
        <v>0.99961484110389276</v>
      </c>
      <c r="F7" cm="1">
        <f t="array" ref="F7">$L$12*NMultDensity(A7:B7,$J$14:$K$14,$J$12:$K$13)/D7</f>
        <v>3.851588961071778E-4</v>
      </c>
      <c r="G7">
        <f t="shared" si="0"/>
        <v>0.99961484110389276</v>
      </c>
      <c r="N7">
        <v>2</v>
      </c>
      <c r="O7">
        <f>COUNTIF(C:C,N7)</f>
        <v>100</v>
      </c>
      <c r="P7">
        <v>1.7</v>
      </c>
      <c r="Q7">
        <v>0.4</v>
      </c>
      <c r="R7">
        <v>1</v>
      </c>
    </row>
    <row r="8" spans="1:18" x14ac:dyDescent="0.3">
      <c r="A8">
        <v>1.4</v>
      </c>
      <c r="B8">
        <v>0.3</v>
      </c>
      <c r="C8">
        <f>IF(E8=G8,1,IF(F8=G8,2,IF(#REF!=G8,3,4)))</f>
        <v>1</v>
      </c>
      <c r="D8" cm="1">
        <f t="array" ref="D8">$L$12*NMultDensity(A8:B8,$J$14:$K$14,$J$12:$K$13)+$L$8*NMultDensity(A8:B8,$J$10:$K$10,$J$8:$K$9)</f>
        <v>2.3406684296439928</v>
      </c>
      <c r="E8" cm="1">
        <f t="array" ref="E8">$L$8*NMultDensity(A8:B8,$J$10:$K$10,$J$8:$K$9)/D8</f>
        <v>0.99997612812869641</v>
      </c>
      <c r="F8" cm="1">
        <f t="array" ref="F8">$L$12*NMultDensity(A8:B8,$J$14:$K$14,$J$12:$K$13)/D8</f>
        <v>2.3871871303499188E-5</v>
      </c>
      <c r="G8">
        <f t="shared" si="0"/>
        <v>0.99997612812869641</v>
      </c>
      <c r="I8" t="s">
        <v>22</v>
      </c>
      <c r="J8">
        <v>2.9501505267274832E-2</v>
      </c>
      <c r="K8">
        <v>5.936590283033733E-3</v>
      </c>
      <c r="L8">
        <v>0.33314173977478112</v>
      </c>
      <c r="P8">
        <v>1.4</v>
      </c>
      <c r="Q8">
        <v>0.3</v>
      </c>
      <c r="R8">
        <v>1</v>
      </c>
    </row>
    <row r="9" spans="1:18" x14ac:dyDescent="0.3">
      <c r="A9">
        <v>1.5</v>
      </c>
      <c r="B9">
        <v>0.2</v>
      </c>
      <c r="C9">
        <f>IF(E9=G9,1,IF(F9=G9,2,IF(#REF!=G9,3,4)))</f>
        <v>1</v>
      </c>
      <c r="D9" cm="1">
        <f t="array" ref="D9">$L$12*NMultDensity(A9:B9,$J$14:$K$14,$J$12:$K$13)+$L$8*NMultDensity(A9:B9,$J$10:$K$10,$J$8:$K$9)</f>
        <v>2.6396443639973945</v>
      </c>
      <c r="E9" cm="1">
        <f t="array" ref="E9">$L$8*NMultDensity(A9:B9,$J$10:$K$10,$J$8:$K$9)/D9</f>
        <v>0.99996128197183576</v>
      </c>
      <c r="F9" cm="1">
        <f t="array" ref="F9">$L$12*NMultDensity(A9:B9,$J$14:$K$14,$J$12:$K$13)/D9</f>
        <v>3.8718028164209257E-5</v>
      </c>
      <c r="G9">
        <f t="shared" si="0"/>
        <v>0.99996128197183576</v>
      </c>
      <c r="J9">
        <v>5.936590283033733E-3</v>
      </c>
      <c r="K9">
        <v>1.0865624207291039E-2</v>
      </c>
      <c r="P9">
        <v>1.5</v>
      </c>
      <c r="Q9">
        <v>0.2</v>
      </c>
      <c r="R9">
        <v>1</v>
      </c>
    </row>
    <row r="10" spans="1:18" x14ac:dyDescent="0.3">
      <c r="A10">
        <v>1.4</v>
      </c>
      <c r="B10">
        <v>0.2</v>
      </c>
      <c r="C10">
        <f>IF(E10=G10,1,IF(F10=G10,2,IF(#REF!=G10,3,4)))</f>
        <v>1</v>
      </c>
      <c r="D10" cm="1">
        <f t="array" ref="D10">$L$12*NMultDensity(A10:B10,$J$14:$K$14,$J$12:$K$13)+$L$8*NMultDensity(A10:B10,$J$10:$K$10,$J$8:$K$9)</f>
        <v>2.7764639014678072</v>
      </c>
      <c r="E10" cm="1">
        <f t="array" ref="E10">$L$8*NMultDensity(A10:B10,$J$10:$K$10,$J$8:$K$9)/D10</f>
        <v>0.99997769903709099</v>
      </c>
      <c r="F10" cm="1">
        <f t="array" ref="F10">$L$12*NMultDensity(A10:B10,$J$14:$K$14,$J$12:$K$13)/D10</f>
        <v>2.2300962909056577E-5</v>
      </c>
      <c r="G10">
        <f t="shared" si="0"/>
        <v>0.99997769903709099</v>
      </c>
      <c r="I10" t="s">
        <v>23</v>
      </c>
      <c r="J10">
        <v>1.4618195921868191</v>
      </c>
      <c r="K10">
        <v>0.24592738340136083</v>
      </c>
      <c r="P10">
        <v>1.4</v>
      </c>
      <c r="Q10">
        <v>0.2</v>
      </c>
      <c r="R10">
        <v>1</v>
      </c>
    </row>
    <row r="11" spans="1:18" x14ac:dyDescent="0.3">
      <c r="A11">
        <v>1.5</v>
      </c>
      <c r="B11">
        <v>0.1</v>
      </c>
      <c r="C11">
        <f>IF(E11=G11,1,IF(F11=G11,2,IF(#REF!=G11,3,4)))</f>
        <v>1</v>
      </c>
      <c r="D11" cm="1">
        <f t="array" ref="D11">$L$12*NMultDensity(A11:B11,$J$14:$K$14,$J$12:$K$13)+$L$8*NMultDensity(A11:B11,$J$10:$K$10,$J$8:$K$9)</f>
        <v>0.90425118895025192</v>
      </c>
      <c r="E11" cm="1">
        <f t="array" ref="E11">$L$8*NMultDensity(A11:B11,$J$10:$K$10,$J$8:$K$9)/D11</f>
        <v>0.99990221015685921</v>
      </c>
      <c r="F11" cm="1">
        <f t="array" ref="F11">$L$12*NMultDensity(A11:B11,$J$14:$K$14,$J$12:$K$13)/D11</f>
        <v>9.7789843140727695E-5</v>
      </c>
      <c r="G11">
        <f t="shared" si="0"/>
        <v>0.99990221015685921</v>
      </c>
      <c r="P11">
        <v>1.5</v>
      </c>
      <c r="Q11">
        <v>0.1</v>
      </c>
      <c r="R11">
        <v>1</v>
      </c>
    </row>
    <row r="12" spans="1:18" x14ac:dyDescent="0.3">
      <c r="A12">
        <v>1.5</v>
      </c>
      <c r="B12">
        <v>0.2</v>
      </c>
      <c r="C12">
        <f>IF(E12=G12,1,IF(F12=G12,2,IF(#REF!=G12,3,4)))</f>
        <v>1</v>
      </c>
      <c r="D12" cm="1">
        <f t="array" ref="D12">$L$12*NMultDensity(A12:B12,$J$14:$K$14,$J$12:$K$13)+$L$8*NMultDensity(A12:B12,$J$10:$K$10,$J$8:$K$9)</f>
        <v>2.6396443639973945</v>
      </c>
      <c r="E12" cm="1">
        <f t="array" ref="E12">$L$8*NMultDensity(A12:B12,$J$10:$K$10,$J$8:$K$9)/D12</f>
        <v>0.99996128197183576</v>
      </c>
      <c r="F12" cm="1">
        <f t="array" ref="F12">$L$12*NMultDensity(A12:B12,$J$14:$K$14,$J$12:$K$13)/D12</f>
        <v>3.8718028164209257E-5</v>
      </c>
      <c r="G12">
        <f t="shared" si="0"/>
        <v>0.99996128197183576</v>
      </c>
      <c r="I12" t="s">
        <v>24</v>
      </c>
      <c r="J12">
        <v>0.67739203303927087</v>
      </c>
      <c r="K12">
        <v>0.28693008959076555</v>
      </c>
      <c r="L12">
        <v>0.66685826022521888</v>
      </c>
      <c r="P12">
        <v>1.5</v>
      </c>
      <c r="Q12">
        <v>0.2</v>
      </c>
      <c r="R12">
        <v>1</v>
      </c>
    </row>
    <row r="13" spans="1:18" x14ac:dyDescent="0.3">
      <c r="A13">
        <v>1.6</v>
      </c>
      <c r="B13">
        <v>0.2</v>
      </c>
      <c r="C13">
        <f>IF(E13=G13,1,IF(F13=G13,2,IF(#REF!=G13,3,4)))</f>
        <v>1</v>
      </c>
      <c r="D13" cm="1">
        <f t="array" ref="D13">$L$12*NMultDensity(A13:B13,$J$14:$K$14,$J$12:$K$13)+$L$8*NMultDensity(A13:B13,$J$10:$K$10,$J$8:$K$9)</f>
        <v>1.7148270593966122</v>
      </c>
      <c r="E13" cm="1">
        <f t="array" ref="E13">$L$8*NMultDensity(A13:B13,$J$10:$K$10,$J$8:$K$9)/D13</f>
        <v>0.99990604373865721</v>
      </c>
      <c r="F13" cm="1">
        <f t="array" ref="F13">$L$12*NMultDensity(A13:B13,$J$14:$K$14,$J$12:$K$13)/D13</f>
        <v>9.3956261342782965E-5</v>
      </c>
      <c r="G13">
        <f t="shared" si="0"/>
        <v>0.99990604373865721</v>
      </c>
      <c r="J13">
        <v>0.28693008959076555</v>
      </c>
      <c r="K13">
        <v>0.17906860745576686</v>
      </c>
      <c r="P13">
        <v>1.6</v>
      </c>
      <c r="Q13">
        <v>0.2</v>
      </c>
      <c r="R13">
        <v>1</v>
      </c>
    </row>
    <row r="14" spans="1:18" x14ac:dyDescent="0.3">
      <c r="A14">
        <v>1.4</v>
      </c>
      <c r="B14">
        <v>0.1</v>
      </c>
      <c r="C14">
        <f>IF(E14=G14,1,IF(F14=G14,2,IF(#REF!=G14,3,4)))</f>
        <v>1</v>
      </c>
      <c r="D14" cm="1">
        <f t="array" ref="D14">$L$12*NMultDensity(A14:B14,$J$14:$K$14,$J$12:$K$13)+$L$8*NMultDensity(A14:B14,$J$10:$K$10,$J$8:$K$9)</f>
        <v>1.171083524206799</v>
      </c>
      <c r="E14" cm="1">
        <f t="array" ref="E14">$L$8*NMultDensity(A14:B14,$J$10:$K$10,$J$8:$K$9)/D14</f>
        <v>0.99995075889820439</v>
      </c>
      <c r="F14" cm="1">
        <f t="array" ref="F14">$L$12*NMultDensity(A14:B14,$J$14:$K$14,$J$12:$K$13)/D14</f>
        <v>4.9241101795625421E-5</v>
      </c>
      <c r="G14">
        <f t="shared" si="0"/>
        <v>0.99995075889820439</v>
      </c>
      <c r="I14" t="s">
        <v>23</v>
      </c>
      <c r="J14">
        <v>4.9051006382035389</v>
      </c>
      <c r="K14">
        <v>1.6756254268956077</v>
      </c>
      <c r="P14">
        <v>1.4</v>
      </c>
      <c r="Q14">
        <v>0.1</v>
      </c>
      <c r="R14">
        <v>1</v>
      </c>
    </row>
    <row r="15" spans="1:18" x14ac:dyDescent="0.3">
      <c r="A15">
        <v>1.1000000000000001</v>
      </c>
      <c r="B15">
        <v>0.1</v>
      </c>
      <c r="C15">
        <f>IF(E15=G15,1,IF(F15=G15,2,IF(#REF!=G15,3,4)))</f>
        <v>1</v>
      </c>
      <c r="D15" cm="1">
        <f t="array" ref="D15">$L$12*NMultDensity(A15:B15,$J$14:$K$14,$J$12:$K$13)+$L$8*NMultDensity(A15:B15,$J$10:$K$10,$J$8:$K$9)</f>
        <v>0.25892525577974712</v>
      </c>
      <c r="E15" cm="1">
        <f t="array" ref="E15">$L$8*NMultDensity(A15:B15,$J$10:$K$10,$J$8:$K$9)/D15</f>
        <v>0.99995311801281184</v>
      </c>
      <c r="F15" cm="1">
        <f t="array" ref="F15">$L$12*NMultDensity(A15:B15,$J$14:$K$14,$J$12:$K$13)/D15</f>
        <v>4.6881987188096846E-5</v>
      </c>
      <c r="G15">
        <f t="shared" si="0"/>
        <v>0.99995311801281184</v>
      </c>
      <c r="P15">
        <v>1.1000000000000001</v>
      </c>
      <c r="Q15">
        <v>0.1</v>
      </c>
      <c r="R15">
        <v>1</v>
      </c>
    </row>
    <row r="16" spans="1:18" x14ac:dyDescent="0.3">
      <c r="A16">
        <v>1.2</v>
      </c>
      <c r="B16">
        <v>0.2</v>
      </c>
      <c r="C16">
        <f>IF(E16=G16,1,IF(F16=G16,2,IF(#REF!=G16,3,4)))</f>
        <v>1</v>
      </c>
      <c r="D16" cm="1">
        <f t="array" ref="D16">$L$12*NMultDensity(A16:B16,$J$14:$K$14,$J$12:$K$13)+$L$8*NMultDensity(A16:B16,$J$10:$K$10,$J$8:$K$9)</f>
        <v>0.97996956245914679</v>
      </c>
      <c r="E16" cm="1">
        <f t="array" ref="E16">$L$8*NMultDensity(A16:B16,$J$10:$K$10,$J$8:$K$9)/D16</f>
        <v>0.99997979540001125</v>
      </c>
      <c r="F16" cm="1">
        <f t="array" ref="F16">$L$12*NMultDensity(A16:B16,$J$14:$K$14,$J$12:$K$13)/D16</f>
        <v>2.0204599988662579E-5</v>
      </c>
      <c r="G16">
        <f t="shared" si="0"/>
        <v>0.99997979540001125</v>
      </c>
      <c r="P16">
        <v>1.2</v>
      </c>
      <c r="Q16">
        <v>0.2</v>
      </c>
      <c r="R16">
        <v>1</v>
      </c>
    </row>
    <row r="17" spans="1:18" x14ac:dyDescent="0.3">
      <c r="A17">
        <v>1.5</v>
      </c>
      <c r="B17">
        <v>0.4</v>
      </c>
      <c r="C17">
        <f>IF(E17=G17,1,IF(F17=G17,2,IF(#REF!=G17,3,4)))</f>
        <v>1</v>
      </c>
      <c r="D17" cm="1">
        <f t="array" ref="D17">$L$12*NMultDensity(A17:B17,$J$14:$K$14,$J$12:$K$13)+$L$8*NMultDensity(A17:B17,$J$10:$K$10,$J$8:$K$9)</f>
        <v>1.0113962759670916</v>
      </c>
      <c r="E17" cm="1">
        <f t="array" ref="E17">$L$8*NMultDensity(A17:B17,$J$10:$K$10,$J$8:$K$9)/D17</f>
        <v>0.99991986522364518</v>
      </c>
      <c r="F17" cm="1">
        <f t="array" ref="F17">$L$12*NMultDensity(A17:B17,$J$14:$K$14,$J$12:$K$13)/D17</f>
        <v>8.0134776354859105E-5</v>
      </c>
      <c r="G17">
        <f t="shared" si="0"/>
        <v>0.99991986522364518</v>
      </c>
      <c r="P17">
        <v>1.5</v>
      </c>
      <c r="Q17">
        <v>0.4</v>
      </c>
      <c r="R17">
        <v>1</v>
      </c>
    </row>
    <row r="18" spans="1:18" x14ac:dyDescent="0.3">
      <c r="A18">
        <v>1.3</v>
      </c>
      <c r="B18">
        <v>0.4</v>
      </c>
      <c r="C18">
        <f>IF(E18=G18,1,IF(F18=G18,2,IF(#REF!=G18,3,4)))</f>
        <v>1</v>
      </c>
      <c r="D18" cm="1">
        <f t="array" ref="D18">$L$12*NMultDensity(A18:B18,$J$14:$K$14,$J$12:$K$13)+$L$8*NMultDensity(A18:B18,$J$10:$K$10,$J$8:$K$9)</f>
        <v>0.33263031062393744</v>
      </c>
      <c r="E18" cm="1">
        <f t="array" ref="E18">$L$8*NMultDensity(A18:B18,$J$10:$K$10,$J$8:$K$9)/D18</f>
        <v>0.99993637383342893</v>
      </c>
      <c r="F18" cm="1">
        <f t="array" ref="F18">$L$12*NMultDensity(A18:B18,$J$14:$K$14,$J$12:$K$13)/D18</f>
        <v>6.3626166571049546E-5</v>
      </c>
      <c r="G18">
        <f t="shared" si="0"/>
        <v>0.99993637383342893</v>
      </c>
      <c r="P18">
        <v>1.3</v>
      </c>
      <c r="Q18">
        <v>0.4</v>
      </c>
      <c r="R18">
        <v>1</v>
      </c>
    </row>
    <row r="19" spans="1:18" x14ac:dyDescent="0.3">
      <c r="A19">
        <v>1.4</v>
      </c>
      <c r="B19">
        <v>0.3</v>
      </c>
      <c r="C19">
        <f>IF(E19=G19,1,IF(F19=G19,2,IF(#REF!=G19,3,4)))</f>
        <v>1</v>
      </c>
      <c r="D19" cm="1">
        <f t="array" ref="D19">$L$12*NMultDensity(A19:B19,$J$14:$K$14,$J$12:$K$13)+$L$8*NMultDensity(A19:B19,$J$10:$K$10,$J$8:$K$9)</f>
        <v>2.3406684296439928</v>
      </c>
      <c r="E19" cm="1">
        <f t="array" ref="E19">$L$8*NMultDensity(A19:B19,$J$10:$K$10,$J$8:$K$9)/D19</f>
        <v>0.99997612812869641</v>
      </c>
      <c r="F19" cm="1">
        <f t="array" ref="F19">$L$12*NMultDensity(A19:B19,$J$14:$K$14,$J$12:$K$13)/D19</f>
        <v>2.3871871303499188E-5</v>
      </c>
      <c r="G19">
        <f t="shared" si="0"/>
        <v>0.99997612812869641</v>
      </c>
      <c r="P19">
        <v>1.4</v>
      </c>
      <c r="Q19">
        <v>0.3</v>
      </c>
      <c r="R19">
        <v>1</v>
      </c>
    </row>
    <row r="20" spans="1:18" x14ac:dyDescent="0.3">
      <c r="A20">
        <v>1.7</v>
      </c>
      <c r="B20">
        <v>0.3</v>
      </c>
      <c r="C20">
        <f>IF(E20=G20,1,IF(F20=G20,2,IF(#REF!=G20,3,4)))</f>
        <v>1</v>
      </c>
      <c r="D20" cm="1">
        <f t="array" ref="D20">$L$12*NMultDensity(A20:B20,$J$14:$K$14,$J$12:$K$13)+$L$8*NMultDensity(A20:B20,$J$10:$K$10,$J$8:$K$9)</f>
        <v>1.198062974181382</v>
      </c>
      <c r="E20" cm="1">
        <f t="array" ref="E20">$L$8*NMultDensity(A20:B20,$J$10:$K$10,$J$8:$K$9)/D20</f>
        <v>0.99977210419780027</v>
      </c>
      <c r="F20" cm="1">
        <f t="array" ref="F20">$L$12*NMultDensity(A20:B20,$J$14:$K$14,$J$12:$K$13)/D20</f>
        <v>2.2789580219981367E-4</v>
      </c>
      <c r="G20">
        <f t="shared" si="0"/>
        <v>0.99977210419780027</v>
      </c>
      <c r="P20">
        <v>1.7</v>
      </c>
      <c r="Q20">
        <v>0.3</v>
      </c>
      <c r="R20">
        <v>1</v>
      </c>
    </row>
    <row r="21" spans="1:18" x14ac:dyDescent="0.3">
      <c r="A21">
        <v>1.5</v>
      </c>
      <c r="B21">
        <v>0.3</v>
      </c>
      <c r="C21">
        <f>IF(E21=G21,1,IF(F21=G21,2,IF(#REF!=G21,3,4)))</f>
        <v>1</v>
      </c>
      <c r="D21" cm="1">
        <f t="array" ref="D21">$L$12*NMultDensity(A21:B21,$J$14:$K$14,$J$12:$K$13)+$L$8*NMultDensity(A21:B21,$J$10:$K$10,$J$8:$K$9)</f>
        <v>2.7400447073082592</v>
      </c>
      <c r="E21" cm="1">
        <f t="array" ref="E21">$L$8*NMultDensity(A21:B21,$J$10:$K$10,$J$8:$K$9)/D21</f>
        <v>0.99996376839982681</v>
      </c>
      <c r="F21" cm="1">
        <f t="array" ref="F21">$L$12*NMultDensity(A21:B21,$J$14:$K$14,$J$12:$K$13)/D21</f>
        <v>3.6231600173291679E-5</v>
      </c>
      <c r="G21">
        <f t="shared" si="0"/>
        <v>0.99996376839982681</v>
      </c>
      <c r="P21">
        <v>1.5</v>
      </c>
      <c r="Q21">
        <v>0.3</v>
      </c>
      <c r="R21">
        <v>1</v>
      </c>
    </row>
    <row r="22" spans="1:18" x14ac:dyDescent="0.3">
      <c r="A22">
        <v>1.7</v>
      </c>
      <c r="B22">
        <v>0.2</v>
      </c>
      <c r="C22">
        <f>IF(E22=G22,1,IF(F22=G22,2,IF(#REF!=G22,3,4)))</f>
        <v>1</v>
      </c>
      <c r="D22" cm="1">
        <f t="array" ref="D22">$L$12*NMultDensity(A22:B22,$J$14:$K$14,$J$12:$K$13)+$L$8*NMultDensity(A22:B22,$J$10:$K$10,$J$8:$K$9)</f>
        <v>0.76133098694769474</v>
      </c>
      <c r="E22" cm="1">
        <f t="array" ref="E22">$L$8*NMultDensity(A22:B22,$J$10:$K$10,$J$8:$K$9)/D22</f>
        <v>0.99968135702002048</v>
      </c>
      <c r="F22" cm="1">
        <f t="array" ref="F22">$L$12*NMultDensity(A22:B22,$J$14:$K$14,$J$12:$K$13)/D22</f>
        <v>3.1864297997951995E-4</v>
      </c>
      <c r="G22">
        <f t="shared" si="0"/>
        <v>0.99968135702002048</v>
      </c>
      <c r="P22">
        <v>1.7</v>
      </c>
      <c r="Q22">
        <v>0.2</v>
      </c>
      <c r="R22">
        <v>1</v>
      </c>
    </row>
    <row r="23" spans="1:18" x14ac:dyDescent="0.3">
      <c r="A23">
        <v>1.5</v>
      </c>
      <c r="B23">
        <v>0.4</v>
      </c>
      <c r="C23">
        <f>IF(E23=G23,1,IF(F23=G23,2,IF(#REF!=G23,3,4)))</f>
        <v>1</v>
      </c>
      <c r="D23" cm="1">
        <f t="array" ref="D23">$L$12*NMultDensity(A23:B23,$J$14:$K$14,$J$12:$K$13)+$L$8*NMultDensity(A23:B23,$J$10:$K$10,$J$8:$K$9)</f>
        <v>1.0113962759670916</v>
      </c>
      <c r="E23" cm="1">
        <f t="array" ref="E23">$L$8*NMultDensity(A23:B23,$J$10:$K$10,$J$8:$K$9)/D23</f>
        <v>0.99991986522364518</v>
      </c>
      <c r="F23" cm="1">
        <f t="array" ref="F23">$L$12*NMultDensity(A23:B23,$J$14:$K$14,$J$12:$K$13)/D23</f>
        <v>8.0134776354859105E-5</v>
      </c>
      <c r="G23">
        <f t="shared" si="0"/>
        <v>0.99991986522364518</v>
      </c>
      <c r="I23" s="3"/>
      <c r="J23" s="3"/>
      <c r="K23" s="3"/>
      <c r="L23" s="3"/>
      <c r="P23">
        <v>1.5</v>
      </c>
      <c r="Q23">
        <v>0.4</v>
      </c>
      <c r="R23">
        <v>1</v>
      </c>
    </row>
    <row r="24" spans="1:18" x14ac:dyDescent="0.3">
      <c r="A24">
        <v>1</v>
      </c>
      <c r="B24">
        <v>0.2</v>
      </c>
      <c r="C24">
        <f>IF(E24=G24,1,IF(F24=G24,2,IF(#REF!=G24,3,4)))</f>
        <v>1</v>
      </c>
      <c r="D24" cm="1">
        <f t="array" ref="D24">$L$12*NMultDensity(A24:B24,$J$14:$K$14,$J$12:$K$13)+$L$8*NMultDensity(A24:B24,$J$10:$K$10,$J$8:$K$9)</f>
        <v>7.5400506998561836E-2</v>
      </c>
      <c r="E24" cm="1">
        <f t="array" ref="E24">$L$8*NMultDensity(A24:B24,$J$10:$K$10,$J$8:$K$9)/D24</f>
        <v>0.99993012635813627</v>
      </c>
      <c r="F24" cm="1">
        <f t="array" ref="F24">$L$12*NMultDensity(A24:B24,$J$14:$K$14,$J$12:$K$13)/D24</f>
        <v>6.9873641863757349E-5</v>
      </c>
      <c r="G24">
        <f t="shared" si="0"/>
        <v>0.99993012635813627</v>
      </c>
      <c r="I24" t="s">
        <v>22</v>
      </c>
      <c r="J24">
        <f t="array" ref="J24:K25">MMULT(TRANSPOSE($E$2:$E$151*($A$2:$B$151-J26:K26)),$A$2:$B$151-J26:K26)/SUM($E$2:$E$151)</f>
        <v>2.9501505267274832E-2</v>
      </c>
      <c r="K24">
        <v>5.936590283033733E-3</v>
      </c>
      <c r="L24">
        <f>AVERAGE(E:E)</f>
        <v>0.33314173977478112</v>
      </c>
      <c r="N24" t="s">
        <v>35</v>
      </c>
      <c r="P24">
        <v>1</v>
      </c>
      <c r="Q24">
        <v>0.2</v>
      </c>
      <c r="R24">
        <v>1</v>
      </c>
    </row>
    <row r="25" spans="1:18" x14ac:dyDescent="0.3">
      <c r="A25">
        <v>1.7</v>
      </c>
      <c r="B25">
        <v>0.5</v>
      </c>
      <c r="C25">
        <f>IF(E25=G25,1,IF(F25=G25,2,IF(#REF!=G25,3,4)))</f>
        <v>1</v>
      </c>
      <c r="D25" cm="1">
        <f t="array" ref="D25">$L$12*NMultDensity(A25:B25,$J$14:$K$14,$J$12:$K$13)+$L$8*NMultDensity(A25:B25,$J$10:$K$10,$J$8:$K$9)</f>
        <v>0.13357765191462082</v>
      </c>
      <c r="E25" cm="1">
        <f t="array" ref="E25">$L$8*NMultDensity(A25:B25,$J$10:$K$10,$J$8:$K$9)/D25</f>
        <v>0.99846294115795831</v>
      </c>
      <c r="F25" cm="1">
        <f t="array" ref="F25">$L$12*NMultDensity(A25:B25,$J$14:$K$14,$J$12:$K$13)/D25</f>
        <v>1.5370588420418085E-3</v>
      </c>
      <c r="G25">
        <f t="shared" si="0"/>
        <v>0.99846294115795831</v>
      </c>
      <c r="J25">
        <v>5.936590283033733E-3</v>
      </c>
      <c r="K25">
        <v>1.0865624207291039E-2</v>
      </c>
      <c r="N25">
        <f>PRODUCT(D:D)</f>
        <v>6.324674599484751E-68</v>
      </c>
      <c r="O25" s="2" cm="1">
        <f t="array" ref="O25">SUM(LN(D2:D151))</f>
        <v>-154.73132773702676</v>
      </c>
      <c r="P25">
        <v>1.7</v>
      </c>
      <c r="Q25">
        <v>0.5</v>
      </c>
      <c r="R25">
        <v>1</v>
      </c>
    </row>
    <row r="26" spans="1:18" x14ac:dyDescent="0.3">
      <c r="A26">
        <v>1.9</v>
      </c>
      <c r="B26">
        <v>0.2</v>
      </c>
      <c r="C26">
        <f>IF(E26=G26,1,IF(F26=G26,2,IF(#REF!=G26,3,4)))</f>
        <v>1</v>
      </c>
      <c r="D26" cm="1">
        <f t="array" ref="D26">$L$12*NMultDensity(A26:B26,$J$14:$K$14,$J$12:$K$13)+$L$8*NMultDensity(A26:B26,$J$10:$K$10,$J$8:$K$9)</f>
        <v>4.8315746045861044E-2</v>
      </c>
      <c r="E26" cm="1">
        <f t="array" ref="E26">$L$8*NMultDensity(A26:B26,$J$10:$K$10,$J$8:$K$9)/D26</f>
        <v>0.99008287042008869</v>
      </c>
      <c r="F26" cm="1">
        <f t="array" ref="F26">$L$12*NMultDensity(A26:B26,$J$14:$K$14,$J$12:$K$13)/D26</f>
        <v>9.9171295799114212E-3</v>
      </c>
      <c r="G26">
        <f t="shared" si="0"/>
        <v>0.99008287042008869</v>
      </c>
      <c r="I26" t="s">
        <v>23</v>
      </c>
      <c r="J26">
        <f>SUMPRODUCT(A:A,$E:$E)/SUM($E:$E)</f>
        <v>1.4618195921868191</v>
      </c>
      <c r="K26">
        <f>SUMPRODUCT(B:B,$E:$E)/SUM($E:$E)</f>
        <v>0.24592738340136083</v>
      </c>
      <c r="P26">
        <v>1.9</v>
      </c>
      <c r="Q26">
        <v>0.2</v>
      </c>
      <c r="R26">
        <v>1</v>
      </c>
    </row>
    <row r="27" spans="1:18" x14ac:dyDescent="0.3">
      <c r="A27">
        <v>1.6</v>
      </c>
      <c r="B27">
        <v>0.2</v>
      </c>
      <c r="C27">
        <f>IF(E27=G27,1,IF(F27=G27,2,IF(#REF!=G27,3,4)))</f>
        <v>1</v>
      </c>
      <c r="D27" cm="1">
        <f t="array" ref="D27">$L$12*NMultDensity(A27:B27,$J$14:$K$14,$J$12:$K$13)+$L$8*NMultDensity(A27:B27,$J$10:$K$10,$J$8:$K$9)</f>
        <v>1.7148270593966122</v>
      </c>
      <c r="E27" cm="1">
        <f t="array" ref="E27">$L$8*NMultDensity(A27:B27,$J$10:$K$10,$J$8:$K$9)/D27</f>
        <v>0.99990604373865721</v>
      </c>
      <c r="F27" cm="1">
        <f t="array" ref="F27">$L$12*NMultDensity(A27:B27,$J$14:$K$14,$J$12:$K$13)/D27</f>
        <v>9.3956261342782965E-5</v>
      </c>
      <c r="G27">
        <f t="shared" si="0"/>
        <v>0.99990604373865721</v>
      </c>
      <c r="P27">
        <v>1.6</v>
      </c>
      <c r="Q27">
        <v>0.2</v>
      </c>
      <c r="R27">
        <v>1</v>
      </c>
    </row>
    <row r="28" spans="1:18" x14ac:dyDescent="0.3">
      <c r="A28">
        <v>1.6</v>
      </c>
      <c r="B28">
        <v>0.4</v>
      </c>
      <c r="C28">
        <f>IF(E28=G28,1,IF(F28=G28,2,IF(#REF!=G28,3,4)))</f>
        <v>1</v>
      </c>
      <c r="D28" cm="1">
        <f t="array" ref="D28">$L$12*NMultDensity(A28:B28,$J$14:$K$14,$J$12:$K$13)+$L$8*NMultDensity(A28:B28,$J$10:$K$10,$J$8:$K$9)</f>
        <v>0.99617184201434528</v>
      </c>
      <c r="E28" cm="1">
        <f t="array" ref="E28">$L$8*NMultDensity(A28:B28,$J$10:$K$10,$J$8:$K$9)/D28</f>
        <v>0.99985139031294223</v>
      </c>
      <c r="F28" cm="1">
        <f t="array" ref="F28">$L$12*NMultDensity(A28:B28,$J$14:$K$14,$J$12:$K$13)/D28</f>
        <v>1.4860968705777017E-4</v>
      </c>
      <c r="G28">
        <f t="shared" si="0"/>
        <v>0.99985139031294223</v>
      </c>
      <c r="I28" t="s">
        <v>24</v>
      </c>
      <c r="J28">
        <f t="array" ref="J28:K29">MMULT(TRANSPOSE($F$2:$F$151*($A$2:$B$151-J30:K30)),$A$2:$B$151-J30:K30)/SUM($F$2:$F$151)</f>
        <v>0.67739203303927087</v>
      </c>
      <c r="K28">
        <v>0.28693008959076555</v>
      </c>
      <c r="L28">
        <f>AVERAGE(F:F)</f>
        <v>0.66685826022521888</v>
      </c>
      <c r="N28" s="4" t="s">
        <v>36</v>
      </c>
      <c r="O28" s="4">
        <v>10</v>
      </c>
      <c r="P28">
        <v>1.6</v>
      </c>
      <c r="Q28">
        <v>0.4</v>
      </c>
      <c r="R28">
        <v>1</v>
      </c>
    </row>
    <row r="29" spans="1:18" x14ac:dyDescent="0.3">
      <c r="A29">
        <v>1.5</v>
      </c>
      <c r="B29">
        <v>0.2</v>
      </c>
      <c r="C29">
        <f>IF(E29=G29,1,IF(F29=G29,2,IF(#REF!=G29,3,4)))</f>
        <v>1</v>
      </c>
      <c r="D29" cm="1">
        <f t="array" ref="D29">$L$12*NMultDensity(A29:B29,$J$14:$K$14,$J$12:$K$13)+$L$8*NMultDensity(A29:B29,$J$10:$K$10,$J$8:$K$9)</f>
        <v>2.6396443639973945</v>
      </c>
      <c r="E29" cm="1">
        <f t="array" ref="E29">$L$8*NMultDensity(A29:B29,$J$10:$K$10,$J$8:$K$9)/D29</f>
        <v>0.99996128197183576</v>
      </c>
      <c r="F29" cm="1">
        <f t="array" ref="F29">$L$12*NMultDensity(A29:B29,$J$14:$K$14,$J$12:$K$13)/D29</f>
        <v>3.8718028164209257E-5</v>
      </c>
      <c r="G29">
        <f t="shared" si="0"/>
        <v>0.99996128197183576</v>
      </c>
      <c r="J29">
        <v>0.28693008959076555</v>
      </c>
      <c r="K29">
        <v>0.17906860745576686</v>
      </c>
      <c r="P29">
        <v>1.5</v>
      </c>
      <c r="Q29">
        <v>0.2</v>
      </c>
      <c r="R29">
        <v>1</v>
      </c>
    </row>
    <row r="30" spans="1:18" x14ac:dyDescent="0.3">
      <c r="A30">
        <v>1.4</v>
      </c>
      <c r="B30">
        <v>0.2</v>
      </c>
      <c r="C30">
        <f>IF(E30=G30,1,IF(F30=G30,2,IF(#REF!=G30,3,4)))</f>
        <v>1</v>
      </c>
      <c r="D30" cm="1">
        <f t="array" ref="D30">$L$12*NMultDensity(A30:B30,$J$14:$K$14,$J$12:$K$13)+$L$8*NMultDensity(A30:B30,$J$10:$K$10,$J$8:$K$9)</f>
        <v>2.7764639014678072</v>
      </c>
      <c r="E30" cm="1">
        <f t="array" ref="E30">$L$8*NMultDensity(A30:B30,$J$10:$K$10,$J$8:$K$9)/D30</f>
        <v>0.99997769903709099</v>
      </c>
      <c r="F30" cm="1">
        <f t="array" ref="F30">$L$12*NMultDensity(A30:B30,$J$14:$K$14,$J$12:$K$13)/D30</f>
        <v>2.2300962909056577E-5</v>
      </c>
      <c r="G30">
        <f t="shared" si="0"/>
        <v>0.99997769903709099</v>
      </c>
      <c r="I30" t="s">
        <v>23</v>
      </c>
      <c r="J30">
        <f>SUMPRODUCT(A:A,$F:$F)/SUM($F:$F)</f>
        <v>4.9051006382035389</v>
      </c>
      <c r="K30">
        <f>SUMPRODUCT(B:B,$F:$F)/SUM($F:$F)</f>
        <v>1.6756254268956077</v>
      </c>
      <c r="P30">
        <v>1.4</v>
      </c>
      <c r="Q30">
        <v>0.2</v>
      </c>
      <c r="R30">
        <v>1</v>
      </c>
    </row>
    <row r="31" spans="1:18" x14ac:dyDescent="0.3">
      <c r="A31">
        <v>1.6</v>
      </c>
      <c r="B31">
        <v>0.2</v>
      </c>
      <c r="C31">
        <f>IF(E31=G31,1,IF(F31=G31,2,IF(#REF!=G31,3,4)))</f>
        <v>1</v>
      </c>
      <c r="D31" cm="1">
        <f t="array" ref="D31">$L$12*NMultDensity(A31:B31,$J$14:$K$14,$J$12:$K$13)+$L$8*NMultDensity(A31:B31,$J$10:$K$10,$J$8:$K$9)</f>
        <v>1.7148270593966122</v>
      </c>
      <c r="E31" cm="1">
        <f t="array" ref="E31">$L$8*NMultDensity(A31:B31,$J$10:$K$10,$J$8:$K$9)/D31</f>
        <v>0.99990604373865721</v>
      </c>
      <c r="F31" cm="1">
        <f t="array" ref="F31">$L$12*NMultDensity(A31:B31,$J$14:$K$14,$J$12:$K$13)/D31</f>
        <v>9.3956261342782965E-5</v>
      </c>
      <c r="G31">
        <f t="shared" si="0"/>
        <v>0.99990604373865721</v>
      </c>
      <c r="P31">
        <v>1.6</v>
      </c>
      <c r="Q31">
        <v>0.2</v>
      </c>
      <c r="R31">
        <v>1</v>
      </c>
    </row>
    <row r="32" spans="1:18" x14ac:dyDescent="0.3">
      <c r="A32">
        <v>1.6</v>
      </c>
      <c r="B32">
        <v>0.2</v>
      </c>
      <c r="C32">
        <f>IF(E32=G32,1,IF(F32=G32,2,IF(#REF!=G32,3,4)))</f>
        <v>1</v>
      </c>
      <c r="D32" cm="1">
        <f t="array" ref="D32">$L$12*NMultDensity(A32:B32,$J$14:$K$14,$J$12:$K$13)+$L$8*NMultDensity(A32:B32,$J$10:$K$10,$J$8:$K$9)</f>
        <v>1.7148270593966122</v>
      </c>
      <c r="E32" cm="1">
        <f t="array" ref="E32">$L$8*NMultDensity(A32:B32,$J$10:$K$10,$J$8:$K$9)/D32</f>
        <v>0.99990604373865721</v>
      </c>
      <c r="F32" cm="1">
        <f t="array" ref="F32">$L$12*NMultDensity(A32:B32,$J$14:$K$14,$J$12:$K$13)/D32</f>
        <v>9.3956261342782965E-5</v>
      </c>
      <c r="G32">
        <f t="shared" si="0"/>
        <v>0.99990604373865721</v>
      </c>
      <c r="P32">
        <v>1.6</v>
      </c>
      <c r="Q32">
        <v>0.2</v>
      </c>
      <c r="R32">
        <v>1</v>
      </c>
    </row>
    <row r="33" spans="1:18" x14ac:dyDescent="0.3">
      <c r="A33">
        <v>1.5</v>
      </c>
      <c r="B33">
        <v>0.4</v>
      </c>
      <c r="C33">
        <f>IF(E33=G33,1,IF(F33=G33,2,IF(#REF!=G33,3,4)))</f>
        <v>1</v>
      </c>
      <c r="D33" cm="1">
        <f t="array" ref="D33">$L$12*NMultDensity(A33:B33,$J$14:$K$14,$J$12:$K$13)+$L$8*NMultDensity(A33:B33,$J$10:$K$10,$J$8:$K$9)</f>
        <v>1.0113962759670916</v>
      </c>
      <c r="E33" cm="1">
        <f t="array" ref="E33">$L$8*NMultDensity(A33:B33,$J$10:$K$10,$J$8:$K$9)/D33</f>
        <v>0.99991986522364518</v>
      </c>
      <c r="F33" cm="1">
        <f t="array" ref="F33">$L$12*NMultDensity(A33:B33,$J$14:$K$14,$J$12:$K$13)/D33</f>
        <v>8.0134776354859105E-5</v>
      </c>
      <c r="G33">
        <f t="shared" si="0"/>
        <v>0.99991986522364518</v>
      </c>
      <c r="P33">
        <v>1.5</v>
      </c>
      <c r="Q33">
        <v>0.4</v>
      </c>
      <c r="R33">
        <v>1</v>
      </c>
    </row>
    <row r="34" spans="1:18" x14ac:dyDescent="0.3">
      <c r="A34">
        <v>1.5</v>
      </c>
      <c r="B34">
        <v>0.1</v>
      </c>
      <c r="C34">
        <f>IF(E34=G34,1,IF(F34=G34,2,IF(#REF!=G34,3,4)))</f>
        <v>1</v>
      </c>
      <c r="D34" cm="1">
        <f t="array" ref="D34">$L$12*NMultDensity(A34:B34,$J$14:$K$14,$J$12:$K$13)+$L$8*NMultDensity(A34:B34,$J$10:$K$10,$J$8:$K$9)</f>
        <v>0.90425118895025192</v>
      </c>
      <c r="E34" cm="1">
        <f t="array" ref="E34">$L$8*NMultDensity(A34:B34,$J$10:$K$10,$J$8:$K$9)/D34</f>
        <v>0.99990221015685921</v>
      </c>
      <c r="F34" cm="1">
        <f t="array" ref="F34">$L$12*NMultDensity(A34:B34,$J$14:$K$14,$J$12:$K$13)/D34</f>
        <v>9.7789843140727695E-5</v>
      </c>
      <c r="G34">
        <f t="shared" ref="G34:G65" si="1">MAX(E34:F34)</f>
        <v>0.99990221015685921</v>
      </c>
      <c r="N34" s="2" t="s">
        <v>37</v>
      </c>
      <c r="O34" s="2">
        <f>-2*$O$25+2+3*2*5/2</f>
        <v>326.46265547405352</v>
      </c>
      <c r="P34">
        <v>1.5</v>
      </c>
      <c r="Q34">
        <v>0.1</v>
      </c>
      <c r="R34">
        <v>1</v>
      </c>
    </row>
    <row r="35" spans="1:18" x14ac:dyDescent="0.3">
      <c r="A35">
        <v>1.4</v>
      </c>
      <c r="B35">
        <v>0.2</v>
      </c>
      <c r="C35">
        <f>IF(E35=G35,1,IF(F35=G35,2,IF(#REF!=G35,3,4)))</f>
        <v>1</v>
      </c>
      <c r="D35" cm="1">
        <f t="array" ref="D35">$L$12*NMultDensity(A35:B35,$J$14:$K$14,$J$12:$K$13)+$L$8*NMultDensity(A35:B35,$J$10:$K$10,$J$8:$K$9)</f>
        <v>2.7764639014678072</v>
      </c>
      <c r="E35" cm="1">
        <f t="array" ref="E35">$L$8*NMultDensity(A35:B35,$J$10:$K$10,$J$8:$K$9)/D35</f>
        <v>0.99997769903709099</v>
      </c>
      <c r="F35" cm="1">
        <f t="array" ref="F35">$L$12*NMultDensity(A35:B35,$J$14:$K$14,$J$12:$K$13)/D35</f>
        <v>2.2300962909056577E-5</v>
      </c>
      <c r="G35">
        <f t="shared" si="1"/>
        <v>0.99997769903709099</v>
      </c>
      <c r="N35" s="2" t="s">
        <v>38</v>
      </c>
      <c r="O35" s="2">
        <f>-2*$O$25+2+3*2*5/2*LN(SUM(N6:N9))</f>
        <v>327.94183980407519</v>
      </c>
      <c r="P35">
        <v>1.4</v>
      </c>
      <c r="Q35">
        <v>0.2</v>
      </c>
      <c r="R35">
        <v>1</v>
      </c>
    </row>
    <row r="36" spans="1:18" x14ac:dyDescent="0.3">
      <c r="A36">
        <v>1.5</v>
      </c>
      <c r="B36">
        <v>0.2</v>
      </c>
      <c r="C36">
        <f>IF(E36=G36,1,IF(F36=G36,2,IF(#REF!=G36,3,4)))</f>
        <v>1</v>
      </c>
      <c r="D36" cm="1">
        <f t="array" ref="D36">$L$12*NMultDensity(A36:B36,$J$14:$K$14,$J$12:$K$13)+$L$8*NMultDensity(A36:B36,$J$10:$K$10,$J$8:$K$9)</f>
        <v>2.6396443639973945</v>
      </c>
      <c r="E36" cm="1">
        <f t="array" ref="E36">$L$8*NMultDensity(A36:B36,$J$10:$K$10,$J$8:$K$9)/D36</f>
        <v>0.99996128197183576</v>
      </c>
      <c r="F36" cm="1">
        <f t="array" ref="F36">$L$12*NMultDensity(A36:B36,$J$14:$K$14,$J$12:$K$13)/D36</f>
        <v>3.8718028164209257E-5</v>
      </c>
      <c r="G36">
        <f t="shared" si="1"/>
        <v>0.99996128197183576</v>
      </c>
      <c r="P36">
        <v>1.5</v>
      </c>
      <c r="Q36">
        <v>0.2</v>
      </c>
      <c r="R36">
        <v>1</v>
      </c>
    </row>
    <row r="37" spans="1:18" x14ac:dyDescent="0.3">
      <c r="A37">
        <v>1.2</v>
      </c>
      <c r="B37">
        <v>0.2</v>
      </c>
      <c r="C37">
        <f>IF(E37=G37,1,IF(F37=G37,2,IF(#REF!=G37,3,4)))</f>
        <v>1</v>
      </c>
      <c r="D37" cm="1">
        <f t="array" ref="D37">$L$12*NMultDensity(A37:B37,$J$14:$K$14,$J$12:$K$13)+$L$8*NMultDensity(A37:B37,$J$10:$K$10,$J$8:$K$9)</f>
        <v>0.97996956245914679</v>
      </c>
      <c r="E37" cm="1">
        <f t="array" ref="E37">$L$8*NMultDensity(A37:B37,$J$10:$K$10,$J$8:$K$9)/D37</f>
        <v>0.99997979540001125</v>
      </c>
      <c r="F37" cm="1">
        <f t="array" ref="F37">$L$12*NMultDensity(A37:B37,$J$14:$K$14,$J$12:$K$13)/D37</f>
        <v>2.0204599988662579E-5</v>
      </c>
      <c r="G37">
        <f t="shared" si="1"/>
        <v>0.99997979540001125</v>
      </c>
      <c r="P37">
        <v>1.2</v>
      </c>
      <c r="Q37">
        <v>0.2</v>
      </c>
      <c r="R37">
        <v>1</v>
      </c>
    </row>
    <row r="38" spans="1:18" x14ac:dyDescent="0.3">
      <c r="A38">
        <v>1.3</v>
      </c>
      <c r="B38">
        <v>0.2</v>
      </c>
      <c r="C38">
        <f>IF(E38=G38,1,IF(F38=G38,2,IF(#REF!=G38,3,4)))</f>
        <v>1</v>
      </c>
      <c r="D38" cm="1">
        <f t="array" ref="D38">$L$12*NMultDensity(A38:B38,$J$14:$K$14,$J$12:$K$13)+$L$8*NMultDensity(A38:B38,$J$10:$K$10,$J$8:$K$9)</f>
        <v>1.9954853621973765</v>
      </c>
      <c r="E38" cm="1">
        <f t="array" ref="E38">$L$8*NMultDensity(A38:B38,$J$10:$K$10,$J$8:$K$9)/D38</f>
        <v>0.99998204569915239</v>
      </c>
      <c r="F38" cm="1">
        <f t="array" ref="F38">$L$12*NMultDensity(A38:B38,$J$14:$K$14,$J$12:$K$13)/D38</f>
        <v>1.795430084753049E-5</v>
      </c>
      <c r="G38">
        <f t="shared" si="1"/>
        <v>0.99998204569915239</v>
      </c>
      <c r="P38">
        <v>1.3</v>
      </c>
      <c r="Q38">
        <v>0.2</v>
      </c>
      <c r="R38">
        <v>1</v>
      </c>
    </row>
    <row r="39" spans="1:18" x14ac:dyDescent="0.3">
      <c r="A39">
        <v>1.4</v>
      </c>
      <c r="B39">
        <v>0.1</v>
      </c>
      <c r="C39">
        <f>IF(E39=G39,1,IF(F39=G39,2,IF(#REF!=G39,3,4)))</f>
        <v>1</v>
      </c>
      <c r="D39" cm="1">
        <f t="array" ref="D39">$L$12*NMultDensity(A39:B39,$J$14:$K$14,$J$12:$K$13)+$L$8*NMultDensity(A39:B39,$J$10:$K$10,$J$8:$K$9)</f>
        <v>1.171083524206799</v>
      </c>
      <c r="E39" cm="1">
        <f t="array" ref="E39">$L$8*NMultDensity(A39:B39,$J$10:$K$10,$J$8:$K$9)/D39</f>
        <v>0.99995075889820439</v>
      </c>
      <c r="F39" cm="1">
        <f t="array" ref="F39">$L$12*NMultDensity(A39:B39,$J$14:$K$14,$J$12:$K$13)/D39</f>
        <v>4.9241101795625421E-5</v>
      </c>
      <c r="G39">
        <f t="shared" si="1"/>
        <v>0.99995075889820439</v>
      </c>
      <c r="P39">
        <v>1.4</v>
      </c>
      <c r="Q39">
        <v>0.1</v>
      </c>
      <c r="R39">
        <v>1</v>
      </c>
    </row>
    <row r="40" spans="1:18" x14ac:dyDescent="0.3">
      <c r="A40">
        <v>1.3</v>
      </c>
      <c r="B40">
        <v>0.2</v>
      </c>
      <c r="C40">
        <f>IF(E40=G40,1,IF(F40=G40,2,IF(#REF!=G40,3,4)))</f>
        <v>1</v>
      </c>
      <c r="D40" cm="1">
        <f t="array" ref="D40">$L$12*NMultDensity(A40:B40,$J$14:$K$14,$J$12:$K$13)+$L$8*NMultDensity(A40:B40,$J$10:$K$10,$J$8:$K$9)</f>
        <v>1.9954853621973765</v>
      </c>
      <c r="E40" cm="1">
        <f t="array" ref="E40">$L$8*NMultDensity(A40:B40,$J$10:$K$10,$J$8:$K$9)/D40</f>
        <v>0.99998204569915239</v>
      </c>
      <c r="F40" cm="1">
        <f t="array" ref="F40">$L$12*NMultDensity(A40:B40,$J$14:$K$14,$J$12:$K$13)/D40</f>
        <v>1.795430084753049E-5</v>
      </c>
      <c r="G40">
        <f t="shared" si="1"/>
        <v>0.99998204569915239</v>
      </c>
      <c r="P40">
        <v>1.3</v>
      </c>
      <c r="Q40">
        <v>0.2</v>
      </c>
      <c r="R40">
        <v>1</v>
      </c>
    </row>
    <row r="41" spans="1:18" x14ac:dyDescent="0.3">
      <c r="A41">
        <v>1.5</v>
      </c>
      <c r="B41">
        <v>0.2</v>
      </c>
      <c r="C41">
        <f>IF(E41=G41,1,IF(F41=G41,2,IF(#REF!=G41,3,4)))</f>
        <v>1</v>
      </c>
      <c r="D41" cm="1">
        <f t="array" ref="D41">$L$12*NMultDensity(A41:B41,$J$14:$K$14,$J$12:$K$13)+$L$8*NMultDensity(A41:B41,$J$10:$K$10,$J$8:$K$9)</f>
        <v>2.6396443639973945</v>
      </c>
      <c r="E41" cm="1">
        <f t="array" ref="E41">$L$8*NMultDensity(A41:B41,$J$10:$K$10,$J$8:$K$9)/D41</f>
        <v>0.99996128197183576</v>
      </c>
      <c r="F41" cm="1">
        <f t="array" ref="F41">$L$12*NMultDensity(A41:B41,$J$14:$K$14,$J$12:$K$13)/D41</f>
        <v>3.8718028164209257E-5</v>
      </c>
      <c r="G41">
        <f t="shared" si="1"/>
        <v>0.99996128197183576</v>
      </c>
      <c r="P41">
        <v>1.5</v>
      </c>
      <c r="Q41">
        <v>0.2</v>
      </c>
      <c r="R41">
        <v>1</v>
      </c>
    </row>
    <row r="42" spans="1:18" x14ac:dyDescent="0.3">
      <c r="A42">
        <v>1.3</v>
      </c>
      <c r="B42">
        <v>0.3</v>
      </c>
      <c r="C42">
        <f>IF(E42=G42,1,IF(F42=G42,2,IF(#REF!=G42,3,4)))</f>
        <v>1</v>
      </c>
      <c r="D42" cm="1">
        <f t="array" ref="D42">$L$12*NMultDensity(A42:B42,$J$14:$K$14,$J$12:$K$13)+$L$8*NMultDensity(A42:B42,$J$10:$K$10,$J$8:$K$9)</f>
        <v>1.3662537114653834</v>
      </c>
      <c r="E42" cm="1">
        <f t="array" ref="E42">$L$8*NMultDensity(A42:B42,$J$10:$K$10,$J$8:$K$9)/D42</f>
        <v>0.99997801529682129</v>
      </c>
      <c r="F42" cm="1">
        <f t="array" ref="F42">$L$12*NMultDensity(A42:B42,$J$14:$K$14,$J$12:$K$13)/D42</f>
        <v>2.1984703178739908E-5</v>
      </c>
      <c r="G42">
        <f t="shared" si="1"/>
        <v>0.99997801529682129</v>
      </c>
      <c r="P42">
        <v>1.3</v>
      </c>
      <c r="Q42">
        <v>0.3</v>
      </c>
      <c r="R42">
        <v>1</v>
      </c>
    </row>
    <row r="43" spans="1:18" x14ac:dyDescent="0.3">
      <c r="A43">
        <v>1.3</v>
      </c>
      <c r="B43">
        <v>0.3</v>
      </c>
      <c r="C43">
        <f>IF(E43=G43,1,IF(F43=G43,2,IF(#REF!=G43,3,4)))</f>
        <v>1</v>
      </c>
      <c r="D43" cm="1">
        <f t="array" ref="D43">$L$12*NMultDensity(A43:B43,$J$14:$K$14,$J$12:$K$13)+$L$8*NMultDensity(A43:B43,$J$10:$K$10,$J$8:$K$9)</f>
        <v>1.3662537114653834</v>
      </c>
      <c r="E43" cm="1">
        <f t="array" ref="E43">$L$8*NMultDensity(A43:B43,$J$10:$K$10,$J$8:$K$9)/D43</f>
        <v>0.99997801529682129</v>
      </c>
      <c r="F43" cm="1">
        <f t="array" ref="F43">$L$12*NMultDensity(A43:B43,$J$14:$K$14,$J$12:$K$13)/D43</f>
        <v>2.1984703178739908E-5</v>
      </c>
      <c r="G43">
        <f t="shared" si="1"/>
        <v>0.99997801529682129</v>
      </c>
      <c r="P43">
        <v>1.3</v>
      </c>
      <c r="Q43">
        <v>0.3</v>
      </c>
      <c r="R43">
        <v>1</v>
      </c>
    </row>
    <row r="44" spans="1:18" x14ac:dyDescent="0.3">
      <c r="A44">
        <v>1.3</v>
      </c>
      <c r="B44">
        <v>0.2</v>
      </c>
      <c r="C44">
        <f>IF(E44=G44,1,IF(F44=G44,2,IF(#REF!=G44,3,4)))</f>
        <v>1</v>
      </c>
      <c r="D44" cm="1">
        <f t="array" ref="D44">$L$12*NMultDensity(A44:B44,$J$14:$K$14,$J$12:$K$13)+$L$8*NMultDensity(A44:B44,$J$10:$K$10,$J$8:$K$9)</f>
        <v>1.9954853621973765</v>
      </c>
      <c r="E44" cm="1">
        <f t="array" ref="E44">$L$8*NMultDensity(A44:B44,$J$10:$K$10,$J$8:$K$9)/D44</f>
        <v>0.99998204569915239</v>
      </c>
      <c r="F44" cm="1">
        <f t="array" ref="F44">$L$12*NMultDensity(A44:B44,$J$14:$K$14,$J$12:$K$13)/D44</f>
        <v>1.795430084753049E-5</v>
      </c>
      <c r="G44">
        <f t="shared" si="1"/>
        <v>0.99998204569915239</v>
      </c>
      <c r="P44">
        <v>1.3</v>
      </c>
      <c r="Q44">
        <v>0.2</v>
      </c>
      <c r="R44">
        <v>1</v>
      </c>
    </row>
    <row r="45" spans="1:18" x14ac:dyDescent="0.3">
      <c r="A45">
        <v>1.6</v>
      </c>
      <c r="B45">
        <v>0.6</v>
      </c>
      <c r="C45">
        <f>IF(E45=G45,1,IF(F45=G45,2,IF(#REF!=G45,3,4)))</f>
        <v>1</v>
      </c>
      <c r="D45" cm="1">
        <f t="array" ref="D45">$L$12*NMultDensity(A45:B45,$J$14:$K$14,$J$12:$K$13)+$L$8*NMultDensity(A45:B45,$J$10:$K$10,$J$8:$K$9)</f>
        <v>9.3166632306292112E-3</v>
      </c>
      <c r="E45" cm="1">
        <f t="array" ref="E45">$L$8*NMultDensity(A45:B45,$J$10:$K$10,$J$8:$K$9)/D45</f>
        <v>0.99271551058926411</v>
      </c>
      <c r="F45" cm="1">
        <f t="array" ref="F45">$L$12*NMultDensity(A45:B45,$J$14:$K$14,$J$12:$K$13)/D45</f>
        <v>7.284489410735946E-3</v>
      </c>
      <c r="G45">
        <f t="shared" si="1"/>
        <v>0.99271551058926411</v>
      </c>
      <c r="P45">
        <v>1.6</v>
      </c>
      <c r="Q45">
        <v>0.6</v>
      </c>
      <c r="R45">
        <v>1</v>
      </c>
    </row>
    <row r="46" spans="1:18" x14ac:dyDescent="0.3">
      <c r="A46">
        <v>1.9</v>
      </c>
      <c r="B46">
        <v>0.4</v>
      </c>
      <c r="C46">
        <f>IF(E46=G46,1,IF(F46=G46,2,IF(#REF!=G46,3,4)))</f>
        <v>1</v>
      </c>
      <c r="D46" cm="1">
        <f t="array" ref="D46">$L$12*NMultDensity(A46:B46,$J$14:$K$14,$J$12:$K$13)+$L$8*NMultDensity(A46:B46,$J$10:$K$10,$J$8:$K$9)</f>
        <v>9.7523108612167522E-2</v>
      </c>
      <c r="E46" cm="1">
        <f t="array" ref="E46">$L$8*NMultDensity(A46:B46,$J$10:$K$10,$J$8:$K$9)/D46</f>
        <v>0.99297805766071201</v>
      </c>
      <c r="F46" cm="1">
        <f t="array" ref="F46">$L$12*NMultDensity(A46:B46,$J$14:$K$14,$J$12:$K$13)/D46</f>
        <v>7.021942339287982E-3</v>
      </c>
      <c r="G46">
        <f t="shared" si="1"/>
        <v>0.99297805766071201</v>
      </c>
      <c r="P46">
        <v>1.9</v>
      </c>
      <c r="Q46">
        <v>0.4</v>
      </c>
      <c r="R46">
        <v>1</v>
      </c>
    </row>
    <row r="47" spans="1:18" x14ac:dyDescent="0.3">
      <c r="A47">
        <v>1.4</v>
      </c>
      <c r="B47">
        <v>0.3</v>
      </c>
      <c r="C47">
        <f>IF(E47=G47,1,IF(F47=G47,2,IF(#REF!=G47,3,4)))</f>
        <v>1</v>
      </c>
      <c r="D47" cm="1">
        <f t="array" ref="D47">$L$12*NMultDensity(A47:B47,$J$14:$K$14,$J$12:$K$13)+$L$8*NMultDensity(A47:B47,$J$10:$K$10,$J$8:$K$9)</f>
        <v>2.3406684296439928</v>
      </c>
      <c r="E47" cm="1">
        <f t="array" ref="E47">$L$8*NMultDensity(A47:B47,$J$10:$K$10,$J$8:$K$9)/D47</f>
        <v>0.99997612812869641</v>
      </c>
      <c r="F47" cm="1">
        <f t="array" ref="F47">$L$12*NMultDensity(A47:B47,$J$14:$K$14,$J$12:$K$13)/D47</f>
        <v>2.3871871303499188E-5</v>
      </c>
      <c r="G47">
        <f t="shared" si="1"/>
        <v>0.99997612812869641</v>
      </c>
      <c r="P47">
        <v>1.4</v>
      </c>
      <c r="Q47">
        <v>0.3</v>
      </c>
      <c r="R47">
        <v>1</v>
      </c>
    </row>
    <row r="48" spans="1:18" x14ac:dyDescent="0.3">
      <c r="A48">
        <v>1.6</v>
      </c>
      <c r="B48">
        <v>0.2</v>
      </c>
      <c r="C48">
        <f>IF(E48=G48,1,IF(F48=G48,2,IF(#REF!=G48,3,4)))</f>
        <v>1</v>
      </c>
      <c r="D48" cm="1">
        <f t="array" ref="D48">$L$12*NMultDensity(A48:B48,$J$14:$K$14,$J$12:$K$13)+$L$8*NMultDensity(A48:B48,$J$10:$K$10,$J$8:$K$9)</f>
        <v>1.7148270593966122</v>
      </c>
      <c r="E48" cm="1">
        <f t="array" ref="E48">$L$8*NMultDensity(A48:B48,$J$10:$K$10,$J$8:$K$9)/D48</f>
        <v>0.99990604373865721</v>
      </c>
      <c r="F48" cm="1">
        <f t="array" ref="F48">$L$12*NMultDensity(A48:B48,$J$14:$K$14,$J$12:$K$13)/D48</f>
        <v>9.3956261342782965E-5</v>
      </c>
      <c r="G48">
        <f t="shared" si="1"/>
        <v>0.99990604373865721</v>
      </c>
      <c r="P48">
        <v>1.6</v>
      </c>
      <c r="Q48">
        <v>0.2</v>
      </c>
      <c r="R48">
        <v>1</v>
      </c>
    </row>
    <row r="49" spans="1:18" x14ac:dyDescent="0.3">
      <c r="A49">
        <v>1.4</v>
      </c>
      <c r="B49">
        <v>0.2</v>
      </c>
      <c r="C49">
        <f>IF(E49=G49,1,IF(F49=G49,2,IF(#REF!=G49,3,4)))</f>
        <v>1</v>
      </c>
      <c r="D49" cm="1">
        <f t="array" ref="D49">$L$12*NMultDensity(A49:B49,$J$14:$K$14,$J$12:$K$13)+$L$8*NMultDensity(A49:B49,$J$10:$K$10,$J$8:$K$9)</f>
        <v>2.7764639014678072</v>
      </c>
      <c r="E49" cm="1">
        <f t="array" ref="E49">$L$8*NMultDensity(A49:B49,$J$10:$K$10,$J$8:$K$9)/D49</f>
        <v>0.99997769903709099</v>
      </c>
      <c r="F49" cm="1">
        <f t="array" ref="F49">$L$12*NMultDensity(A49:B49,$J$14:$K$14,$J$12:$K$13)/D49</f>
        <v>2.2300962909056577E-5</v>
      </c>
      <c r="G49">
        <f t="shared" si="1"/>
        <v>0.99997769903709099</v>
      </c>
      <c r="P49">
        <v>1.4</v>
      </c>
      <c r="Q49">
        <v>0.2</v>
      </c>
      <c r="R49">
        <v>1</v>
      </c>
    </row>
    <row r="50" spans="1:18" x14ac:dyDescent="0.3">
      <c r="A50">
        <v>1.5</v>
      </c>
      <c r="B50">
        <v>0.2</v>
      </c>
      <c r="C50">
        <f>IF(E50=G50,1,IF(F50=G50,2,IF(#REF!=G50,3,4)))</f>
        <v>1</v>
      </c>
      <c r="D50" cm="1">
        <f t="array" ref="D50">$L$12*NMultDensity(A50:B50,$J$14:$K$14,$J$12:$K$13)+$L$8*NMultDensity(A50:B50,$J$10:$K$10,$J$8:$K$9)</f>
        <v>2.6396443639973945</v>
      </c>
      <c r="E50" cm="1">
        <f t="array" ref="E50">$L$8*NMultDensity(A50:B50,$J$10:$K$10,$J$8:$K$9)/D50</f>
        <v>0.99996128197183576</v>
      </c>
      <c r="F50" cm="1">
        <f t="array" ref="F50">$L$12*NMultDensity(A50:B50,$J$14:$K$14,$J$12:$K$13)/D50</f>
        <v>3.8718028164209257E-5</v>
      </c>
      <c r="G50">
        <f t="shared" si="1"/>
        <v>0.99996128197183576</v>
      </c>
      <c r="P50">
        <v>1.5</v>
      </c>
      <c r="Q50">
        <v>0.2</v>
      </c>
      <c r="R50">
        <v>1</v>
      </c>
    </row>
    <row r="51" spans="1:18" x14ac:dyDescent="0.3">
      <c r="A51">
        <v>1.4</v>
      </c>
      <c r="B51">
        <v>0.2</v>
      </c>
      <c r="C51">
        <f>IF(E51=G51,1,IF(F51=G51,2,IF(#REF!=G51,3,4)))</f>
        <v>1</v>
      </c>
      <c r="D51" cm="1">
        <f t="array" ref="D51">$L$12*NMultDensity(A51:B51,$J$14:$K$14,$J$12:$K$13)+$L$8*NMultDensity(A51:B51,$J$10:$K$10,$J$8:$K$9)</f>
        <v>2.7764639014678072</v>
      </c>
      <c r="E51" cm="1">
        <f t="array" ref="E51">$L$8*NMultDensity(A51:B51,$J$10:$K$10,$J$8:$K$9)/D51</f>
        <v>0.99997769903709099</v>
      </c>
      <c r="F51" cm="1">
        <f t="array" ref="F51">$L$12*NMultDensity(A51:B51,$J$14:$K$14,$J$12:$K$13)/D51</f>
        <v>2.2300962909056577E-5</v>
      </c>
      <c r="G51">
        <f t="shared" si="1"/>
        <v>0.99997769903709099</v>
      </c>
      <c r="P51">
        <v>1.4</v>
      </c>
      <c r="Q51">
        <v>0.2</v>
      </c>
      <c r="R51">
        <v>1</v>
      </c>
    </row>
    <row r="52" spans="1:18" x14ac:dyDescent="0.3">
      <c r="A52">
        <v>4.7</v>
      </c>
      <c r="B52">
        <v>1.4</v>
      </c>
      <c r="C52">
        <f>IF(E52=G52,1,IF(F52=G52,2,IF(#REF!=G52,3,4)))</f>
        <v>2</v>
      </c>
      <c r="D52" cm="1">
        <f t="array" ref="D52">$L$12*NMultDensity(A52:B52,$J$14:$K$14,$J$12:$K$13)+$L$8*NMultDensity(A52:B52,$J$10:$K$10,$J$8:$K$9)</f>
        <v>0.38241046332511991</v>
      </c>
      <c r="E52" cm="1">
        <f t="array" ref="E52">$L$8*NMultDensity(A52:B52,$J$10:$K$10,$J$8:$K$9)/D52</f>
        <v>1.1597360919820429E-82</v>
      </c>
      <c r="F52" cm="1">
        <f t="array" ref="F52">$L$12*NMultDensity(A52:B52,$J$14:$K$14,$J$12:$K$13)/D52</f>
        <v>1</v>
      </c>
      <c r="G52">
        <f t="shared" si="1"/>
        <v>1</v>
      </c>
      <c r="P52">
        <v>4.7</v>
      </c>
      <c r="Q52">
        <v>1.4</v>
      </c>
      <c r="R52">
        <v>2</v>
      </c>
    </row>
    <row r="53" spans="1:18" x14ac:dyDescent="0.3">
      <c r="A53">
        <v>4.5</v>
      </c>
      <c r="B53">
        <v>1.5</v>
      </c>
      <c r="C53">
        <f>IF(E53=G53,1,IF(F53=G53,2,IF(#REF!=G53,3,4)))</f>
        <v>2</v>
      </c>
      <c r="D53" cm="1">
        <f t="array" ref="D53">$L$12*NMultDensity(A53:B53,$J$14:$K$14,$J$12:$K$13)+$L$8*NMultDensity(A53:B53,$J$10:$K$10,$J$8:$K$9)</f>
        <v>0.47622939593491248</v>
      </c>
      <c r="E53" cm="1">
        <f t="array" ref="E53">$L$8*NMultDensity(A53:B53,$J$10:$K$10,$J$8:$K$9)/D53</f>
        <v>4.0038017985357136E-77</v>
      </c>
      <c r="F53" cm="1">
        <f t="array" ref="F53">$L$12*NMultDensity(A53:B53,$J$14:$K$14,$J$12:$K$13)/D53</f>
        <v>1</v>
      </c>
      <c r="G53">
        <f t="shared" si="1"/>
        <v>1</v>
      </c>
      <c r="P53">
        <v>4.5</v>
      </c>
      <c r="Q53">
        <v>1.5</v>
      </c>
      <c r="R53">
        <v>2</v>
      </c>
    </row>
    <row r="54" spans="1:18" x14ac:dyDescent="0.3">
      <c r="A54">
        <v>4.9000000000000004</v>
      </c>
      <c r="B54">
        <v>1.5</v>
      </c>
      <c r="C54">
        <f>IF(E54=G54,1,IF(F54=G54,2,IF(#REF!=G54,3,4)))</f>
        <v>2</v>
      </c>
      <c r="D54" cm="1">
        <f t="array" ref="D54">$L$12*NMultDensity(A54:B54,$J$14:$K$14,$J$12:$K$13)+$L$8*NMultDensity(A54:B54,$J$10:$K$10,$J$8:$K$9)</f>
        <v>0.41390617878324981</v>
      </c>
      <c r="E54" cm="1">
        <f t="array" ref="E54">$L$8*NMultDensity(A54:B54,$J$10:$K$10,$J$8:$K$9)/D54</f>
        <v>5.9322068351706434E-94</v>
      </c>
      <c r="F54" cm="1">
        <f t="array" ref="F54">$L$12*NMultDensity(A54:B54,$J$14:$K$14,$J$12:$K$13)/D54</f>
        <v>1</v>
      </c>
      <c r="G54">
        <f t="shared" si="1"/>
        <v>1</v>
      </c>
      <c r="P54">
        <v>4.9000000000000004</v>
      </c>
      <c r="Q54">
        <v>1.5</v>
      </c>
      <c r="R54">
        <v>2</v>
      </c>
    </row>
    <row r="55" spans="1:18" x14ac:dyDescent="0.3">
      <c r="A55">
        <v>4</v>
      </c>
      <c r="B55">
        <v>1.3</v>
      </c>
      <c r="C55">
        <f>IF(E55=G55,1,IF(F55=G55,2,IF(#REF!=G55,3,4)))</f>
        <v>2</v>
      </c>
      <c r="D55" cm="1">
        <f t="array" ref="D55">$L$12*NMultDensity(A55:B55,$J$14:$K$14,$J$12:$K$13)+$L$8*NMultDensity(A55:B55,$J$10:$K$10,$J$8:$K$9)</f>
        <v>0.29352763954501454</v>
      </c>
      <c r="E55" cm="1">
        <f t="array" ref="E55">$L$8*NMultDensity(A55:B55,$J$10:$K$10,$J$8:$K$9)/D55</f>
        <v>9.5896882229037103E-54</v>
      </c>
      <c r="F55" cm="1">
        <f t="array" ref="F55">$L$12*NMultDensity(A55:B55,$J$14:$K$14,$J$12:$K$13)/D55</f>
        <v>1</v>
      </c>
      <c r="G55">
        <f t="shared" si="1"/>
        <v>1</v>
      </c>
      <c r="P55">
        <v>4</v>
      </c>
      <c r="Q55">
        <v>1.3</v>
      </c>
      <c r="R55">
        <v>2</v>
      </c>
    </row>
    <row r="56" spans="1:18" x14ac:dyDescent="0.3">
      <c r="A56">
        <v>4.5999999999999996</v>
      </c>
      <c r="B56">
        <v>1.5</v>
      </c>
      <c r="C56">
        <f>IF(E56=G56,1,IF(F56=G56,2,IF(#REF!=G56,3,4)))</f>
        <v>2</v>
      </c>
      <c r="D56" cm="1">
        <f t="array" ref="D56">$L$12*NMultDensity(A56:B56,$J$14:$K$14,$J$12:$K$13)+$L$8*NMultDensity(A56:B56,$J$10:$K$10,$J$8:$K$9)</f>
        <v>0.49263019181424966</v>
      </c>
      <c r="E56" cm="1">
        <f t="array" ref="E56">$L$8*NMultDensity(A56:B56,$J$10:$K$10,$J$8:$K$9)/D56</f>
        <v>4.105046779004587E-81</v>
      </c>
      <c r="F56" cm="1">
        <f t="array" ref="F56">$L$12*NMultDensity(A56:B56,$J$14:$K$14,$J$12:$K$13)/D56</f>
        <v>1</v>
      </c>
      <c r="G56">
        <f t="shared" si="1"/>
        <v>1</v>
      </c>
      <c r="P56">
        <v>4.5999999999999996</v>
      </c>
      <c r="Q56">
        <v>1.5</v>
      </c>
      <c r="R56">
        <v>2</v>
      </c>
    </row>
    <row r="57" spans="1:18" x14ac:dyDescent="0.3">
      <c r="A57">
        <v>4.5</v>
      </c>
      <c r="B57">
        <v>1.3</v>
      </c>
      <c r="C57">
        <f>IF(E57=G57,1,IF(F57=G57,2,IF(#REF!=G57,3,4)))</f>
        <v>2</v>
      </c>
      <c r="D57" cm="1">
        <f t="array" ref="D57">$L$12*NMultDensity(A57:B57,$J$14:$K$14,$J$12:$K$13)+$L$8*NMultDensity(A57:B57,$J$10:$K$10,$J$8:$K$9)</f>
        <v>0.33170279026558036</v>
      </c>
      <c r="E57" cm="1">
        <f t="array" ref="E57">$L$8*NMultDensity(A57:B57,$J$10:$K$10,$J$8:$K$9)/D57</f>
        <v>4.3025411109185825E-72</v>
      </c>
      <c r="F57" cm="1">
        <f t="array" ref="F57">$L$12*NMultDensity(A57:B57,$J$14:$K$14,$J$12:$K$13)/D57</f>
        <v>1</v>
      </c>
      <c r="G57">
        <f t="shared" si="1"/>
        <v>1</v>
      </c>
      <c r="P57">
        <v>4.5</v>
      </c>
      <c r="Q57">
        <v>1.3</v>
      </c>
      <c r="R57">
        <v>2</v>
      </c>
    </row>
    <row r="58" spans="1:18" x14ac:dyDescent="0.3">
      <c r="A58">
        <v>4.7</v>
      </c>
      <c r="B58">
        <v>1.6</v>
      </c>
      <c r="C58">
        <f>IF(E58=G58,1,IF(F58=G58,2,IF(#REF!=G58,3,4)))</f>
        <v>2</v>
      </c>
      <c r="D58" cm="1">
        <f t="array" ref="D58">$L$12*NMultDensity(A58:B58,$J$14:$K$14,$J$12:$K$13)+$L$8*NMultDensity(A58:B58,$J$10:$K$10,$J$8:$K$9)</f>
        <v>0.52062070798770177</v>
      </c>
      <c r="E58" cm="1">
        <f t="array" ref="E58">$L$8*NMultDensity(A58:B58,$J$10:$K$10,$J$8:$K$9)/D58</f>
        <v>3.30757170482706E-88</v>
      </c>
      <c r="F58" cm="1">
        <f t="array" ref="F58">$L$12*NMultDensity(A58:B58,$J$14:$K$14,$J$12:$K$13)/D58</f>
        <v>1</v>
      </c>
      <c r="G58">
        <f t="shared" si="1"/>
        <v>1</v>
      </c>
      <c r="P58">
        <v>4.7</v>
      </c>
      <c r="Q58">
        <v>1.6</v>
      </c>
      <c r="R58">
        <v>2</v>
      </c>
    </row>
    <row r="59" spans="1:18" x14ac:dyDescent="0.3">
      <c r="A59">
        <v>3.3</v>
      </c>
      <c r="B59">
        <v>1</v>
      </c>
      <c r="C59">
        <f>IF(E59=G59,1,IF(F59=G59,2,IF(#REF!=G59,3,4)))</f>
        <v>2</v>
      </c>
      <c r="D59" cm="1">
        <f t="array" ref="D59">$L$12*NMultDensity(A59:B59,$J$14:$K$14,$J$12:$K$13)+$L$8*NMultDensity(A59:B59,$J$10:$K$10,$J$8:$K$9)</f>
        <v>8.0266085399448781E-2</v>
      </c>
      <c r="E59" cm="1">
        <f t="array" ref="E59">$L$8*NMultDensity(A59:B59,$J$10:$K$10,$J$8:$K$9)/D59</f>
        <v>2.5570060079967809E-27</v>
      </c>
      <c r="F59" cm="1">
        <f t="array" ref="F59">$L$12*NMultDensity(A59:B59,$J$14:$K$14,$J$12:$K$13)/D59</f>
        <v>1</v>
      </c>
      <c r="G59">
        <f t="shared" si="1"/>
        <v>1</v>
      </c>
      <c r="P59">
        <v>3.3</v>
      </c>
      <c r="Q59">
        <v>1</v>
      </c>
      <c r="R59">
        <v>2</v>
      </c>
    </row>
    <row r="60" spans="1:18" x14ac:dyDescent="0.3">
      <c r="A60">
        <v>4.5999999999999996</v>
      </c>
      <c r="B60">
        <v>1.3</v>
      </c>
      <c r="C60">
        <f>IF(E60=G60,1,IF(F60=G60,2,IF(#REF!=G60,3,4)))</f>
        <v>2</v>
      </c>
      <c r="D60" cm="1">
        <f t="array" ref="D60">$L$12*NMultDensity(A60:B60,$J$14:$K$14,$J$12:$K$13)+$L$8*NMultDensity(A60:B60,$J$10:$K$10,$J$8:$K$9)</f>
        <v>0.29614360124360262</v>
      </c>
      <c r="E60" cm="1">
        <f t="array" ref="E60">$L$8*NMultDensity(A60:B60,$J$10:$K$10,$J$8:$K$9)/D60</f>
        <v>3.3712418837813853E-76</v>
      </c>
      <c r="F60" cm="1">
        <f t="array" ref="F60">$L$12*NMultDensity(A60:B60,$J$14:$K$14,$J$12:$K$13)/D60</f>
        <v>1</v>
      </c>
      <c r="G60">
        <f t="shared" si="1"/>
        <v>1</v>
      </c>
      <c r="P60">
        <v>4.5999999999999996</v>
      </c>
      <c r="Q60">
        <v>1.3</v>
      </c>
      <c r="R60">
        <v>2</v>
      </c>
    </row>
    <row r="61" spans="1:18" x14ac:dyDescent="0.3">
      <c r="A61">
        <v>3.9</v>
      </c>
      <c r="B61">
        <v>1.4</v>
      </c>
      <c r="C61">
        <f>IF(E61=G61,1,IF(F61=G61,2,IF(#REF!=G61,3,4)))</f>
        <v>2</v>
      </c>
      <c r="D61" cm="1">
        <f t="array" ref="D61">$L$12*NMultDensity(A61:B61,$J$14:$K$14,$J$12:$K$13)+$L$8*NMultDensity(A61:B61,$J$10:$K$10,$J$8:$K$9)</f>
        <v>0.20969379371458746</v>
      </c>
      <c r="E61" cm="1">
        <f t="array" ref="E61">$L$8*NMultDensity(A61:B61,$J$10:$K$10,$J$8:$K$9)/D61</f>
        <v>3.4349676521117307E-53</v>
      </c>
      <c r="F61" cm="1">
        <f t="array" ref="F61">$L$12*NMultDensity(A61:B61,$J$14:$K$14,$J$12:$K$13)/D61</f>
        <v>1</v>
      </c>
      <c r="G61">
        <f t="shared" si="1"/>
        <v>1</v>
      </c>
      <c r="P61">
        <v>3.9</v>
      </c>
      <c r="Q61">
        <v>1.4</v>
      </c>
      <c r="R61">
        <v>2</v>
      </c>
    </row>
    <row r="62" spans="1:18" x14ac:dyDescent="0.3">
      <c r="A62">
        <v>3.5</v>
      </c>
      <c r="B62">
        <v>1</v>
      </c>
      <c r="C62">
        <f>IF(E62=G62,1,IF(F62=G62,2,IF(#REF!=G62,3,4)))</f>
        <v>2</v>
      </c>
      <c r="D62" cm="1">
        <f t="array" ref="D62">$L$12*NMultDensity(A62:B62,$J$14:$K$14,$J$12:$K$13)+$L$8*NMultDensity(A62:B62,$J$10:$K$10,$J$8:$K$9)</f>
        <v>0.11834843467984524</v>
      </c>
      <c r="E62" cm="1">
        <f t="array" ref="E62">$L$8*NMultDensity(A62:B62,$J$10:$K$10,$J$8:$K$9)/D62</f>
        <v>1.5510778534893658E-32</v>
      </c>
      <c r="F62" cm="1">
        <f t="array" ref="F62">$L$12*NMultDensity(A62:B62,$J$14:$K$14,$J$12:$K$13)/D62</f>
        <v>1</v>
      </c>
      <c r="G62">
        <f t="shared" si="1"/>
        <v>1</v>
      </c>
      <c r="P62">
        <v>3.5</v>
      </c>
      <c r="Q62">
        <v>1</v>
      </c>
      <c r="R62">
        <v>2</v>
      </c>
    </row>
    <row r="63" spans="1:18" x14ac:dyDescent="0.3">
      <c r="A63">
        <v>4.2</v>
      </c>
      <c r="B63">
        <v>1.5</v>
      </c>
      <c r="C63">
        <f>IF(E63=G63,1,IF(F63=G63,2,IF(#REF!=G63,3,4)))</f>
        <v>2</v>
      </c>
      <c r="D63" cm="1">
        <f t="array" ref="D63">$L$12*NMultDensity(A63:B63,$J$14:$K$14,$J$12:$K$13)+$L$8*NMultDensity(A63:B63,$J$10:$K$10,$J$8:$K$9)</f>
        <v>0.32656386735592979</v>
      </c>
      <c r="E63" cm="1">
        <f t="array" ref="E63">$L$8*NMultDensity(A63:B63,$J$10:$K$10,$J$8:$K$9)/D63</f>
        <v>4.9807816557808687E-66</v>
      </c>
      <c r="F63" cm="1">
        <f t="array" ref="F63">$L$12*NMultDensity(A63:B63,$J$14:$K$14,$J$12:$K$13)/D63</f>
        <v>1</v>
      </c>
      <c r="G63">
        <f t="shared" si="1"/>
        <v>1</v>
      </c>
      <c r="P63">
        <v>4.2</v>
      </c>
      <c r="Q63">
        <v>1.5</v>
      </c>
      <c r="R63">
        <v>2</v>
      </c>
    </row>
    <row r="64" spans="1:18" x14ac:dyDescent="0.3">
      <c r="A64">
        <v>4</v>
      </c>
      <c r="B64">
        <v>1</v>
      </c>
      <c r="C64">
        <f>IF(E64=G64,1,IF(F64=G64,2,IF(#REF!=G64,3,4)))</f>
        <v>2</v>
      </c>
      <c r="D64" cm="1">
        <f t="array" ref="D64">$L$12*NMultDensity(A64:B64,$J$14:$K$14,$J$12:$K$13)+$L$8*NMultDensity(A64:B64,$J$10:$K$10,$J$8:$K$9)</f>
        <v>0.13980272276296024</v>
      </c>
      <c r="E64" cm="1">
        <f t="array" ref="E64">$L$8*NMultDensity(A64:B64,$J$10:$K$10,$J$8:$K$9)/D64</f>
        <v>4.0058321770089753E-48</v>
      </c>
      <c r="F64" cm="1">
        <f t="array" ref="F64">$L$12*NMultDensity(A64:B64,$J$14:$K$14,$J$12:$K$13)/D64</f>
        <v>1</v>
      </c>
      <c r="G64">
        <f t="shared" si="1"/>
        <v>1</v>
      </c>
      <c r="P64">
        <v>4</v>
      </c>
      <c r="Q64">
        <v>1</v>
      </c>
      <c r="R64">
        <v>2</v>
      </c>
    </row>
    <row r="65" spans="1:18" x14ac:dyDescent="0.3">
      <c r="A65">
        <v>4.7</v>
      </c>
      <c r="B65">
        <v>1.4</v>
      </c>
      <c r="C65">
        <f>IF(E65=G65,1,IF(F65=G65,2,IF(#REF!=G65,3,4)))</f>
        <v>2</v>
      </c>
      <c r="D65" cm="1">
        <f t="array" ref="D65">$L$12*NMultDensity(A65:B65,$J$14:$K$14,$J$12:$K$13)+$L$8*NMultDensity(A65:B65,$J$10:$K$10,$J$8:$K$9)</f>
        <v>0.38241046332511991</v>
      </c>
      <c r="E65" cm="1">
        <f t="array" ref="E65">$L$8*NMultDensity(A65:B65,$J$10:$K$10,$J$8:$K$9)/D65</f>
        <v>1.1597360919820429E-82</v>
      </c>
      <c r="F65" cm="1">
        <f t="array" ref="F65">$L$12*NMultDensity(A65:B65,$J$14:$K$14,$J$12:$K$13)/D65</f>
        <v>1</v>
      </c>
      <c r="G65">
        <f t="shared" si="1"/>
        <v>1</v>
      </c>
      <c r="P65">
        <v>4.7</v>
      </c>
      <c r="Q65">
        <v>1.4</v>
      </c>
      <c r="R65">
        <v>2</v>
      </c>
    </row>
    <row r="66" spans="1:18" x14ac:dyDescent="0.3">
      <c r="A66">
        <v>3.6</v>
      </c>
      <c r="B66">
        <v>1.3</v>
      </c>
      <c r="C66">
        <f>IF(E66=G66,1,IF(F66=G66,2,IF(#REF!=G66,3,4)))</f>
        <v>2</v>
      </c>
      <c r="D66" cm="1">
        <f t="array" ref="D66">$L$12*NMultDensity(A66:B66,$J$14:$K$14,$J$12:$K$13)+$L$8*NMultDensity(A66:B66,$J$10:$K$10,$J$8:$K$9)</f>
        <v>0.11640405992757075</v>
      </c>
      <c r="E66" cm="1">
        <f t="array" ref="E66">$L$8*NMultDensity(A66:B66,$J$10:$K$10,$J$8:$K$9)/D66</f>
        <v>1.1024342999132099E-41</v>
      </c>
      <c r="F66" cm="1">
        <f t="array" ref="F66">$L$12*NMultDensity(A66:B66,$J$14:$K$14,$J$12:$K$13)/D66</f>
        <v>1</v>
      </c>
      <c r="G66">
        <f t="shared" ref="G66:G97" si="2">MAX(E66:F66)</f>
        <v>1</v>
      </c>
      <c r="P66">
        <v>3.6</v>
      </c>
      <c r="Q66">
        <v>1.3</v>
      </c>
      <c r="R66">
        <v>2</v>
      </c>
    </row>
    <row r="67" spans="1:18" x14ac:dyDescent="0.3">
      <c r="A67">
        <v>4.4000000000000004</v>
      </c>
      <c r="B67">
        <v>1.4</v>
      </c>
      <c r="C67">
        <f>IF(E67=G67,1,IF(F67=G67,2,IF(#REF!=G67,3,4)))</f>
        <v>2</v>
      </c>
      <c r="D67" cm="1">
        <f t="array" ref="D67">$L$12*NMultDensity(A67:B67,$J$14:$K$14,$J$12:$K$13)+$L$8*NMultDensity(A67:B67,$J$10:$K$10,$J$8:$K$9)</f>
        <v>0.43086645705922755</v>
      </c>
      <c r="E67" cm="1">
        <f t="array" ref="E67">$L$8*NMultDensity(A67:B67,$J$10:$K$10,$J$8:$K$9)/D67</f>
        <v>1.6106216588391586E-70</v>
      </c>
      <c r="F67" cm="1">
        <f t="array" ref="F67">$L$12*NMultDensity(A67:B67,$J$14:$K$14,$J$12:$K$13)/D67</f>
        <v>1</v>
      </c>
      <c r="G67">
        <f t="shared" si="2"/>
        <v>1</v>
      </c>
      <c r="P67">
        <v>4.4000000000000004</v>
      </c>
      <c r="Q67">
        <v>1.4</v>
      </c>
      <c r="R67">
        <v>2</v>
      </c>
    </row>
    <row r="68" spans="1:18" x14ac:dyDescent="0.3">
      <c r="A68">
        <v>4.5</v>
      </c>
      <c r="B68">
        <v>1.5</v>
      </c>
      <c r="C68">
        <f>IF(E68=G68,1,IF(F68=G68,2,IF(#REF!=G68,3,4)))</f>
        <v>2</v>
      </c>
      <c r="D68" cm="1">
        <f t="array" ref="D68">$L$12*NMultDensity(A68:B68,$J$14:$K$14,$J$12:$K$13)+$L$8*NMultDensity(A68:B68,$J$10:$K$10,$J$8:$K$9)</f>
        <v>0.47622939593491248</v>
      </c>
      <c r="E68" cm="1">
        <f t="array" ref="E68">$L$8*NMultDensity(A68:B68,$J$10:$K$10,$J$8:$K$9)/D68</f>
        <v>4.0038017985357136E-77</v>
      </c>
      <c r="F68" cm="1">
        <f t="array" ref="F68">$L$12*NMultDensity(A68:B68,$J$14:$K$14,$J$12:$K$13)/D68</f>
        <v>1</v>
      </c>
      <c r="G68">
        <f t="shared" si="2"/>
        <v>1</v>
      </c>
      <c r="P68">
        <v>4.5</v>
      </c>
      <c r="Q68">
        <v>1.5</v>
      </c>
      <c r="R68">
        <v>2</v>
      </c>
    </row>
    <row r="69" spans="1:18" x14ac:dyDescent="0.3">
      <c r="A69">
        <v>4.0999999999999996</v>
      </c>
      <c r="B69">
        <v>1</v>
      </c>
      <c r="C69">
        <f>IF(E69=G69,1,IF(F69=G69,2,IF(#REF!=G69,3,4)))</f>
        <v>2</v>
      </c>
      <c r="D69" cm="1">
        <f t="array" ref="D69">$L$12*NMultDensity(A69:B69,$J$14:$K$14,$J$12:$K$13)+$L$8*NMultDensity(A69:B69,$J$10:$K$10,$J$8:$K$9)</f>
        <v>0.12592717363903344</v>
      </c>
      <c r="E69" cm="1">
        <f t="array" ref="E69">$L$8*NMultDensity(A69:B69,$J$10:$K$10,$J$8:$K$9)/D69</f>
        <v>1.1188847599189104E-51</v>
      </c>
      <c r="F69" cm="1">
        <f t="array" ref="F69">$L$12*NMultDensity(A69:B69,$J$14:$K$14,$J$12:$K$13)/D69</f>
        <v>1</v>
      </c>
      <c r="G69">
        <f t="shared" si="2"/>
        <v>1</v>
      </c>
      <c r="P69">
        <v>4.0999999999999996</v>
      </c>
      <c r="Q69">
        <v>1</v>
      </c>
      <c r="R69">
        <v>2</v>
      </c>
    </row>
    <row r="70" spans="1:18" x14ac:dyDescent="0.3">
      <c r="A70">
        <v>4.5</v>
      </c>
      <c r="B70">
        <v>1.5</v>
      </c>
      <c r="C70">
        <f>IF(E70=G70,1,IF(F70=G70,2,IF(#REF!=G70,3,4)))</f>
        <v>2</v>
      </c>
      <c r="D70" cm="1">
        <f t="array" ref="D70">$L$12*NMultDensity(A70:B70,$J$14:$K$14,$J$12:$K$13)+$L$8*NMultDensity(A70:B70,$J$10:$K$10,$J$8:$K$9)</f>
        <v>0.47622939593491248</v>
      </c>
      <c r="E70" cm="1">
        <f t="array" ref="E70">$L$8*NMultDensity(A70:B70,$J$10:$K$10,$J$8:$K$9)/D70</f>
        <v>4.0038017985357136E-77</v>
      </c>
      <c r="F70" cm="1">
        <f t="array" ref="F70">$L$12*NMultDensity(A70:B70,$J$14:$K$14,$J$12:$K$13)/D70</f>
        <v>1</v>
      </c>
      <c r="G70">
        <f t="shared" si="2"/>
        <v>1</v>
      </c>
      <c r="P70">
        <v>4.5</v>
      </c>
      <c r="Q70">
        <v>1.5</v>
      </c>
      <c r="R70">
        <v>2</v>
      </c>
    </row>
    <row r="71" spans="1:18" x14ac:dyDescent="0.3">
      <c r="A71">
        <v>3.9</v>
      </c>
      <c r="B71">
        <v>1.1000000000000001</v>
      </c>
      <c r="C71">
        <f>IF(E71=G71,1,IF(F71=G71,2,IF(#REF!=G71,3,4)))</f>
        <v>2</v>
      </c>
      <c r="D71" cm="1">
        <f t="array" ref="D71">$L$12*NMultDensity(A71:B71,$J$14:$K$14,$J$12:$K$13)+$L$8*NMultDensity(A71:B71,$J$10:$K$10,$J$8:$K$9)</f>
        <v>0.20982029606598734</v>
      </c>
      <c r="E71" cm="1">
        <f t="array" ref="E71">$L$8*NMultDensity(A71:B71,$J$10:$K$10,$J$8:$K$9)/D71</f>
        <v>2.8360901514620196E-46</v>
      </c>
      <c r="F71" cm="1">
        <f t="array" ref="F71">$L$12*NMultDensity(A71:B71,$J$14:$K$14,$J$12:$K$13)/D71</f>
        <v>1</v>
      </c>
      <c r="G71">
        <f t="shared" si="2"/>
        <v>1</v>
      </c>
      <c r="P71">
        <v>3.9</v>
      </c>
      <c r="Q71">
        <v>1.1000000000000001</v>
      </c>
      <c r="R71">
        <v>2</v>
      </c>
    </row>
    <row r="72" spans="1:18" x14ac:dyDescent="0.3">
      <c r="A72">
        <v>4.8</v>
      </c>
      <c r="B72">
        <v>1.8</v>
      </c>
      <c r="C72">
        <f>IF(E72=G72,1,IF(F72=G72,2,IF(#REF!=G72,3,4)))</f>
        <v>2</v>
      </c>
      <c r="D72" cm="1">
        <f t="array" ref="D72">$L$12*NMultDensity(A72:B72,$J$14:$K$14,$J$12:$K$13)+$L$8*NMultDensity(A72:B72,$J$10:$K$10,$J$8:$K$9)</f>
        <v>0.41617591212359401</v>
      </c>
      <c r="E72" cm="1">
        <f t="array" ref="E72">$L$8*NMultDensity(A72:B72,$J$10:$K$10,$J$8:$K$9)/D72</f>
        <v>2.37399002966779E-99</v>
      </c>
      <c r="F72" cm="1">
        <f t="array" ref="F72">$L$12*NMultDensity(A72:B72,$J$14:$K$14,$J$12:$K$13)/D72</f>
        <v>1</v>
      </c>
      <c r="G72">
        <f t="shared" si="2"/>
        <v>1</v>
      </c>
      <c r="P72">
        <v>4.8</v>
      </c>
      <c r="Q72">
        <v>1.8</v>
      </c>
      <c r="R72">
        <v>2</v>
      </c>
    </row>
    <row r="73" spans="1:18" x14ac:dyDescent="0.3">
      <c r="A73">
        <v>4</v>
      </c>
      <c r="B73">
        <v>1.3</v>
      </c>
      <c r="C73">
        <f>IF(E73=G73,1,IF(F73=G73,2,IF(#REF!=G73,3,4)))</f>
        <v>2</v>
      </c>
      <c r="D73" cm="1">
        <f t="array" ref="D73">$L$12*NMultDensity(A73:B73,$J$14:$K$14,$J$12:$K$13)+$L$8*NMultDensity(A73:B73,$J$10:$K$10,$J$8:$K$9)</f>
        <v>0.29352763954501454</v>
      </c>
      <c r="E73" cm="1">
        <f t="array" ref="E73">$L$8*NMultDensity(A73:B73,$J$10:$K$10,$J$8:$K$9)/D73</f>
        <v>9.5896882229037103E-54</v>
      </c>
      <c r="F73" cm="1">
        <f t="array" ref="F73">$L$12*NMultDensity(A73:B73,$J$14:$K$14,$J$12:$K$13)/D73</f>
        <v>1</v>
      </c>
      <c r="G73">
        <f t="shared" si="2"/>
        <v>1</v>
      </c>
      <c r="P73">
        <v>4</v>
      </c>
      <c r="Q73">
        <v>1.3</v>
      </c>
      <c r="R73">
        <v>2</v>
      </c>
    </row>
    <row r="74" spans="1:18" x14ac:dyDescent="0.3">
      <c r="A74">
        <v>4.9000000000000004</v>
      </c>
      <c r="B74">
        <v>1.5</v>
      </c>
      <c r="C74">
        <f>IF(E74=G74,1,IF(F74=G74,2,IF(#REF!=G74,3,4)))</f>
        <v>2</v>
      </c>
      <c r="D74" cm="1">
        <f t="array" ref="D74">$L$12*NMultDensity(A74:B74,$J$14:$K$14,$J$12:$K$13)+$L$8*NMultDensity(A74:B74,$J$10:$K$10,$J$8:$K$9)</f>
        <v>0.41390617878324981</v>
      </c>
      <c r="E74" cm="1">
        <f t="array" ref="E74">$L$8*NMultDensity(A74:B74,$J$10:$K$10,$J$8:$K$9)/D74</f>
        <v>5.9322068351706434E-94</v>
      </c>
      <c r="F74" cm="1">
        <f t="array" ref="F74">$L$12*NMultDensity(A74:B74,$J$14:$K$14,$J$12:$K$13)/D74</f>
        <v>1</v>
      </c>
      <c r="G74">
        <f t="shared" si="2"/>
        <v>1</v>
      </c>
      <c r="P74">
        <v>4.9000000000000004</v>
      </c>
      <c r="Q74">
        <v>1.5</v>
      </c>
      <c r="R74">
        <v>2</v>
      </c>
    </row>
    <row r="75" spans="1:18" x14ac:dyDescent="0.3">
      <c r="A75">
        <v>4.7</v>
      </c>
      <c r="B75">
        <v>1.2</v>
      </c>
      <c r="C75">
        <f>IF(E75=G75,1,IF(F75=G75,2,IF(#REF!=G75,3,4)))</f>
        <v>2</v>
      </c>
      <c r="D75" cm="1">
        <f t="array" ref="D75">$L$12*NMultDensity(A75:B75,$J$14:$K$14,$J$12:$K$13)+$L$8*NMultDensity(A75:B75,$J$10:$K$10,$J$8:$K$9)</f>
        <v>0.14014606269759666</v>
      </c>
      <c r="E75" cm="1">
        <f t="array" ref="E75">$L$8*NMultDensity(A75:B75,$J$10:$K$10,$J$8:$K$9)/D75</f>
        <v>1.3028414431302492E-78</v>
      </c>
      <c r="F75" cm="1">
        <f t="array" ref="F75">$L$12*NMultDensity(A75:B75,$J$14:$K$14,$J$12:$K$13)/D75</f>
        <v>1</v>
      </c>
      <c r="G75">
        <f t="shared" si="2"/>
        <v>1</v>
      </c>
      <c r="P75">
        <v>4.7</v>
      </c>
      <c r="Q75">
        <v>1.2</v>
      </c>
      <c r="R75">
        <v>2</v>
      </c>
    </row>
    <row r="76" spans="1:18" x14ac:dyDescent="0.3">
      <c r="A76">
        <v>4.3</v>
      </c>
      <c r="B76">
        <v>1.3</v>
      </c>
      <c r="C76">
        <f>IF(E76=G76,1,IF(F76=G76,2,IF(#REF!=G76,3,4)))</f>
        <v>2</v>
      </c>
      <c r="D76" cm="1">
        <f t="array" ref="D76">$L$12*NMultDensity(A76:B76,$J$14:$K$14,$J$12:$K$13)+$L$8*NMultDensity(A76:B76,$J$10:$K$10,$J$8:$K$9)</f>
        <v>0.36255664699952161</v>
      </c>
      <c r="E76" cm="1">
        <f t="array" ref="E76">$L$8*NMultDensity(A76:B76,$J$10:$K$10,$J$8:$K$9)/D76</f>
        <v>2.5661145274751456E-64</v>
      </c>
      <c r="F76" cm="1">
        <f t="array" ref="F76">$L$12*NMultDensity(A76:B76,$J$14:$K$14,$J$12:$K$13)/D76</f>
        <v>1</v>
      </c>
      <c r="G76">
        <f t="shared" si="2"/>
        <v>1</v>
      </c>
      <c r="P76">
        <v>4.3</v>
      </c>
      <c r="Q76">
        <v>1.3</v>
      </c>
      <c r="R76">
        <v>2</v>
      </c>
    </row>
    <row r="77" spans="1:18" x14ac:dyDescent="0.3">
      <c r="A77">
        <v>4.4000000000000004</v>
      </c>
      <c r="B77">
        <v>1.4</v>
      </c>
      <c r="C77">
        <f>IF(E77=G77,1,IF(F77=G77,2,IF(#REF!=G77,3,4)))</f>
        <v>2</v>
      </c>
      <c r="D77" cm="1">
        <f t="array" ref="D77">$L$12*NMultDensity(A77:B77,$J$14:$K$14,$J$12:$K$13)+$L$8*NMultDensity(A77:B77,$J$10:$K$10,$J$8:$K$9)</f>
        <v>0.43086645705922755</v>
      </c>
      <c r="E77" cm="1">
        <f t="array" ref="E77">$L$8*NMultDensity(A77:B77,$J$10:$K$10,$J$8:$K$9)/D77</f>
        <v>1.6106216588391586E-70</v>
      </c>
      <c r="F77" cm="1">
        <f t="array" ref="F77">$L$12*NMultDensity(A77:B77,$J$14:$K$14,$J$12:$K$13)/D77</f>
        <v>1</v>
      </c>
      <c r="G77">
        <f t="shared" si="2"/>
        <v>1</v>
      </c>
      <c r="P77">
        <v>4.4000000000000004</v>
      </c>
      <c r="Q77">
        <v>1.4</v>
      </c>
      <c r="R77">
        <v>2</v>
      </c>
    </row>
    <row r="78" spans="1:18" x14ac:dyDescent="0.3">
      <c r="A78">
        <v>4.8</v>
      </c>
      <c r="B78">
        <v>1.4</v>
      </c>
      <c r="C78">
        <f>IF(E78=G78,1,IF(F78=G78,2,IF(#REF!=G78,3,4)))</f>
        <v>2</v>
      </c>
      <c r="D78" cm="1">
        <f t="array" ref="D78">$L$12*NMultDensity(A78:B78,$J$14:$K$14,$J$12:$K$13)+$L$8*NMultDensity(A78:B78,$J$10:$K$10,$J$8:$K$9)</f>
        <v>0.33523364286637997</v>
      </c>
      <c r="E78" cm="1">
        <f t="array" ref="E78">$L$8*NMultDensity(A78:B78,$J$10:$K$10,$J$8:$K$9)/D78</f>
        <v>5.32028507606815E-87</v>
      </c>
      <c r="F78" cm="1">
        <f t="array" ref="F78">$L$12*NMultDensity(A78:B78,$J$14:$K$14,$J$12:$K$13)/D78</f>
        <v>1</v>
      </c>
      <c r="G78">
        <f t="shared" si="2"/>
        <v>1</v>
      </c>
      <c r="P78">
        <v>4.8</v>
      </c>
      <c r="Q78">
        <v>1.4</v>
      </c>
      <c r="R78">
        <v>2</v>
      </c>
    </row>
    <row r="79" spans="1:18" x14ac:dyDescent="0.3">
      <c r="A79">
        <v>5</v>
      </c>
      <c r="B79">
        <v>1.7</v>
      </c>
      <c r="C79">
        <f>IF(E79=G79,1,IF(F79=G79,2,IF(#REF!=G79,3,4)))</f>
        <v>2</v>
      </c>
      <c r="D79" cm="1">
        <f t="array" ref="D79">$L$12*NMultDensity(A79:B79,$J$14:$K$14,$J$12:$K$13)+$L$8*NMultDensity(A79:B79,$J$10:$K$10,$J$8:$K$9)</f>
        <v>0.53290795890074427</v>
      </c>
      <c r="E79" cm="1">
        <f t="array" ref="E79">$L$8*NMultDensity(A79:B79,$J$10:$K$10,$J$8:$K$9)/D79</f>
        <v>1.8223683514552488E-104</v>
      </c>
      <c r="F79" cm="1">
        <f t="array" ref="F79">$L$12*NMultDensity(A79:B79,$J$14:$K$14,$J$12:$K$13)/D79</f>
        <v>1</v>
      </c>
      <c r="G79">
        <f t="shared" si="2"/>
        <v>1</v>
      </c>
      <c r="P79">
        <v>5</v>
      </c>
      <c r="Q79">
        <v>1.7</v>
      </c>
      <c r="R79">
        <v>2</v>
      </c>
    </row>
    <row r="80" spans="1:18" x14ac:dyDescent="0.3">
      <c r="A80">
        <v>4.5</v>
      </c>
      <c r="B80">
        <v>1.5</v>
      </c>
      <c r="C80">
        <f>IF(E80=G80,1,IF(F80=G80,2,IF(#REF!=G80,3,4)))</f>
        <v>2</v>
      </c>
      <c r="D80" cm="1">
        <f t="array" ref="D80">$L$12*NMultDensity(A80:B80,$J$14:$K$14,$J$12:$K$13)+$L$8*NMultDensity(A80:B80,$J$10:$K$10,$J$8:$K$9)</f>
        <v>0.47622939593491248</v>
      </c>
      <c r="E80" cm="1">
        <f t="array" ref="E80">$L$8*NMultDensity(A80:B80,$J$10:$K$10,$J$8:$K$9)/D80</f>
        <v>4.0038017985357136E-77</v>
      </c>
      <c r="F80" cm="1">
        <f t="array" ref="F80">$L$12*NMultDensity(A80:B80,$J$14:$K$14,$J$12:$K$13)/D80</f>
        <v>1</v>
      </c>
      <c r="G80">
        <f t="shared" si="2"/>
        <v>1</v>
      </c>
      <c r="P80">
        <v>4.5</v>
      </c>
      <c r="Q80">
        <v>1.5</v>
      </c>
      <c r="R80">
        <v>2</v>
      </c>
    </row>
    <row r="81" spans="1:18" x14ac:dyDescent="0.3">
      <c r="A81">
        <v>3.5</v>
      </c>
      <c r="B81">
        <v>1</v>
      </c>
      <c r="C81">
        <f>IF(E81=G81,1,IF(F81=G81,2,IF(#REF!=G81,3,4)))</f>
        <v>2</v>
      </c>
      <c r="D81" cm="1">
        <f t="array" ref="D81">$L$12*NMultDensity(A81:B81,$J$14:$K$14,$J$12:$K$13)+$L$8*NMultDensity(A81:B81,$J$10:$K$10,$J$8:$K$9)</f>
        <v>0.11834843467984524</v>
      </c>
      <c r="E81" cm="1">
        <f t="array" ref="E81">$L$8*NMultDensity(A81:B81,$J$10:$K$10,$J$8:$K$9)/D81</f>
        <v>1.5510778534893658E-32</v>
      </c>
      <c r="F81" cm="1">
        <f t="array" ref="F81">$L$12*NMultDensity(A81:B81,$J$14:$K$14,$J$12:$K$13)/D81</f>
        <v>1</v>
      </c>
      <c r="G81">
        <f t="shared" si="2"/>
        <v>1</v>
      </c>
      <c r="P81">
        <v>3.5</v>
      </c>
      <c r="Q81">
        <v>1</v>
      </c>
      <c r="R81">
        <v>2</v>
      </c>
    </row>
    <row r="82" spans="1:18" x14ac:dyDescent="0.3">
      <c r="A82">
        <v>3.8</v>
      </c>
      <c r="B82">
        <v>1.1000000000000001</v>
      </c>
      <c r="C82">
        <f>IF(E82=G82,1,IF(F82=G82,2,IF(#REF!=G82,3,4)))</f>
        <v>2</v>
      </c>
      <c r="D82" cm="1">
        <f t="array" ref="D82">$L$12*NMultDensity(A82:B82,$J$14:$K$14,$J$12:$K$13)+$L$8*NMultDensity(A82:B82,$J$10:$K$10,$J$8:$K$9)</f>
        <v>0.19740432944984557</v>
      </c>
      <c r="E82" cm="1">
        <f t="array" ref="E82">$L$8*NMultDensity(A82:B82,$J$10:$K$10,$J$8:$K$9)/D82</f>
        <v>4.5431556330291242E-43</v>
      </c>
      <c r="F82" cm="1">
        <f t="array" ref="F82">$L$12*NMultDensity(A82:B82,$J$14:$K$14,$J$12:$K$13)/D82</f>
        <v>1</v>
      </c>
      <c r="G82">
        <f t="shared" si="2"/>
        <v>1</v>
      </c>
      <c r="P82">
        <v>3.8</v>
      </c>
      <c r="Q82">
        <v>1.1000000000000001</v>
      </c>
      <c r="R82">
        <v>2</v>
      </c>
    </row>
    <row r="83" spans="1:18" x14ac:dyDescent="0.3">
      <c r="A83">
        <v>3.7</v>
      </c>
      <c r="B83">
        <v>1</v>
      </c>
      <c r="C83">
        <f>IF(E83=G83,1,IF(F83=G83,2,IF(#REF!=G83,3,4)))</f>
        <v>2</v>
      </c>
      <c r="D83" cm="1">
        <f t="array" ref="D83">$L$12*NMultDensity(A83:B83,$J$14:$K$14,$J$12:$K$13)+$L$8*NMultDensity(A83:B83,$J$10:$K$10,$J$8:$K$9)</f>
        <v>0.14520131810305287</v>
      </c>
      <c r="E83" cm="1">
        <f t="array" ref="E83">$L$8*NMultDensity(A83:B83,$J$10:$K$10,$J$8:$K$9)/D83</f>
        <v>2.4647704662842941E-38</v>
      </c>
      <c r="F83" cm="1">
        <f t="array" ref="F83">$L$12*NMultDensity(A83:B83,$J$14:$K$14,$J$12:$K$13)/D83</f>
        <v>1</v>
      </c>
      <c r="G83">
        <f t="shared" si="2"/>
        <v>1</v>
      </c>
      <c r="P83">
        <v>3.7</v>
      </c>
      <c r="Q83">
        <v>1</v>
      </c>
      <c r="R83">
        <v>2</v>
      </c>
    </row>
    <row r="84" spans="1:18" x14ac:dyDescent="0.3">
      <c r="A84">
        <v>3.9</v>
      </c>
      <c r="B84">
        <v>1.2</v>
      </c>
      <c r="C84">
        <f>IF(E84=G84,1,IF(F84=G84,2,IF(#REF!=G84,3,4)))</f>
        <v>2</v>
      </c>
      <c r="D84" cm="1">
        <f t="array" ref="D84">$L$12*NMultDensity(A84:B84,$J$14:$K$14,$J$12:$K$13)+$L$8*NMultDensity(A84:B84,$J$10:$K$10,$J$8:$K$9)</f>
        <v>0.24960282005959891</v>
      </c>
      <c r="E84" cm="1">
        <f t="array" ref="E84">$L$8*NMultDensity(A84:B84,$J$10:$K$10,$J$8:$K$9)/D84</f>
        <v>3.3166548848427087E-48</v>
      </c>
      <c r="F84" cm="1">
        <f t="array" ref="F84">$L$12*NMultDensity(A84:B84,$J$14:$K$14,$J$12:$K$13)/D84</f>
        <v>1</v>
      </c>
      <c r="G84">
        <f t="shared" si="2"/>
        <v>1</v>
      </c>
      <c r="P84">
        <v>3.9</v>
      </c>
      <c r="Q84">
        <v>1.2</v>
      </c>
      <c r="R84">
        <v>2</v>
      </c>
    </row>
    <row r="85" spans="1:18" x14ac:dyDescent="0.3">
      <c r="A85">
        <v>5.0999999999999996</v>
      </c>
      <c r="B85">
        <v>1.6</v>
      </c>
      <c r="C85">
        <f>IF(E85=G85,1,IF(F85=G85,2,IF(#REF!=G85,3,4)))</f>
        <v>2</v>
      </c>
      <c r="D85" cm="1">
        <f t="array" ref="D85">$L$12*NMultDensity(A85:B85,$J$14:$K$14,$J$12:$K$13)+$L$8*NMultDensity(A85:B85,$J$10:$K$10,$J$8:$K$9)</f>
        <v>0.42059640221950351</v>
      </c>
      <c r="E85" cm="1">
        <f t="array" ref="E85">$L$8*NMultDensity(A85:B85,$J$10:$K$10,$J$8:$K$9)/D85</f>
        <v>5.7583275423547166E-106</v>
      </c>
      <c r="F85" cm="1">
        <f t="array" ref="F85">$L$12*NMultDensity(A85:B85,$J$14:$K$14,$J$12:$K$13)/D85</f>
        <v>1</v>
      </c>
      <c r="G85">
        <f t="shared" si="2"/>
        <v>1</v>
      </c>
      <c r="P85">
        <v>5.0999999999999996</v>
      </c>
      <c r="Q85">
        <v>1.6</v>
      </c>
      <c r="R85">
        <v>2</v>
      </c>
    </row>
    <row r="86" spans="1:18" x14ac:dyDescent="0.3">
      <c r="A86">
        <v>4.5</v>
      </c>
      <c r="B86">
        <v>1.5</v>
      </c>
      <c r="C86">
        <f>IF(E86=G86,1,IF(F86=G86,2,IF(#REF!=G86,3,4)))</f>
        <v>2</v>
      </c>
      <c r="D86" cm="1">
        <f t="array" ref="D86">$L$12*NMultDensity(A86:B86,$J$14:$K$14,$J$12:$K$13)+$L$8*NMultDensity(A86:B86,$J$10:$K$10,$J$8:$K$9)</f>
        <v>0.47622939593491248</v>
      </c>
      <c r="E86" cm="1">
        <f t="array" ref="E86">$L$8*NMultDensity(A86:B86,$J$10:$K$10,$J$8:$K$9)/D86</f>
        <v>4.0038017985357136E-77</v>
      </c>
      <c r="F86" cm="1">
        <f t="array" ref="F86">$L$12*NMultDensity(A86:B86,$J$14:$K$14,$J$12:$K$13)/D86</f>
        <v>1</v>
      </c>
      <c r="G86">
        <f t="shared" si="2"/>
        <v>1</v>
      </c>
      <c r="P86">
        <v>4.5</v>
      </c>
      <c r="Q86">
        <v>1.5</v>
      </c>
      <c r="R86">
        <v>2</v>
      </c>
    </row>
    <row r="87" spans="1:18" x14ac:dyDescent="0.3">
      <c r="A87">
        <v>4.5</v>
      </c>
      <c r="B87">
        <v>1.6</v>
      </c>
      <c r="C87">
        <f>IF(E87=G87,1,IF(F87=G87,2,IF(#REF!=G87,3,4)))</f>
        <v>2</v>
      </c>
      <c r="D87" cm="1">
        <f t="array" ref="D87">$L$12*NMultDensity(A87:B87,$J$14:$K$14,$J$12:$K$13)+$L$8*NMultDensity(A87:B87,$J$10:$K$10,$J$8:$K$9)</f>
        <v>0.43965881890766917</v>
      </c>
      <c r="E87" cm="1">
        <f t="array" ref="E87">$L$8*NMultDensity(A87:B87,$J$10:$K$10,$J$8:$K$9)/D87</f>
        <v>3.3610678040920418E-80</v>
      </c>
      <c r="F87" cm="1">
        <f t="array" ref="F87">$L$12*NMultDensity(A87:B87,$J$14:$K$14,$J$12:$K$13)/D87</f>
        <v>1</v>
      </c>
      <c r="G87">
        <f t="shared" si="2"/>
        <v>1</v>
      </c>
      <c r="P87">
        <v>4.5</v>
      </c>
      <c r="Q87">
        <v>1.6</v>
      </c>
      <c r="R87">
        <v>2</v>
      </c>
    </row>
    <row r="88" spans="1:18" x14ac:dyDescent="0.3">
      <c r="A88">
        <v>4.7</v>
      </c>
      <c r="B88">
        <v>1.5</v>
      </c>
      <c r="C88">
        <f>IF(E88=G88,1,IF(F88=G88,2,IF(#REF!=G88,3,4)))</f>
        <v>2</v>
      </c>
      <c r="D88" cm="1">
        <f t="array" ref="D88">$L$12*NMultDensity(A88:B88,$J$14:$K$14,$J$12:$K$13)+$L$8*NMultDensity(A88:B88,$J$10:$K$10,$J$8:$K$9)</f>
        <v>0.48670998029121831</v>
      </c>
      <c r="E88" cm="1">
        <f t="array" ref="E88">$L$8*NMultDensity(A88:B88,$J$10:$K$10,$J$8:$K$9)/D88</f>
        <v>3.0110912000191237E-85</v>
      </c>
      <c r="F88" cm="1">
        <f t="array" ref="F88">$L$12*NMultDensity(A88:B88,$J$14:$K$14,$J$12:$K$13)/D88</f>
        <v>1</v>
      </c>
      <c r="G88">
        <f t="shared" si="2"/>
        <v>1</v>
      </c>
      <c r="P88">
        <v>4.7</v>
      </c>
      <c r="Q88">
        <v>1.5</v>
      </c>
      <c r="R88">
        <v>2</v>
      </c>
    </row>
    <row r="89" spans="1:18" x14ac:dyDescent="0.3">
      <c r="A89">
        <v>4.4000000000000004</v>
      </c>
      <c r="B89">
        <v>1.3</v>
      </c>
      <c r="C89">
        <f>IF(E89=G89,1,IF(F89=G89,2,IF(#REF!=G89,3,4)))</f>
        <v>2</v>
      </c>
      <c r="D89" cm="1">
        <f t="array" ref="D89">$L$12*NMultDensity(A89:B89,$J$14:$K$14,$J$12:$K$13)+$L$8*NMultDensity(A89:B89,$J$10:$K$10,$J$8:$K$9)</f>
        <v>0.35484631342801293</v>
      </c>
      <c r="E89" cm="1">
        <f t="array" ref="E89">$L$8*NMultDensity(A89:B89,$J$10:$K$10,$J$8:$K$9)/D89</f>
        <v>3.9284425153856963E-68</v>
      </c>
      <c r="F89" cm="1">
        <f t="array" ref="F89">$L$12*NMultDensity(A89:B89,$J$14:$K$14,$J$12:$K$13)/D89</f>
        <v>1</v>
      </c>
      <c r="G89">
        <f t="shared" si="2"/>
        <v>1</v>
      </c>
      <c r="P89">
        <v>4.4000000000000004</v>
      </c>
      <c r="Q89">
        <v>1.3</v>
      </c>
      <c r="R89">
        <v>2</v>
      </c>
    </row>
    <row r="90" spans="1:18" x14ac:dyDescent="0.3">
      <c r="A90">
        <v>4.0999999999999996</v>
      </c>
      <c r="B90">
        <v>1.3</v>
      </c>
      <c r="C90">
        <f>IF(E90=G90,1,IF(F90=G90,2,IF(#REF!=G90,3,4)))</f>
        <v>2</v>
      </c>
      <c r="D90" cm="1">
        <f t="array" ref="D90">$L$12*NMultDensity(A90:B90,$J$14:$K$14,$J$12:$K$13)+$L$8*NMultDensity(A90:B90,$J$10:$K$10,$J$8:$K$9)</f>
        <v>0.3297465223724268</v>
      </c>
      <c r="E90" cm="1">
        <f t="array" ref="E90">$L$8*NMultDensity(A90:B90,$J$10:$K$10,$J$8:$K$9)/D90</f>
        <v>4.0092956052033138E-57</v>
      </c>
      <c r="F90" cm="1">
        <f t="array" ref="F90">$L$12*NMultDensity(A90:B90,$J$14:$K$14,$J$12:$K$13)/D90</f>
        <v>1</v>
      </c>
      <c r="G90">
        <f t="shared" si="2"/>
        <v>1</v>
      </c>
      <c r="P90">
        <v>4.0999999999999996</v>
      </c>
      <c r="Q90">
        <v>1.3</v>
      </c>
      <c r="R90">
        <v>2</v>
      </c>
    </row>
    <row r="91" spans="1:18" x14ac:dyDescent="0.3">
      <c r="A91">
        <v>4</v>
      </c>
      <c r="B91">
        <v>1.3</v>
      </c>
      <c r="C91">
        <f>IF(E91=G91,1,IF(F91=G91,2,IF(#REF!=G91,3,4)))</f>
        <v>2</v>
      </c>
      <c r="D91" cm="1">
        <f t="array" ref="D91">$L$12*NMultDensity(A91:B91,$J$14:$K$14,$J$12:$K$13)+$L$8*NMultDensity(A91:B91,$J$10:$K$10,$J$8:$K$9)</f>
        <v>0.29352763954501454</v>
      </c>
      <c r="E91" cm="1">
        <f t="array" ref="E91">$L$8*NMultDensity(A91:B91,$J$10:$K$10,$J$8:$K$9)/D91</f>
        <v>9.5896882229037103E-54</v>
      </c>
      <c r="F91" cm="1">
        <f t="array" ref="F91">$L$12*NMultDensity(A91:B91,$J$14:$K$14,$J$12:$K$13)/D91</f>
        <v>1</v>
      </c>
      <c r="G91">
        <f t="shared" si="2"/>
        <v>1</v>
      </c>
      <c r="P91">
        <v>4</v>
      </c>
      <c r="Q91">
        <v>1.3</v>
      </c>
      <c r="R91">
        <v>2</v>
      </c>
    </row>
    <row r="92" spans="1:18" x14ac:dyDescent="0.3">
      <c r="A92">
        <v>4.4000000000000004</v>
      </c>
      <c r="B92">
        <v>1.2</v>
      </c>
      <c r="C92">
        <f>IF(E92=G92,1,IF(F92=G92,2,IF(#REF!=G92,3,4)))</f>
        <v>2</v>
      </c>
      <c r="D92" cm="1">
        <f t="array" ref="D92">$L$12*NMultDensity(A92:B92,$J$14:$K$14,$J$12:$K$13)+$L$8*NMultDensity(A92:B92,$J$10:$K$10,$J$8:$K$9)</f>
        <v>0.24561145119896249</v>
      </c>
      <c r="E92" cm="1">
        <f t="array" ref="E92">$L$8*NMultDensity(A92:B92,$J$10:$K$10,$J$8:$K$9)/D92</f>
        <v>4.0538520244337424E-66</v>
      </c>
      <c r="F92" cm="1">
        <f t="array" ref="F92">$L$12*NMultDensity(A92:B92,$J$14:$K$14,$J$12:$K$13)/D92</f>
        <v>1</v>
      </c>
      <c r="G92">
        <f t="shared" si="2"/>
        <v>1</v>
      </c>
      <c r="P92">
        <v>4.4000000000000004</v>
      </c>
      <c r="Q92">
        <v>1.2</v>
      </c>
      <c r="R92">
        <v>2</v>
      </c>
    </row>
    <row r="93" spans="1:18" x14ac:dyDescent="0.3">
      <c r="A93">
        <v>4.5999999999999996</v>
      </c>
      <c r="B93">
        <v>1.4</v>
      </c>
      <c r="C93">
        <f>IF(E93=G93,1,IF(F93=G93,2,IF(#REF!=G93,3,4)))</f>
        <v>2</v>
      </c>
      <c r="D93" cm="1">
        <f t="array" ref="D93">$L$12*NMultDensity(A93:B93,$J$14:$K$14,$J$12:$K$13)+$L$8*NMultDensity(A93:B93,$J$10:$K$10,$J$8:$K$9)</f>
        <v>0.41663556379958583</v>
      </c>
      <c r="E93" cm="1">
        <f t="array" ref="E93">$L$8*NMultDensity(A93:B93,$J$10:$K$10,$J$8:$K$9)/D93</f>
        <v>1.8086048924672475E-78</v>
      </c>
      <c r="F93" cm="1">
        <f t="array" ref="F93">$L$12*NMultDensity(A93:B93,$J$14:$K$14,$J$12:$K$13)/D93</f>
        <v>1</v>
      </c>
      <c r="G93">
        <f t="shared" si="2"/>
        <v>1</v>
      </c>
      <c r="P93">
        <v>4.5999999999999996</v>
      </c>
      <c r="Q93">
        <v>1.4</v>
      </c>
      <c r="R93">
        <v>2</v>
      </c>
    </row>
    <row r="94" spans="1:18" x14ac:dyDescent="0.3">
      <c r="A94">
        <v>4</v>
      </c>
      <c r="B94">
        <v>1.2</v>
      </c>
      <c r="C94">
        <f>IF(E94=G94,1,IF(F94=G94,2,IF(#REF!=G94,3,4)))</f>
        <v>2</v>
      </c>
      <c r="D94" cm="1">
        <f t="array" ref="D94">$L$12*NMultDensity(A94:B94,$J$14:$K$14,$J$12:$K$13)+$L$8*NMultDensity(A94:B94,$J$10:$K$10,$J$8:$K$9)</f>
        <v>0.27274733122614897</v>
      </c>
      <c r="E94" cm="1">
        <f t="array" ref="E94">$L$8*NMultDensity(A94:B94,$J$10:$K$10,$J$8:$K$9)/D94</f>
        <v>1.6943896385345495E-51</v>
      </c>
      <c r="F94" cm="1">
        <f t="array" ref="F94">$L$12*NMultDensity(A94:B94,$J$14:$K$14,$J$12:$K$13)/D94</f>
        <v>1</v>
      </c>
      <c r="G94">
        <f t="shared" si="2"/>
        <v>1</v>
      </c>
      <c r="P94">
        <v>4</v>
      </c>
      <c r="Q94">
        <v>1.2</v>
      </c>
      <c r="R94">
        <v>2</v>
      </c>
    </row>
    <row r="95" spans="1:18" x14ac:dyDescent="0.3">
      <c r="A95">
        <v>3.3</v>
      </c>
      <c r="B95">
        <v>1</v>
      </c>
      <c r="C95">
        <f>IF(E95=G95,1,IF(F95=G95,2,IF(#REF!=G95,3,4)))</f>
        <v>2</v>
      </c>
      <c r="D95" cm="1">
        <f t="array" ref="D95">$L$12*NMultDensity(A95:B95,$J$14:$K$14,$J$12:$K$13)+$L$8*NMultDensity(A95:B95,$J$10:$K$10,$J$8:$K$9)</f>
        <v>8.0266085399448781E-2</v>
      </c>
      <c r="E95" cm="1">
        <f t="array" ref="E95">$L$8*NMultDensity(A95:B95,$J$10:$K$10,$J$8:$K$9)/D95</f>
        <v>2.5570060079967809E-27</v>
      </c>
      <c r="F95" cm="1">
        <f t="array" ref="F95">$L$12*NMultDensity(A95:B95,$J$14:$K$14,$J$12:$K$13)/D95</f>
        <v>1</v>
      </c>
      <c r="G95">
        <f t="shared" si="2"/>
        <v>1</v>
      </c>
      <c r="P95">
        <v>3.3</v>
      </c>
      <c r="Q95">
        <v>1</v>
      </c>
      <c r="R95">
        <v>2</v>
      </c>
    </row>
    <row r="96" spans="1:18" x14ac:dyDescent="0.3">
      <c r="A96">
        <v>4.2</v>
      </c>
      <c r="B96">
        <v>1.3</v>
      </c>
      <c r="C96">
        <f>IF(E96=G96,1,IF(F96=G96,2,IF(#REF!=G96,3,4)))</f>
        <v>2</v>
      </c>
      <c r="D96" cm="1">
        <f t="array" ref="D96">$L$12*NMultDensity(A96:B96,$J$14:$K$14,$J$12:$K$13)+$L$8*NMultDensity(A96:B96,$J$10:$K$10,$J$8:$K$9)</f>
        <v>0.353798385886199</v>
      </c>
      <c r="E96" cm="1">
        <f t="array" ref="E96">$L$8*NMultDensity(A96:B96,$J$10:$K$10,$J$8:$K$9)/D96</f>
        <v>1.1992008485404938E-60</v>
      </c>
      <c r="F96" cm="1">
        <f t="array" ref="F96">$L$12*NMultDensity(A96:B96,$J$14:$K$14,$J$12:$K$13)/D96</f>
        <v>1</v>
      </c>
      <c r="G96">
        <f t="shared" si="2"/>
        <v>1</v>
      </c>
      <c r="P96">
        <v>4.2</v>
      </c>
      <c r="Q96">
        <v>1.3</v>
      </c>
      <c r="R96">
        <v>2</v>
      </c>
    </row>
    <row r="97" spans="1:18" x14ac:dyDescent="0.3">
      <c r="A97">
        <v>4.2</v>
      </c>
      <c r="B97">
        <v>1.2</v>
      </c>
      <c r="C97">
        <f>IF(E97=G97,1,IF(F97=G97,2,IF(#REF!=G97,3,4)))</f>
        <v>2</v>
      </c>
      <c r="D97" cm="1">
        <f t="array" ref="D97">$L$12*NMultDensity(A97:B97,$J$14:$K$14,$J$12:$K$13)+$L$8*NMultDensity(A97:B97,$J$10:$K$10,$J$8:$K$9)</f>
        <v>0.28373685971358148</v>
      </c>
      <c r="E97" cm="1">
        <f t="array" ref="E97">$L$8*NMultDensity(A97:B97,$J$10:$K$10,$J$8:$K$9)/D97</f>
        <v>1.6192729886940639E-58</v>
      </c>
      <c r="F97" cm="1">
        <f t="array" ref="F97">$L$12*NMultDensity(A97:B97,$J$14:$K$14,$J$12:$K$13)/D97</f>
        <v>1</v>
      </c>
      <c r="G97">
        <f t="shared" si="2"/>
        <v>1</v>
      </c>
      <c r="P97">
        <v>4.2</v>
      </c>
      <c r="Q97">
        <v>1.2</v>
      </c>
      <c r="R97">
        <v>2</v>
      </c>
    </row>
    <row r="98" spans="1:18" x14ac:dyDescent="0.3">
      <c r="A98">
        <v>4.2</v>
      </c>
      <c r="B98">
        <v>1.3</v>
      </c>
      <c r="C98">
        <f>IF(E98=G98,1,IF(F98=G98,2,IF(#REF!=G98,3,4)))</f>
        <v>2</v>
      </c>
      <c r="D98" cm="1">
        <f t="array" ref="D98">$L$12*NMultDensity(A98:B98,$J$14:$K$14,$J$12:$K$13)+$L$8*NMultDensity(A98:B98,$J$10:$K$10,$J$8:$K$9)</f>
        <v>0.353798385886199</v>
      </c>
      <c r="E98" cm="1">
        <f t="array" ref="E98">$L$8*NMultDensity(A98:B98,$J$10:$K$10,$J$8:$K$9)/D98</f>
        <v>1.1992008485404938E-60</v>
      </c>
      <c r="F98" cm="1">
        <f t="array" ref="F98">$L$12*NMultDensity(A98:B98,$J$14:$K$14,$J$12:$K$13)/D98</f>
        <v>1</v>
      </c>
      <c r="G98">
        <f t="shared" ref="G98:G129" si="3">MAX(E98:F98)</f>
        <v>1</v>
      </c>
      <c r="P98">
        <v>4.2</v>
      </c>
      <c r="Q98">
        <v>1.3</v>
      </c>
      <c r="R98">
        <v>2</v>
      </c>
    </row>
    <row r="99" spans="1:18" x14ac:dyDescent="0.3">
      <c r="A99">
        <v>4.3</v>
      </c>
      <c r="B99">
        <v>1.3</v>
      </c>
      <c r="C99">
        <f>IF(E99=G99,1,IF(F99=G99,2,IF(#REF!=G99,3,4)))</f>
        <v>2</v>
      </c>
      <c r="D99" cm="1">
        <f t="array" ref="D99">$L$12*NMultDensity(A99:B99,$J$14:$K$14,$J$12:$K$13)+$L$8*NMultDensity(A99:B99,$J$10:$K$10,$J$8:$K$9)</f>
        <v>0.36255664699952161</v>
      </c>
      <c r="E99" cm="1">
        <f t="array" ref="E99">$L$8*NMultDensity(A99:B99,$J$10:$K$10,$J$8:$K$9)/D99</f>
        <v>2.5661145274751456E-64</v>
      </c>
      <c r="F99" cm="1">
        <f t="array" ref="F99">$L$12*NMultDensity(A99:B99,$J$14:$K$14,$J$12:$K$13)/D99</f>
        <v>1</v>
      </c>
      <c r="G99">
        <f t="shared" si="3"/>
        <v>1</v>
      </c>
      <c r="P99">
        <v>4.3</v>
      </c>
      <c r="Q99">
        <v>1.3</v>
      </c>
      <c r="R99">
        <v>2</v>
      </c>
    </row>
    <row r="100" spans="1:18" x14ac:dyDescent="0.3">
      <c r="A100">
        <v>3</v>
      </c>
      <c r="B100">
        <v>1.1000000000000001</v>
      </c>
      <c r="C100">
        <f>IF(E100=G100,1,IF(F100=G100,2,IF(#REF!=G100,3,4)))</f>
        <v>2</v>
      </c>
      <c r="D100" cm="1">
        <f t="array" ref="D100">$L$12*NMultDensity(A100:B100,$J$14:$K$14,$J$12:$K$13)+$L$8*NMultDensity(A100:B100,$J$10:$K$10,$J$8:$K$9)</f>
        <v>2.3175469641738791E-2</v>
      </c>
      <c r="E100" cm="1">
        <f t="array" ref="E100">$L$8*NMultDensity(A100:B100,$J$10:$K$10,$J$8:$K$9)/D100</f>
        <v>1.1445311064555259E-22</v>
      </c>
      <c r="F100" cm="1">
        <f t="array" ref="F100">$L$12*NMultDensity(A100:B100,$J$14:$K$14,$J$12:$K$13)/D100</f>
        <v>1</v>
      </c>
      <c r="G100">
        <f t="shared" si="3"/>
        <v>1</v>
      </c>
      <c r="P100">
        <v>3</v>
      </c>
      <c r="Q100">
        <v>1.1000000000000001</v>
      </c>
      <c r="R100">
        <v>2</v>
      </c>
    </row>
    <row r="101" spans="1:18" x14ac:dyDescent="0.3">
      <c r="A101">
        <v>4.0999999999999996</v>
      </c>
      <c r="B101">
        <v>1.3</v>
      </c>
      <c r="C101">
        <f>IF(E101=G101,1,IF(F101=G101,2,IF(#REF!=G101,3,4)))</f>
        <v>2</v>
      </c>
      <c r="D101" cm="1">
        <f t="array" ref="D101">$L$12*NMultDensity(A101:B101,$J$14:$K$14,$J$12:$K$13)+$L$8*NMultDensity(A101:B101,$J$10:$K$10,$J$8:$K$9)</f>
        <v>0.3297465223724268</v>
      </c>
      <c r="E101" cm="1">
        <f t="array" ref="E101">$L$8*NMultDensity(A101:B101,$J$10:$K$10,$J$8:$K$9)/D101</f>
        <v>4.0092956052033138E-57</v>
      </c>
      <c r="F101" cm="1">
        <f t="array" ref="F101">$L$12*NMultDensity(A101:B101,$J$14:$K$14,$J$12:$K$13)/D101</f>
        <v>1</v>
      </c>
      <c r="G101">
        <f t="shared" si="3"/>
        <v>1</v>
      </c>
      <c r="P101">
        <v>4.0999999999999996</v>
      </c>
      <c r="Q101">
        <v>1.3</v>
      </c>
      <c r="R101">
        <v>2</v>
      </c>
    </row>
    <row r="102" spans="1:18" x14ac:dyDescent="0.3">
      <c r="A102">
        <v>6</v>
      </c>
      <c r="B102">
        <v>2.5</v>
      </c>
      <c r="C102">
        <f>IF(E102=G102,1,IF(F102=G102,2,IF(#REF!=G102,3,4)))</f>
        <v>2</v>
      </c>
      <c r="D102" cm="1">
        <f t="array" ref="D102">$L$12*NMultDensity(A102:B102,$J$14:$K$14,$J$12:$K$13)+$L$8*NMultDensity(A102:B102,$J$10:$K$10,$J$8:$K$9)</f>
        <v>7.1679994923874724E-2</v>
      </c>
      <c r="E102" cm="1">
        <f t="array" ref="E102">$L$8*NMultDensity(A102:B102,$J$10:$K$10,$J$8:$K$9)/D102</f>
        <v>4.8029382498953307E-191</v>
      </c>
      <c r="F102" cm="1">
        <f t="array" ref="F102">$L$12*NMultDensity(A102:B102,$J$14:$K$14,$J$12:$K$13)/D102</f>
        <v>1</v>
      </c>
      <c r="G102">
        <f t="shared" si="3"/>
        <v>1</v>
      </c>
      <c r="P102">
        <v>6</v>
      </c>
      <c r="Q102">
        <v>2.5</v>
      </c>
      <c r="R102">
        <v>2</v>
      </c>
    </row>
    <row r="103" spans="1:18" x14ac:dyDescent="0.3">
      <c r="A103">
        <v>5.0999999999999996</v>
      </c>
      <c r="B103">
        <v>1.9</v>
      </c>
      <c r="C103">
        <f>IF(E103=G103,1,IF(F103=G103,2,IF(#REF!=G103,3,4)))</f>
        <v>2</v>
      </c>
      <c r="D103" cm="1">
        <f t="array" ref="D103">$L$12*NMultDensity(A103:B103,$J$14:$K$14,$J$12:$K$13)+$L$8*NMultDensity(A103:B103,$J$10:$K$10,$J$8:$K$9)</f>
        <v>0.43892761455134938</v>
      </c>
      <c r="E103" cm="1">
        <f t="array" ref="E103">$L$8*NMultDensity(A103:B103,$J$10:$K$10,$J$8:$K$9)/D103</f>
        <v>2.1971519868318951E-116</v>
      </c>
      <c r="F103" cm="1">
        <f t="array" ref="F103">$L$12*NMultDensity(A103:B103,$J$14:$K$14,$J$12:$K$13)/D103</f>
        <v>1</v>
      </c>
      <c r="G103">
        <f t="shared" si="3"/>
        <v>1</v>
      </c>
      <c r="P103">
        <v>5.0999999999999996</v>
      </c>
      <c r="Q103">
        <v>1.9</v>
      </c>
      <c r="R103">
        <v>2</v>
      </c>
    </row>
    <row r="104" spans="1:18" x14ac:dyDescent="0.3">
      <c r="A104">
        <v>5.9</v>
      </c>
      <c r="B104">
        <v>2.1</v>
      </c>
      <c r="C104">
        <f>IF(E104=G104,1,IF(F104=G104,2,IF(#REF!=G104,3,4)))</f>
        <v>2</v>
      </c>
      <c r="D104" cm="1">
        <f t="array" ref="D104">$L$12*NMultDensity(A104:B104,$J$14:$K$14,$J$12:$K$13)+$L$8*NMultDensity(A104:B104,$J$10:$K$10,$J$8:$K$9)</f>
        <v>0.25891035180524219</v>
      </c>
      <c r="E104" cm="1">
        <f t="array" ref="E104">$L$8*NMultDensity(A104:B104,$J$10:$K$10,$J$8:$K$9)/D104</f>
        <v>2.3142952118761744E-165</v>
      </c>
      <c r="F104" cm="1">
        <f t="array" ref="F104">$L$12*NMultDensity(A104:B104,$J$14:$K$14,$J$12:$K$13)/D104</f>
        <v>1</v>
      </c>
      <c r="G104">
        <f t="shared" si="3"/>
        <v>1</v>
      </c>
      <c r="P104">
        <v>5.9</v>
      </c>
      <c r="Q104">
        <v>2.1</v>
      </c>
      <c r="R104">
        <v>2</v>
      </c>
    </row>
    <row r="105" spans="1:18" x14ac:dyDescent="0.3">
      <c r="A105">
        <v>5.6</v>
      </c>
      <c r="B105">
        <v>1.8</v>
      </c>
      <c r="C105">
        <f>IF(E105=G105,1,IF(F105=G105,2,IF(#REF!=G105,3,4)))</f>
        <v>2</v>
      </c>
      <c r="D105" cm="1">
        <f t="array" ref="D105">$L$12*NMultDensity(A105:B105,$J$14:$K$14,$J$12:$K$13)+$L$8*NMultDensity(A105:B105,$J$10:$K$10,$J$8:$K$9)</f>
        <v>0.29284888737131337</v>
      </c>
      <c r="E105" cm="1">
        <f t="array" ref="E105">$L$8*NMultDensity(A105:B105,$J$10:$K$10,$J$8:$K$9)/D105</f>
        <v>1.9986858575126451E-137</v>
      </c>
      <c r="F105" cm="1">
        <f t="array" ref="F105">$L$12*NMultDensity(A105:B105,$J$14:$K$14,$J$12:$K$13)/D105</f>
        <v>1</v>
      </c>
      <c r="G105">
        <f t="shared" si="3"/>
        <v>1</v>
      </c>
      <c r="P105">
        <v>5.6</v>
      </c>
      <c r="Q105">
        <v>1.8</v>
      </c>
      <c r="R105">
        <v>2</v>
      </c>
    </row>
    <row r="106" spans="1:18" x14ac:dyDescent="0.3">
      <c r="A106">
        <v>5.8</v>
      </c>
      <c r="B106">
        <v>2.2000000000000002</v>
      </c>
      <c r="C106">
        <f>IF(E106=G106,1,IF(F106=G106,2,IF(#REF!=G106,3,4)))</f>
        <v>2</v>
      </c>
      <c r="D106" cm="1">
        <f t="array" ref="D106">$L$12*NMultDensity(A106:B106,$J$14:$K$14,$J$12:$K$13)+$L$8*NMultDensity(A106:B106,$J$10:$K$10,$J$8:$K$9)</f>
        <v>0.24777743934736143</v>
      </c>
      <c r="E106" cm="1">
        <f t="array" ref="E106">$L$8*NMultDensity(A106:B106,$J$10:$K$10,$J$8:$K$9)/D106</f>
        <v>2.1654620446593078E-164</v>
      </c>
      <c r="F106" cm="1">
        <f t="array" ref="F106">$L$12*NMultDensity(A106:B106,$J$14:$K$14,$J$12:$K$13)/D106</f>
        <v>1</v>
      </c>
      <c r="G106">
        <f t="shared" si="3"/>
        <v>1</v>
      </c>
      <c r="P106">
        <v>5.8</v>
      </c>
      <c r="Q106">
        <v>2.2000000000000002</v>
      </c>
      <c r="R106">
        <v>2</v>
      </c>
    </row>
    <row r="107" spans="1:18" x14ac:dyDescent="0.3">
      <c r="A107">
        <v>6.6</v>
      </c>
      <c r="B107">
        <v>2.1</v>
      </c>
      <c r="C107">
        <f>IF(E107=G107,1,IF(F107=G107,2,IF(#REF!=G107,3,4)))</f>
        <v>2</v>
      </c>
      <c r="D107" cm="1">
        <f t="array" ref="D107">$L$12*NMultDensity(A107:B107,$J$14:$K$14,$J$12:$K$13)+$L$8*NMultDensity(A107:B107,$J$10:$K$10,$J$8:$K$9)</f>
        <v>3.0503557339831976E-2</v>
      </c>
      <c r="E107" cm="1">
        <f t="array" ref="E107">$L$8*NMultDensity(A107:B107,$J$10:$K$10,$J$8:$K$9)/D107</f>
        <v>3.8494804028530968E-208</v>
      </c>
      <c r="F107" cm="1">
        <f t="array" ref="F107">$L$12*NMultDensity(A107:B107,$J$14:$K$14,$J$12:$K$13)/D107</f>
        <v>1</v>
      </c>
      <c r="G107">
        <f t="shared" si="3"/>
        <v>1</v>
      </c>
      <c r="P107">
        <v>6.6</v>
      </c>
      <c r="Q107">
        <v>2.1</v>
      </c>
      <c r="R107">
        <v>2</v>
      </c>
    </row>
    <row r="108" spans="1:18" x14ac:dyDescent="0.3">
      <c r="A108">
        <v>4.5</v>
      </c>
      <c r="B108">
        <v>1.7</v>
      </c>
      <c r="C108">
        <f>IF(E108=G108,1,IF(F108=G108,2,IF(#REF!=G108,3,4)))</f>
        <v>2</v>
      </c>
      <c r="D108" cm="1">
        <f t="array" ref="D108">$L$12*NMultDensity(A108:B108,$J$14:$K$14,$J$12:$K$13)+$L$8*NMultDensity(A108:B108,$J$10:$K$10,$J$8:$K$9)</f>
        <v>0.34113484307697478</v>
      </c>
      <c r="E108" cm="1">
        <f t="array" ref="E108">$L$8*NMultDensity(A108:B108,$J$10:$K$10,$J$8:$K$9)/D108</f>
        <v>1.1937203536549372E-83</v>
      </c>
      <c r="F108" cm="1">
        <f t="array" ref="F108">$L$12*NMultDensity(A108:B108,$J$14:$K$14,$J$12:$K$13)/D108</f>
        <v>1</v>
      </c>
      <c r="G108">
        <f t="shared" si="3"/>
        <v>1</v>
      </c>
      <c r="P108">
        <v>4.5</v>
      </c>
      <c r="Q108">
        <v>1.7</v>
      </c>
      <c r="R108">
        <v>2</v>
      </c>
    </row>
    <row r="109" spans="1:18" x14ac:dyDescent="0.3">
      <c r="A109">
        <v>6.3</v>
      </c>
      <c r="B109">
        <v>1.8</v>
      </c>
      <c r="C109">
        <f>IF(E109=G109,1,IF(F109=G109,2,IF(#REF!=G109,3,4)))</f>
        <v>2</v>
      </c>
      <c r="D109" cm="1">
        <f t="array" ref="D109">$L$12*NMultDensity(A109:B109,$J$14:$K$14,$J$12:$K$13)+$L$8*NMultDensity(A109:B109,$J$10:$K$10,$J$8:$K$9)</f>
        <v>1.9293919243942442E-2</v>
      </c>
      <c r="E109" cm="1">
        <f t="array" ref="E109">$L$8*NMultDensity(A109:B109,$J$10:$K$10,$J$8:$K$9)/D109</f>
        <v>2.2375130632182029E-178</v>
      </c>
      <c r="F109" cm="1">
        <f t="array" ref="F109">$L$12*NMultDensity(A109:B109,$J$14:$K$14,$J$12:$K$13)/D109</f>
        <v>1</v>
      </c>
      <c r="G109">
        <f t="shared" si="3"/>
        <v>1</v>
      </c>
      <c r="P109">
        <v>6.3</v>
      </c>
      <c r="Q109">
        <v>1.8</v>
      </c>
      <c r="R109">
        <v>2</v>
      </c>
    </row>
    <row r="110" spans="1:18" x14ac:dyDescent="0.3">
      <c r="A110">
        <v>5.8</v>
      </c>
      <c r="B110">
        <v>1.8</v>
      </c>
      <c r="C110">
        <f>IF(E110=G110,1,IF(F110=G110,2,IF(#REF!=G110,3,4)))</f>
        <v>2</v>
      </c>
      <c r="D110" cm="1">
        <f t="array" ref="D110">$L$12*NMultDensity(A110:B110,$J$14:$K$14,$J$12:$K$13)+$L$8*NMultDensity(A110:B110,$J$10:$K$10,$J$8:$K$9)</f>
        <v>0.16940618064746044</v>
      </c>
      <c r="E110" cm="1">
        <f t="array" ref="E110">$L$8*NMultDensity(A110:B110,$J$10:$K$10,$J$8:$K$9)/D110</f>
        <v>2.1264909640199204E-148</v>
      </c>
      <c r="F110" cm="1">
        <f t="array" ref="F110">$L$12*NMultDensity(A110:B110,$J$14:$K$14,$J$12:$K$13)/D110</f>
        <v>1</v>
      </c>
      <c r="G110">
        <f t="shared" si="3"/>
        <v>1</v>
      </c>
      <c r="P110">
        <v>5.8</v>
      </c>
      <c r="Q110">
        <v>1.8</v>
      </c>
      <c r="R110">
        <v>2</v>
      </c>
    </row>
    <row r="111" spans="1:18" x14ac:dyDescent="0.3">
      <c r="A111">
        <v>6.1</v>
      </c>
      <c r="B111">
        <v>2.5</v>
      </c>
      <c r="C111">
        <f>IF(E111=G111,1,IF(F111=G111,2,IF(#REF!=G111,3,4)))</f>
        <v>2</v>
      </c>
      <c r="D111" cm="1">
        <f t="array" ref="D111">$L$12*NMultDensity(A111:B111,$J$14:$K$14,$J$12:$K$13)+$L$8*NMultDensity(A111:B111,$J$10:$K$10,$J$8:$K$9)</f>
        <v>7.7718927116733824E-2</v>
      </c>
      <c r="E111" cm="1">
        <f t="array" ref="E111">$L$8*NMultDensity(A111:B111,$J$10:$K$10,$J$8:$K$9)/D111</f>
        <v>1.2435398384895121E-196</v>
      </c>
      <c r="F111" cm="1">
        <f t="array" ref="F111">$L$12*NMultDensity(A111:B111,$J$14:$K$14,$J$12:$K$13)/D111</f>
        <v>1</v>
      </c>
      <c r="G111">
        <f t="shared" si="3"/>
        <v>1</v>
      </c>
      <c r="P111">
        <v>6.1</v>
      </c>
      <c r="Q111">
        <v>2.5</v>
      </c>
      <c r="R111">
        <v>2</v>
      </c>
    </row>
    <row r="112" spans="1:18" x14ac:dyDescent="0.3">
      <c r="A112">
        <v>5.0999999999999996</v>
      </c>
      <c r="B112">
        <v>2</v>
      </c>
      <c r="C112">
        <f>IF(E112=G112,1,IF(F112=G112,2,IF(#REF!=G112,3,4)))</f>
        <v>2</v>
      </c>
      <c r="D112" cm="1">
        <f t="array" ref="D112">$L$12*NMultDensity(A112:B112,$J$14:$K$14,$J$12:$K$13)+$L$8*NMultDensity(A112:B112,$J$10:$K$10,$J$8:$K$9)</f>
        <v>0.31447787166731561</v>
      </c>
      <c r="E112" cm="1">
        <f t="array" ref="E112">$L$8*NMultDensity(A112:B112,$J$10:$K$10,$J$8:$K$9)/D112</f>
        <v>1.324003872573299E-120</v>
      </c>
      <c r="F112" cm="1">
        <f t="array" ref="F112">$L$12*NMultDensity(A112:B112,$J$14:$K$14,$J$12:$K$13)/D112</f>
        <v>1</v>
      </c>
      <c r="G112">
        <f t="shared" si="3"/>
        <v>1</v>
      </c>
      <c r="P112">
        <v>5.0999999999999996</v>
      </c>
      <c r="Q112">
        <v>2</v>
      </c>
      <c r="R112">
        <v>2</v>
      </c>
    </row>
    <row r="113" spans="1:18" x14ac:dyDescent="0.3">
      <c r="A113">
        <v>5.3</v>
      </c>
      <c r="B113">
        <v>1.9</v>
      </c>
      <c r="C113">
        <f>IF(E113=G113,1,IF(F113=G113,2,IF(#REF!=G113,3,4)))</f>
        <v>2</v>
      </c>
      <c r="D113" cm="1">
        <f t="array" ref="D113">$L$12*NMultDensity(A113:B113,$J$14:$K$14,$J$12:$K$13)+$L$8*NMultDensity(A113:B113,$J$10:$K$10,$J$8:$K$9)</f>
        <v>0.46578571093998072</v>
      </c>
      <c r="E113" cm="1">
        <f t="array" ref="E113">$L$8*NMultDensity(A113:B113,$J$10:$K$10,$J$8:$K$9)/D113</f>
        <v>8.7087769443323351E-126</v>
      </c>
      <c r="F113" cm="1">
        <f t="array" ref="F113">$L$12*NMultDensity(A113:B113,$J$14:$K$14,$J$12:$K$13)/D113</f>
        <v>1</v>
      </c>
      <c r="G113">
        <f t="shared" si="3"/>
        <v>1</v>
      </c>
      <c r="P113">
        <v>5.3</v>
      </c>
      <c r="Q113">
        <v>1.9</v>
      </c>
      <c r="R113">
        <v>2</v>
      </c>
    </row>
    <row r="114" spans="1:18" x14ac:dyDescent="0.3">
      <c r="A114">
        <v>5.5</v>
      </c>
      <c r="B114">
        <v>2.1</v>
      </c>
      <c r="C114">
        <f>IF(E114=G114,1,IF(F114=G114,2,IF(#REF!=G114,3,4)))</f>
        <v>2</v>
      </c>
      <c r="D114" cm="1">
        <f t="array" ref="D114">$L$12*NMultDensity(A114:B114,$J$14:$K$14,$J$12:$K$13)+$L$8*NMultDensity(A114:B114,$J$10:$K$10,$J$8:$K$9)</f>
        <v>0.31979265657148648</v>
      </c>
      <c r="E114" cm="1">
        <f t="array" ref="E114">$L$8*NMultDensity(A114:B114,$J$10:$K$10,$J$8:$K$9)/D114</f>
        <v>4.0728350608174749E-144</v>
      </c>
      <c r="F114" cm="1">
        <f t="array" ref="F114">$L$12*NMultDensity(A114:B114,$J$14:$K$14,$J$12:$K$13)/D114</f>
        <v>1</v>
      </c>
      <c r="G114">
        <f t="shared" si="3"/>
        <v>1</v>
      </c>
      <c r="P114">
        <v>5.5</v>
      </c>
      <c r="Q114">
        <v>2.1</v>
      </c>
      <c r="R114">
        <v>2</v>
      </c>
    </row>
    <row r="115" spans="1:18" x14ac:dyDescent="0.3">
      <c r="A115">
        <v>5</v>
      </c>
      <c r="B115">
        <v>2</v>
      </c>
      <c r="C115">
        <f>IF(E115=G115,1,IF(F115=G115,2,IF(#REF!=G115,3,4)))</f>
        <v>2</v>
      </c>
      <c r="D115" cm="1">
        <f t="array" ref="D115">$L$12*NMultDensity(A115:B115,$J$14:$K$14,$J$12:$K$13)+$L$8*NMultDensity(A115:B115,$J$10:$K$10,$J$8:$K$9)</f>
        <v>0.26471848381727325</v>
      </c>
      <c r="E115" cm="1">
        <f t="array" ref="E115">$L$8*NMultDensity(A115:B115,$J$10:$K$10,$J$8:$K$9)/D115</f>
        <v>3.517959073922024E-116</v>
      </c>
      <c r="F115" cm="1">
        <f t="array" ref="F115">$L$12*NMultDensity(A115:B115,$J$14:$K$14,$J$12:$K$13)/D115</f>
        <v>1</v>
      </c>
      <c r="G115">
        <f t="shared" si="3"/>
        <v>1</v>
      </c>
      <c r="P115">
        <v>5</v>
      </c>
      <c r="Q115">
        <v>2</v>
      </c>
      <c r="R115">
        <v>2</v>
      </c>
    </row>
    <row r="116" spans="1:18" x14ac:dyDescent="0.3">
      <c r="A116">
        <v>5.0999999999999996</v>
      </c>
      <c r="B116">
        <v>2.4</v>
      </c>
      <c r="C116">
        <f>IF(E116=G116,1,IF(F116=G116,2,IF(#REF!=G116,3,4)))</f>
        <v>2</v>
      </c>
      <c r="D116" cm="1">
        <f t="array" ref="D116">$L$12*NMultDensity(A116:B116,$J$14:$K$14,$J$12:$K$13)+$L$8*NMultDensity(A116:B116,$J$10:$K$10,$J$8:$K$9)</f>
        <v>1.4570882433637439E-2</v>
      </c>
      <c r="E116" cm="1">
        <f t="array" ref="E116">$L$8*NMultDensity(A116:B116,$J$10:$K$10,$J$8:$K$9)/D116</f>
        <v>3.2078355358166722E-141</v>
      </c>
      <c r="F116" cm="1">
        <f t="array" ref="F116">$L$12*NMultDensity(A116:B116,$J$14:$K$14,$J$12:$K$13)/D116</f>
        <v>1</v>
      </c>
      <c r="G116">
        <f t="shared" si="3"/>
        <v>1</v>
      </c>
      <c r="P116">
        <v>5.0999999999999996</v>
      </c>
      <c r="Q116">
        <v>2.4</v>
      </c>
      <c r="R116">
        <v>2</v>
      </c>
    </row>
    <row r="117" spans="1:18" x14ac:dyDescent="0.3">
      <c r="A117">
        <v>5.3</v>
      </c>
      <c r="B117">
        <v>2.2999999999999998</v>
      </c>
      <c r="C117">
        <f>IF(E117=G117,1,IF(F117=G117,2,IF(#REF!=G117,3,4)))</f>
        <v>2</v>
      </c>
      <c r="D117" cm="1">
        <f t="array" ref="D117">$L$12*NMultDensity(A117:B117,$J$14:$K$14,$J$12:$K$13)+$L$8*NMultDensity(A117:B117,$J$10:$K$10,$J$8:$K$9)</f>
        <v>7.7955274667896854E-2</v>
      </c>
      <c r="E117" cm="1">
        <f t="array" ref="E117">$L$8*NMultDensity(A117:B117,$J$10:$K$10,$J$8:$K$9)/D117</f>
        <v>1.9307237497850867E-144</v>
      </c>
      <c r="F117" cm="1">
        <f t="array" ref="F117">$L$12*NMultDensity(A117:B117,$J$14:$K$14,$J$12:$K$13)/D117</f>
        <v>1</v>
      </c>
      <c r="G117">
        <f t="shared" si="3"/>
        <v>1</v>
      </c>
      <c r="P117">
        <v>5.3</v>
      </c>
      <c r="Q117">
        <v>2.2999999999999998</v>
      </c>
      <c r="R117">
        <v>2</v>
      </c>
    </row>
    <row r="118" spans="1:18" x14ac:dyDescent="0.3">
      <c r="A118">
        <v>5.5</v>
      </c>
      <c r="B118">
        <v>1.8</v>
      </c>
      <c r="C118">
        <f>IF(E118=G118,1,IF(F118=G118,2,IF(#REF!=G118,3,4)))</f>
        <v>2</v>
      </c>
      <c r="D118" cm="1">
        <f t="array" ref="D118">$L$12*NMultDensity(A118:B118,$J$14:$K$14,$J$12:$K$13)+$L$8*NMultDensity(A118:B118,$J$10:$K$10,$J$8:$K$9)</f>
        <v>0.35939112145305985</v>
      </c>
      <c r="E118" cm="1">
        <f t="array" ref="E118">$L$8*NMultDensity(A118:B118,$J$10:$K$10,$J$8:$K$9)/D118</f>
        <v>3.7078779207056252E-132</v>
      </c>
      <c r="F118" cm="1">
        <f t="array" ref="F118">$L$12*NMultDensity(A118:B118,$J$14:$K$14,$J$12:$K$13)/D118</f>
        <v>1</v>
      </c>
      <c r="G118">
        <f t="shared" si="3"/>
        <v>1</v>
      </c>
      <c r="P118">
        <v>5.5</v>
      </c>
      <c r="Q118">
        <v>1.8</v>
      </c>
      <c r="R118">
        <v>2</v>
      </c>
    </row>
    <row r="119" spans="1:18" x14ac:dyDescent="0.3">
      <c r="A119">
        <v>6.7</v>
      </c>
      <c r="B119">
        <v>2.2000000000000002</v>
      </c>
      <c r="C119">
        <f>IF(E119=G119,1,IF(F119=G119,2,IF(#REF!=G119,3,4)))</f>
        <v>2</v>
      </c>
      <c r="D119" cm="1">
        <f t="array" ref="D119">$L$12*NMultDensity(A119:B119,$J$14:$K$14,$J$12:$K$13)+$L$8*NMultDensity(A119:B119,$J$10:$K$10,$J$8:$K$9)</f>
        <v>3.0737879302143042E-2</v>
      </c>
      <c r="E119" cm="1">
        <f t="array" ref="E119">$L$8*NMultDensity(A119:B119,$J$10:$K$10,$J$8:$K$9)/D119</f>
        <v>7.2355357829124843E-219</v>
      </c>
      <c r="F119" cm="1">
        <f t="array" ref="F119">$L$12*NMultDensity(A119:B119,$J$14:$K$14,$J$12:$K$13)/D119</f>
        <v>1</v>
      </c>
      <c r="G119">
        <f t="shared" si="3"/>
        <v>1</v>
      </c>
      <c r="P119">
        <v>6.7</v>
      </c>
      <c r="Q119">
        <v>2.2000000000000002</v>
      </c>
      <c r="R119">
        <v>2</v>
      </c>
    </row>
    <row r="120" spans="1:18" x14ac:dyDescent="0.3">
      <c r="A120">
        <v>6.9</v>
      </c>
      <c r="B120">
        <v>2.2999999999999998</v>
      </c>
      <c r="C120">
        <f>IF(E120=G120,1,IF(F120=G120,2,IF(#REF!=G120,3,4)))</f>
        <v>2</v>
      </c>
      <c r="D120" cm="1">
        <f t="array" ref="D120">$L$12*NMultDensity(A120:B120,$J$14:$K$14,$J$12:$K$13)+$L$8*NMultDensity(A120:B120,$J$10:$K$10,$J$8:$K$9)</f>
        <v>1.8665363676290684E-2</v>
      </c>
      <c r="E120" cm="1">
        <f t="array" ref="E120">$L$8*NMultDensity(A120:B120,$J$10:$K$10,$J$8:$K$9)/D120</f>
        <v>7.3139995780062642E-237</v>
      </c>
      <c r="F120" cm="1">
        <f t="array" ref="F120">$L$12*NMultDensity(A120:B120,$J$14:$K$14,$J$12:$K$13)/D120</f>
        <v>1</v>
      </c>
      <c r="G120">
        <f t="shared" si="3"/>
        <v>1</v>
      </c>
      <c r="P120">
        <v>6.9</v>
      </c>
      <c r="Q120">
        <v>2.2999999999999998</v>
      </c>
      <c r="R120">
        <v>2</v>
      </c>
    </row>
    <row r="121" spans="1:18" x14ac:dyDescent="0.3">
      <c r="A121">
        <v>5</v>
      </c>
      <c r="B121">
        <v>1.5</v>
      </c>
      <c r="C121">
        <f>IF(E121=G121,1,IF(F121=G121,2,IF(#REF!=G121,3,4)))</f>
        <v>2</v>
      </c>
      <c r="D121" cm="1">
        <f t="array" ref="D121">$L$12*NMultDensity(A121:B121,$J$14:$K$14,$J$12:$K$13)+$L$8*NMultDensity(A121:B121,$J$10:$K$10,$J$8:$K$9)</f>
        <v>0.35627417284735735</v>
      </c>
      <c r="E121" cm="1">
        <f t="array" ref="E121">$L$8*NMultDensity(A121:B121,$J$10:$K$10,$J$8:$K$9)/D121</f>
        <v>1.5933194624355827E-98</v>
      </c>
      <c r="F121" cm="1">
        <f t="array" ref="F121">$L$12*NMultDensity(A121:B121,$J$14:$K$14,$J$12:$K$13)/D121</f>
        <v>1</v>
      </c>
      <c r="G121">
        <f t="shared" si="3"/>
        <v>1</v>
      </c>
      <c r="P121">
        <v>5</v>
      </c>
      <c r="Q121">
        <v>1.5</v>
      </c>
      <c r="R121">
        <v>2</v>
      </c>
    </row>
    <row r="122" spans="1:18" x14ac:dyDescent="0.3">
      <c r="A122">
        <v>5.7</v>
      </c>
      <c r="B122">
        <v>2.2999999999999998</v>
      </c>
      <c r="C122">
        <f>IF(E122=G122,1,IF(F122=G122,2,IF(#REF!=G122,3,4)))</f>
        <v>2</v>
      </c>
      <c r="D122" cm="1">
        <f t="array" ref="D122">$L$12*NMultDensity(A122:B122,$J$14:$K$14,$J$12:$K$13)+$L$8*NMultDensity(A122:B122,$J$10:$K$10,$J$8:$K$9)</f>
        <v>0.16427732097512154</v>
      </c>
      <c r="E122" cm="1">
        <f t="array" ref="E122">$L$8*NMultDensity(A122:B122,$J$10:$K$10,$J$8:$K$9)/D122</f>
        <v>4.6868669059985904E-164</v>
      </c>
      <c r="F122" cm="1">
        <f t="array" ref="F122">$L$12*NMultDensity(A122:B122,$J$14:$K$14,$J$12:$K$13)/D122</f>
        <v>1</v>
      </c>
      <c r="G122">
        <f t="shared" si="3"/>
        <v>1</v>
      </c>
      <c r="P122">
        <v>5.7</v>
      </c>
      <c r="Q122">
        <v>2.2999999999999998</v>
      </c>
      <c r="R122">
        <v>2</v>
      </c>
    </row>
    <row r="123" spans="1:18" x14ac:dyDescent="0.3">
      <c r="A123">
        <v>4.9000000000000004</v>
      </c>
      <c r="B123">
        <v>2</v>
      </c>
      <c r="C123">
        <f>IF(E123=G123,1,IF(F123=G123,2,IF(#REF!=G123,3,4)))</f>
        <v>2</v>
      </c>
      <c r="D123" cm="1">
        <f t="array" ref="D123">$L$12*NMultDensity(A123:B123,$J$14:$K$14,$J$12:$K$13)+$L$8*NMultDensity(A123:B123,$J$10:$K$10,$J$8:$K$9)</f>
        <v>0.21282509855812562</v>
      </c>
      <c r="E123" cm="1">
        <f t="array" ref="E123">$L$8*NMultDensity(A123:B123,$J$10:$K$10,$J$8:$K$9)/D123</f>
        <v>6.6873271412223118E-112</v>
      </c>
      <c r="F123" cm="1">
        <f t="array" ref="F123">$L$12*NMultDensity(A123:B123,$J$14:$K$14,$J$12:$K$13)/D123</f>
        <v>1</v>
      </c>
      <c r="G123">
        <f t="shared" si="3"/>
        <v>1</v>
      </c>
      <c r="P123">
        <v>4.9000000000000004</v>
      </c>
      <c r="Q123">
        <v>2</v>
      </c>
      <c r="R123">
        <v>2</v>
      </c>
    </row>
    <row r="124" spans="1:18" x14ac:dyDescent="0.3">
      <c r="A124">
        <v>6.7</v>
      </c>
      <c r="B124">
        <v>2</v>
      </c>
      <c r="C124">
        <f>IF(E124=G124,1,IF(F124=G124,2,IF(#REF!=G124,3,4)))</f>
        <v>2</v>
      </c>
      <c r="D124" cm="1">
        <f t="array" ref="D124">$L$12*NMultDensity(A124:B124,$J$14:$K$14,$J$12:$K$13)+$L$8*NMultDensity(A124:B124,$J$10:$K$10,$J$8:$K$9)</f>
        <v>9.5614084196863156E-3</v>
      </c>
      <c r="E124" cm="1">
        <f t="array" ref="E124">$L$8*NMultDensity(A124:B124,$J$10:$K$10,$J$8:$K$9)/D124</f>
        <v>3.5617221754162651E-211</v>
      </c>
      <c r="F124" cm="1">
        <f t="array" ref="F124">$L$12*NMultDensity(A124:B124,$J$14:$K$14,$J$12:$K$13)/D124</f>
        <v>1</v>
      </c>
      <c r="G124">
        <f t="shared" si="3"/>
        <v>1</v>
      </c>
      <c r="P124">
        <v>6.7</v>
      </c>
      <c r="Q124">
        <v>2</v>
      </c>
      <c r="R124">
        <v>2</v>
      </c>
    </row>
    <row r="125" spans="1:18" x14ac:dyDescent="0.3">
      <c r="A125">
        <v>4.9000000000000004</v>
      </c>
      <c r="B125">
        <v>1.8</v>
      </c>
      <c r="C125">
        <f>IF(E125=G125,1,IF(F125=G125,2,IF(#REF!=G125,3,4)))</f>
        <v>2</v>
      </c>
      <c r="D125" cm="1">
        <f t="array" ref="D125">$L$12*NMultDensity(A125:B125,$J$14:$K$14,$J$12:$K$13)+$L$8*NMultDensity(A125:B125,$J$10:$K$10,$J$8:$K$9)</f>
        <v>0.46778077082093145</v>
      </c>
      <c r="E125" cm="1">
        <f t="array" ref="E125">$L$8*NMultDensity(A125:B125,$J$10:$K$10,$J$8:$K$9)/D125</f>
        <v>1.3340625423497558E-103</v>
      </c>
      <c r="F125" cm="1">
        <f t="array" ref="F125">$L$12*NMultDensity(A125:B125,$J$14:$K$14,$J$12:$K$13)/D125</f>
        <v>1</v>
      </c>
      <c r="G125">
        <f t="shared" si="3"/>
        <v>1</v>
      </c>
      <c r="P125">
        <v>4.9000000000000004</v>
      </c>
      <c r="Q125">
        <v>1.8</v>
      </c>
      <c r="R125">
        <v>2</v>
      </c>
    </row>
    <row r="126" spans="1:18" x14ac:dyDescent="0.3">
      <c r="A126">
        <v>5.7</v>
      </c>
      <c r="B126">
        <v>2.1</v>
      </c>
      <c r="C126">
        <f>IF(E126=G126,1,IF(F126=G126,2,IF(#REF!=G126,3,4)))</f>
        <v>2</v>
      </c>
      <c r="D126" cm="1">
        <f t="array" ref="D126">$L$12*NMultDensity(A126:B126,$J$14:$K$14,$J$12:$K$13)+$L$8*NMultDensity(A126:B126,$J$10:$K$10,$J$8:$K$9)</f>
        <v>0.31544245796691989</v>
      </c>
      <c r="E126" cm="1">
        <f t="array" ref="E126">$L$8*NMultDensity(A126:B126,$J$10:$K$10,$J$8:$K$9)/D126</f>
        <v>1.8968687060727337E-154</v>
      </c>
      <c r="F126" cm="1">
        <f t="array" ref="F126">$L$12*NMultDensity(A126:B126,$J$14:$K$14,$J$12:$K$13)/D126</f>
        <v>1</v>
      </c>
      <c r="G126">
        <f t="shared" si="3"/>
        <v>1</v>
      </c>
      <c r="P126">
        <v>5.7</v>
      </c>
      <c r="Q126">
        <v>2.1</v>
      </c>
      <c r="R126">
        <v>2</v>
      </c>
    </row>
    <row r="127" spans="1:18" x14ac:dyDescent="0.3">
      <c r="A127">
        <v>6</v>
      </c>
      <c r="B127">
        <v>1.8</v>
      </c>
      <c r="C127">
        <f>IF(E127=G127,1,IF(F127=G127,2,IF(#REF!=G127,3,4)))</f>
        <v>2</v>
      </c>
      <c r="D127" cm="1">
        <f t="array" ref="D127">$L$12*NMultDensity(A127:B127,$J$14:$K$14,$J$12:$K$13)+$L$8*NMultDensity(A127:B127,$J$10:$K$10,$J$8:$K$9)</f>
        <v>8.1544097277557459E-2</v>
      </c>
      <c r="E127" cm="1">
        <f t="array" ref="E127">$L$8*NMultDensity(A127:B127,$J$10:$K$10,$J$8:$K$9)/D127</f>
        <v>5.926845138678789E-160</v>
      </c>
      <c r="F127" cm="1">
        <f t="array" ref="F127">$L$12*NMultDensity(A127:B127,$J$14:$K$14,$J$12:$K$13)/D127</f>
        <v>1</v>
      </c>
      <c r="G127">
        <f t="shared" si="3"/>
        <v>1</v>
      </c>
      <c r="P127">
        <v>6</v>
      </c>
      <c r="Q127">
        <v>1.8</v>
      </c>
      <c r="R127">
        <v>2</v>
      </c>
    </row>
    <row r="128" spans="1:18" x14ac:dyDescent="0.3">
      <c r="A128">
        <v>4.8</v>
      </c>
      <c r="B128">
        <v>1.8</v>
      </c>
      <c r="C128">
        <f>IF(E128=G128,1,IF(F128=G128,2,IF(#REF!=G128,3,4)))</f>
        <v>2</v>
      </c>
      <c r="D128" cm="1">
        <f t="array" ref="D128">$L$12*NMultDensity(A128:B128,$J$14:$K$14,$J$12:$K$13)+$L$8*NMultDensity(A128:B128,$J$10:$K$10,$J$8:$K$9)</f>
        <v>0.41617591212359401</v>
      </c>
      <c r="E128" cm="1">
        <f t="array" ref="E128">$L$8*NMultDensity(A128:B128,$J$10:$K$10,$J$8:$K$9)/D128</f>
        <v>2.37399002966779E-99</v>
      </c>
      <c r="F128" cm="1">
        <f t="array" ref="F128">$L$12*NMultDensity(A128:B128,$J$14:$K$14,$J$12:$K$13)/D128</f>
        <v>1</v>
      </c>
      <c r="G128">
        <f t="shared" si="3"/>
        <v>1</v>
      </c>
      <c r="P128">
        <v>4.8</v>
      </c>
      <c r="Q128">
        <v>1.8</v>
      </c>
      <c r="R128">
        <v>2</v>
      </c>
    </row>
    <row r="129" spans="1:18" x14ac:dyDescent="0.3">
      <c r="A129">
        <v>4.9000000000000004</v>
      </c>
      <c r="B129">
        <v>1.8</v>
      </c>
      <c r="C129">
        <f>IF(E129=G129,1,IF(F129=G129,2,IF(#REF!=G129,3,4)))</f>
        <v>2</v>
      </c>
      <c r="D129" cm="1">
        <f t="array" ref="D129">$L$12*NMultDensity(A129:B129,$J$14:$K$14,$J$12:$K$13)+$L$8*NMultDensity(A129:B129,$J$10:$K$10,$J$8:$K$9)</f>
        <v>0.46778077082093145</v>
      </c>
      <c r="E129" cm="1">
        <f t="array" ref="E129">$L$8*NMultDensity(A129:B129,$J$10:$K$10,$J$8:$K$9)/D129</f>
        <v>1.3340625423497558E-103</v>
      </c>
      <c r="F129" cm="1">
        <f t="array" ref="F129">$L$12*NMultDensity(A129:B129,$J$14:$K$14,$J$12:$K$13)/D129</f>
        <v>1</v>
      </c>
      <c r="G129">
        <f t="shared" si="3"/>
        <v>1</v>
      </c>
      <c r="P129">
        <v>4.9000000000000004</v>
      </c>
      <c r="Q129">
        <v>1.8</v>
      </c>
      <c r="R129">
        <v>2</v>
      </c>
    </row>
    <row r="130" spans="1:18" x14ac:dyDescent="0.3">
      <c r="A130">
        <v>5.6</v>
      </c>
      <c r="B130">
        <v>2.1</v>
      </c>
      <c r="C130">
        <f>IF(E130=G130,1,IF(F130=G130,2,IF(#REF!=G130,3,4)))</f>
        <v>2</v>
      </c>
      <c r="D130" cm="1">
        <f t="array" ref="D130">$L$12*NMultDensity(A130:B130,$J$14:$K$14,$J$12:$K$13)+$L$8*NMultDensity(A130:B130,$J$10:$K$10,$J$8:$K$9)</f>
        <v>0.32499158564212538</v>
      </c>
      <c r="E130" cm="1">
        <f t="array" ref="E130">$L$8*NMultDensity(A130:B130,$J$10:$K$10,$J$8:$K$9)/D130</f>
        <v>3.2861464761207048E-149</v>
      </c>
      <c r="F130" cm="1">
        <f t="array" ref="F130">$L$12*NMultDensity(A130:B130,$J$14:$K$14,$J$12:$K$13)/D130</f>
        <v>1</v>
      </c>
      <c r="G130">
        <f t="shared" ref="G130:G161" si="4">MAX(E130:F130)</f>
        <v>1</v>
      </c>
      <c r="P130">
        <v>5.6</v>
      </c>
      <c r="Q130">
        <v>2.1</v>
      </c>
      <c r="R130">
        <v>2</v>
      </c>
    </row>
    <row r="131" spans="1:18" x14ac:dyDescent="0.3">
      <c r="A131">
        <v>5.8</v>
      </c>
      <c r="B131">
        <v>1.6</v>
      </c>
      <c r="C131">
        <f>IF(E131=G131,1,IF(F131=G131,2,IF(#REF!=G131,3,4)))</f>
        <v>2</v>
      </c>
      <c r="D131" cm="1">
        <f t="array" ref="D131">$L$12*NMultDensity(A131:B131,$J$14:$K$14,$J$12:$K$13)+$L$8*NMultDensity(A131:B131,$J$10:$K$10,$J$8:$K$9)</f>
        <v>4.9365916654232567E-2</v>
      </c>
      <c r="E131" cm="1">
        <f t="array" ref="E131">$L$8*NMultDensity(A131:B131,$J$10:$K$10,$J$8:$K$9)/D131</f>
        <v>1.2084919307792049E-142</v>
      </c>
      <c r="F131" cm="1">
        <f t="array" ref="F131">$L$12*NMultDensity(A131:B131,$J$14:$K$14,$J$12:$K$13)/D131</f>
        <v>1</v>
      </c>
      <c r="G131">
        <f t="shared" si="4"/>
        <v>1</v>
      </c>
      <c r="P131">
        <v>5.8</v>
      </c>
      <c r="Q131">
        <v>1.6</v>
      </c>
      <c r="R131">
        <v>2</v>
      </c>
    </row>
    <row r="132" spans="1:18" x14ac:dyDescent="0.3">
      <c r="A132">
        <v>6.1</v>
      </c>
      <c r="B132">
        <v>1.9</v>
      </c>
      <c r="C132">
        <f>IF(E132=G132,1,IF(F132=G132,2,IF(#REF!=G132,3,4)))</f>
        <v>2</v>
      </c>
      <c r="D132" cm="1">
        <f t="array" ref="D132">$L$12*NMultDensity(A132:B132,$J$14:$K$14,$J$12:$K$13)+$L$8*NMultDensity(A132:B132,$J$10:$K$10,$J$8:$K$9)</f>
        <v>9.4001598960313015E-2</v>
      </c>
      <c r="E132" cm="1">
        <f t="array" ref="E132">$L$8*NMultDensity(A132:B132,$J$10:$K$10,$J$8:$K$9)/D132</f>
        <v>3.2715668263722215E-169</v>
      </c>
      <c r="F132" cm="1">
        <f t="array" ref="F132">$L$12*NMultDensity(A132:B132,$J$14:$K$14,$J$12:$K$13)/D132</f>
        <v>1</v>
      </c>
      <c r="G132">
        <f t="shared" si="4"/>
        <v>1</v>
      </c>
      <c r="P132">
        <v>6.1</v>
      </c>
      <c r="Q132">
        <v>1.9</v>
      </c>
      <c r="R132">
        <v>2</v>
      </c>
    </row>
    <row r="133" spans="1:18" x14ac:dyDescent="0.3">
      <c r="A133">
        <v>6.4</v>
      </c>
      <c r="B133">
        <v>2</v>
      </c>
      <c r="C133">
        <f>IF(E133=G133,1,IF(F133=G133,2,IF(#REF!=G133,3,4)))</f>
        <v>2</v>
      </c>
      <c r="D133" cm="1">
        <f t="array" ref="D133">$L$12*NMultDensity(A133:B133,$J$14:$K$14,$J$12:$K$13)+$L$8*NMultDensity(A133:B133,$J$10:$K$10,$J$8:$K$9)</f>
        <v>4.5092709889908177E-2</v>
      </c>
      <c r="E133" cm="1">
        <f t="array" ref="E133">$L$8*NMultDensity(A133:B133,$J$10:$K$10,$J$8:$K$9)/D133</f>
        <v>2.3423563568632152E-191</v>
      </c>
      <c r="F133" cm="1">
        <f t="array" ref="F133">$L$12*NMultDensity(A133:B133,$J$14:$K$14,$J$12:$K$13)/D133</f>
        <v>1</v>
      </c>
      <c r="G133">
        <f t="shared" si="4"/>
        <v>1</v>
      </c>
      <c r="P133">
        <v>6.4</v>
      </c>
      <c r="Q133">
        <v>2</v>
      </c>
      <c r="R133">
        <v>2</v>
      </c>
    </row>
    <row r="134" spans="1:18" x14ac:dyDescent="0.3">
      <c r="A134">
        <v>5.6</v>
      </c>
      <c r="B134">
        <v>2.2000000000000002</v>
      </c>
      <c r="C134">
        <f>IF(E134=G134,1,IF(F134=G134,2,IF(#REF!=G134,3,4)))</f>
        <v>2</v>
      </c>
      <c r="D134" cm="1">
        <f t="array" ref="D134">$L$12*NMultDensity(A134:B134,$J$14:$K$14,$J$12:$K$13)+$L$8*NMultDensity(A134:B134,$J$10:$K$10,$J$8:$K$9)</f>
        <v>0.23766744605713261</v>
      </c>
      <c r="E134" cm="1">
        <f t="array" ref="E134">$L$8*NMultDensity(A134:B134,$J$10:$K$10,$J$8:$K$9)/D134</f>
        <v>6.9423891482999223E-154</v>
      </c>
      <c r="F134" cm="1">
        <f t="array" ref="F134">$L$12*NMultDensity(A134:B134,$J$14:$K$14,$J$12:$K$13)/D134</f>
        <v>1</v>
      </c>
      <c r="G134">
        <f t="shared" si="4"/>
        <v>1</v>
      </c>
      <c r="P134">
        <v>5.6</v>
      </c>
      <c r="Q134">
        <v>2.2000000000000002</v>
      </c>
      <c r="R134">
        <v>2</v>
      </c>
    </row>
    <row r="135" spans="1:18" x14ac:dyDescent="0.3">
      <c r="A135">
        <v>5.0999999999999996</v>
      </c>
      <c r="B135">
        <v>1.5</v>
      </c>
      <c r="C135">
        <f>IF(E135=G135,1,IF(F135=G135,2,IF(#REF!=G135,3,4)))</f>
        <v>2</v>
      </c>
      <c r="D135" cm="1">
        <f t="array" ref="D135">$L$12*NMultDensity(A135:B135,$J$14:$K$14,$J$12:$K$13)+$L$8*NMultDensity(A135:B135,$J$10:$K$10,$J$8:$K$9)</f>
        <v>0.29289447041198935</v>
      </c>
      <c r="E135" cm="1">
        <f t="array" ref="E135">$L$8*NMultDensity(A135:B135,$J$10:$K$10,$J$8:$K$9)/D135</f>
        <v>3.0616087909876415E-103</v>
      </c>
      <c r="F135" cm="1">
        <f t="array" ref="F135">$L$12*NMultDensity(A135:B135,$J$14:$K$14,$J$12:$K$13)/D135</f>
        <v>1</v>
      </c>
      <c r="G135">
        <f t="shared" si="4"/>
        <v>1</v>
      </c>
      <c r="P135">
        <v>5.0999999999999996</v>
      </c>
      <c r="Q135">
        <v>1.5</v>
      </c>
      <c r="R135">
        <v>2</v>
      </c>
    </row>
    <row r="136" spans="1:18" x14ac:dyDescent="0.3">
      <c r="A136">
        <v>5.6</v>
      </c>
      <c r="B136">
        <v>1.4</v>
      </c>
      <c r="C136">
        <f>IF(E136=G136,1,IF(F136=G136,2,IF(#REF!=G136,3,4)))</f>
        <v>2</v>
      </c>
      <c r="D136" cm="1">
        <f t="array" ref="D136">$L$12*NMultDensity(A136:B136,$J$14:$K$14,$J$12:$K$13)+$L$8*NMultDensity(A136:B136,$J$10:$K$10,$J$8:$K$9)</f>
        <v>2.2360869222493526E-2</v>
      </c>
      <c r="E136" cm="1">
        <f t="array" ref="E136">$L$8*NMultDensity(A136:B136,$J$10:$K$10,$J$8:$K$9)/D136</f>
        <v>6.0633141863825046E-127</v>
      </c>
      <c r="F136" cm="1">
        <f t="array" ref="F136">$L$12*NMultDensity(A136:B136,$J$14:$K$14,$J$12:$K$13)/D136</f>
        <v>1</v>
      </c>
      <c r="G136">
        <f t="shared" si="4"/>
        <v>1</v>
      </c>
      <c r="P136">
        <v>5.6</v>
      </c>
      <c r="Q136">
        <v>1.4</v>
      </c>
      <c r="R136">
        <v>2</v>
      </c>
    </row>
    <row r="137" spans="1:18" x14ac:dyDescent="0.3">
      <c r="A137">
        <v>6.1</v>
      </c>
      <c r="B137">
        <v>2.2999999999999998</v>
      </c>
      <c r="C137">
        <f>IF(E137=G137,1,IF(F137=G137,2,IF(#REF!=G137,3,4)))</f>
        <v>2</v>
      </c>
      <c r="D137" cm="1">
        <f t="array" ref="D137">$L$12*NMultDensity(A137:B137,$J$14:$K$14,$J$12:$K$13)+$L$8*NMultDensity(A137:B137,$J$10:$K$10,$J$8:$K$9)</f>
        <v>0.16596638660704069</v>
      </c>
      <c r="E137" cm="1">
        <f t="array" ref="E137">$L$8*NMultDensity(A137:B137,$J$10:$K$10,$J$8:$K$9)/D137</f>
        <v>5.3580806579231417E-186</v>
      </c>
      <c r="F137" cm="1">
        <f t="array" ref="F137">$L$12*NMultDensity(A137:B137,$J$14:$K$14,$J$12:$K$13)/D137</f>
        <v>1</v>
      </c>
      <c r="G137">
        <f t="shared" si="4"/>
        <v>1</v>
      </c>
      <c r="P137">
        <v>6.1</v>
      </c>
      <c r="Q137">
        <v>2.2999999999999998</v>
      </c>
      <c r="R137">
        <v>2</v>
      </c>
    </row>
    <row r="138" spans="1:18" x14ac:dyDescent="0.3">
      <c r="A138">
        <v>5.6</v>
      </c>
      <c r="B138">
        <v>2.4</v>
      </c>
      <c r="C138">
        <f>IF(E138=G138,1,IF(F138=G138,2,IF(#REF!=G138,3,4)))</f>
        <v>2</v>
      </c>
      <c r="D138" cm="1">
        <f t="array" ref="D138">$L$12*NMultDensity(A138:B138,$J$14:$K$14,$J$12:$K$13)+$L$8*NMultDensity(A138:B138,$J$10:$K$10,$J$8:$K$9)</f>
        <v>7.5456554220213468E-2</v>
      </c>
      <c r="E138" cm="1">
        <f t="array" ref="E138">$L$8*NMultDensity(A138:B138,$J$10:$K$10,$J$8:$K$9)/D138</f>
        <v>2.3464693818832908E-164</v>
      </c>
      <c r="F138" cm="1">
        <f t="array" ref="F138">$L$12*NMultDensity(A138:B138,$J$14:$K$14,$J$12:$K$13)/D138</f>
        <v>1</v>
      </c>
      <c r="G138">
        <f t="shared" si="4"/>
        <v>1</v>
      </c>
      <c r="P138">
        <v>5.6</v>
      </c>
      <c r="Q138">
        <v>2.4</v>
      </c>
      <c r="R138">
        <v>2</v>
      </c>
    </row>
    <row r="139" spans="1:18" x14ac:dyDescent="0.3">
      <c r="A139">
        <v>5.5</v>
      </c>
      <c r="B139">
        <v>1.8</v>
      </c>
      <c r="C139">
        <f>IF(E139=G139,1,IF(F139=G139,2,IF(#REF!=G139,3,4)))</f>
        <v>2</v>
      </c>
      <c r="D139" cm="1">
        <f t="array" ref="D139">$L$12*NMultDensity(A139:B139,$J$14:$K$14,$J$12:$K$13)+$L$8*NMultDensity(A139:B139,$J$10:$K$10,$J$8:$K$9)</f>
        <v>0.35939112145305985</v>
      </c>
      <c r="E139" cm="1">
        <f t="array" ref="E139">$L$8*NMultDensity(A139:B139,$J$10:$K$10,$J$8:$K$9)/D139</f>
        <v>3.7078779207056252E-132</v>
      </c>
      <c r="F139" cm="1">
        <f t="array" ref="F139">$L$12*NMultDensity(A139:B139,$J$14:$K$14,$J$12:$K$13)/D139</f>
        <v>1</v>
      </c>
      <c r="G139">
        <f t="shared" si="4"/>
        <v>1</v>
      </c>
      <c r="P139">
        <v>5.5</v>
      </c>
      <c r="Q139">
        <v>1.8</v>
      </c>
      <c r="R139">
        <v>2</v>
      </c>
    </row>
    <row r="140" spans="1:18" x14ac:dyDescent="0.3">
      <c r="A140">
        <v>4.8</v>
      </c>
      <c r="B140">
        <v>1.8</v>
      </c>
      <c r="C140">
        <f>IF(E140=G140,1,IF(F140=G140,2,IF(#REF!=G140,3,4)))</f>
        <v>2</v>
      </c>
      <c r="D140" cm="1">
        <f t="array" ref="D140">$L$12*NMultDensity(A140:B140,$J$14:$K$14,$J$12:$K$13)+$L$8*NMultDensity(A140:B140,$J$10:$K$10,$J$8:$K$9)</f>
        <v>0.41617591212359401</v>
      </c>
      <c r="E140" cm="1">
        <f t="array" ref="E140">$L$8*NMultDensity(A140:B140,$J$10:$K$10,$J$8:$K$9)/D140</f>
        <v>2.37399002966779E-99</v>
      </c>
      <c r="F140" cm="1">
        <f t="array" ref="F140">$L$12*NMultDensity(A140:B140,$J$14:$K$14,$J$12:$K$13)/D140</f>
        <v>1</v>
      </c>
      <c r="G140">
        <f t="shared" si="4"/>
        <v>1</v>
      </c>
      <c r="P140">
        <v>4.8</v>
      </c>
      <c r="Q140">
        <v>1.8</v>
      </c>
      <c r="R140">
        <v>2</v>
      </c>
    </row>
    <row r="141" spans="1:18" x14ac:dyDescent="0.3">
      <c r="A141">
        <v>5.4</v>
      </c>
      <c r="B141">
        <v>2.1</v>
      </c>
      <c r="C141">
        <f>IF(E141=G141,1,IF(F141=G141,2,IF(#REF!=G141,3,4)))</f>
        <v>2</v>
      </c>
      <c r="D141" cm="1">
        <f t="array" ref="D141">$L$12*NMultDensity(A141:B141,$J$14:$K$14,$J$12:$K$13)+$L$8*NMultDensity(A141:B141,$J$10:$K$10,$J$8:$K$9)</f>
        <v>0.3005448275677825</v>
      </c>
      <c r="E141" cm="1">
        <f t="array" ref="E141">$L$8*NMultDensity(A141:B141,$J$10:$K$10,$J$8:$K$9)/D141</f>
        <v>3.6113284278218282E-139</v>
      </c>
      <c r="F141" cm="1">
        <f t="array" ref="F141">$L$12*NMultDensity(A141:B141,$J$14:$K$14,$J$12:$K$13)/D141</f>
        <v>1</v>
      </c>
      <c r="G141">
        <f t="shared" si="4"/>
        <v>1</v>
      </c>
      <c r="P141">
        <v>5.4</v>
      </c>
      <c r="Q141">
        <v>2.1</v>
      </c>
      <c r="R141">
        <v>2</v>
      </c>
    </row>
    <row r="142" spans="1:18" x14ac:dyDescent="0.3">
      <c r="A142">
        <v>5.6</v>
      </c>
      <c r="B142">
        <v>2.4</v>
      </c>
      <c r="C142">
        <f>IF(E142=G142,1,IF(F142=G142,2,IF(#REF!=G142,3,4)))</f>
        <v>2</v>
      </c>
      <c r="D142" cm="1">
        <f t="array" ref="D142">$L$12*NMultDensity(A142:B142,$J$14:$K$14,$J$12:$K$13)+$L$8*NMultDensity(A142:B142,$J$10:$K$10,$J$8:$K$9)</f>
        <v>7.5456554220213468E-2</v>
      </c>
      <c r="E142" cm="1">
        <f t="array" ref="E142">$L$8*NMultDensity(A142:B142,$J$10:$K$10,$J$8:$K$9)/D142</f>
        <v>2.3464693818832908E-164</v>
      </c>
      <c r="F142" cm="1">
        <f t="array" ref="F142">$L$12*NMultDensity(A142:B142,$J$14:$K$14,$J$12:$K$13)/D142</f>
        <v>1</v>
      </c>
      <c r="G142">
        <f t="shared" si="4"/>
        <v>1</v>
      </c>
      <c r="P142">
        <v>5.6</v>
      </c>
      <c r="Q142">
        <v>2.4</v>
      </c>
      <c r="R142">
        <v>2</v>
      </c>
    </row>
    <row r="143" spans="1:18" x14ac:dyDescent="0.3">
      <c r="A143">
        <v>5.0999999999999996</v>
      </c>
      <c r="B143">
        <v>2.2999999999999998</v>
      </c>
      <c r="C143">
        <f>IF(E143=G143,1,IF(F143=G143,2,IF(#REF!=G143,3,4)))</f>
        <v>2</v>
      </c>
      <c r="D143" cm="1">
        <f t="array" ref="D143">$L$12*NMultDensity(A143:B143,$J$14:$K$14,$J$12:$K$13)+$L$8*NMultDensity(A143:B143,$J$10:$K$10,$J$8:$K$9)</f>
        <v>4.0761096769742128E-2</v>
      </c>
      <c r="E143" cm="1">
        <f t="array" ref="E143">$L$8*NMultDensity(A143:B143,$J$10:$K$10,$J$8:$K$9)/D143</f>
        <v>1.661500406272096E-135</v>
      </c>
      <c r="F143" cm="1">
        <f t="array" ref="F143">$L$12*NMultDensity(A143:B143,$J$14:$K$14,$J$12:$K$13)/D143</f>
        <v>1</v>
      </c>
      <c r="G143">
        <f t="shared" si="4"/>
        <v>1</v>
      </c>
      <c r="P143">
        <v>5.0999999999999996</v>
      </c>
      <c r="Q143">
        <v>2.2999999999999998</v>
      </c>
      <c r="R143">
        <v>2</v>
      </c>
    </row>
    <row r="144" spans="1:18" x14ac:dyDescent="0.3">
      <c r="A144">
        <v>5.0999999999999996</v>
      </c>
      <c r="B144">
        <v>1.9</v>
      </c>
      <c r="C144">
        <f>IF(E144=G144,1,IF(F144=G144,2,IF(#REF!=G144,3,4)))</f>
        <v>2</v>
      </c>
      <c r="D144" cm="1">
        <f t="array" ref="D144">$L$12*NMultDensity(A144:B144,$J$14:$K$14,$J$12:$K$13)+$L$8*NMultDensity(A144:B144,$J$10:$K$10,$J$8:$K$9)</f>
        <v>0.43892761455134938</v>
      </c>
      <c r="E144" cm="1">
        <f t="array" ref="E144">$L$8*NMultDensity(A144:B144,$J$10:$K$10,$J$8:$K$9)/D144</f>
        <v>2.1971519868318951E-116</v>
      </c>
      <c r="F144" cm="1">
        <f t="array" ref="F144">$L$12*NMultDensity(A144:B144,$J$14:$K$14,$J$12:$K$13)/D144</f>
        <v>1</v>
      </c>
      <c r="G144">
        <f t="shared" si="4"/>
        <v>1</v>
      </c>
      <c r="P144">
        <v>5.0999999999999996</v>
      </c>
      <c r="Q144">
        <v>1.9</v>
      </c>
      <c r="R144">
        <v>2</v>
      </c>
    </row>
    <row r="145" spans="1:18" x14ac:dyDescent="0.3">
      <c r="A145">
        <v>5.9</v>
      </c>
      <c r="B145">
        <v>2.2999999999999998</v>
      </c>
      <c r="C145">
        <f>IF(E145=G145,1,IF(F145=G145,2,IF(#REF!=G145,3,4)))</f>
        <v>2</v>
      </c>
      <c r="D145" cm="1">
        <f t="array" ref="D145">$L$12*NMultDensity(A145:B145,$J$14:$K$14,$J$12:$K$13)+$L$8*NMultDensity(A145:B145,$J$10:$K$10,$J$8:$K$9)</f>
        <v>0.18101312771863137</v>
      </c>
      <c r="E145" cm="1">
        <f t="array" ref="E145">$L$8*NMultDensity(A145:B145,$J$10:$K$10,$J$8:$K$9)/D145</f>
        <v>9.7909631485439274E-175</v>
      </c>
      <c r="F145" cm="1">
        <f t="array" ref="F145">$L$12*NMultDensity(A145:B145,$J$14:$K$14,$J$12:$K$13)/D145</f>
        <v>1</v>
      </c>
      <c r="G145">
        <f t="shared" si="4"/>
        <v>1</v>
      </c>
      <c r="P145">
        <v>5.9</v>
      </c>
      <c r="Q145">
        <v>2.2999999999999998</v>
      </c>
      <c r="R145">
        <v>2</v>
      </c>
    </row>
    <row r="146" spans="1:18" x14ac:dyDescent="0.3">
      <c r="A146">
        <v>5.7</v>
      </c>
      <c r="B146">
        <v>2.5</v>
      </c>
      <c r="C146">
        <f>IF(E146=G146,1,IF(F146=G146,2,IF(#REF!=G146,3,4)))</f>
        <v>2</v>
      </c>
      <c r="D146" cm="1">
        <f t="array" ref="D146">$L$12*NMultDensity(A146:B146,$J$14:$K$14,$J$12:$K$13)+$L$8*NMultDensity(A146:B146,$J$10:$K$10,$J$8:$K$9)</f>
        <v>4.2685255125505299E-2</v>
      </c>
      <c r="E146" cm="1">
        <f t="array" ref="E146">$L$8*NMultDensity(A146:B146,$J$10:$K$10,$J$8:$K$9)/D146</f>
        <v>3.7103122235121469E-175</v>
      </c>
      <c r="F146" cm="1">
        <f t="array" ref="F146">$L$12*NMultDensity(A146:B146,$J$14:$K$14,$J$12:$K$13)/D146</f>
        <v>1</v>
      </c>
      <c r="G146">
        <f t="shared" si="4"/>
        <v>1</v>
      </c>
      <c r="P146">
        <v>5.7</v>
      </c>
      <c r="Q146">
        <v>2.5</v>
      </c>
      <c r="R146">
        <v>2</v>
      </c>
    </row>
    <row r="147" spans="1:18" x14ac:dyDescent="0.3">
      <c r="A147">
        <v>5.2</v>
      </c>
      <c r="B147">
        <v>2.2999999999999998</v>
      </c>
      <c r="C147">
        <f>IF(E147=G147,1,IF(F147=G147,2,IF(#REF!=G147,3,4)))</f>
        <v>2</v>
      </c>
      <c r="D147" cm="1">
        <f t="array" ref="D147">$L$12*NMultDensity(A147:B147,$J$14:$K$14,$J$12:$K$13)+$L$8*NMultDensity(A147:B147,$J$10:$K$10,$J$8:$K$9)</f>
        <v>5.767976508713394E-2</v>
      </c>
      <c r="E147" cm="1">
        <f t="array" ref="E147">$L$8*NMultDensity(A147:B147,$J$10:$K$10,$J$8:$K$9)/D147</f>
        <v>6.6962269715453904E-140</v>
      </c>
      <c r="F147" cm="1">
        <f t="array" ref="F147">$L$12*NMultDensity(A147:B147,$J$14:$K$14,$J$12:$K$13)/D147</f>
        <v>1</v>
      </c>
      <c r="G147">
        <f t="shared" si="4"/>
        <v>1</v>
      </c>
      <c r="P147">
        <v>5.2</v>
      </c>
      <c r="Q147">
        <v>2.2999999999999998</v>
      </c>
      <c r="R147">
        <v>2</v>
      </c>
    </row>
    <row r="148" spans="1:18" x14ac:dyDescent="0.3">
      <c r="A148">
        <v>5</v>
      </c>
      <c r="B148">
        <v>1.9</v>
      </c>
      <c r="C148">
        <f>IF(E148=G148,1,IF(F148=G148,2,IF(#REF!=G148,3,4)))</f>
        <v>2</v>
      </c>
      <c r="D148" cm="1">
        <f t="array" ref="D148">$L$12*NMultDensity(A148:B148,$J$14:$K$14,$J$12:$K$13)+$L$8*NMultDensity(A148:B148,$J$10:$K$10,$J$8:$K$9)</f>
        <v>0.39770667345110228</v>
      </c>
      <c r="E148" cm="1">
        <f t="array" ref="E148">$L$8*NMultDensity(A148:B148,$J$10:$K$10,$J$8:$K$9)/D148</f>
        <v>6.6780851910312306E-112</v>
      </c>
      <c r="F148" cm="1">
        <f t="array" ref="F148">$L$12*NMultDensity(A148:B148,$J$14:$K$14,$J$12:$K$13)/D148</f>
        <v>1</v>
      </c>
      <c r="G148">
        <f t="shared" si="4"/>
        <v>1</v>
      </c>
      <c r="P148">
        <v>5</v>
      </c>
      <c r="Q148">
        <v>1.9</v>
      </c>
      <c r="R148">
        <v>2</v>
      </c>
    </row>
    <row r="149" spans="1:18" x14ac:dyDescent="0.3">
      <c r="A149">
        <v>5.2</v>
      </c>
      <c r="B149">
        <v>2</v>
      </c>
      <c r="C149">
        <f>IF(E149=G149,1,IF(F149=G149,2,IF(#REF!=G149,3,4)))</f>
        <v>2</v>
      </c>
      <c r="D149" cm="1">
        <f t="array" ref="D149">$L$12*NMultDensity(A149:B149,$J$14:$K$14,$J$12:$K$13)+$L$8*NMultDensity(A149:B149,$J$10:$K$10,$J$8:$K$9)</f>
        <v>0.35681271150337235</v>
      </c>
      <c r="E149" cm="1">
        <f t="array" ref="E149">$L$8*NMultDensity(A149:B149,$J$10:$K$10,$J$8:$K$9)/D149</f>
        <v>3.5649052132055734E-125</v>
      </c>
      <c r="F149" cm="1">
        <f t="array" ref="F149">$L$12*NMultDensity(A149:B149,$J$14:$K$14,$J$12:$K$13)/D149</f>
        <v>1</v>
      </c>
      <c r="G149">
        <f t="shared" si="4"/>
        <v>1</v>
      </c>
      <c r="P149">
        <v>5.2</v>
      </c>
      <c r="Q149">
        <v>2</v>
      </c>
      <c r="R149">
        <v>2</v>
      </c>
    </row>
    <row r="150" spans="1:18" x14ac:dyDescent="0.3">
      <c r="A150">
        <v>5.4</v>
      </c>
      <c r="B150">
        <v>2.2999999999999998</v>
      </c>
      <c r="C150">
        <f>IF(E150=G150,1,IF(F150=G150,2,IF(#REF!=G150,3,4)))</f>
        <v>2</v>
      </c>
      <c r="D150" cm="1">
        <f t="array" ref="D150">$L$12*NMultDensity(A150:B150,$J$14:$K$14,$J$12:$K$13)+$L$8*NMultDensity(A150:B150,$J$10:$K$10,$J$8:$K$9)</f>
        <v>0.10062639880095436</v>
      </c>
      <c r="E150" cm="1">
        <f t="array" ref="E150">$L$8*NMultDensity(A150:B150,$J$10:$K$10,$J$8:$K$9)/D150</f>
        <v>3.9826337602932183E-149</v>
      </c>
      <c r="F150" cm="1">
        <f t="array" ref="F150">$L$12*NMultDensity(A150:B150,$J$14:$K$14,$J$12:$K$13)/D150</f>
        <v>1</v>
      </c>
      <c r="G150">
        <f t="shared" si="4"/>
        <v>1</v>
      </c>
      <c r="P150">
        <v>5.4</v>
      </c>
      <c r="Q150">
        <v>2.2999999999999998</v>
      </c>
      <c r="R150">
        <v>2</v>
      </c>
    </row>
    <row r="151" spans="1:18" x14ac:dyDescent="0.3">
      <c r="A151">
        <v>5.0999999999999996</v>
      </c>
      <c r="B151">
        <v>1.8</v>
      </c>
      <c r="C151">
        <f>IF(E151=G151,1,IF(F151=G151,2,IF(#REF!=G151,3,4)))</f>
        <v>2</v>
      </c>
      <c r="D151" cm="1">
        <f t="array" ref="D151">$L$12*NMultDensity(A151:B151,$J$14:$K$14,$J$12:$K$13)+$L$8*NMultDensity(A151:B151,$J$10:$K$10,$J$8:$K$9)</f>
        <v>0.51488047071960974</v>
      </c>
      <c r="E151" cm="1">
        <f t="array" ref="E151">$L$8*NMultDensity(A151:B151,$J$10:$K$10,$J$8:$K$9)/D151</f>
        <v>1.5425937466017249E-112</v>
      </c>
      <c r="F151" cm="1">
        <f t="array" ref="F151">$L$12*NMultDensity(A151:B151,$J$14:$K$14,$J$12:$K$13)/D151</f>
        <v>1</v>
      </c>
      <c r="G151">
        <f t="shared" si="4"/>
        <v>1</v>
      </c>
      <c r="P151">
        <v>5.0999999999999996</v>
      </c>
      <c r="Q151">
        <v>1.8</v>
      </c>
      <c r="R151">
        <v>2</v>
      </c>
    </row>
  </sheetData>
  <sortState xmlns:xlrd2="http://schemas.microsoft.com/office/spreadsheetml/2017/richdata2" ref="P2:R151">
    <sortCondition ref="R2:R15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M_k2_start">
                <anchor moveWithCells="1" sizeWithCells="1">
                  <from>
                    <xdr:col>13</xdr:col>
                    <xdr:colOff>297180</xdr:colOff>
                    <xdr:row>16</xdr:row>
                    <xdr:rowOff>91440</xdr:rowOff>
                  </from>
                  <to>
                    <xdr:col>14</xdr:col>
                    <xdr:colOff>563880</xdr:colOff>
                    <xdr:row>18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Krok_k2">
                <anchor moveWithCells="1" sizeWithCells="1">
                  <from>
                    <xdr:col>13</xdr:col>
                    <xdr:colOff>297180</xdr:colOff>
                    <xdr:row>19</xdr:row>
                    <xdr:rowOff>175260</xdr:rowOff>
                  </from>
                  <to>
                    <xdr:col>14</xdr:col>
                    <xdr:colOff>601980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lup">
                <anchor moveWithCells="1" sizeWithCells="1">
                  <from>
                    <xdr:col>13</xdr:col>
                    <xdr:colOff>175260</xdr:colOff>
                    <xdr:row>29</xdr:row>
                    <xdr:rowOff>144780</xdr:rowOff>
                  </from>
                  <to>
                    <xdr:col>14</xdr:col>
                    <xdr:colOff>601980</xdr:colOff>
                    <xdr:row>31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5F852-F8CF-48F9-AB8E-46A5BFB2D44D}">
  <sheetPr codeName="Arkusz3"/>
  <dimension ref="A1:T151"/>
  <sheetViews>
    <sheetView topLeftCell="A16" workbookViewId="0">
      <selection activeCell="P42" sqref="P42"/>
    </sheetView>
  </sheetViews>
  <sheetFormatPr defaultRowHeight="14.4" x14ac:dyDescent="0.3"/>
  <cols>
    <col min="1" max="1" width="12.109375" bestFit="1" customWidth="1"/>
    <col min="2" max="2" width="11.5546875" bestFit="1" customWidth="1"/>
    <col min="4" max="4" width="12.6640625" bestFit="1" customWidth="1"/>
    <col min="5" max="8" width="12" bestFit="1" customWidth="1"/>
    <col min="11" max="11" width="11" bestFit="1" customWidth="1"/>
    <col min="12" max="13" width="9.109375" bestFit="1" customWidth="1"/>
    <col min="16" max="16" width="12.5546875" bestFit="1" customWidth="1"/>
    <col min="18" max="18" width="12.109375" bestFit="1" customWidth="1"/>
    <col min="19" max="19" width="11.5546875" bestFit="1" customWidth="1"/>
  </cols>
  <sheetData>
    <row r="1" spans="1:20" x14ac:dyDescent="0.3">
      <c r="A1" t="s">
        <v>0</v>
      </c>
      <c r="B1" t="s">
        <v>1</v>
      </c>
      <c r="C1" t="s">
        <v>15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K1" t="s">
        <v>14</v>
      </c>
      <c r="L1" t="s">
        <v>16</v>
      </c>
      <c r="M1" t="s">
        <v>34</v>
      </c>
      <c r="R1" t="s">
        <v>0</v>
      </c>
      <c r="S1" t="s">
        <v>1</v>
      </c>
      <c r="T1" t="s">
        <v>15</v>
      </c>
    </row>
    <row r="2" spans="1:20" x14ac:dyDescent="0.3">
      <c r="A2">
        <v>1.4</v>
      </c>
      <c r="B2">
        <v>0.2</v>
      </c>
      <c r="C2">
        <f>IF(E2=I2,1,IF(F2=I2,2,IF(G2=I2,3,4)))</f>
        <v>1</v>
      </c>
      <c r="D2" cm="1">
        <f t="array" ref="D2">$N$12*NMultDensity(A2:B2,$L$14:$M$14,$L$12:$M$13)+$N$16*NMultDensity(A2:B2,$L$18:$M$18,$L$16:$M$17)+$N$20*NMultDensity(A2:B2,$L$22:$M$22,$L$20:$M$21)+$N$8*NMultDensity(A2:B2,$L$10:$M$10,$L$8:$M$9)</f>
        <v>2.8095942769161026</v>
      </c>
      <c r="E2" cm="1">
        <f t="array" ref="E2">$N$8*NMultDensity(A2:B2,$L$10:$M$10,$L$8:$M$9)/D2</f>
        <v>0.99995536906699056</v>
      </c>
      <c r="F2" cm="1">
        <f t="array" ref="F2">$N$12*NMultDensity(A2:B2,$L$14:$M$14,$L$12:$M$13)/D2</f>
        <v>4.4630930392108006E-5</v>
      </c>
      <c r="G2" cm="1">
        <f t="array" ref="G2">$N$16*NMultDensity(A2:B2,$L$18:$M$18,$L$16:$M$17)/D2</f>
        <v>2.6174134556654273E-12</v>
      </c>
      <c r="H2" cm="1">
        <f t="array" ref="H2">$N$20*NMultDensity(A2:B2,$L$22:$M$22,$L$20:$M$21)/D2</f>
        <v>2.869001556390644E-22</v>
      </c>
      <c r="I2">
        <f t="shared" ref="I2:I33" si="0">MAX(E2:H2)</f>
        <v>0.99995536906699056</v>
      </c>
      <c r="K2">
        <v>1</v>
      </c>
      <c r="L2">
        <f>COUNTIF(C:C,K2)</f>
        <v>50</v>
      </c>
      <c r="M2">
        <f>L2/SUM($L$2:$L$5)</f>
        <v>0.33333333333333331</v>
      </c>
      <c r="R2">
        <v>1.4</v>
      </c>
      <c r="S2">
        <v>0.2</v>
      </c>
      <c r="T2">
        <v>1</v>
      </c>
    </row>
    <row r="3" spans="1:20" x14ac:dyDescent="0.3">
      <c r="A3">
        <v>1.4</v>
      </c>
      <c r="B3">
        <v>0.2</v>
      </c>
      <c r="C3">
        <f t="shared" ref="C3:C33" si="1">IF(E3=I3,1,IF(F3=I3,2,IF(G3=I3,3,4)))</f>
        <v>1</v>
      </c>
      <c r="D3" cm="1">
        <f t="array" ref="D3">$N$12*NMultDensity(A3:B3,$L$14:$M$14,$L$12:$M$13)+$N$16*NMultDensity(A3:B3,$L$18:$M$18,$L$16:$M$17)+$N$20*NMultDensity(A3:B3,$L$22:$M$22,$L$20:$M$21)+$N$8*NMultDensity(A3:B3,$L$10:$M$10,$L$8:$M$9)</f>
        <v>2.8095942769161026</v>
      </c>
      <c r="E3" cm="1">
        <f t="array" ref="E3">$N$8*NMultDensity(A3:B3,$L$10:$M$10,$L$8:$M$9)/D3</f>
        <v>0.99995536906699056</v>
      </c>
      <c r="F3" cm="1">
        <f t="array" ref="F3">$N$12*NMultDensity(A3:B3,$L$14:$M$14,$L$12:$M$13)/D3</f>
        <v>4.4630930392108006E-5</v>
      </c>
      <c r="G3" cm="1">
        <f t="array" ref="G3">$N$16*NMultDensity(A3:B3,$L$18:$M$18,$L$16:$M$17)/D3</f>
        <v>2.6174134556654273E-12</v>
      </c>
      <c r="H3" cm="1">
        <f t="array" ref="H3">$N$20*NMultDensity(A3:B3,$L$22:$M$22,$L$20:$M$21)/D3</f>
        <v>2.869001556390644E-22</v>
      </c>
      <c r="I3">
        <f t="shared" si="0"/>
        <v>0.99995536906699056</v>
      </c>
      <c r="K3">
        <v>2</v>
      </c>
      <c r="L3">
        <f>COUNTIF(C:C,K3)</f>
        <v>22</v>
      </c>
      <c r="M3">
        <f t="shared" ref="M3:M5" si="2">L3/SUM($L$2:$L$5)</f>
        <v>0.14666666666666667</v>
      </c>
      <c r="R3">
        <v>1.4</v>
      </c>
      <c r="S3">
        <v>0.2</v>
      </c>
      <c r="T3">
        <v>1</v>
      </c>
    </row>
    <row r="4" spans="1:20" x14ac:dyDescent="0.3">
      <c r="A4">
        <v>1.3</v>
      </c>
      <c r="B4">
        <v>0.2</v>
      </c>
      <c r="C4">
        <f t="shared" si="1"/>
        <v>1</v>
      </c>
      <c r="D4" cm="1">
        <f t="array" ref="D4">$N$12*NMultDensity(A4:B4,$L$14:$M$14,$L$12:$M$13)+$N$16*NMultDensity(A4:B4,$L$18:$M$18,$L$16:$M$17)+$N$20*NMultDensity(A4:B4,$L$22:$M$22,$L$20:$M$21)+$N$8*NMultDensity(A4:B4,$L$10:$M$10,$L$8:$M$9)</f>
        <v>2.021216284274757</v>
      </c>
      <c r="E4" cm="1">
        <f t="array" ref="E4">$N$8*NMultDensity(A4:B4,$L$10:$M$10,$L$8:$M$9)/D4</f>
        <v>0.99993181521431462</v>
      </c>
      <c r="F4" cm="1">
        <f t="array" ref="F4">$N$12*NMultDensity(A4:B4,$L$14:$M$14,$L$12:$M$13)/D4</f>
        <v>6.8184785089126789E-5</v>
      </c>
      <c r="G4" cm="1">
        <f t="array" ref="G4">$N$16*NMultDensity(A4:B4,$L$18:$M$18,$L$16:$M$17)/D4</f>
        <v>5.9623004420495045E-13</v>
      </c>
      <c r="H4" cm="1">
        <f t="array" ref="H4">$N$20*NMultDensity(A4:B4,$L$22:$M$22,$L$20:$M$21)/D4</f>
        <v>4.2330788018743084E-23</v>
      </c>
      <c r="I4">
        <f t="shared" si="0"/>
        <v>0.99993181521431462</v>
      </c>
      <c r="K4">
        <v>3</v>
      </c>
      <c r="L4">
        <f>COUNTIF(C:C,K4)</f>
        <v>43</v>
      </c>
      <c r="M4">
        <f t="shared" si="2"/>
        <v>0.28666666666666668</v>
      </c>
      <c r="R4">
        <v>1.3</v>
      </c>
      <c r="S4">
        <v>0.2</v>
      </c>
      <c r="T4">
        <v>1</v>
      </c>
    </row>
    <row r="5" spans="1:20" x14ac:dyDescent="0.3">
      <c r="A5">
        <v>1.5</v>
      </c>
      <c r="B5">
        <v>0.2</v>
      </c>
      <c r="C5">
        <f t="shared" si="1"/>
        <v>1</v>
      </c>
      <c r="D5" cm="1">
        <f t="array" ref="D5">$N$12*NMultDensity(A5:B5,$L$14:$M$14,$L$12:$M$13)+$N$16*NMultDensity(A5:B5,$L$18:$M$18,$L$16:$M$17)+$N$20*NMultDensity(A5:B5,$L$22:$M$22,$L$20:$M$21)+$N$8*NMultDensity(A5:B5,$L$10:$M$10,$L$8:$M$9)</f>
        <v>2.6720458331866683</v>
      </c>
      <c r="E5" cm="1">
        <f t="array" ref="E5">$N$8*NMultDensity(A5:B5,$L$10:$M$10,$L$8:$M$9)/D5</f>
        <v>0.99995973806622274</v>
      </c>
      <c r="F5" cm="1">
        <f t="array" ref="F5">$N$12*NMultDensity(A5:B5,$L$14:$M$14,$L$12:$M$13)/D5</f>
        <v>4.0261919533991532E-5</v>
      </c>
      <c r="G5" cm="1">
        <f t="array" ref="G5">$N$16*NMultDensity(A5:B5,$L$18:$M$18,$L$16:$M$17)/D5</f>
        <v>1.4243352658602282E-11</v>
      </c>
      <c r="H5" cm="1">
        <f t="array" ref="H5">$N$20*NMultDensity(A5:B5,$L$22:$M$22,$L$20:$M$21)/D5</f>
        <v>2.486745772067106E-21</v>
      </c>
      <c r="I5">
        <f t="shared" si="0"/>
        <v>0.99995973806622274</v>
      </c>
      <c r="K5">
        <v>4</v>
      </c>
      <c r="L5">
        <f>COUNTIF(C:C,K5)</f>
        <v>35</v>
      </c>
      <c r="M5">
        <f t="shared" si="2"/>
        <v>0.23333333333333334</v>
      </c>
      <c r="O5" t="s">
        <v>14</v>
      </c>
      <c r="P5" t="s">
        <v>16</v>
      </c>
      <c r="R5">
        <v>1.5</v>
      </c>
      <c r="S5">
        <v>0.2</v>
      </c>
      <c r="T5">
        <v>1</v>
      </c>
    </row>
    <row r="6" spans="1:20" x14ac:dyDescent="0.3">
      <c r="A6">
        <v>1.4</v>
      </c>
      <c r="B6">
        <v>0.2</v>
      </c>
      <c r="C6">
        <f t="shared" si="1"/>
        <v>1</v>
      </c>
      <c r="D6" cm="1">
        <f t="array" ref="D6">$N$12*NMultDensity(A6:B6,$L$14:$M$14,$L$12:$M$13)+$N$16*NMultDensity(A6:B6,$L$18:$M$18,$L$16:$M$17)+$N$20*NMultDensity(A6:B6,$L$22:$M$22,$L$20:$M$21)+$N$8*NMultDensity(A6:B6,$L$10:$M$10,$L$8:$M$9)</f>
        <v>2.8095942769161026</v>
      </c>
      <c r="E6" cm="1">
        <f t="array" ref="E6">$N$8*NMultDensity(A6:B6,$L$10:$M$10,$L$8:$M$9)/D6</f>
        <v>0.99995536906699056</v>
      </c>
      <c r="F6" cm="1">
        <f t="array" ref="F6">$N$12*NMultDensity(A6:B6,$L$14:$M$14,$L$12:$M$13)/D6</f>
        <v>4.4630930392108006E-5</v>
      </c>
      <c r="G6" cm="1">
        <f t="array" ref="G6">$N$16*NMultDensity(A6:B6,$L$18:$M$18,$L$16:$M$17)/D6</f>
        <v>2.6174134556654273E-12</v>
      </c>
      <c r="H6" cm="1">
        <f t="array" ref="H6">$N$20*NMultDensity(A6:B6,$L$22:$M$22,$L$20:$M$21)/D6</f>
        <v>2.869001556390644E-22</v>
      </c>
      <c r="I6">
        <f t="shared" si="0"/>
        <v>0.99995536906699056</v>
      </c>
      <c r="O6">
        <v>1</v>
      </c>
      <c r="P6">
        <f>COUNTIF(C:C,O6)</f>
        <v>50</v>
      </c>
      <c r="R6">
        <v>1.4</v>
      </c>
      <c r="S6">
        <v>0.2</v>
      </c>
      <c r="T6">
        <v>1</v>
      </c>
    </row>
    <row r="7" spans="1:20" x14ac:dyDescent="0.3">
      <c r="A7">
        <v>1.7</v>
      </c>
      <c r="B7">
        <v>0.4</v>
      </c>
      <c r="C7">
        <f t="shared" si="1"/>
        <v>1</v>
      </c>
      <c r="D7" cm="1">
        <f t="array" ref="D7">$N$12*NMultDensity(A7:B7,$L$14:$M$14,$L$12:$M$13)+$N$16*NMultDensity(A7:B7,$L$18:$M$18,$L$16:$M$17)+$N$20*NMultDensity(A7:B7,$L$22:$M$22,$L$20:$M$21)+$N$8*NMultDensity(A7:B7,$L$10:$M$10,$L$8:$M$9)</f>
        <v>0.65014039157173276</v>
      </c>
      <c r="E7" cm="1">
        <f t="array" ref="E7">$N$8*NMultDensity(A7:B7,$L$10:$M$10,$L$8:$M$9)/D7</f>
        <v>0.99842698314351264</v>
      </c>
      <c r="F7" cm="1">
        <f t="array" ref="F7">$N$12*NMultDensity(A7:B7,$L$14:$M$14,$L$12:$M$13)/D7</f>
        <v>1.5730155194734654E-3</v>
      </c>
      <c r="G7" cm="1">
        <f t="array" ref="G7">$N$16*NMultDensity(A7:B7,$L$18:$M$18,$L$16:$M$17)/D7</f>
        <v>1.337013860700722E-9</v>
      </c>
      <c r="H7" cm="1">
        <f t="array" ref="H7">$N$20*NMultDensity(A7:B7,$L$22:$M$22,$L$20:$M$21)/D7</f>
        <v>1.6717112536798253E-18</v>
      </c>
      <c r="I7">
        <f t="shared" si="0"/>
        <v>0.99842698314351264</v>
      </c>
      <c r="O7">
        <v>2</v>
      </c>
      <c r="P7">
        <f t="shared" ref="P7:P9" si="3">COUNTIF(C:C,O7)</f>
        <v>22</v>
      </c>
      <c r="R7">
        <v>1.7</v>
      </c>
      <c r="S7">
        <v>0.4</v>
      </c>
      <c r="T7">
        <v>1</v>
      </c>
    </row>
    <row r="8" spans="1:20" x14ac:dyDescent="0.3">
      <c r="A8">
        <v>1.4</v>
      </c>
      <c r="B8">
        <v>0.3</v>
      </c>
      <c r="C8">
        <f t="shared" si="1"/>
        <v>1</v>
      </c>
      <c r="D8" cm="1">
        <f t="array" ref="D8">$N$12*NMultDensity(A8:B8,$L$14:$M$14,$L$12:$M$13)+$N$16*NMultDensity(A8:B8,$L$18:$M$18,$L$16:$M$17)+$N$20*NMultDensity(A8:B8,$L$22:$M$22,$L$20:$M$21)+$N$8*NMultDensity(A8:B8,$L$10:$M$10,$L$8:$M$9)</f>
        <v>2.3409660785520678</v>
      </c>
      <c r="E8" cm="1">
        <f t="array" ref="E8">$N$8*NMultDensity(A8:B8,$L$10:$M$10,$L$8:$M$9)/D8</f>
        <v>0.9998321098441425</v>
      </c>
      <c r="F8" cm="1">
        <f t="array" ref="F8">$N$12*NMultDensity(A8:B8,$L$14:$M$14,$L$12:$M$13)/D8</f>
        <v>1.6789015351497121E-4</v>
      </c>
      <c r="G8" cm="1">
        <f t="array" ref="G8">$N$16*NMultDensity(A8:B8,$L$18:$M$18,$L$16:$M$17)/D8</f>
        <v>2.3424865274827677E-12</v>
      </c>
      <c r="H8" cm="1">
        <f t="array" ref="H8">$N$20*NMultDensity(A8:B8,$L$22:$M$22,$L$20:$M$21)/D8</f>
        <v>4.8080700563085366E-22</v>
      </c>
      <c r="I8">
        <f t="shared" si="0"/>
        <v>0.9998321098441425</v>
      </c>
      <c r="K8" t="s">
        <v>22</v>
      </c>
      <c r="L8">
        <v>2.9535698148745619E-2</v>
      </c>
      <c r="M8">
        <v>5.7992207771076455E-3</v>
      </c>
      <c r="N8">
        <v>0.33215822154147157</v>
      </c>
      <c r="O8">
        <v>3</v>
      </c>
      <c r="P8">
        <f t="shared" si="3"/>
        <v>43</v>
      </c>
      <c r="R8">
        <v>1.4</v>
      </c>
      <c r="S8">
        <v>0.3</v>
      </c>
      <c r="T8">
        <v>1</v>
      </c>
    </row>
    <row r="9" spans="1:20" x14ac:dyDescent="0.3">
      <c r="A9">
        <v>1.5</v>
      </c>
      <c r="B9">
        <v>0.2</v>
      </c>
      <c r="C9">
        <f t="shared" si="1"/>
        <v>1</v>
      </c>
      <c r="D9" cm="1">
        <f t="array" ref="D9">$N$12*NMultDensity(A9:B9,$L$14:$M$14,$L$12:$M$13)+$N$16*NMultDensity(A9:B9,$L$18:$M$18,$L$16:$M$17)+$N$20*NMultDensity(A9:B9,$L$22:$M$22,$L$20:$M$21)+$N$8*NMultDensity(A9:B9,$L$10:$M$10,$L$8:$M$9)</f>
        <v>2.6720458331866683</v>
      </c>
      <c r="E9" cm="1">
        <f t="array" ref="E9">$N$8*NMultDensity(A9:B9,$L$10:$M$10,$L$8:$M$9)/D9</f>
        <v>0.99995973806622274</v>
      </c>
      <c r="F9" cm="1">
        <f t="array" ref="F9">$N$12*NMultDensity(A9:B9,$L$14:$M$14,$L$12:$M$13)/D9</f>
        <v>4.0261919533991532E-5</v>
      </c>
      <c r="G9" cm="1">
        <f t="array" ref="G9">$N$16*NMultDensity(A9:B9,$L$18:$M$18,$L$16:$M$17)/D9</f>
        <v>1.4243352658602282E-11</v>
      </c>
      <c r="H9" cm="1">
        <f t="array" ref="H9">$N$20*NMultDensity(A9:B9,$L$22:$M$22,$L$20:$M$21)/D9</f>
        <v>2.486745772067106E-21</v>
      </c>
      <c r="I9">
        <f t="shared" si="0"/>
        <v>0.99995973806622274</v>
      </c>
      <c r="L9">
        <v>5.7992207771076455E-3</v>
      </c>
      <c r="M9">
        <v>1.0545628992747968E-2</v>
      </c>
      <c r="O9">
        <v>4</v>
      </c>
      <c r="P9">
        <f t="shared" si="3"/>
        <v>35</v>
      </c>
      <c r="R9">
        <v>1.5</v>
      </c>
      <c r="S9">
        <v>0.2</v>
      </c>
      <c r="T9">
        <v>1</v>
      </c>
    </row>
    <row r="10" spans="1:20" x14ac:dyDescent="0.3">
      <c r="A10">
        <v>1.4</v>
      </c>
      <c r="B10">
        <v>0.2</v>
      </c>
      <c r="C10">
        <f t="shared" si="1"/>
        <v>1</v>
      </c>
      <c r="D10" cm="1">
        <f t="array" ref="D10">$N$12*NMultDensity(A10:B10,$L$14:$M$14,$L$12:$M$13)+$N$16*NMultDensity(A10:B10,$L$18:$M$18,$L$16:$M$17)+$N$20*NMultDensity(A10:B10,$L$22:$M$22,$L$20:$M$21)+$N$8*NMultDensity(A10:B10,$L$10:$M$10,$L$8:$M$9)</f>
        <v>2.8095942769161026</v>
      </c>
      <c r="E10" cm="1">
        <f t="array" ref="E10">$N$8*NMultDensity(A10:B10,$L$10:$M$10,$L$8:$M$9)/D10</f>
        <v>0.99995536906699056</v>
      </c>
      <c r="F10" cm="1">
        <f t="array" ref="F10">$N$12*NMultDensity(A10:B10,$L$14:$M$14,$L$12:$M$13)/D10</f>
        <v>4.4630930392108006E-5</v>
      </c>
      <c r="G10" cm="1">
        <f t="array" ref="G10">$N$16*NMultDensity(A10:B10,$L$18:$M$18,$L$16:$M$17)/D10</f>
        <v>2.6174134556654273E-12</v>
      </c>
      <c r="H10" cm="1">
        <f t="array" ref="H10">$N$20*NMultDensity(A10:B10,$L$22:$M$22,$L$20:$M$21)/D10</f>
        <v>2.869001556390644E-22</v>
      </c>
      <c r="I10">
        <f t="shared" si="0"/>
        <v>0.99995536906699056</v>
      </c>
      <c r="K10" t="s">
        <v>23</v>
      </c>
      <c r="L10">
        <v>1.4614625216006447</v>
      </c>
      <c r="M10">
        <v>0.24489082660011233</v>
      </c>
      <c r="R10">
        <v>1.4</v>
      </c>
      <c r="S10">
        <v>0.2</v>
      </c>
      <c r="T10">
        <v>1</v>
      </c>
    </row>
    <row r="11" spans="1:20" x14ac:dyDescent="0.3">
      <c r="A11">
        <v>1.5</v>
      </c>
      <c r="B11">
        <v>0.1</v>
      </c>
      <c r="C11">
        <f t="shared" si="1"/>
        <v>1</v>
      </c>
      <c r="D11" cm="1">
        <f t="array" ref="D11">$N$12*NMultDensity(A11:B11,$L$14:$M$14,$L$12:$M$13)+$N$16*NMultDensity(A11:B11,$L$18:$M$18,$L$16:$M$17)+$N$20*NMultDensity(A11:B11,$L$22:$M$22,$L$20:$M$21)+$N$8*NMultDensity(A11:B11,$L$10:$M$10,$L$8:$M$9)</f>
        <v>0.89911657305634241</v>
      </c>
      <c r="E11" cm="1">
        <f t="array" ref="E11">$N$8*NMultDensity(A11:B11,$L$10:$M$10,$L$8:$M$9)/D11</f>
        <v>0.99998129554923421</v>
      </c>
      <c r="F11" cm="1">
        <f t="array" ref="F11">$N$12*NMultDensity(A11:B11,$L$14:$M$14,$L$12:$M$13)/D11</f>
        <v>1.870442888846821E-5</v>
      </c>
      <c r="G11" cm="1">
        <f t="array" ref="G11">$N$16*NMultDensity(A11:B11,$L$18:$M$18,$L$16:$M$17)/D11</f>
        <v>2.1877345221112323E-11</v>
      </c>
      <c r="H11" cm="1">
        <f t="array" ref="H11">$N$20*NMultDensity(A11:B11,$L$22:$M$22,$L$20:$M$21)/D11</f>
        <v>3.1310015953859181E-21</v>
      </c>
      <c r="I11">
        <f t="shared" si="0"/>
        <v>0.99998129554923421</v>
      </c>
      <c r="R11">
        <v>1.5</v>
      </c>
      <c r="S11">
        <v>0.1</v>
      </c>
      <c r="T11">
        <v>1</v>
      </c>
    </row>
    <row r="12" spans="1:20" x14ac:dyDescent="0.3">
      <c r="A12">
        <v>1.5</v>
      </c>
      <c r="B12">
        <v>0.2</v>
      </c>
      <c r="C12">
        <f t="shared" si="1"/>
        <v>1</v>
      </c>
      <c r="D12" cm="1">
        <f t="array" ref="D12">$N$12*NMultDensity(A12:B12,$L$14:$M$14,$L$12:$M$13)+$N$16*NMultDensity(A12:B12,$L$18:$M$18,$L$16:$M$17)+$N$20*NMultDensity(A12:B12,$L$22:$M$22,$L$20:$M$21)+$N$8*NMultDensity(A12:B12,$L$10:$M$10,$L$8:$M$9)</f>
        <v>2.6720458331866683</v>
      </c>
      <c r="E12" cm="1">
        <f t="array" ref="E12">$N$8*NMultDensity(A12:B12,$L$10:$M$10,$L$8:$M$9)/D12</f>
        <v>0.99995973806622274</v>
      </c>
      <c r="F12" cm="1">
        <f t="array" ref="F12">$N$12*NMultDensity(A12:B12,$L$14:$M$14,$L$12:$M$13)/D12</f>
        <v>4.0261919533991532E-5</v>
      </c>
      <c r="G12" cm="1">
        <f t="array" ref="G12">$N$16*NMultDensity(A12:B12,$L$18:$M$18,$L$16:$M$17)/D12</f>
        <v>1.4243352658602282E-11</v>
      </c>
      <c r="H12" cm="1">
        <f t="array" ref="H12">$N$20*NMultDensity(A12:B12,$L$22:$M$22,$L$20:$M$21)/D12</f>
        <v>2.486745772067106E-21</v>
      </c>
      <c r="I12">
        <f t="shared" si="0"/>
        <v>0.99995973806622274</v>
      </c>
      <c r="K12" t="s">
        <v>24</v>
      </c>
      <c r="L12">
        <v>1.2049636164019055</v>
      </c>
      <c r="M12">
        <v>0.36590965437642686</v>
      </c>
      <c r="N12">
        <v>0.20711953012170178</v>
      </c>
      <c r="R12">
        <v>1.5</v>
      </c>
      <c r="S12">
        <v>0.2</v>
      </c>
      <c r="T12">
        <v>1</v>
      </c>
    </row>
    <row r="13" spans="1:20" x14ac:dyDescent="0.3">
      <c r="A13">
        <v>1.6</v>
      </c>
      <c r="B13">
        <v>0.2</v>
      </c>
      <c r="C13">
        <f t="shared" si="1"/>
        <v>1</v>
      </c>
      <c r="D13" cm="1">
        <f t="array" ref="D13">$N$12*NMultDensity(A13:B13,$L$14:$M$14,$L$12:$M$13)+$N$16*NMultDensity(A13:B13,$L$18:$M$18,$L$16:$M$17)+$N$20*NMultDensity(A13:B13,$L$22:$M$22,$L$20:$M$21)+$N$8*NMultDensity(A13:B13,$L$10:$M$10,$L$8:$M$9)</f>
        <v>1.7386472938190185</v>
      </c>
      <c r="E13" cm="1">
        <f t="array" ref="E13">$N$8*NMultDensity(A13:B13,$L$10:$M$10,$L$8:$M$9)/D13</f>
        <v>0.99994994285239214</v>
      </c>
      <c r="F13" cm="1">
        <f t="array" ref="F13">$N$12*NMultDensity(A13:B13,$L$14:$M$14,$L$12:$M$13)/D13</f>
        <v>5.0057051527302443E-5</v>
      </c>
      <c r="G13" cm="1">
        <f t="array" ref="G13">$N$16*NMultDensity(A13:B13,$L$18:$M$18,$L$16:$M$17)/D13</f>
        <v>9.6080604548311473E-11</v>
      </c>
      <c r="H13" cm="1">
        <f t="array" ref="H13">$N$20*NMultDensity(A13:B13,$L$22:$M$22,$L$20:$M$21)/D13</f>
        <v>2.7565149173816037E-20</v>
      </c>
      <c r="I13">
        <f t="shared" si="0"/>
        <v>0.99994994285239214</v>
      </c>
      <c r="L13">
        <v>0.36590965437642686</v>
      </c>
      <c r="M13">
        <v>0.12938863026409805</v>
      </c>
      <c r="R13">
        <v>1.6</v>
      </c>
      <c r="S13">
        <v>0.2</v>
      </c>
      <c r="T13">
        <v>1</v>
      </c>
    </row>
    <row r="14" spans="1:20" x14ac:dyDescent="0.3">
      <c r="A14">
        <v>1.4</v>
      </c>
      <c r="B14">
        <v>0.1</v>
      </c>
      <c r="C14">
        <f t="shared" si="1"/>
        <v>1</v>
      </c>
      <c r="D14" cm="1">
        <f t="array" ref="D14">$N$12*NMultDensity(A14:B14,$L$14:$M$14,$L$12:$M$13)+$N$16*NMultDensity(A14:B14,$L$18:$M$18,$L$16:$M$17)+$N$20*NMultDensity(A14:B14,$L$22:$M$22,$L$20:$M$21)+$N$8*NMultDensity(A14:B14,$L$10:$M$10,$L$8:$M$9)</f>
        <v>1.1648285623200902</v>
      </c>
      <c r="E14" cm="1">
        <f t="array" ref="E14">$N$8*NMultDensity(A14:B14,$L$10:$M$10,$L$8:$M$9)/D14</f>
        <v>0.99998012938626679</v>
      </c>
      <c r="F14" cm="1">
        <f t="array" ref="F14">$N$12*NMultDensity(A14:B14,$L$14:$M$14,$L$12:$M$13)/D14</f>
        <v>1.987060946783811E-5</v>
      </c>
      <c r="G14" cm="1">
        <f t="array" ref="G14">$N$16*NMultDensity(A14:B14,$L$18:$M$18,$L$16:$M$17)/D14</f>
        <v>4.265359479502647E-12</v>
      </c>
      <c r="H14" cm="1">
        <f t="array" ref="H14">$N$20*NMultDensity(A14:B14,$L$22:$M$22,$L$20:$M$21)/D14</f>
        <v>3.4485554814403066E-22</v>
      </c>
      <c r="I14">
        <f t="shared" si="0"/>
        <v>0.99998012938626679</v>
      </c>
      <c r="K14" t="s">
        <v>23</v>
      </c>
      <c r="L14">
        <v>5.0892177017806883</v>
      </c>
      <c r="M14">
        <v>1.5790555677933866</v>
      </c>
      <c r="R14">
        <v>1.4</v>
      </c>
      <c r="S14">
        <v>0.1</v>
      </c>
      <c r="T14">
        <v>1</v>
      </c>
    </row>
    <row r="15" spans="1:20" x14ac:dyDescent="0.3">
      <c r="A15">
        <v>1.1000000000000001</v>
      </c>
      <c r="B15">
        <v>0.1</v>
      </c>
      <c r="C15">
        <f t="shared" si="1"/>
        <v>1</v>
      </c>
      <c r="D15" cm="1">
        <f t="array" ref="D15">$N$12*NMultDensity(A15:B15,$L$14:$M$14,$L$12:$M$13)+$N$16*NMultDensity(A15:B15,$L$18:$M$18,$L$16:$M$17)+$N$20*NMultDensity(A15:B15,$L$22:$M$22,$L$20:$M$21)+$N$8*NMultDensity(A15:B15,$L$10:$M$10,$L$8:$M$9)</f>
        <v>0.25979311329343169</v>
      </c>
      <c r="E15" cm="1">
        <f t="array" ref="E15">$N$8*NMultDensity(A15:B15,$L$10:$M$10,$L$8:$M$9)/D15</f>
        <v>0.99983674704027847</v>
      </c>
      <c r="F15" cm="1">
        <f t="array" ref="F15">$N$12*NMultDensity(A15:B15,$L$14:$M$14,$L$12:$M$13)/D15</f>
        <v>1.632529596068784E-4</v>
      </c>
      <c r="G15" cm="1">
        <f t="array" ref="G15">$N$16*NMultDensity(A15:B15,$L$18:$M$18,$L$16:$M$17)/D15</f>
        <v>1.1468760082848764E-13</v>
      </c>
      <c r="H15" cm="1">
        <f t="array" ref="H15">$N$20*NMultDensity(A15:B15,$L$22:$M$22,$L$20:$M$21)/D15</f>
        <v>2.0157899872354371E-24</v>
      </c>
      <c r="I15">
        <f t="shared" si="0"/>
        <v>0.99983674704027847</v>
      </c>
      <c r="R15">
        <v>1.1000000000000001</v>
      </c>
      <c r="S15">
        <v>0.1</v>
      </c>
      <c r="T15">
        <v>1</v>
      </c>
    </row>
    <row r="16" spans="1:20" x14ac:dyDescent="0.3">
      <c r="A16">
        <v>1.2</v>
      </c>
      <c r="B16">
        <v>0.2</v>
      </c>
      <c r="C16">
        <f t="shared" si="1"/>
        <v>1</v>
      </c>
      <c r="D16" cm="1">
        <f t="array" ref="D16">$N$12*NMultDensity(A16:B16,$L$14:$M$14,$L$12:$M$13)+$N$16*NMultDensity(A16:B16,$L$18:$M$18,$L$16:$M$17)+$N$20*NMultDensity(A16:B16,$L$22:$M$22,$L$20:$M$21)+$N$8*NMultDensity(A16:B16,$L$10:$M$10,$L$8:$M$9)</f>
        <v>0.99486835425011311</v>
      </c>
      <c r="E16" cm="1">
        <f t="array" ref="E16">$N$8*NMultDensity(A16:B16,$L$10:$M$10,$L$8:$M$9)/D16</f>
        <v>0.9998564395181323</v>
      </c>
      <c r="F16" cm="1">
        <f t="array" ref="F16">$N$12*NMultDensity(A16:B16,$L$14:$M$14,$L$12:$M$13)/D16</f>
        <v>1.4356048169926805E-4</v>
      </c>
      <c r="G16" cm="1">
        <f t="array" ref="G16">$N$16*NMultDensity(A16:B16,$L$18:$M$18,$L$16:$M$17)/D16</f>
        <v>1.6835368550606967E-13</v>
      </c>
      <c r="H16" cm="1">
        <f t="array" ref="H16">$N$20*NMultDensity(A16:B16,$L$22:$M$22,$L$20:$M$21)/D16</f>
        <v>7.9871882423804592E-24</v>
      </c>
      <c r="I16">
        <f t="shared" si="0"/>
        <v>0.9998564395181323</v>
      </c>
      <c r="K16" t="s">
        <v>25</v>
      </c>
      <c r="L16">
        <v>0.16649420632496031</v>
      </c>
      <c r="M16">
        <v>6.5060143104587534E-2</v>
      </c>
      <c r="N16">
        <v>0.23666582659579333</v>
      </c>
      <c r="R16">
        <v>1.2</v>
      </c>
      <c r="S16">
        <v>0.2</v>
      </c>
      <c r="T16">
        <v>1</v>
      </c>
    </row>
    <row r="17" spans="1:20" x14ac:dyDescent="0.3">
      <c r="A17">
        <v>1.5</v>
      </c>
      <c r="B17">
        <v>0.4</v>
      </c>
      <c r="C17">
        <f t="shared" si="1"/>
        <v>1</v>
      </c>
      <c r="D17" cm="1">
        <f t="array" ref="D17">$N$12*NMultDensity(A17:B17,$L$14:$M$14,$L$12:$M$13)+$N$16*NMultDensity(A17:B17,$L$18:$M$18,$L$16:$M$17)+$N$20*NMultDensity(A17:B17,$L$22:$M$22,$L$20:$M$21)+$N$8*NMultDensity(A17:B17,$L$10:$M$10,$L$8:$M$9)</f>
        <v>0.97325235494934015</v>
      </c>
      <c r="E17" cm="1">
        <f t="array" ref="E17">$N$8*NMultDensity(A17:B17,$L$10:$M$10,$L$8:$M$9)/D17</f>
        <v>0.99912406452878899</v>
      </c>
      <c r="F17" cm="1">
        <f t="array" ref="F17">$N$12*NMultDensity(A17:B17,$L$14:$M$14,$L$12:$M$13)/D17</f>
        <v>8.7593545249147549E-4</v>
      </c>
      <c r="G17" cm="1">
        <f t="array" ref="G17">$N$16*NMultDensity(A17:B17,$L$18:$M$18,$L$16:$M$17)/D17</f>
        <v>1.8719560960760012E-11</v>
      </c>
      <c r="H17" cm="1">
        <f t="array" ref="H17">$N$20*NMultDensity(A17:B17,$L$22:$M$22,$L$20:$M$21)/D17</f>
        <v>1.2815952113930408E-20</v>
      </c>
      <c r="I17">
        <f t="shared" si="0"/>
        <v>0.99912406452878899</v>
      </c>
      <c r="L17">
        <v>6.5060143104587534E-2</v>
      </c>
      <c r="M17">
        <v>4.0009508649500196E-2</v>
      </c>
      <c r="R17">
        <v>1.5</v>
      </c>
      <c r="S17">
        <v>0.4</v>
      </c>
      <c r="T17">
        <v>1</v>
      </c>
    </row>
    <row r="18" spans="1:20" x14ac:dyDescent="0.3">
      <c r="A18">
        <v>1.3</v>
      </c>
      <c r="B18">
        <v>0.4</v>
      </c>
      <c r="C18">
        <f t="shared" si="1"/>
        <v>1</v>
      </c>
      <c r="D18" cm="1">
        <f t="array" ref="D18">$N$12*NMultDensity(A18:B18,$L$14:$M$14,$L$12:$M$13)+$N$16*NMultDensity(A18:B18,$L$18:$M$18,$L$16:$M$17)+$N$20*NMultDensity(A18:B18,$L$22:$M$22,$L$20:$M$21)+$N$8*NMultDensity(A18:B18,$L$10:$M$10,$L$8:$M$9)</f>
        <v>0.31972356131771645</v>
      </c>
      <c r="E18" cm="1">
        <f t="array" ref="E18">$N$8*NMultDensity(A18:B18,$L$10:$M$10,$L$8:$M$9)/D18</f>
        <v>0.99824289176142511</v>
      </c>
      <c r="F18" cm="1">
        <f t="array" ref="F18">$N$12*NMultDensity(A18:B18,$L$14:$M$14,$L$12:$M$13)/D18</f>
        <v>1.7571082379570699E-3</v>
      </c>
      <c r="G18" cm="1">
        <f t="array" ref="G18">$N$16*NMultDensity(A18:B18,$L$18:$M$18,$L$16:$M$17)/D18</f>
        <v>6.1791412697176189E-13</v>
      </c>
      <c r="H18" cm="1">
        <f t="array" ref="H18">$N$20*NMultDensity(A18:B18,$L$22:$M$22,$L$20:$M$21)/D18</f>
        <v>2.6241714604694485E-22</v>
      </c>
      <c r="I18">
        <f t="shared" si="0"/>
        <v>0.99824289176142511</v>
      </c>
      <c r="K18" t="s">
        <v>23</v>
      </c>
      <c r="L18">
        <v>4.3062589701912515</v>
      </c>
      <c r="M18">
        <v>1.3428614848212177</v>
      </c>
      <c r="R18">
        <v>1.3</v>
      </c>
      <c r="S18">
        <v>0.4</v>
      </c>
      <c r="T18">
        <v>1</v>
      </c>
    </row>
    <row r="19" spans="1:20" x14ac:dyDescent="0.3">
      <c r="A19">
        <v>1.4</v>
      </c>
      <c r="B19">
        <v>0.3</v>
      </c>
      <c r="C19">
        <f t="shared" si="1"/>
        <v>1</v>
      </c>
      <c r="D19" cm="1">
        <f t="array" ref="D19">$N$12*NMultDensity(A19:B19,$L$14:$M$14,$L$12:$M$13)+$N$16*NMultDensity(A19:B19,$L$18:$M$18,$L$16:$M$17)+$N$20*NMultDensity(A19:B19,$L$22:$M$22,$L$20:$M$21)+$N$8*NMultDensity(A19:B19,$L$10:$M$10,$L$8:$M$9)</f>
        <v>2.3409660785520678</v>
      </c>
      <c r="E19" cm="1">
        <f t="array" ref="E19">$N$8*NMultDensity(A19:B19,$L$10:$M$10,$L$8:$M$9)/D19</f>
        <v>0.9998321098441425</v>
      </c>
      <c r="F19" cm="1">
        <f t="array" ref="F19">$N$12*NMultDensity(A19:B19,$L$14:$M$14,$L$12:$M$13)/D19</f>
        <v>1.6789015351497121E-4</v>
      </c>
      <c r="G19" cm="1">
        <f t="array" ref="G19">$N$16*NMultDensity(A19:B19,$L$18:$M$18,$L$16:$M$17)/D19</f>
        <v>2.3424865274827677E-12</v>
      </c>
      <c r="H19" cm="1">
        <f t="array" ref="H19">$N$20*NMultDensity(A19:B19,$L$22:$M$22,$L$20:$M$21)/D19</f>
        <v>4.8080700563085366E-22</v>
      </c>
      <c r="I19">
        <f t="shared" si="0"/>
        <v>0.9998321098441425</v>
      </c>
      <c r="R19">
        <v>1.4</v>
      </c>
      <c r="S19">
        <v>0.3</v>
      </c>
      <c r="T19">
        <v>1</v>
      </c>
    </row>
    <row r="20" spans="1:20" x14ac:dyDescent="0.3">
      <c r="A20">
        <v>1.7</v>
      </c>
      <c r="B20">
        <v>0.3</v>
      </c>
      <c r="C20">
        <f t="shared" si="1"/>
        <v>1</v>
      </c>
      <c r="D20" cm="1">
        <f t="array" ref="D20">$N$12*NMultDensity(A20:B20,$L$14:$M$14,$L$12:$M$13)+$N$16*NMultDensity(A20:B20,$L$18:$M$18,$L$16:$M$17)+$N$20*NMultDensity(A20:B20,$L$22:$M$22,$L$20:$M$21)+$N$8*NMultDensity(A20:B20,$L$10:$M$10,$L$8:$M$9)</f>
        <v>1.2063646944162969</v>
      </c>
      <c r="E20" cm="1">
        <f t="array" ref="E20">$N$8*NMultDensity(A20:B20,$L$10:$M$10,$L$8:$M$9)/D20</f>
        <v>0.99971602972254747</v>
      </c>
      <c r="F20" cm="1">
        <f t="array" ref="F20">$N$12*NMultDensity(A20:B20,$L$14:$M$14,$L$12:$M$13)/D20</f>
        <v>2.8396941881758426E-4</v>
      </c>
      <c r="G20" cm="1">
        <f t="array" ref="G20">$N$16*NMultDensity(A20:B20,$L$18:$M$18,$L$16:$M$17)/D20</f>
        <v>8.5863485212625965E-10</v>
      </c>
      <c r="H20" cm="1">
        <f t="array" ref="H20">$N$20*NMultDensity(A20:B20,$L$22:$M$22,$L$20:$M$21)/D20</f>
        <v>5.6974356328108704E-19</v>
      </c>
      <c r="I20">
        <f t="shared" si="0"/>
        <v>0.99971602972254747</v>
      </c>
      <c r="K20" t="s">
        <v>26</v>
      </c>
      <c r="L20">
        <v>0.16423681554305622</v>
      </c>
      <c r="M20">
        <v>7.352402988097749E-2</v>
      </c>
      <c r="N20">
        <v>0.22405642174103302</v>
      </c>
      <c r="R20">
        <v>1.7</v>
      </c>
      <c r="S20">
        <v>0.3</v>
      </c>
      <c r="T20">
        <v>1</v>
      </c>
    </row>
    <row r="21" spans="1:20" x14ac:dyDescent="0.3">
      <c r="A21">
        <v>1.5</v>
      </c>
      <c r="B21">
        <v>0.3</v>
      </c>
      <c r="C21">
        <f t="shared" si="1"/>
        <v>1</v>
      </c>
      <c r="D21" cm="1">
        <f t="array" ref="D21">$N$12*NMultDensity(A21:B21,$L$14:$M$14,$L$12:$M$13)+$N$16*NMultDensity(A21:B21,$L$18:$M$18,$L$16:$M$17)+$N$20*NMultDensity(A21:B21,$L$22:$M$22,$L$20:$M$21)+$N$8*NMultDensity(A21:B21,$L$10:$M$10,$L$8:$M$9)</f>
        <v>2.7430588634234825</v>
      </c>
      <c r="E21" cm="1">
        <f t="array" ref="E21">$N$8*NMultDensity(A21:B21,$L$10:$M$10,$L$8:$M$9)/D21</f>
        <v>0.99985485046000622</v>
      </c>
      <c r="F21" cm="1">
        <f t="array" ref="F21">$N$12*NMultDensity(A21:B21,$L$14:$M$14,$L$12:$M$13)/D21</f>
        <v>1.4514952646914485E-4</v>
      </c>
      <c r="G21" cm="1">
        <f t="array" ref="G21">$N$16*NMultDensity(A21:B21,$L$18:$M$18,$L$16:$M$17)/D21</f>
        <v>1.3524602294530203E-11</v>
      </c>
      <c r="H21" cm="1">
        <f t="array" ref="H21">$N$20*NMultDensity(A21:B21,$L$22:$M$22,$L$20:$M$21)/D21</f>
        <v>3.9786204758403133E-21</v>
      </c>
      <c r="I21">
        <f t="shared" si="0"/>
        <v>0.99985485046000622</v>
      </c>
      <c r="L21">
        <v>7.352402988097749E-2</v>
      </c>
      <c r="M21">
        <v>6.0491678239871768E-2</v>
      </c>
      <c r="R21">
        <v>1.5</v>
      </c>
      <c r="S21">
        <v>0.3</v>
      </c>
      <c r="T21">
        <v>1</v>
      </c>
    </row>
    <row r="22" spans="1:20" x14ac:dyDescent="0.3">
      <c r="A22">
        <v>1.7</v>
      </c>
      <c r="B22">
        <v>0.2</v>
      </c>
      <c r="C22">
        <f t="shared" si="1"/>
        <v>1</v>
      </c>
      <c r="D22" cm="1">
        <f t="array" ref="D22">$N$12*NMultDensity(A22:B22,$L$14:$M$14,$L$12:$M$13)+$N$16*NMultDensity(A22:B22,$L$18:$M$18,$L$16:$M$17)+$N$20*NMultDensity(A22:B22,$L$22:$M$22,$L$20:$M$21)+$N$8*NMultDensity(A22:B22,$L$10:$M$10,$L$8:$M$9)</f>
        <v>0.77401873459155324</v>
      </c>
      <c r="E22" cm="1">
        <f t="array" ref="E22">$N$8*NMultDensity(A22:B22,$L$10:$M$10,$L$8:$M$9)/D22</f>
        <v>0.99991422765811688</v>
      </c>
      <c r="F22" cm="1">
        <f t="array" ref="F22">$N$12*NMultDensity(A22:B22,$L$14:$M$14,$L$12:$M$13)/D22</f>
        <v>8.5771538472135685E-5</v>
      </c>
      <c r="G22" cm="1">
        <f t="array" ref="G22">$N$16*NMultDensity(A22:B22,$L$18:$M$18,$L$16:$M$17)/D22</f>
        <v>8.0341090763274293E-10</v>
      </c>
      <c r="H22" cm="1">
        <f t="array" ref="H22">$N$20*NMultDensity(A22:B22,$L$22:$M$22,$L$20:$M$21)/D22</f>
        <v>3.9076220748864107E-19</v>
      </c>
      <c r="I22">
        <f t="shared" si="0"/>
        <v>0.99991422765811688</v>
      </c>
      <c r="K22" t="s">
        <v>23</v>
      </c>
      <c r="L22">
        <v>5.3528592524168053</v>
      </c>
      <c r="M22">
        <v>2.1116474041461526</v>
      </c>
      <c r="R22">
        <v>1.7</v>
      </c>
      <c r="S22">
        <v>0.2</v>
      </c>
      <c r="T22">
        <v>1</v>
      </c>
    </row>
    <row r="23" spans="1:20" x14ac:dyDescent="0.3">
      <c r="A23">
        <v>1.5</v>
      </c>
      <c r="B23">
        <v>0.4</v>
      </c>
      <c r="C23">
        <f t="shared" si="1"/>
        <v>1</v>
      </c>
      <c r="D23" cm="1">
        <f t="array" ref="D23">$N$12*NMultDensity(A23:B23,$L$14:$M$14,$L$12:$M$13)+$N$16*NMultDensity(A23:B23,$L$18:$M$18,$L$16:$M$17)+$N$20*NMultDensity(A23:B23,$L$22:$M$22,$L$20:$M$21)+$N$8*NMultDensity(A23:B23,$L$10:$M$10,$L$8:$M$9)</f>
        <v>0.97325235494934015</v>
      </c>
      <c r="E23" cm="1">
        <f t="array" ref="E23">$N$8*NMultDensity(A23:B23,$L$10:$M$10,$L$8:$M$9)/D23</f>
        <v>0.99912406452878899</v>
      </c>
      <c r="F23" cm="1">
        <f t="array" ref="F23">$N$12*NMultDensity(A23:B23,$L$14:$M$14,$L$12:$M$13)/D23</f>
        <v>8.7593545249147549E-4</v>
      </c>
      <c r="G23" cm="1">
        <f t="array" ref="G23">$N$16*NMultDensity(A23:B23,$L$18:$M$18,$L$16:$M$17)/D23</f>
        <v>1.8719560960760012E-11</v>
      </c>
      <c r="H23" cm="1">
        <f t="array" ref="H23">$N$20*NMultDensity(A23:B23,$L$22:$M$22,$L$20:$M$21)/D23</f>
        <v>1.2815952113930408E-20</v>
      </c>
      <c r="I23">
        <f t="shared" si="0"/>
        <v>0.99912406452878899</v>
      </c>
      <c r="K23" s="3"/>
      <c r="L23" s="3"/>
      <c r="M23" s="3"/>
      <c r="N23" s="3"/>
      <c r="R23">
        <v>1.5</v>
      </c>
      <c r="S23">
        <v>0.4</v>
      </c>
      <c r="T23">
        <v>1</v>
      </c>
    </row>
    <row r="24" spans="1:20" x14ac:dyDescent="0.3">
      <c r="A24">
        <v>1</v>
      </c>
      <c r="B24">
        <v>0.2</v>
      </c>
      <c r="C24">
        <f t="shared" si="1"/>
        <v>1</v>
      </c>
      <c r="D24" cm="1">
        <f t="array" ref="D24">$N$12*NMultDensity(A24:B24,$L$14:$M$14,$L$12:$M$13)+$N$16*NMultDensity(A24:B24,$L$18:$M$18,$L$16:$M$17)+$N$20*NMultDensity(A24:B24,$L$22:$M$22,$L$20:$M$21)+$N$8*NMultDensity(A24:B24,$L$10:$M$10,$L$8:$M$9)</f>
        <v>7.7294755183154235E-2</v>
      </c>
      <c r="E24" cm="1">
        <f t="array" ref="E24">$N$8*NMultDensity(A24:B24,$L$10:$M$10,$L$8:$M$9)/D24</f>
        <v>0.9983362439464496</v>
      </c>
      <c r="F24" cm="1">
        <f t="array" ref="F24">$N$12*NMultDensity(A24:B24,$L$14:$M$14,$L$12:$M$13)/D24</f>
        <v>1.6637560535247523E-3</v>
      </c>
      <c r="G24" cm="1">
        <f t="array" ref="G24">$N$16*NMultDensity(A24:B24,$L$18:$M$18,$L$16:$M$17)/D24</f>
        <v>2.5533720693295113E-14</v>
      </c>
      <c r="H24" cm="1">
        <f t="array" ref="H24">$N$20*NMultDensity(A24:B24,$L$22:$M$22,$L$20:$M$21)/D24</f>
        <v>5.939874097259669E-25</v>
      </c>
      <c r="I24">
        <f t="shared" si="0"/>
        <v>0.9983362439464496</v>
      </c>
      <c r="K24" t="s">
        <v>22</v>
      </c>
      <c r="L24">
        <f t="array" ref="L24:M25">MMULT(TRANSPOSE($E$2:$E$151*($A$2:$B$151-L26:M26)),$A$2:$B$151-L26:M26)/SUM($E$2:$E$151)</f>
        <v>2.9536404232950557E-2</v>
      </c>
      <c r="M24">
        <v>5.8017901370608213E-3</v>
      </c>
      <c r="N24">
        <f>AVERAGE(E:E)</f>
        <v>0.33217874209155751</v>
      </c>
      <c r="P24" t="s">
        <v>35</v>
      </c>
      <c r="R24">
        <v>1</v>
      </c>
      <c r="S24">
        <v>0.2</v>
      </c>
      <c r="T24">
        <v>1</v>
      </c>
    </row>
    <row r="25" spans="1:20" x14ac:dyDescent="0.3">
      <c r="A25">
        <v>1.7</v>
      </c>
      <c r="B25">
        <v>0.5</v>
      </c>
      <c r="C25">
        <f t="shared" si="1"/>
        <v>1</v>
      </c>
      <c r="D25" cm="1">
        <f t="array" ref="D25">$N$12*NMultDensity(A25:B25,$L$14:$M$14,$L$12:$M$13)+$N$16*NMultDensity(A25:B25,$L$18:$M$18,$L$16:$M$17)+$N$20*NMultDensity(A25:B25,$L$22:$M$22,$L$20:$M$21)+$N$8*NMultDensity(A25:B25,$L$10:$M$10,$L$8:$M$9)</f>
        <v>0.12244170761519003</v>
      </c>
      <c r="E25" cm="1">
        <f t="array" ref="E25">$N$8*NMultDensity(A25:B25,$L$10:$M$10,$L$8:$M$9)/D25</f>
        <v>0.98557435370936608</v>
      </c>
      <c r="F25" cm="1">
        <f t="array" ref="F25">$N$12*NMultDensity(A25:B25,$L$14:$M$14,$L$12:$M$13)/D25</f>
        <v>1.4425643289208173E-2</v>
      </c>
      <c r="G25" cm="1">
        <f t="array" ref="G25">$N$16*NMultDensity(A25:B25,$L$18:$M$18,$L$16:$M$17)/D25</f>
        <v>3.0014257154806015E-9</v>
      </c>
      <c r="H25" cm="1">
        <f t="array" ref="H25">$N$20*NMultDensity(A25:B25,$L$22:$M$22,$L$20:$M$21)/D25</f>
        <v>9.7671027111828781E-18</v>
      </c>
      <c r="I25">
        <f t="shared" si="0"/>
        <v>0.98557435370936608</v>
      </c>
      <c r="L25">
        <v>5.8017901370608221E-3</v>
      </c>
      <c r="M25">
        <v>1.0551122180709336E-2</v>
      </c>
      <c r="P25">
        <f>PRODUCT(D:D)</f>
        <v>2.2882747111426597E-56</v>
      </c>
      <c r="Q25" s="2" cm="1">
        <f t="array" ref="Q25">SUM(LN(D2:D151))</f>
        <v>-128.11696707529745</v>
      </c>
      <c r="R25">
        <v>1.7</v>
      </c>
      <c r="S25">
        <v>0.5</v>
      </c>
      <c r="T25">
        <v>1</v>
      </c>
    </row>
    <row r="26" spans="1:20" x14ac:dyDescent="0.3">
      <c r="A26">
        <v>1.9</v>
      </c>
      <c r="B26">
        <v>0.2</v>
      </c>
      <c r="C26">
        <f t="shared" si="1"/>
        <v>1</v>
      </c>
      <c r="D26" cm="1">
        <f t="array" ref="D26">$N$12*NMultDensity(A26:B26,$L$14:$M$14,$L$12:$M$13)+$N$16*NMultDensity(A26:B26,$L$18:$M$18,$L$16:$M$17)+$N$20*NMultDensity(A26:B26,$L$22:$M$22,$L$20:$M$21)+$N$8*NMultDensity(A26:B26,$L$10:$M$10,$L$8:$M$9)</f>
        <v>4.9151060562402003E-2</v>
      </c>
      <c r="E26" cm="1">
        <f t="array" ref="E26">$N$8*NMultDensity(A26:B26,$L$10:$M$10,$L$8:$M$9)/D26</f>
        <v>0.99934096764568336</v>
      </c>
      <c r="F26" cm="1">
        <f t="array" ref="F26">$N$12*NMultDensity(A26:B26,$L$14:$M$14,$L$12:$M$13)/D26</f>
        <v>6.5892540132189855E-4</v>
      </c>
      <c r="G26" cm="1">
        <f t="array" ref="G26">$N$16*NMultDensity(A26:B26,$L$18:$M$18,$L$16:$M$17)/D26</f>
        <v>1.0695299456845393E-7</v>
      </c>
      <c r="H26" cm="1">
        <f t="array" ref="H26">$N$20*NMultDensity(A26:B26,$L$22:$M$22,$L$20:$M$21)/D26</f>
        <v>1.6417327241117807E-16</v>
      </c>
      <c r="I26">
        <f t="shared" si="0"/>
        <v>0.99934096764568336</v>
      </c>
      <c r="K26" t="s">
        <v>23</v>
      </c>
      <c r="L26">
        <f>SUMPRODUCT(A:A,$E:$E)/SUM($E:$E)</f>
        <v>1.4614718764678523</v>
      </c>
      <c r="M26">
        <f>SUMPRODUCT(B:B,$E:$E)/SUM($E:$E)</f>
        <v>0.24490925150636036</v>
      </c>
      <c r="R26">
        <v>1.9</v>
      </c>
      <c r="S26">
        <v>0.2</v>
      </c>
      <c r="T26">
        <v>1</v>
      </c>
    </row>
    <row r="27" spans="1:20" x14ac:dyDescent="0.3">
      <c r="A27">
        <v>1.6</v>
      </c>
      <c r="B27">
        <v>0.2</v>
      </c>
      <c r="C27">
        <f t="shared" si="1"/>
        <v>1</v>
      </c>
      <c r="D27" cm="1">
        <f t="array" ref="D27">$N$12*NMultDensity(A27:B27,$L$14:$M$14,$L$12:$M$13)+$N$16*NMultDensity(A27:B27,$L$18:$M$18,$L$16:$M$17)+$N$20*NMultDensity(A27:B27,$L$22:$M$22,$L$20:$M$21)+$N$8*NMultDensity(A27:B27,$L$10:$M$10,$L$8:$M$9)</f>
        <v>1.7386472938190185</v>
      </c>
      <c r="E27" cm="1">
        <f t="array" ref="E27">$N$8*NMultDensity(A27:B27,$L$10:$M$10,$L$8:$M$9)/D27</f>
        <v>0.99994994285239214</v>
      </c>
      <c r="F27" cm="1">
        <f t="array" ref="F27">$N$12*NMultDensity(A27:B27,$L$14:$M$14,$L$12:$M$13)/D27</f>
        <v>5.0057051527302443E-5</v>
      </c>
      <c r="G27" cm="1">
        <f t="array" ref="G27">$N$16*NMultDensity(A27:B27,$L$18:$M$18,$L$16:$M$17)/D27</f>
        <v>9.6080604548311473E-11</v>
      </c>
      <c r="H27" cm="1">
        <f t="array" ref="H27">$N$20*NMultDensity(A27:B27,$L$22:$M$22,$L$20:$M$21)/D27</f>
        <v>2.7565149173816037E-20</v>
      </c>
      <c r="I27">
        <f t="shared" si="0"/>
        <v>0.99994994285239214</v>
      </c>
      <c r="R27">
        <v>1.6</v>
      </c>
      <c r="S27">
        <v>0.2</v>
      </c>
      <c r="T27">
        <v>1</v>
      </c>
    </row>
    <row r="28" spans="1:20" x14ac:dyDescent="0.3">
      <c r="A28">
        <v>1.6</v>
      </c>
      <c r="B28">
        <v>0.4</v>
      </c>
      <c r="C28">
        <f t="shared" si="1"/>
        <v>1</v>
      </c>
      <c r="D28" cm="1">
        <f t="array" ref="D28">$N$12*NMultDensity(A28:B28,$L$14:$M$14,$L$12:$M$13)+$N$16*NMultDensity(A28:B28,$L$18:$M$18,$L$16:$M$17)+$N$20*NMultDensity(A28:B28,$L$22:$M$22,$L$20:$M$21)+$N$8*NMultDensity(A28:B28,$L$10:$M$10,$L$8:$M$9)</f>
        <v>0.96147534690700998</v>
      </c>
      <c r="E28" cm="1">
        <f t="array" ref="E28">$N$8*NMultDensity(A28:B28,$L$10:$M$10,$L$8:$M$9)/D28</f>
        <v>0.99899990559365914</v>
      </c>
      <c r="F28" cm="1">
        <f t="array" ref="F28">$N$12*NMultDensity(A28:B28,$L$14:$M$14,$L$12:$M$13)/D28</f>
        <v>1.0000942642164913E-3</v>
      </c>
      <c r="G28" cm="1">
        <f t="array" ref="G28">$N$16*NMultDensity(A28:B28,$L$18:$M$18,$L$16:$M$17)/D28</f>
        <v>1.4212434936087441E-10</v>
      </c>
      <c r="H28" cm="1">
        <f t="array" ref="H28">$N$20*NMultDensity(A28:B28,$L$22:$M$22,$L$20:$M$21)/D28</f>
        <v>1.2946023787544944E-19</v>
      </c>
      <c r="I28">
        <f t="shared" si="0"/>
        <v>0.99899990559365914</v>
      </c>
      <c r="K28" t="s">
        <v>24</v>
      </c>
      <c r="L28">
        <f t="array" ref="L28:M29">MMULT(TRANSPOSE($F$2:$F$151*($A$2:$B$151-L30:M30)),$A$2:$B$151-L30:M30)/SUM($F$2:$F$151)</f>
        <v>1.2015964220072648</v>
      </c>
      <c r="M28">
        <v>0.36469091570337464</v>
      </c>
      <c r="N28">
        <f>AVERAGE(F:F)</f>
        <v>0.20691565724986405</v>
      </c>
      <c r="P28" s="4" t="s">
        <v>36</v>
      </c>
      <c r="Q28" s="4">
        <v>30</v>
      </c>
      <c r="R28">
        <v>1.6</v>
      </c>
      <c r="S28">
        <v>0.4</v>
      </c>
      <c r="T28">
        <v>1</v>
      </c>
    </row>
    <row r="29" spans="1:20" x14ac:dyDescent="0.3">
      <c r="A29">
        <v>1.5</v>
      </c>
      <c r="B29">
        <v>0.2</v>
      </c>
      <c r="C29">
        <f t="shared" si="1"/>
        <v>1</v>
      </c>
      <c r="D29" cm="1">
        <f t="array" ref="D29">$N$12*NMultDensity(A29:B29,$L$14:$M$14,$L$12:$M$13)+$N$16*NMultDensity(A29:B29,$L$18:$M$18,$L$16:$M$17)+$N$20*NMultDensity(A29:B29,$L$22:$M$22,$L$20:$M$21)+$N$8*NMultDensity(A29:B29,$L$10:$M$10,$L$8:$M$9)</f>
        <v>2.6720458331866683</v>
      </c>
      <c r="E29" cm="1">
        <f t="array" ref="E29">$N$8*NMultDensity(A29:B29,$L$10:$M$10,$L$8:$M$9)/D29</f>
        <v>0.99995973806622274</v>
      </c>
      <c r="F29" cm="1">
        <f t="array" ref="F29">$N$12*NMultDensity(A29:B29,$L$14:$M$14,$L$12:$M$13)/D29</f>
        <v>4.0261919533991532E-5</v>
      </c>
      <c r="G29" cm="1">
        <f t="array" ref="G29">$N$16*NMultDensity(A29:B29,$L$18:$M$18,$L$16:$M$17)/D29</f>
        <v>1.4243352658602282E-11</v>
      </c>
      <c r="H29" cm="1">
        <f t="array" ref="H29">$N$20*NMultDensity(A29:B29,$L$22:$M$22,$L$20:$M$21)/D29</f>
        <v>2.486745772067106E-21</v>
      </c>
      <c r="I29">
        <f t="shared" si="0"/>
        <v>0.99995973806622274</v>
      </c>
      <c r="L29">
        <v>0.3646909157033747</v>
      </c>
      <c r="M29">
        <v>0.1290635953060032</v>
      </c>
      <c r="R29">
        <v>1.5</v>
      </c>
      <c r="S29">
        <v>0.2</v>
      </c>
      <c r="T29">
        <v>1</v>
      </c>
    </row>
    <row r="30" spans="1:20" x14ac:dyDescent="0.3">
      <c r="A30">
        <v>1.4</v>
      </c>
      <c r="B30">
        <v>0.2</v>
      </c>
      <c r="C30">
        <f t="shared" si="1"/>
        <v>1</v>
      </c>
      <c r="D30" cm="1">
        <f t="array" ref="D30">$N$12*NMultDensity(A30:B30,$L$14:$M$14,$L$12:$M$13)+$N$16*NMultDensity(A30:B30,$L$18:$M$18,$L$16:$M$17)+$N$20*NMultDensity(A30:B30,$L$22:$M$22,$L$20:$M$21)+$N$8*NMultDensity(A30:B30,$L$10:$M$10,$L$8:$M$9)</f>
        <v>2.8095942769161026</v>
      </c>
      <c r="E30" cm="1">
        <f t="array" ref="E30">$N$8*NMultDensity(A30:B30,$L$10:$M$10,$L$8:$M$9)/D30</f>
        <v>0.99995536906699056</v>
      </c>
      <c r="F30" cm="1">
        <f t="array" ref="F30">$N$12*NMultDensity(A30:B30,$L$14:$M$14,$L$12:$M$13)/D30</f>
        <v>4.4630930392108006E-5</v>
      </c>
      <c r="G30" cm="1">
        <f t="array" ref="G30">$N$16*NMultDensity(A30:B30,$L$18:$M$18,$L$16:$M$17)/D30</f>
        <v>2.6174134556654273E-12</v>
      </c>
      <c r="H30" cm="1">
        <f t="array" ref="H30">$N$20*NMultDensity(A30:B30,$L$22:$M$22,$L$20:$M$21)/D30</f>
        <v>2.869001556390644E-22</v>
      </c>
      <c r="I30">
        <f t="shared" si="0"/>
        <v>0.99995536906699056</v>
      </c>
      <c r="K30" t="s">
        <v>23</v>
      </c>
      <c r="L30">
        <f>SUMPRODUCT(A:A,$F:$F)/SUM($F:$F)</f>
        <v>5.0919570767889271</v>
      </c>
      <c r="M30">
        <f>SUMPRODUCT(B:B,$F:$F)/SUM($F:$F)</f>
        <v>1.5804793155141914</v>
      </c>
      <c r="R30">
        <v>1.4</v>
      </c>
      <c r="S30">
        <v>0.2</v>
      </c>
      <c r="T30">
        <v>1</v>
      </c>
    </row>
    <row r="31" spans="1:20" x14ac:dyDescent="0.3">
      <c r="A31">
        <v>1.6</v>
      </c>
      <c r="B31">
        <v>0.2</v>
      </c>
      <c r="C31">
        <f t="shared" si="1"/>
        <v>1</v>
      </c>
      <c r="D31" cm="1">
        <f t="array" ref="D31">$N$12*NMultDensity(A31:B31,$L$14:$M$14,$L$12:$M$13)+$N$16*NMultDensity(A31:B31,$L$18:$M$18,$L$16:$M$17)+$N$20*NMultDensity(A31:B31,$L$22:$M$22,$L$20:$M$21)+$N$8*NMultDensity(A31:B31,$L$10:$M$10,$L$8:$M$9)</f>
        <v>1.7386472938190185</v>
      </c>
      <c r="E31" cm="1">
        <f t="array" ref="E31">$N$8*NMultDensity(A31:B31,$L$10:$M$10,$L$8:$M$9)/D31</f>
        <v>0.99994994285239214</v>
      </c>
      <c r="F31" cm="1">
        <f t="array" ref="F31">$N$12*NMultDensity(A31:B31,$L$14:$M$14,$L$12:$M$13)/D31</f>
        <v>5.0057051527302443E-5</v>
      </c>
      <c r="G31" cm="1">
        <f t="array" ref="G31">$N$16*NMultDensity(A31:B31,$L$18:$M$18,$L$16:$M$17)/D31</f>
        <v>9.6080604548311473E-11</v>
      </c>
      <c r="H31" cm="1">
        <f t="array" ref="H31">$N$20*NMultDensity(A31:B31,$L$22:$M$22,$L$20:$M$21)/D31</f>
        <v>2.7565149173816037E-20</v>
      </c>
      <c r="I31">
        <f t="shared" si="0"/>
        <v>0.99994994285239214</v>
      </c>
      <c r="R31">
        <v>1.6</v>
      </c>
      <c r="S31">
        <v>0.2</v>
      </c>
      <c r="T31">
        <v>1</v>
      </c>
    </row>
    <row r="32" spans="1:20" x14ac:dyDescent="0.3">
      <c r="A32">
        <v>1.6</v>
      </c>
      <c r="B32">
        <v>0.2</v>
      </c>
      <c r="C32">
        <f t="shared" si="1"/>
        <v>1</v>
      </c>
      <c r="D32" cm="1">
        <f t="array" ref="D32">$N$12*NMultDensity(A32:B32,$L$14:$M$14,$L$12:$M$13)+$N$16*NMultDensity(A32:B32,$L$18:$M$18,$L$16:$M$17)+$N$20*NMultDensity(A32:B32,$L$22:$M$22,$L$20:$M$21)+$N$8*NMultDensity(A32:B32,$L$10:$M$10,$L$8:$M$9)</f>
        <v>1.7386472938190185</v>
      </c>
      <c r="E32" cm="1">
        <f t="array" ref="E32">$N$8*NMultDensity(A32:B32,$L$10:$M$10,$L$8:$M$9)/D32</f>
        <v>0.99994994285239214</v>
      </c>
      <c r="F32" cm="1">
        <f t="array" ref="F32">$N$12*NMultDensity(A32:B32,$L$14:$M$14,$L$12:$M$13)/D32</f>
        <v>5.0057051527302443E-5</v>
      </c>
      <c r="G32" cm="1">
        <f t="array" ref="G32">$N$16*NMultDensity(A32:B32,$L$18:$M$18,$L$16:$M$17)/D32</f>
        <v>9.6080604548311473E-11</v>
      </c>
      <c r="H32" cm="1">
        <f t="array" ref="H32">$N$20*NMultDensity(A32:B32,$L$22:$M$22,$L$20:$M$21)/D32</f>
        <v>2.7565149173816037E-20</v>
      </c>
      <c r="I32">
        <f t="shared" si="0"/>
        <v>0.99994994285239214</v>
      </c>
      <c r="K32" t="s">
        <v>25</v>
      </c>
      <c r="L32">
        <f t="array" ref="L32:M33">MMULT(TRANSPOSE($G$2:$G$151*($A$2:$B$151-L34:M34)),$A$2:$B$151-L34:M34)/SUM($G$2:$G$151)</f>
        <v>0.1659870589248498</v>
      </c>
      <c r="M32">
        <v>6.3998692101253515E-2</v>
      </c>
      <c r="N32">
        <f>AVERAGE(G:G)</f>
        <v>0.23525814875829848</v>
      </c>
      <c r="R32">
        <v>1.6</v>
      </c>
      <c r="S32">
        <v>0.2</v>
      </c>
      <c r="T32">
        <v>1</v>
      </c>
    </row>
    <row r="33" spans="1:20" x14ac:dyDescent="0.3">
      <c r="A33">
        <v>1.5</v>
      </c>
      <c r="B33">
        <v>0.4</v>
      </c>
      <c r="C33">
        <f t="shared" si="1"/>
        <v>1</v>
      </c>
      <c r="D33" cm="1">
        <f t="array" ref="D33">$N$12*NMultDensity(A33:B33,$L$14:$M$14,$L$12:$M$13)+$N$16*NMultDensity(A33:B33,$L$18:$M$18,$L$16:$M$17)+$N$20*NMultDensity(A33:B33,$L$22:$M$22,$L$20:$M$21)+$N$8*NMultDensity(A33:B33,$L$10:$M$10,$L$8:$M$9)</f>
        <v>0.97325235494934015</v>
      </c>
      <c r="E33" cm="1">
        <f t="array" ref="E33">$N$8*NMultDensity(A33:B33,$L$10:$M$10,$L$8:$M$9)/D33</f>
        <v>0.99912406452878899</v>
      </c>
      <c r="F33" cm="1">
        <f t="array" ref="F33">$N$12*NMultDensity(A33:B33,$L$14:$M$14,$L$12:$M$13)/D33</f>
        <v>8.7593545249147549E-4</v>
      </c>
      <c r="G33" cm="1">
        <f t="array" ref="G33">$N$16*NMultDensity(A33:B33,$L$18:$M$18,$L$16:$M$17)/D33</f>
        <v>1.8719560960760012E-11</v>
      </c>
      <c r="H33" cm="1">
        <f t="array" ref="H33">$N$20*NMultDensity(A33:B33,$L$22:$M$22,$L$20:$M$21)/D33</f>
        <v>1.2815952113930408E-20</v>
      </c>
      <c r="I33">
        <f t="shared" si="0"/>
        <v>0.99912406452878899</v>
      </c>
      <c r="L33">
        <v>6.3998692101253515E-2</v>
      </c>
      <c r="M33">
        <v>3.8977582704229463E-2</v>
      </c>
      <c r="R33">
        <v>1.5</v>
      </c>
      <c r="S33">
        <v>0.4</v>
      </c>
      <c r="T33">
        <v>1</v>
      </c>
    </row>
    <row r="34" spans="1:20" x14ac:dyDescent="0.3">
      <c r="A34">
        <v>1.5</v>
      </c>
      <c r="B34">
        <v>0.1</v>
      </c>
      <c r="C34">
        <f t="shared" ref="C34:C65" si="4">IF(E34=I34,1,IF(F34=I34,2,IF(G34=I34,3,4)))</f>
        <v>1</v>
      </c>
      <c r="D34" cm="1">
        <f t="array" ref="D34">$N$12*NMultDensity(A34:B34,$L$14:$M$14,$L$12:$M$13)+$N$16*NMultDensity(A34:B34,$L$18:$M$18,$L$16:$M$17)+$N$20*NMultDensity(A34:B34,$L$22:$M$22,$L$20:$M$21)+$N$8*NMultDensity(A34:B34,$L$10:$M$10,$L$8:$M$9)</f>
        <v>0.89911657305634241</v>
      </c>
      <c r="E34" cm="1">
        <f t="array" ref="E34">$N$8*NMultDensity(A34:B34,$L$10:$M$10,$L$8:$M$9)/D34</f>
        <v>0.99998129554923421</v>
      </c>
      <c r="F34" cm="1">
        <f t="array" ref="F34">$N$12*NMultDensity(A34:B34,$L$14:$M$14,$L$12:$M$13)/D34</f>
        <v>1.870442888846821E-5</v>
      </c>
      <c r="G34" cm="1">
        <f t="array" ref="G34">$N$16*NMultDensity(A34:B34,$L$18:$M$18,$L$16:$M$17)/D34</f>
        <v>2.1877345221112323E-11</v>
      </c>
      <c r="H34" cm="1">
        <f t="array" ref="H34">$N$20*NMultDensity(A34:B34,$L$22:$M$22,$L$20:$M$21)/D34</f>
        <v>3.1310015953859181E-21</v>
      </c>
      <c r="I34">
        <f t="shared" ref="I34:I65" si="5">MAX(E34:H34)</f>
        <v>0.99998129554923421</v>
      </c>
      <c r="K34" t="s">
        <v>23</v>
      </c>
      <c r="L34">
        <f>SUMPRODUCT(A:A,$G:$G)/SUM($G:$G)</f>
        <v>4.3016533964207708</v>
      </c>
      <c r="M34">
        <f>SUMPRODUCT(B:B,$G:$G)/SUM($G:$G)</f>
        <v>1.3393470120536095</v>
      </c>
      <c r="P34" s="2" t="s">
        <v>37</v>
      </c>
      <c r="Q34" s="2">
        <f>-2*$Q$25+2+3*2*5/2</f>
        <v>273.23393415059491</v>
      </c>
      <c r="R34">
        <v>1.5</v>
      </c>
      <c r="S34">
        <v>0.1</v>
      </c>
      <c r="T34">
        <v>1</v>
      </c>
    </row>
    <row r="35" spans="1:20" x14ac:dyDescent="0.3">
      <c r="A35">
        <v>1.4</v>
      </c>
      <c r="B35">
        <v>0.2</v>
      </c>
      <c r="C35">
        <f t="shared" si="4"/>
        <v>1</v>
      </c>
      <c r="D35" cm="1">
        <f t="array" ref="D35">$N$12*NMultDensity(A35:B35,$L$14:$M$14,$L$12:$M$13)+$N$16*NMultDensity(A35:B35,$L$18:$M$18,$L$16:$M$17)+$N$20*NMultDensity(A35:B35,$L$22:$M$22,$L$20:$M$21)+$N$8*NMultDensity(A35:B35,$L$10:$M$10,$L$8:$M$9)</f>
        <v>2.8095942769161026</v>
      </c>
      <c r="E35" cm="1">
        <f t="array" ref="E35">$N$8*NMultDensity(A35:B35,$L$10:$M$10,$L$8:$M$9)/D35</f>
        <v>0.99995536906699056</v>
      </c>
      <c r="F35" cm="1">
        <f t="array" ref="F35">$N$12*NMultDensity(A35:B35,$L$14:$M$14,$L$12:$M$13)/D35</f>
        <v>4.4630930392108006E-5</v>
      </c>
      <c r="G35" cm="1">
        <f t="array" ref="G35">$N$16*NMultDensity(A35:B35,$L$18:$M$18,$L$16:$M$17)/D35</f>
        <v>2.6174134556654273E-12</v>
      </c>
      <c r="H35" cm="1">
        <f t="array" ref="H35">$N$20*NMultDensity(A35:B35,$L$22:$M$22,$L$20:$M$21)/D35</f>
        <v>2.869001556390644E-22</v>
      </c>
      <c r="I35">
        <f t="shared" si="5"/>
        <v>0.99995536906699056</v>
      </c>
      <c r="P35" s="2" t="s">
        <v>38</v>
      </c>
      <c r="Q35" s="2">
        <f>-2*$Q$25+2+3*2*5/2*LN(SUM(P6:P9))</f>
        <v>333.39346356203873</v>
      </c>
      <c r="R35">
        <v>1.4</v>
      </c>
      <c r="S35">
        <v>0.2</v>
      </c>
      <c r="T35">
        <v>1</v>
      </c>
    </row>
    <row r="36" spans="1:20" x14ac:dyDescent="0.3">
      <c r="A36">
        <v>1.5</v>
      </c>
      <c r="B36">
        <v>0.2</v>
      </c>
      <c r="C36">
        <f t="shared" si="4"/>
        <v>1</v>
      </c>
      <c r="D36" cm="1">
        <f t="array" ref="D36">$N$12*NMultDensity(A36:B36,$L$14:$M$14,$L$12:$M$13)+$N$16*NMultDensity(A36:B36,$L$18:$M$18,$L$16:$M$17)+$N$20*NMultDensity(A36:B36,$L$22:$M$22,$L$20:$M$21)+$N$8*NMultDensity(A36:B36,$L$10:$M$10,$L$8:$M$9)</f>
        <v>2.6720458331866683</v>
      </c>
      <c r="E36" cm="1">
        <f t="array" ref="E36">$N$8*NMultDensity(A36:B36,$L$10:$M$10,$L$8:$M$9)/D36</f>
        <v>0.99995973806622274</v>
      </c>
      <c r="F36" cm="1">
        <f t="array" ref="F36">$N$12*NMultDensity(A36:B36,$L$14:$M$14,$L$12:$M$13)/D36</f>
        <v>4.0261919533991532E-5</v>
      </c>
      <c r="G36" cm="1">
        <f t="array" ref="G36">$N$16*NMultDensity(A36:B36,$L$18:$M$18,$L$16:$M$17)/D36</f>
        <v>1.4243352658602282E-11</v>
      </c>
      <c r="H36" cm="1">
        <f t="array" ref="H36">$N$20*NMultDensity(A36:B36,$L$22:$M$22,$L$20:$M$21)/D36</f>
        <v>2.486745772067106E-21</v>
      </c>
      <c r="I36">
        <f t="shared" si="5"/>
        <v>0.99995973806622274</v>
      </c>
      <c r="K36" t="s">
        <v>26</v>
      </c>
      <c r="L36">
        <f t="array" ref="L36:M37">MMULT(TRANSPOSE($H$2:$H$151*($A$2:$B$151-L38:M38)),$A$2:$B$151-L38:M38)/SUM($H$3:$H$152)</f>
        <v>0.16567247176637481</v>
      </c>
      <c r="M36">
        <v>7.4702688465486625E-2</v>
      </c>
      <c r="N36">
        <f>AVERAGE(H:H)</f>
        <v>0.22564745190027996</v>
      </c>
      <c r="R36">
        <v>1.5</v>
      </c>
      <c r="S36">
        <v>0.2</v>
      </c>
      <c r="T36">
        <v>1</v>
      </c>
    </row>
    <row r="37" spans="1:20" x14ac:dyDescent="0.3">
      <c r="A37">
        <v>1.2</v>
      </c>
      <c r="B37">
        <v>0.2</v>
      </c>
      <c r="C37">
        <f t="shared" si="4"/>
        <v>1</v>
      </c>
      <c r="D37" cm="1">
        <f t="array" ref="D37">$N$12*NMultDensity(A37:B37,$L$14:$M$14,$L$12:$M$13)+$N$16*NMultDensity(A37:B37,$L$18:$M$18,$L$16:$M$17)+$N$20*NMultDensity(A37:B37,$L$22:$M$22,$L$20:$M$21)+$N$8*NMultDensity(A37:B37,$L$10:$M$10,$L$8:$M$9)</f>
        <v>0.99486835425011311</v>
      </c>
      <c r="E37" cm="1">
        <f t="array" ref="E37">$N$8*NMultDensity(A37:B37,$L$10:$M$10,$L$8:$M$9)/D37</f>
        <v>0.9998564395181323</v>
      </c>
      <c r="F37" cm="1">
        <f t="array" ref="F37">$N$12*NMultDensity(A37:B37,$L$14:$M$14,$L$12:$M$13)/D37</f>
        <v>1.4356048169926805E-4</v>
      </c>
      <c r="G37" cm="1">
        <f t="array" ref="G37">$N$16*NMultDensity(A37:B37,$L$18:$M$18,$L$16:$M$17)/D37</f>
        <v>1.6835368550606967E-13</v>
      </c>
      <c r="H37" cm="1">
        <f t="array" ref="H37">$N$20*NMultDensity(A37:B37,$L$22:$M$22,$L$20:$M$21)/D37</f>
        <v>7.9871882423804592E-24</v>
      </c>
      <c r="I37">
        <f t="shared" si="5"/>
        <v>0.9998564395181323</v>
      </c>
      <c r="L37">
        <v>7.4702688465486625E-2</v>
      </c>
      <c r="M37">
        <v>6.1258572042822666E-2</v>
      </c>
      <c r="R37">
        <v>1.2</v>
      </c>
      <c r="S37">
        <v>0.2</v>
      </c>
      <c r="T37">
        <v>1</v>
      </c>
    </row>
    <row r="38" spans="1:20" x14ac:dyDescent="0.3">
      <c r="A38">
        <v>1.3</v>
      </c>
      <c r="B38">
        <v>0.2</v>
      </c>
      <c r="C38">
        <f t="shared" si="4"/>
        <v>1</v>
      </c>
      <c r="D38" cm="1">
        <f t="array" ref="D38">$N$12*NMultDensity(A38:B38,$L$14:$M$14,$L$12:$M$13)+$N$16*NMultDensity(A38:B38,$L$18:$M$18,$L$16:$M$17)+$N$20*NMultDensity(A38:B38,$L$22:$M$22,$L$20:$M$21)+$N$8*NMultDensity(A38:B38,$L$10:$M$10,$L$8:$M$9)</f>
        <v>2.021216284274757</v>
      </c>
      <c r="E38" cm="1">
        <f t="array" ref="E38">$N$8*NMultDensity(A38:B38,$L$10:$M$10,$L$8:$M$9)/D38</f>
        <v>0.99993181521431462</v>
      </c>
      <c r="F38" cm="1">
        <f t="array" ref="F38">$N$12*NMultDensity(A38:B38,$L$14:$M$14,$L$12:$M$13)/D38</f>
        <v>6.8184785089126789E-5</v>
      </c>
      <c r="G38" cm="1">
        <f t="array" ref="G38">$N$16*NMultDensity(A38:B38,$L$18:$M$18,$L$16:$M$17)/D38</f>
        <v>5.9623004420495045E-13</v>
      </c>
      <c r="H38" cm="1">
        <f t="array" ref="H38">$N$20*NMultDensity(A38:B38,$L$22:$M$22,$L$20:$M$21)/D38</f>
        <v>4.2330788018743084E-23</v>
      </c>
      <c r="I38">
        <f t="shared" si="5"/>
        <v>0.99993181521431462</v>
      </c>
      <c r="K38" t="s">
        <v>23</v>
      </c>
      <c r="L38">
        <f>SUMPRODUCT(A:A,$H:$H)/SUM($H:$H)</f>
        <v>5.3487218243989769</v>
      </c>
      <c r="M38">
        <f>SUMPRODUCT(B:B,$H:$H)/SUM($H:$H)</f>
        <v>2.108871459853833</v>
      </c>
      <c r="R38">
        <v>1.3</v>
      </c>
      <c r="S38">
        <v>0.2</v>
      </c>
      <c r="T38">
        <v>1</v>
      </c>
    </row>
    <row r="39" spans="1:20" x14ac:dyDescent="0.3">
      <c r="A39">
        <v>1.4</v>
      </c>
      <c r="B39">
        <v>0.1</v>
      </c>
      <c r="C39">
        <f t="shared" si="4"/>
        <v>1</v>
      </c>
      <c r="D39" cm="1">
        <f t="array" ref="D39">$N$12*NMultDensity(A39:B39,$L$14:$M$14,$L$12:$M$13)+$N$16*NMultDensity(A39:B39,$L$18:$M$18,$L$16:$M$17)+$N$20*NMultDensity(A39:B39,$L$22:$M$22,$L$20:$M$21)+$N$8*NMultDensity(A39:B39,$L$10:$M$10,$L$8:$M$9)</f>
        <v>1.1648285623200902</v>
      </c>
      <c r="E39" cm="1">
        <f t="array" ref="E39">$N$8*NMultDensity(A39:B39,$L$10:$M$10,$L$8:$M$9)/D39</f>
        <v>0.99998012938626679</v>
      </c>
      <c r="F39" cm="1">
        <f t="array" ref="F39">$N$12*NMultDensity(A39:B39,$L$14:$M$14,$L$12:$M$13)/D39</f>
        <v>1.987060946783811E-5</v>
      </c>
      <c r="G39" cm="1">
        <f t="array" ref="G39">$N$16*NMultDensity(A39:B39,$L$18:$M$18,$L$16:$M$17)/D39</f>
        <v>4.265359479502647E-12</v>
      </c>
      <c r="H39" cm="1">
        <f t="array" ref="H39">$N$20*NMultDensity(A39:B39,$L$22:$M$22,$L$20:$M$21)/D39</f>
        <v>3.4485554814403066E-22</v>
      </c>
      <c r="I39">
        <f t="shared" si="5"/>
        <v>0.99998012938626679</v>
      </c>
      <c r="R39">
        <v>1.4</v>
      </c>
      <c r="S39">
        <v>0.1</v>
      </c>
      <c r="T39">
        <v>1</v>
      </c>
    </row>
    <row r="40" spans="1:20" x14ac:dyDescent="0.3">
      <c r="A40">
        <v>1.3</v>
      </c>
      <c r="B40">
        <v>0.2</v>
      </c>
      <c r="C40">
        <f t="shared" si="4"/>
        <v>1</v>
      </c>
      <c r="D40" cm="1">
        <f t="array" ref="D40">$N$12*NMultDensity(A40:B40,$L$14:$M$14,$L$12:$M$13)+$N$16*NMultDensity(A40:B40,$L$18:$M$18,$L$16:$M$17)+$N$20*NMultDensity(A40:B40,$L$22:$M$22,$L$20:$M$21)+$N$8*NMultDensity(A40:B40,$L$10:$M$10,$L$8:$M$9)</f>
        <v>2.021216284274757</v>
      </c>
      <c r="E40" cm="1">
        <f t="array" ref="E40">$N$8*NMultDensity(A40:B40,$L$10:$M$10,$L$8:$M$9)/D40</f>
        <v>0.99993181521431462</v>
      </c>
      <c r="F40" cm="1">
        <f t="array" ref="F40">$N$12*NMultDensity(A40:B40,$L$14:$M$14,$L$12:$M$13)/D40</f>
        <v>6.8184785089126789E-5</v>
      </c>
      <c r="G40" cm="1">
        <f t="array" ref="G40">$N$16*NMultDensity(A40:B40,$L$18:$M$18,$L$16:$M$17)/D40</f>
        <v>5.9623004420495045E-13</v>
      </c>
      <c r="H40" cm="1">
        <f t="array" ref="H40">$N$20*NMultDensity(A40:B40,$L$22:$M$22,$L$20:$M$21)/D40</f>
        <v>4.2330788018743084E-23</v>
      </c>
      <c r="I40">
        <f t="shared" si="5"/>
        <v>0.99993181521431462</v>
      </c>
      <c r="R40">
        <v>1.3</v>
      </c>
      <c r="S40">
        <v>0.2</v>
      </c>
      <c r="T40">
        <v>1</v>
      </c>
    </row>
    <row r="41" spans="1:20" x14ac:dyDescent="0.3">
      <c r="A41">
        <v>1.5</v>
      </c>
      <c r="B41">
        <v>0.2</v>
      </c>
      <c r="C41">
        <f t="shared" si="4"/>
        <v>1</v>
      </c>
      <c r="D41" cm="1">
        <f t="array" ref="D41">$N$12*NMultDensity(A41:B41,$L$14:$M$14,$L$12:$M$13)+$N$16*NMultDensity(A41:B41,$L$18:$M$18,$L$16:$M$17)+$N$20*NMultDensity(A41:B41,$L$22:$M$22,$L$20:$M$21)+$N$8*NMultDensity(A41:B41,$L$10:$M$10,$L$8:$M$9)</f>
        <v>2.6720458331866683</v>
      </c>
      <c r="E41" cm="1">
        <f t="array" ref="E41">$N$8*NMultDensity(A41:B41,$L$10:$M$10,$L$8:$M$9)/D41</f>
        <v>0.99995973806622274</v>
      </c>
      <c r="F41" cm="1">
        <f t="array" ref="F41">$N$12*NMultDensity(A41:B41,$L$14:$M$14,$L$12:$M$13)/D41</f>
        <v>4.0261919533991532E-5</v>
      </c>
      <c r="G41" cm="1">
        <f t="array" ref="G41">$N$16*NMultDensity(A41:B41,$L$18:$M$18,$L$16:$M$17)/D41</f>
        <v>1.4243352658602282E-11</v>
      </c>
      <c r="H41" cm="1">
        <f t="array" ref="H41">$N$20*NMultDensity(A41:B41,$L$22:$M$22,$L$20:$M$21)/D41</f>
        <v>2.486745772067106E-21</v>
      </c>
      <c r="I41">
        <f t="shared" si="5"/>
        <v>0.99995973806622274</v>
      </c>
      <c r="R41">
        <v>1.5</v>
      </c>
      <c r="S41">
        <v>0.2</v>
      </c>
      <c r="T41">
        <v>1</v>
      </c>
    </row>
    <row r="42" spans="1:20" x14ac:dyDescent="0.3">
      <c r="A42">
        <v>1.3</v>
      </c>
      <c r="B42">
        <v>0.3</v>
      </c>
      <c r="C42">
        <f t="shared" si="4"/>
        <v>1</v>
      </c>
      <c r="D42" cm="1">
        <f t="array" ref="D42">$N$12*NMultDensity(A42:B42,$L$14:$M$14,$L$12:$M$13)+$N$16*NMultDensity(A42:B42,$L$18:$M$18,$L$16:$M$17)+$N$20*NMultDensity(A42:B42,$L$22:$M$22,$L$20:$M$21)+$N$8*NMultDensity(A42:B42,$L$10:$M$10,$L$8:$M$9)</f>
        <v>1.366940775348819</v>
      </c>
      <c r="E42" cm="1">
        <f t="array" ref="E42">$N$8*NMultDensity(A42:B42,$L$10:$M$10,$L$8:$M$9)/D42</f>
        <v>0.99973237924608227</v>
      </c>
      <c r="F42" cm="1">
        <f t="array" ref="F42">$N$12*NMultDensity(A42:B42,$L$14:$M$14,$L$12:$M$13)/D42</f>
        <v>2.6762075341476134E-4</v>
      </c>
      <c r="G42" cm="1">
        <f t="array" ref="G42">$N$16*NMultDensity(A42:B42,$L$18:$M$18,$L$16:$M$17)/D42</f>
        <v>5.0290506662182736E-13</v>
      </c>
      <c r="H42" cm="1">
        <f t="array" ref="H42">$N$20*NMultDensity(A42:B42,$L$22:$M$22,$L$20:$M$21)/D42</f>
        <v>7.4303645632137478E-23</v>
      </c>
      <c r="I42">
        <f t="shared" si="5"/>
        <v>0.99973237924608227</v>
      </c>
      <c r="R42">
        <v>1.3</v>
      </c>
      <c r="S42">
        <v>0.3</v>
      </c>
      <c r="T42">
        <v>1</v>
      </c>
    </row>
    <row r="43" spans="1:20" x14ac:dyDescent="0.3">
      <c r="A43">
        <v>1.3</v>
      </c>
      <c r="B43">
        <v>0.3</v>
      </c>
      <c r="C43">
        <f t="shared" si="4"/>
        <v>1</v>
      </c>
      <c r="D43" cm="1">
        <f t="array" ref="D43">$N$12*NMultDensity(A43:B43,$L$14:$M$14,$L$12:$M$13)+$N$16*NMultDensity(A43:B43,$L$18:$M$18,$L$16:$M$17)+$N$20*NMultDensity(A43:B43,$L$22:$M$22,$L$20:$M$21)+$N$8*NMultDensity(A43:B43,$L$10:$M$10,$L$8:$M$9)</f>
        <v>1.366940775348819</v>
      </c>
      <c r="E43" cm="1">
        <f t="array" ref="E43">$N$8*NMultDensity(A43:B43,$L$10:$M$10,$L$8:$M$9)/D43</f>
        <v>0.99973237924608227</v>
      </c>
      <c r="F43" cm="1">
        <f t="array" ref="F43">$N$12*NMultDensity(A43:B43,$L$14:$M$14,$L$12:$M$13)/D43</f>
        <v>2.6762075341476134E-4</v>
      </c>
      <c r="G43" cm="1">
        <f t="array" ref="G43">$N$16*NMultDensity(A43:B43,$L$18:$M$18,$L$16:$M$17)/D43</f>
        <v>5.0290506662182736E-13</v>
      </c>
      <c r="H43" cm="1">
        <f t="array" ref="H43">$N$20*NMultDensity(A43:B43,$L$22:$M$22,$L$20:$M$21)/D43</f>
        <v>7.4303645632137478E-23</v>
      </c>
      <c r="I43">
        <f t="shared" si="5"/>
        <v>0.99973237924608227</v>
      </c>
      <c r="R43">
        <v>1.3</v>
      </c>
      <c r="S43">
        <v>0.3</v>
      </c>
      <c r="T43">
        <v>1</v>
      </c>
    </row>
    <row r="44" spans="1:20" x14ac:dyDescent="0.3">
      <c r="A44">
        <v>1.3</v>
      </c>
      <c r="B44">
        <v>0.2</v>
      </c>
      <c r="C44">
        <f t="shared" si="4"/>
        <v>1</v>
      </c>
      <c r="D44" cm="1">
        <f t="array" ref="D44">$N$12*NMultDensity(A44:B44,$L$14:$M$14,$L$12:$M$13)+$N$16*NMultDensity(A44:B44,$L$18:$M$18,$L$16:$M$17)+$N$20*NMultDensity(A44:B44,$L$22:$M$22,$L$20:$M$21)+$N$8*NMultDensity(A44:B44,$L$10:$M$10,$L$8:$M$9)</f>
        <v>2.021216284274757</v>
      </c>
      <c r="E44" cm="1">
        <f t="array" ref="E44">$N$8*NMultDensity(A44:B44,$L$10:$M$10,$L$8:$M$9)/D44</f>
        <v>0.99993181521431462</v>
      </c>
      <c r="F44" cm="1">
        <f t="array" ref="F44">$N$12*NMultDensity(A44:B44,$L$14:$M$14,$L$12:$M$13)/D44</f>
        <v>6.8184785089126789E-5</v>
      </c>
      <c r="G44" cm="1">
        <f t="array" ref="G44">$N$16*NMultDensity(A44:B44,$L$18:$M$18,$L$16:$M$17)/D44</f>
        <v>5.9623004420495045E-13</v>
      </c>
      <c r="H44" cm="1">
        <f t="array" ref="H44">$N$20*NMultDensity(A44:B44,$L$22:$M$22,$L$20:$M$21)/D44</f>
        <v>4.2330788018743084E-23</v>
      </c>
      <c r="I44">
        <f t="shared" si="5"/>
        <v>0.99993181521431462</v>
      </c>
      <c r="R44">
        <v>1.3</v>
      </c>
      <c r="S44">
        <v>0.2</v>
      </c>
      <c r="T44">
        <v>1</v>
      </c>
    </row>
    <row r="45" spans="1:20" x14ac:dyDescent="0.3">
      <c r="A45">
        <v>1.6</v>
      </c>
      <c r="B45">
        <v>0.6</v>
      </c>
      <c r="C45">
        <f t="shared" si="4"/>
        <v>1</v>
      </c>
      <c r="D45" cm="1">
        <f t="array" ref="D45">$N$12*NMultDensity(A45:B45,$L$14:$M$14,$L$12:$M$13)+$N$16*NMultDensity(A45:B45,$L$18:$M$18,$L$16:$M$17)+$N$20*NMultDensity(A45:B45,$L$22:$M$22,$L$20:$M$21)+$N$8*NMultDensity(A45:B45,$L$10:$M$10,$L$8:$M$9)</f>
        <v>8.7433107989122183E-3</v>
      </c>
      <c r="E45" cm="1">
        <f t="array" ref="E45">$N$8*NMultDensity(A45:B45,$L$10:$M$10,$L$8:$M$9)/D45</f>
        <v>0.8638733065295543</v>
      </c>
      <c r="F45" cm="1">
        <f t="array" ref="F45">$N$12*NMultDensity(A45:B45,$L$14:$M$14,$L$12:$M$13)/D45</f>
        <v>0.13612669264683472</v>
      </c>
      <c r="G45" cm="1">
        <f t="array" ref="G45">$N$16*NMultDensity(A45:B45,$L$18:$M$18,$L$16:$M$17)/D45</f>
        <v>8.2361096628010477E-10</v>
      </c>
      <c r="H45" cm="1">
        <f t="array" ref="H45">$N$20*NMultDensity(A45:B45,$L$22:$M$22,$L$20:$M$21)/D45</f>
        <v>8.6689550841375925E-18</v>
      </c>
      <c r="I45">
        <f t="shared" si="5"/>
        <v>0.8638733065295543</v>
      </c>
      <c r="R45">
        <v>1.6</v>
      </c>
      <c r="S45">
        <v>0.6</v>
      </c>
      <c r="T45">
        <v>1</v>
      </c>
    </row>
    <row r="46" spans="1:20" x14ac:dyDescent="0.3">
      <c r="A46">
        <v>1.9</v>
      </c>
      <c r="B46">
        <v>0.4</v>
      </c>
      <c r="C46">
        <f t="shared" si="4"/>
        <v>1</v>
      </c>
      <c r="D46" cm="1">
        <f t="array" ref="D46">$N$12*NMultDensity(A46:B46,$L$14:$M$14,$L$12:$M$13)+$N$16*NMultDensity(A46:B46,$L$18:$M$18,$L$16:$M$17)+$N$20*NMultDensity(A46:B46,$L$22:$M$22,$L$20:$M$21)+$N$8*NMultDensity(A46:B46,$L$10:$M$10,$L$8:$M$9)</f>
        <v>9.5909287778555022E-2</v>
      </c>
      <c r="E46" cm="1">
        <f t="array" ref="E46">$N$8*NMultDensity(A46:B46,$L$10:$M$10,$L$8:$M$9)/D46</f>
        <v>0.98988770188608211</v>
      </c>
      <c r="F46" cm="1">
        <f t="array" ref="F46">$N$12*NMultDensity(A46:B46,$L$14:$M$14,$L$12:$M$13)/D46</f>
        <v>1.0112074392321702E-2</v>
      </c>
      <c r="G46" cm="1">
        <f t="array" ref="G46">$N$16*NMultDensity(A46:B46,$L$18:$M$18,$L$16:$M$17)/D46</f>
        <v>2.2372159570753277E-7</v>
      </c>
      <c r="H46" cm="1">
        <f t="array" ref="H46">$N$20*NMultDensity(A46:B46,$L$22:$M$22,$L$20:$M$21)/D46</f>
        <v>5.7873854714489306E-16</v>
      </c>
      <c r="I46">
        <f t="shared" si="5"/>
        <v>0.98988770188608211</v>
      </c>
      <c r="R46">
        <v>1.9</v>
      </c>
      <c r="S46">
        <v>0.4</v>
      </c>
      <c r="T46">
        <v>1</v>
      </c>
    </row>
    <row r="47" spans="1:20" x14ac:dyDescent="0.3">
      <c r="A47">
        <v>1.4</v>
      </c>
      <c r="B47">
        <v>0.3</v>
      </c>
      <c r="C47">
        <f t="shared" si="4"/>
        <v>1</v>
      </c>
      <c r="D47" cm="1">
        <f t="array" ref="D47">$N$12*NMultDensity(A47:B47,$L$14:$M$14,$L$12:$M$13)+$N$16*NMultDensity(A47:B47,$L$18:$M$18,$L$16:$M$17)+$N$20*NMultDensity(A47:B47,$L$22:$M$22,$L$20:$M$21)+$N$8*NMultDensity(A47:B47,$L$10:$M$10,$L$8:$M$9)</f>
        <v>2.3409660785520678</v>
      </c>
      <c r="E47" cm="1">
        <f t="array" ref="E47">$N$8*NMultDensity(A47:B47,$L$10:$M$10,$L$8:$M$9)/D47</f>
        <v>0.9998321098441425</v>
      </c>
      <c r="F47" cm="1">
        <f t="array" ref="F47">$N$12*NMultDensity(A47:B47,$L$14:$M$14,$L$12:$M$13)/D47</f>
        <v>1.6789015351497121E-4</v>
      </c>
      <c r="G47" cm="1">
        <f t="array" ref="G47">$N$16*NMultDensity(A47:B47,$L$18:$M$18,$L$16:$M$17)/D47</f>
        <v>2.3424865274827677E-12</v>
      </c>
      <c r="H47" cm="1">
        <f t="array" ref="H47">$N$20*NMultDensity(A47:B47,$L$22:$M$22,$L$20:$M$21)/D47</f>
        <v>4.8080700563085366E-22</v>
      </c>
      <c r="I47">
        <f t="shared" si="5"/>
        <v>0.9998321098441425</v>
      </c>
      <c r="R47">
        <v>1.4</v>
      </c>
      <c r="S47">
        <v>0.3</v>
      </c>
      <c r="T47">
        <v>1</v>
      </c>
    </row>
    <row r="48" spans="1:20" x14ac:dyDescent="0.3">
      <c r="A48">
        <v>1.6</v>
      </c>
      <c r="B48">
        <v>0.2</v>
      </c>
      <c r="C48">
        <f t="shared" si="4"/>
        <v>1</v>
      </c>
      <c r="D48" cm="1">
        <f t="array" ref="D48">$N$12*NMultDensity(A48:B48,$L$14:$M$14,$L$12:$M$13)+$N$16*NMultDensity(A48:B48,$L$18:$M$18,$L$16:$M$17)+$N$20*NMultDensity(A48:B48,$L$22:$M$22,$L$20:$M$21)+$N$8*NMultDensity(A48:B48,$L$10:$M$10,$L$8:$M$9)</f>
        <v>1.7386472938190185</v>
      </c>
      <c r="E48" cm="1">
        <f t="array" ref="E48">$N$8*NMultDensity(A48:B48,$L$10:$M$10,$L$8:$M$9)/D48</f>
        <v>0.99994994285239214</v>
      </c>
      <c r="F48" cm="1">
        <f t="array" ref="F48">$N$12*NMultDensity(A48:B48,$L$14:$M$14,$L$12:$M$13)/D48</f>
        <v>5.0057051527302443E-5</v>
      </c>
      <c r="G48" cm="1">
        <f t="array" ref="G48">$N$16*NMultDensity(A48:B48,$L$18:$M$18,$L$16:$M$17)/D48</f>
        <v>9.6080604548311473E-11</v>
      </c>
      <c r="H48" cm="1">
        <f t="array" ref="H48">$N$20*NMultDensity(A48:B48,$L$22:$M$22,$L$20:$M$21)/D48</f>
        <v>2.7565149173816037E-20</v>
      </c>
      <c r="I48">
        <f t="shared" si="5"/>
        <v>0.99994994285239214</v>
      </c>
      <c r="R48">
        <v>1.6</v>
      </c>
      <c r="S48">
        <v>0.2</v>
      </c>
      <c r="T48">
        <v>1</v>
      </c>
    </row>
    <row r="49" spans="1:20" x14ac:dyDescent="0.3">
      <c r="A49">
        <v>1.4</v>
      </c>
      <c r="B49">
        <v>0.2</v>
      </c>
      <c r="C49">
        <f t="shared" si="4"/>
        <v>1</v>
      </c>
      <c r="D49" cm="1">
        <f t="array" ref="D49">$N$12*NMultDensity(A49:B49,$L$14:$M$14,$L$12:$M$13)+$N$16*NMultDensity(A49:B49,$L$18:$M$18,$L$16:$M$17)+$N$20*NMultDensity(A49:B49,$L$22:$M$22,$L$20:$M$21)+$N$8*NMultDensity(A49:B49,$L$10:$M$10,$L$8:$M$9)</f>
        <v>2.8095942769161026</v>
      </c>
      <c r="E49" cm="1">
        <f t="array" ref="E49">$N$8*NMultDensity(A49:B49,$L$10:$M$10,$L$8:$M$9)/D49</f>
        <v>0.99995536906699056</v>
      </c>
      <c r="F49" cm="1">
        <f t="array" ref="F49">$N$12*NMultDensity(A49:B49,$L$14:$M$14,$L$12:$M$13)/D49</f>
        <v>4.4630930392108006E-5</v>
      </c>
      <c r="G49" cm="1">
        <f t="array" ref="G49">$N$16*NMultDensity(A49:B49,$L$18:$M$18,$L$16:$M$17)/D49</f>
        <v>2.6174134556654273E-12</v>
      </c>
      <c r="H49" cm="1">
        <f t="array" ref="H49">$N$20*NMultDensity(A49:B49,$L$22:$M$22,$L$20:$M$21)/D49</f>
        <v>2.869001556390644E-22</v>
      </c>
      <c r="I49">
        <f t="shared" si="5"/>
        <v>0.99995536906699056</v>
      </c>
      <c r="R49">
        <v>1.4</v>
      </c>
      <c r="S49">
        <v>0.2</v>
      </c>
      <c r="T49">
        <v>1</v>
      </c>
    </row>
    <row r="50" spans="1:20" x14ac:dyDescent="0.3">
      <c r="A50">
        <v>1.5</v>
      </c>
      <c r="B50">
        <v>0.2</v>
      </c>
      <c r="C50">
        <f t="shared" si="4"/>
        <v>1</v>
      </c>
      <c r="D50" cm="1">
        <f t="array" ref="D50">$N$12*NMultDensity(A50:B50,$L$14:$M$14,$L$12:$M$13)+$N$16*NMultDensity(A50:B50,$L$18:$M$18,$L$16:$M$17)+$N$20*NMultDensity(A50:B50,$L$22:$M$22,$L$20:$M$21)+$N$8*NMultDensity(A50:B50,$L$10:$M$10,$L$8:$M$9)</f>
        <v>2.6720458331866683</v>
      </c>
      <c r="E50" cm="1">
        <f t="array" ref="E50">$N$8*NMultDensity(A50:B50,$L$10:$M$10,$L$8:$M$9)/D50</f>
        <v>0.99995973806622274</v>
      </c>
      <c r="F50" cm="1">
        <f t="array" ref="F50">$N$12*NMultDensity(A50:B50,$L$14:$M$14,$L$12:$M$13)/D50</f>
        <v>4.0261919533991532E-5</v>
      </c>
      <c r="G50" cm="1">
        <f t="array" ref="G50">$N$16*NMultDensity(A50:B50,$L$18:$M$18,$L$16:$M$17)/D50</f>
        <v>1.4243352658602282E-11</v>
      </c>
      <c r="H50" cm="1">
        <f t="array" ref="H50">$N$20*NMultDensity(A50:B50,$L$22:$M$22,$L$20:$M$21)/D50</f>
        <v>2.486745772067106E-21</v>
      </c>
      <c r="I50">
        <f t="shared" si="5"/>
        <v>0.99995973806622274</v>
      </c>
      <c r="R50">
        <v>1.5</v>
      </c>
      <c r="S50">
        <v>0.2</v>
      </c>
      <c r="T50">
        <v>1</v>
      </c>
    </row>
    <row r="51" spans="1:20" x14ac:dyDescent="0.3">
      <c r="A51">
        <v>1.4</v>
      </c>
      <c r="B51">
        <v>0.2</v>
      </c>
      <c r="C51">
        <f t="shared" si="4"/>
        <v>1</v>
      </c>
      <c r="D51" cm="1">
        <f t="array" ref="D51">$N$12*NMultDensity(A51:B51,$L$14:$M$14,$L$12:$M$13)+$N$16*NMultDensity(A51:B51,$L$18:$M$18,$L$16:$M$17)+$N$20*NMultDensity(A51:B51,$L$22:$M$22,$L$20:$M$21)+$N$8*NMultDensity(A51:B51,$L$10:$M$10,$L$8:$M$9)</f>
        <v>2.8095942769161026</v>
      </c>
      <c r="E51" cm="1">
        <f t="array" ref="E51">$N$8*NMultDensity(A51:B51,$L$10:$M$10,$L$8:$M$9)/D51</f>
        <v>0.99995536906699056</v>
      </c>
      <c r="F51" cm="1">
        <f t="array" ref="F51">$N$12*NMultDensity(A51:B51,$L$14:$M$14,$L$12:$M$13)/D51</f>
        <v>4.4630930392108006E-5</v>
      </c>
      <c r="G51" cm="1">
        <f t="array" ref="G51">$N$16*NMultDensity(A51:B51,$L$18:$M$18,$L$16:$M$17)/D51</f>
        <v>2.6174134556654273E-12</v>
      </c>
      <c r="H51" cm="1">
        <f t="array" ref="H51">$N$20*NMultDensity(A51:B51,$L$22:$M$22,$L$20:$M$21)/D51</f>
        <v>2.869001556390644E-22</v>
      </c>
      <c r="I51">
        <f t="shared" si="5"/>
        <v>0.99995536906699056</v>
      </c>
      <c r="R51">
        <v>1.4</v>
      </c>
      <c r="S51">
        <v>0.2</v>
      </c>
      <c r="T51">
        <v>1</v>
      </c>
    </row>
    <row r="52" spans="1:20" x14ac:dyDescent="0.3">
      <c r="A52">
        <v>4.7</v>
      </c>
      <c r="B52">
        <v>1.4</v>
      </c>
      <c r="C52">
        <f t="shared" si="4"/>
        <v>3</v>
      </c>
      <c r="D52" cm="1">
        <f t="array" ref="D52">$N$12*NMultDensity(A52:B52,$L$14:$M$14,$L$12:$M$13)+$N$16*NMultDensity(A52:B52,$L$18:$M$18,$L$16:$M$17)+$N$20*NMultDensity(A52:B52,$L$22:$M$22,$L$20:$M$21)+$N$8*NMultDensity(A52:B52,$L$10:$M$10,$L$8:$M$9)</f>
        <v>0.54266266541043962</v>
      </c>
      <c r="E52" cm="1">
        <f t="array" ref="E52">$N$8*NMultDensity(A52:B52,$L$10:$M$10,$L$8:$M$9)/D52</f>
        <v>2.7183250120242185E-83</v>
      </c>
      <c r="F52" cm="1">
        <f t="array" ref="F52">$N$12*NMultDensity(A52:B52,$L$14:$M$14,$L$12:$M$13)/D52</f>
        <v>0.34737351176195946</v>
      </c>
      <c r="G52" cm="1">
        <f t="array" ref="G52">$N$16*NMultDensity(A52:B52,$L$18:$M$18,$L$16:$M$17)/D52</f>
        <v>0.64163179062733466</v>
      </c>
      <c r="H52" cm="1">
        <f t="array" ref="H52">$N$20*NMultDensity(A52:B52,$L$22:$M$22,$L$20:$M$21)/D52</f>
        <v>1.099469761070569E-2</v>
      </c>
      <c r="I52">
        <f t="shared" si="5"/>
        <v>0.64163179062733466</v>
      </c>
      <c r="R52">
        <v>3.3</v>
      </c>
      <c r="S52">
        <v>1</v>
      </c>
      <c r="T52">
        <v>2</v>
      </c>
    </row>
    <row r="53" spans="1:20" x14ac:dyDescent="0.3">
      <c r="A53">
        <v>4.5</v>
      </c>
      <c r="B53">
        <v>1.5</v>
      </c>
      <c r="C53">
        <f t="shared" si="4"/>
        <v>3</v>
      </c>
      <c r="D53" cm="1">
        <f t="array" ref="D53">$N$12*NMultDensity(A53:B53,$L$14:$M$14,$L$12:$M$13)+$N$16*NMultDensity(A53:B53,$L$18:$M$18,$L$16:$M$17)+$N$20*NMultDensity(A53:B53,$L$22:$M$22,$L$20:$M$21)+$N$8*NMultDensity(A53:B53,$L$10:$M$10,$L$8:$M$9)</f>
        <v>0.71262653398939213</v>
      </c>
      <c r="E53" cm="1">
        <f t="array" ref="E53">$N$8*NMultDensity(A53:B53,$L$10:$M$10,$L$8:$M$9)/D53</f>
        <v>5.74871133159744E-78</v>
      </c>
      <c r="F53" cm="1">
        <f t="array" ref="F53">$N$12*NMultDensity(A53:B53,$L$14:$M$14,$L$12:$M$13)/D53</f>
        <v>0.20544277137409039</v>
      </c>
      <c r="G53" cm="1">
        <f t="array" ref="G53">$N$16*NMultDensity(A53:B53,$L$18:$M$18,$L$16:$M$17)/D53</f>
        <v>0.76339580614605862</v>
      </c>
      <c r="H53" cm="1">
        <f t="array" ref="H53">$N$20*NMultDensity(A53:B53,$L$22:$M$22,$L$20:$M$21)/D53</f>
        <v>3.1161422479850858E-2</v>
      </c>
      <c r="I53">
        <f t="shared" si="5"/>
        <v>0.76339580614605862</v>
      </c>
      <c r="R53">
        <v>3.6</v>
      </c>
      <c r="S53">
        <v>1.3</v>
      </c>
      <c r="T53">
        <v>2</v>
      </c>
    </row>
    <row r="54" spans="1:20" x14ac:dyDescent="0.3">
      <c r="A54">
        <v>4.9000000000000004</v>
      </c>
      <c r="B54">
        <v>1.5</v>
      </c>
      <c r="C54">
        <f t="shared" si="4"/>
        <v>3</v>
      </c>
      <c r="D54" cm="1">
        <f t="array" ref="D54">$N$12*NMultDensity(A54:B54,$L$14:$M$14,$L$12:$M$13)+$N$16*NMultDensity(A54:B54,$L$18:$M$18,$L$16:$M$17)+$N$20*NMultDensity(A54:B54,$L$22:$M$22,$L$20:$M$21)+$N$8*NMultDensity(A54:B54,$L$10:$M$10,$L$8:$M$9)</f>
        <v>0.44858508336238484</v>
      </c>
      <c r="E54" cm="1">
        <f t="array" ref="E54">$N$8*NMultDensity(A54:B54,$L$10:$M$10,$L$8:$M$9)/D54</f>
        <v>1.4388804176872823E-94</v>
      </c>
      <c r="F54" cm="1">
        <f t="array" ref="F54">$N$12*NMultDensity(A54:B54,$L$14:$M$14,$L$12:$M$13)/D54</f>
        <v>0.48173251322091704</v>
      </c>
      <c r="G54" cm="1">
        <f t="array" ref="G54">$N$16*NMultDensity(A54:B54,$L$18:$M$18,$L$16:$M$17)/D54</f>
        <v>0.48775233857749101</v>
      </c>
      <c r="H54" cm="1">
        <f t="array" ref="H54">$N$20*NMultDensity(A54:B54,$L$22:$M$22,$L$20:$M$21)/D54</f>
        <v>3.0515148201591909E-2</v>
      </c>
      <c r="I54">
        <f t="shared" si="5"/>
        <v>0.48775233857749101</v>
      </c>
      <c r="R54">
        <v>4.7</v>
      </c>
      <c r="S54">
        <v>1.2</v>
      </c>
      <c r="T54">
        <v>2</v>
      </c>
    </row>
    <row r="55" spans="1:20" x14ac:dyDescent="0.3">
      <c r="A55">
        <v>4</v>
      </c>
      <c r="B55">
        <v>1.3</v>
      </c>
      <c r="C55">
        <f t="shared" si="4"/>
        <v>3</v>
      </c>
      <c r="D55" cm="1">
        <f t="array" ref="D55">$N$12*NMultDensity(A55:B55,$L$14:$M$14,$L$12:$M$13)+$N$16*NMultDensity(A55:B55,$L$18:$M$18,$L$16:$M$17)+$N$20*NMultDensity(A55:B55,$L$22:$M$22,$L$20:$M$21)+$N$8*NMultDensity(A55:B55,$L$10:$M$10,$L$8:$M$9)</f>
        <v>0.598239619733272</v>
      </c>
      <c r="E55" cm="1">
        <f t="array" ref="E55">$N$8*NMultDensity(A55:B55,$L$10:$M$10,$L$8:$M$9)/D55</f>
        <v>1.560582375487381E-54</v>
      </c>
      <c r="F55" cm="1">
        <f t="array" ref="F55">$N$12*NMultDensity(A55:B55,$L$14:$M$14,$L$12:$M$13)/D55</f>
        <v>0.21095961184845233</v>
      </c>
      <c r="G55" cm="1">
        <f t="array" ref="G55">$N$16*NMultDensity(A55:B55,$L$18:$M$18,$L$16:$M$17)/D55</f>
        <v>0.78747992922423871</v>
      </c>
      <c r="H55" cm="1">
        <f t="array" ref="H55">$N$20*NMultDensity(A55:B55,$L$22:$M$22,$L$20:$M$21)/D55</f>
        <v>1.5604589273090087E-3</v>
      </c>
      <c r="I55">
        <f t="shared" si="5"/>
        <v>0.78747992922423871</v>
      </c>
      <c r="R55">
        <v>5.0999999999999996</v>
      </c>
      <c r="S55">
        <v>1.6</v>
      </c>
      <c r="T55">
        <v>2</v>
      </c>
    </row>
    <row r="56" spans="1:20" x14ac:dyDescent="0.3">
      <c r="A56">
        <v>4.5999999999999996</v>
      </c>
      <c r="B56">
        <v>1.5</v>
      </c>
      <c r="C56">
        <f t="shared" si="4"/>
        <v>3</v>
      </c>
      <c r="D56" cm="1">
        <f t="array" ref="D56">$N$12*NMultDensity(A56:B56,$L$14:$M$14,$L$12:$M$13)+$N$16*NMultDensity(A56:B56,$L$18:$M$18,$L$16:$M$17)+$N$20*NMultDensity(A56:B56,$L$22:$M$22,$L$20:$M$21)+$N$8*NMultDensity(A56:B56,$L$10:$M$10,$L$8:$M$9)</f>
        <v>0.75496392877476781</v>
      </c>
      <c r="E56" cm="1">
        <f t="array" ref="E56">$N$8*NMultDensity(A56:B56,$L$10:$M$10,$L$8:$M$9)/D56</f>
        <v>6.0412086798852035E-82</v>
      </c>
      <c r="F56" cm="1">
        <f t="array" ref="F56">$N$12*NMultDensity(A56:B56,$L$14:$M$14,$L$12:$M$13)/D56</f>
        <v>0.23344351745411165</v>
      </c>
      <c r="G56" cm="1">
        <f t="array" ref="G56">$N$16*NMultDensity(A56:B56,$L$18:$M$18,$L$16:$M$17)/D56</f>
        <v>0.73471231841957307</v>
      </c>
      <c r="H56" cm="1">
        <f t="array" ref="H56">$N$20*NMultDensity(A56:B56,$L$22:$M$22,$L$20:$M$21)/D56</f>
        <v>3.1844164126315209E-2</v>
      </c>
      <c r="I56">
        <f t="shared" si="5"/>
        <v>0.73471231841957307</v>
      </c>
      <c r="R56">
        <v>3.3</v>
      </c>
      <c r="S56">
        <v>1</v>
      </c>
      <c r="T56">
        <v>2</v>
      </c>
    </row>
    <row r="57" spans="1:20" x14ac:dyDescent="0.3">
      <c r="A57">
        <v>4.5</v>
      </c>
      <c r="B57">
        <v>1.3</v>
      </c>
      <c r="C57">
        <f t="shared" si="4"/>
        <v>3</v>
      </c>
      <c r="D57" cm="1">
        <f t="array" ref="D57">$N$12*NMultDensity(A57:B57,$L$14:$M$14,$L$12:$M$13)+$N$16*NMultDensity(A57:B57,$L$18:$M$18,$L$16:$M$17)+$N$20*NMultDensity(A57:B57,$L$22:$M$22,$L$20:$M$21)+$N$8*NMultDensity(A57:B57,$L$10:$M$10,$L$8:$M$9)</f>
        <v>0.56996162832615416</v>
      </c>
      <c r="E57" cm="1">
        <f t="array" ref="E57">$N$8*NMultDensity(A57:B57,$L$10:$M$10,$L$8:$M$9)/D57</f>
        <v>1.0315967475633502E-72</v>
      </c>
      <c r="F57" cm="1">
        <f t="array" ref="F57">$N$12*NMultDensity(A57:B57,$L$14:$M$14,$L$12:$M$13)/D57</f>
        <v>0.25650497890785628</v>
      </c>
      <c r="G57" cm="1">
        <f t="array" ref="G57">$N$16*NMultDensity(A57:B57,$L$18:$M$18,$L$16:$M$17)/D57</f>
        <v>0.73993278408580265</v>
      </c>
      <c r="H57" cm="1">
        <f t="array" ref="H57">$N$20*NMultDensity(A57:B57,$L$22:$M$22,$L$20:$M$21)/D57</f>
        <v>3.5622370063411622E-3</v>
      </c>
      <c r="I57">
        <f t="shared" si="5"/>
        <v>0.73993278408580265</v>
      </c>
      <c r="R57">
        <v>3</v>
      </c>
      <c r="S57">
        <v>1.1000000000000001</v>
      </c>
      <c r="T57">
        <v>2</v>
      </c>
    </row>
    <row r="58" spans="1:20" x14ac:dyDescent="0.3">
      <c r="A58">
        <v>4.7</v>
      </c>
      <c r="B58">
        <v>1.6</v>
      </c>
      <c r="C58">
        <f t="shared" si="4"/>
        <v>3</v>
      </c>
      <c r="D58" cm="1">
        <f t="array" ref="D58">$N$12*NMultDensity(A58:B58,$L$14:$M$14,$L$12:$M$13)+$N$16*NMultDensity(A58:B58,$L$18:$M$18,$L$16:$M$17)+$N$20*NMultDensity(A58:B58,$L$22:$M$22,$L$20:$M$21)+$N$8*NMultDensity(A58:B58,$L$10:$M$10,$L$8:$M$9)</f>
        <v>0.5161988082964486</v>
      </c>
      <c r="E58" cm="1">
        <f t="array" ref="E58">$N$8*NMultDensity(A58:B58,$L$10:$M$10,$L$8:$M$9)/D58</f>
        <v>5.474396720016224E-89</v>
      </c>
      <c r="F58" cm="1">
        <f t="array" ref="F58">$N$12*NMultDensity(A58:B58,$L$14:$M$14,$L$12:$M$13)/D58</f>
        <v>0.23794482773023307</v>
      </c>
      <c r="G58" cm="1">
        <f t="array" ref="G58">$N$16*NMultDensity(A58:B58,$L$18:$M$18,$L$16:$M$17)/D58</f>
        <v>0.64487797447070228</v>
      </c>
      <c r="H58" cm="1">
        <f t="array" ref="H58">$N$20*NMultDensity(A58:B58,$L$22:$M$22,$L$20:$M$21)/D58</f>
        <v>0.11717719779906469</v>
      </c>
      <c r="I58">
        <f t="shared" si="5"/>
        <v>0.64487797447070228</v>
      </c>
      <c r="R58">
        <v>5.6</v>
      </c>
      <c r="S58">
        <v>1.8</v>
      </c>
      <c r="T58">
        <v>2</v>
      </c>
    </row>
    <row r="59" spans="1:20" x14ac:dyDescent="0.3">
      <c r="A59">
        <v>3.3</v>
      </c>
      <c r="B59">
        <v>1</v>
      </c>
      <c r="C59">
        <f t="shared" si="4"/>
        <v>2</v>
      </c>
      <c r="D59" cm="1">
        <f t="array" ref="D59">$N$12*NMultDensity(A59:B59,$L$14:$M$14,$L$12:$M$13)+$N$16*NMultDensity(A59:B59,$L$18:$M$18,$L$16:$M$17)+$N$20*NMultDensity(A59:B59,$L$22:$M$22,$L$20:$M$21)+$N$8*NMultDensity(A59:B59,$L$10:$M$10,$L$8:$M$9)</f>
        <v>9.0321089723562106E-2</v>
      </c>
      <c r="E59" cm="1">
        <f t="array" ref="E59">$N$8*NMultDensity(A59:B59,$L$10:$M$10,$L$8:$M$9)/D59</f>
        <v>1.2835844811482472E-27</v>
      </c>
      <c r="F59" cm="1">
        <f t="array" ref="F59">$N$12*NMultDensity(A59:B59,$L$14:$M$14,$L$12:$M$13)/D59</f>
        <v>0.62918786467255405</v>
      </c>
      <c r="G59" cm="1">
        <f t="array" ref="G59">$N$16*NMultDensity(A59:B59,$L$18:$M$18,$L$16:$M$17)/D59</f>
        <v>0.37080411347548659</v>
      </c>
      <c r="H59" cm="1">
        <f t="array" ref="H59">$N$20*NMultDensity(A59:B59,$L$22:$M$22,$L$20:$M$21)/D59</f>
        <v>8.0218519592867149E-6</v>
      </c>
      <c r="I59">
        <f t="shared" si="5"/>
        <v>0.62918786467255405</v>
      </c>
      <c r="R59">
        <v>6.6</v>
      </c>
      <c r="S59">
        <v>2.1</v>
      </c>
      <c r="T59">
        <v>2</v>
      </c>
    </row>
    <row r="60" spans="1:20" x14ac:dyDescent="0.3">
      <c r="A60">
        <v>4.5999999999999996</v>
      </c>
      <c r="B60">
        <v>1.3</v>
      </c>
      <c r="C60">
        <f t="shared" si="4"/>
        <v>3</v>
      </c>
      <c r="D60" cm="1">
        <f t="array" ref="D60">$N$12*NMultDensity(A60:B60,$L$14:$M$14,$L$12:$M$13)+$N$16*NMultDensity(A60:B60,$L$18:$M$18,$L$16:$M$17)+$N$20*NMultDensity(A60:B60,$L$22:$M$22,$L$20:$M$21)+$N$8*NMultDensity(A60:B60,$L$10:$M$10,$L$8:$M$9)</f>
        <v>0.37945346472894209</v>
      </c>
      <c r="E60" cm="1">
        <f t="array" ref="E60">$N$8*NMultDensity(A60:B60,$L$10:$M$10,$L$8:$M$9)/D60</f>
        <v>1.1363685965876522E-76</v>
      </c>
      <c r="F60" cm="1">
        <f t="array" ref="F60">$N$12*NMultDensity(A60:B60,$L$14:$M$14,$L$12:$M$13)/D60</f>
        <v>0.33265565771518624</v>
      </c>
      <c r="G60" cm="1">
        <f t="array" ref="G60">$N$16*NMultDensity(A60:B60,$L$18:$M$18,$L$16:$M$17)/D60</f>
        <v>0.66315751515769017</v>
      </c>
      <c r="H60" cm="1">
        <f t="array" ref="H60">$N$20*NMultDensity(A60:B60,$L$22:$M$22,$L$20:$M$21)/D60</f>
        <v>4.186827127123708E-3</v>
      </c>
      <c r="I60">
        <f t="shared" si="5"/>
        <v>0.66315751515769017</v>
      </c>
      <c r="R60">
        <v>6.3</v>
      </c>
      <c r="S60">
        <v>1.8</v>
      </c>
      <c r="T60">
        <v>2</v>
      </c>
    </row>
    <row r="61" spans="1:20" x14ac:dyDescent="0.3">
      <c r="A61">
        <v>3.9</v>
      </c>
      <c r="B61">
        <v>1.4</v>
      </c>
      <c r="C61">
        <f t="shared" si="4"/>
        <v>3</v>
      </c>
      <c r="D61" cm="1">
        <f t="array" ref="D61">$N$12*NMultDensity(A61:B61,$L$14:$M$14,$L$12:$M$13)+$N$16*NMultDensity(A61:B61,$L$18:$M$18,$L$16:$M$17)+$N$20*NMultDensity(A61:B61,$L$22:$M$22,$L$20:$M$21)+$N$8*NMultDensity(A61:B61,$L$10:$M$10,$L$8:$M$9)</f>
        <v>0.14489551414313254</v>
      </c>
      <c r="E61" cm="1">
        <f t="array" ref="E61">$N$8*NMultDensity(A61:B61,$L$10:$M$10,$L$8:$M$9)/D61</f>
        <v>1.1567522100266312E-53</v>
      </c>
      <c r="F61" cm="1">
        <f t="array" ref="F61">$N$12*NMultDensity(A61:B61,$L$14:$M$14,$L$12:$M$13)/D61</f>
        <v>0.34418651284665697</v>
      </c>
      <c r="G61" cm="1">
        <f t="array" ref="G61">$N$16*NMultDensity(A61:B61,$L$18:$M$18,$L$16:$M$17)/D61</f>
        <v>0.65028299777889587</v>
      </c>
      <c r="H61" cm="1">
        <f t="array" ref="H61">$N$20*NMultDensity(A61:B61,$L$22:$M$22,$L$20:$M$21)/D61</f>
        <v>5.5304893744472011E-3</v>
      </c>
      <c r="I61">
        <f t="shared" si="5"/>
        <v>0.65028299777889587</v>
      </c>
      <c r="R61">
        <v>5.8</v>
      </c>
      <c r="S61">
        <v>1.8</v>
      </c>
      <c r="T61">
        <v>2</v>
      </c>
    </row>
    <row r="62" spans="1:20" x14ac:dyDescent="0.3">
      <c r="A62">
        <v>3.5</v>
      </c>
      <c r="B62">
        <v>1</v>
      </c>
      <c r="C62">
        <f t="shared" si="4"/>
        <v>3</v>
      </c>
      <c r="D62" cm="1">
        <f t="array" ref="D62">$N$12*NMultDensity(A62:B62,$L$14:$M$14,$L$12:$M$13)+$N$16*NMultDensity(A62:B62,$L$18:$M$18,$L$16:$M$17)+$N$20*NMultDensity(A62:B62,$L$22:$M$22,$L$20:$M$21)+$N$8*NMultDensity(A62:B62,$L$10:$M$10,$L$8:$M$9)</f>
        <v>0.16606005566473026</v>
      </c>
      <c r="E62" cm="1">
        <f t="array" ref="E62">$N$8*NMultDensity(A62:B62,$L$10:$M$10,$L$8:$M$9)/D62</f>
        <v>6.6374366560391864E-33</v>
      </c>
      <c r="F62" cm="1">
        <f t="array" ref="F62">$N$12*NMultDensity(A62:B62,$L$14:$M$14,$L$12:$M$13)/D62</f>
        <v>0.36363811726752421</v>
      </c>
      <c r="G62" cm="1">
        <f t="array" ref="G62">$N$16*NMultDensity(A62:B62,$L$18:$M$18,$L$16:$M$17)/D62</f>
        <v>0.63634011345578223</v>
      </c>
      <c r="H62" cm="1">
        <f t="array" ref="H62">$N$20*NMultDensity(A62:B62,$L$22:$M$22,$L$20:$M$21)/D62</f>
        <v>2.1769276693544983E-5</v>
      </c>
      <c r="I62">
        <f t="shared" si="5"/>
        <v>0.63634011345578223</v>
      </c>
      <c r="R62">
        <v>5.5</v>
      </c>
      <c r="S62">
        <v>1.8</v>
      </c>
      <c r="T62">
        <v>2</v>
      </c>
    </row>
    <row r="63" spans="1:20" x14ac:dyDescent="0.3">
      <c r="A63">
        <v>4.2</v>
      </c>
      <c r="B63">
        <v>1.5</v>
      </c>
      <c r="C63">
        <f t="shared" si="4"/>
        <v>3</v>
      </c>
      <c r="D63" cm="1">
        <f t="array" ref="D63">$N$12*NMultDensity(A63:B63,$L$14:$M$14,$L$12:$M$13)+$N$16*NMultDensity(A63:B63,$L$18:$M$18,$L$16:$M$17)+$N$20*NMultDensity(A63:B63,$L$22:$M$22,$L$20:$M$21)+$N$8*NMultDensity(A63:B63,$L$10:$M$10,$L$8:$M$9)</f>
        <v>0.25783582468583216</v>
      </c>
      <c r="E63" cm="1">
        <f t="array" ref="E63">$N$8*NMultDensity(A63:B63,$L$10:$M$10,$L$8:$M$9)/D63</f>
        <v>1.180873626807204E-66</v>
      </c>
      <c r="F63" cm="1">
        <f t="array" ref="F63">$N$12*NMultDensity(A63:B63,$L$14:$M$14,$L$12:$M$13)/D63</f>
        <v>0.2287817409339698</v>
      </c>
      <c r="G63" cm="1">
        <f t="array" ref="G63">$N$16*NMultDensity(A63:B63,$L$18:$M$18,$L$16:$M$17)/D63</f>
        <v>0.74076179332359582</v>
      </c>
      <c r="H63" cm="1">
        <f t="array" ref="H63">$N$20*NMultDensity(A63:B63,$L$22:$M$22,$L$20:$M$21)/D63</f>
        <v>3.0456465742434283E-2</v>
      </c>
      <c r="I63">
        <f t="shared" si="5"/>
        <v>0.74076179332359582</v>
      </c>
      <c r="R63">
        <v>6.7</v>
      </c>
      <c r="S63">
        <v>2.2000000000000002</v>
      </c>
      <c r="T63">
        <v>2</v>
      </c>
    </row>
    <row r="64" spans="1:20" x14ac:dyDescent="0.3">
      <c r="A64">
        <v>4</v>
      </c>
      <c r="B64">
        <v>1</v>
      </c>
      <c r="C64">
        <f t="shared" si="4"/>
        <v>3</v>
      </c>
      <c r="D64" cm="1">
        <f t="array" ref="D64">$N$12*NMultDensity(A64:B64,$L$14:$M$14,$L$12:$M$13)+$N$16*NMultDensity(A64:B64,$L$18:$M$18,$L$16:$M$17)+$N$20*NMultDensity(A64:B64,$L$22:$M$22,$L$20:$M$21)+$N$8*NMultDensity(A64:B64,$L$10:$M$10,$L$8:$M$9)</f>
        <v>0.12971970523818238</v>
      </c>
      <c r="E64" cm="1">
        <f t="array" ref="E64">$N$8*NMultDensity(A64:B64,$L$10:$M$10,$L$8:$M$9)/D64</f>
        <v>3.0882284934674923E-48</v>
      </c>
      <c r="F64" cm="1">
        <f t="array" ref="F64">$N$12*NMultDensity(A64:B64,$L$14:$M$14,$L$12:$M$13)/D64</f>
        <v>0.19374626401540979</v>
      </c>
      <c r="G64" cm="1">
        <f t="array" ref="G64">$N$16*NMultDensity(A64:B64,$L$18:$M$18,$L$16:$M$17)/D64</f>
        <v>0.80610406402127532</v>
      </c>
      <c r="H64" cm="1">
        <f t="array" ref="H64">$N$20*NMultDensity(A64:B64,$L$22:$M$22,$L$20:$M$21)/D64</f>
        <v>1.4967196331499248E-4</v>
      </c>
      <c r="I64">
        <f t="shared" si="5"/>
        <v>0.80610406402127532</v>
      </c>
      <c r="R64">
        <v>6.9</v>
      </c>
      <c r="S64">
        <v>2.2999999999999998</v>
      </c>
      <c r="T64">
        <v>2</v>
      </c>
    </row>
    <row r="65" spans="1:20" x14ac:dyDescent="0.3">
      <c r="A65">
        <v>4.7</v>
      </c>
      <c r="B65">
        <v>1.4</v>
      </c>
      <c r="C65">
        <f t="shared" si="4"/>
        <v>3</v>
      </c>
      <c r="D65" cm="1">
        <f t="array" ref="D65">$N$12*NMultDensity(A65:B65,$L$14:$M$14,$L$12:$M$13)+$N$16*NMultDensity(A65:B65,$L$18:$M$18,$L$16:$M$17)+$N$20*NMultDensity(A65:B65,$L$22:$M$22,$L$20:$M$21)+$N$8*NMultDensity(A65:B65,$L$10:$M$10,$L$8:$M$9)</f>
        <v>0.54266266541043962</v>
      </c>
      <c r="E65" cm="1">
        <f t="array" ref="E65">$N$8*NMultDensity(A65:B65,$L$10:$M$10,$L$8:$M$9)/D65</f>
        <v>2.7183250120242185E-83</v>
      </c>
      <c r="F65" cm="1">
        <f t="array" ref="F65">$N$12*NMultDensity(A65:B65,$L$14:$M$14,$L$12:$M$13)/D65</f>
        <v>0.34737351176195946</v>
      </c>
      <c r="G65" cm="1">
        <f t="array" ref="G65">$N$16*NMultDensity(A65:B65,$L$18:$M$18,$L$16:$M$17)/D65</f>
        <v>0.64163179062733466</v>
      </c>
      <c r="H65" cm="1">
        <f t="array" ref="H65">$N$20*NMultDensity(A65:B65,$L$22:$M$22,$L$20:$M$21)/D65</f>
        <v>1.099469761070569E-2</v>
      </c>
      <c r="I65">
        <f t="shared" si="5"/>
        <v>0.64163179062733466</v>
      </c>
      <c r="R65">
        <v>5</v>
      </c>
      <c r="S65">
        <v>1.5</v>
      </c>
      <c r="T65">
        <v>2</v>
      </c>
    </row>
    <row r="66" spans="1:20" x14ac:dyDescent="0.3">
      <c r="A66">
        <v>3.6</v>
      </c>
      <c r="B66">
        <v>1.3</v>
      </c>
      <c r="C66">
        <f t="shared" ref="C66:C97" si="6">IF(E66=I66,1,IF(F66=I66,2,IF(G66=I66,3,4)))</f>
        <v>2</v>
      </c>
      <c r="D66" cm="1">
        <f t="array" ref="D66">$N$12*NMultDensity(A66:B66,$L$14:$M$14,$L$12:$M$13)+$N$16*NMultDensity(A66:B66,$L$18:$M$18,$L$16:$M$17)+$N$20*NMultDensity(A66:B66,$L$22:$M$22,$L$20:$M$21)+$N$8*NMultDensity(A66:B66,$L$10:$M$10,$L$8:$M$9)</f>
        <v>6.5531991398352502E-2</v>
      </c>
      <c r="E66" cm="1">
        <f t="array" ref="E66">$N$8*NMultDensity(A66:B66,$L$10:$M$10,$L$8:$M$9)/D66</f>
        <v>5.5879699047784962E-42</v>
      </c>
      <c r="F66" cm="1">
        <f t="array" ref="F66">$N$12*NMultDensity(A66:B66,$L$14:$M$14,$L$12:$M$13)/D66</f>
        <v>0.59451029584557558</v>
      </c>
      <c r="G66" cm="1">
        <f t="array" ref="G66">$N$16*NMultDensity(A66:B66,$L$18:$M$18,$L$16:$M$17)/D66</f>
        <v>0.40479844156817757</v>
      </c>
      <c r="H66" cm="1">
        <f t="array" ref="H66">$N$20*NMultDensity(A66:B66,$L$22:$M$22,$L$20:$M$21)/D66</f>
        <v>6.912625862467329E-4</v>
      </c>
      <c r="I66">
        <f t="shared" ref="I66:I97" si="7">MAX(E66:H66)</f>
        <v>0.59451029584557558</v>
      </c>
      <c r="R66">
        <v>6.7</v>
      </c>
      <c r="S66">
        <v>2</v>
      </c>
      <c r="T66">
        <v>2</v>
      </c>
    </row>
    <row r="67" spans="1:20" x14ac:dyDescent="0.3">
      <c r="A67">
        <v>4.4000000000000004</v>
      </c>
      <c r="B67">
        <v>1.4</v>
      </c>
      <c r="C67">
        <f t="shared" si="6"/>
        <v>3</v>
      </c>
      <c r="D67" cm="1">
        <f t="array" ref="D67">$N$12*NMultDensity(A67:B67,$L$14:$M$14,$L$12:$M$13)+$N$16*NMultDensity(A67:B67,$L$18:$M$18,$L$16:$M$17)+$N$20*NMultDensity(A67:B67,$L$22:$M$22,$L$20:$M$21)+$N$8*NMultDensity(A67:B67,$L$10:$M$10,$L$8:$M$9)</f>
        <v>0.91932590576711826</v>
      </c>
      <c r="E67" cm="1">
        <f t="array" ref="E67">$N$8*NMultDensity(A67:B67,$L$10:$M$10,$L$8:$M$9)/D67</f>
        <v>2.174964921807524E-71</v>
      </c>
      <c r="F67" cm="1">
        <f t="array" ref="F67">$N$12*NMultDensity(A67:B67,$L$14:$M$14,$L$12:$M$13)/D67</f>
        <v>0.19351131587434733</v>
      </c>
      <c r="G67" cm="1">
        <f t="array" ref="G67">$N$16*NMultDensity(A67:B67,$L$18:$M$18,$L$16:$M$17)/D67</f>
        <v>0.79816499479602832</v>
      </c>
      <c r="H67" cm="1">
        <f t="array" ref="H67">$N$20*NMultDensity(A67:B67,$L$22:$M$22,$L$20:$M$21)/D67</f>
        <v>8.3236893296243491E-3</v>
      </c>
      <c r="I67">
        <f t="shared" si="7"/>
        <v>0.79816499479602832</v>
      </c>
      <c r="R67">
        <v>6</v>
      </c>
      <c r="S67">
        <v>1.8</v>
      </c>
      <c r="T67">
        <v>2</v>
      </c>
    </row>
    <row r="68" spans="1:20" x14ac:dyDescent="0.3">
      <c r="A68">
        <v>4.5</v>
      </c>
      <c r="B68">
        <v>1.5</v>
      </c>
      <c r="C68">
        <f t="shared" si="6"/>
        <v>3</v>
      </c>
      <c r="D68" cm="1">
        <f t="array" ref="D68">$N$12*NMultDensity(A68:B68,$L$14:$M$14,$L$12:$M$13)+$N$16*NMultDensity(A68:B68,$L$18:$M$18,$L$16:$M$17)+$N$20*NMultDensity(A68:B68,$L$22:$M$22,$L$20:$M$21)+$N$8*NMultDensity(A68:B68,$L$10:$M$10,$L$8:$M$9)</f>
        <v>0.71262653398939213</v>
      </c>
      <c r="E68" cm="1">
        <f t="array" ref="E68">$N$8*NMultDensity(A68:B68,$L$10:$M$10,$L$8:$M$9)/D68</f>
        <v>5.74871133159744E-78</v>
      </c>
      <c r="F68" cm="1">
        <f t="array" ref="F68">$N$12*NMultDensity(A68:B68,$L$14:$M$14,$L$12:$M$13)/D68</f>
        <v>0.20544277137409039</v>
      </c>
      <c r="G68" cm="1">
        <f t="array" ref="G68">$N$16*NMultDensity(A68:B68,$L$18:$M$18,$L$16:$M$17)/D68</f>
        <v>0.76339580614605862</v>
      </c>
      <c r="H68" cm="1">
        <f t="array" ref="H68">$N$20*NMultDensity(A68:B68,$L$22:$M$22,$L$20:$M$21)/D68</f>
        <v>3.1161422479850858E-2</v>
      </c>
      <c r="I68">
        <f t="shared" si="7"/>
        <v>0.76339580614605862</v>
      </c>
      <c r="R68">
        <v>5.8</v>
      </c>
      <c r="S68">
        <v>1.6</v>
      </c>
      <c r="T68">
        <v>2</v>
      </c>
    </row>
    <row r="69" spans="1:20" x14ac:dyDescent="0.3">
      <c r="A69">
        <v>4.0999999999999996</v>
      </c>
      <c r="B69">
        <v>1</v>
      </c>
      <c r="C69">
        <f t="shared" si="6"/>
        <v>3</v>
      </c>
      <c r="D69" cm="1">
        <f t="array" ref="D69">$N$12*NMultDensity(A69:B69,$L$14:$M$14,$L$12:$M$13)+$N$16*NMultDensity(A69:B69,$L$18:$M$18,$L$16:$M$17)+$N$20*NMultDensity(A69:B69,$L$22:$M$22,$L$20:$M$21)+$N$8*NMultDensity(A69:B69,$L$10:$M$10,$L$8:$M$9)</f>
        <v>8.1356349202856004E-2</v>
      </c>
      <c r="E69" cm="1">
        <f t="array" ref="E69">$N$8*NMultDensity(A69:B69,$L$10:$M$10,$L$8:$M$9)/D69</f>
        <v>1.2879449776775446E-51</v>
      </c>
      <c r="F69" cm="1">
        <f t="array" ref="F69">$N$12*NMultDensity(A69:B69,$L$14:$M$14,$L$12:$M$13)/D69</f>
        <v>0.21734387883943945</v>
      </c>
      <c r="G69" cm="1">
        <f t="array" ref="G69">$N$16*NMultDensity(A69:B69,$L$18:$M$18,$L$16:$M$17)/D69</f>
        <v>0.78243237821960343</v>
      </c>
      <c r="H69" cm="1">
        <f t="array" ref="H69">$N$20*NMultDensity(A69:B69,$L$22:$M$22,$L$20:$M$21)/D69</f>
        <v>2.2374294095719232E-4</v>
      </c>
      <c r="I69">
        <f t="shared" si="7"/>
        <v>0.78243237821960343</v>
      </c>
      <c r="R69">
        <v>6.1</v>
      </c>
      <c r="S69">
        <v>1.9</v>
      </c>
      <c r="T69">
        <v>2</v>
      </c>
    </row>
    <row r="70" spans="1:20" x14ac:dyDescent="0.3">
      <c r="A70">
        <v>4.5</v>
      </c>
      <c r="B70">
        <v>1.5</v>
      </c>
      <c r="C70">
        <f t="shared" si="6"/>
        <v>3</v>
      </c>
      <c r="D70" cm="1">
        <f t="array" ref="D70">$N$12*NMultDensity(A70:B70,$L$14:$M$14,$L$12:$M$13)+$N$16*NMultDensity(A70:B70,$L$18:$M$18,$L$16:$M$17)+$N$20*NMultDensity(A70:B70,$L$22:$M$22,$L$20:$M$21)+$N$8*NMultDensity(A70:B70,$L$10:$M$10,$L$8:$M$9)</f>
        <v>0.71262653398939213</v>
      </c>
      <c r="E70" cm="1">
        <f t="array" ref="E70">$N$8*NMultDensity(A70:B70,$L$10:$M$10,$L$8:$M$9)/D70</f>
        <v>5.74871133159744E-78</v>
      </c>
      <c r="F70" cm="1">
        <f t="array" ref="F70">$N$12*NMultDensity(A70:B70,$L$14:$M$14,$L$12:$M$13)/D70</f>
        <v>0.20544277137409039</v>
      </c>
      <c r="G70" cm="1">
        <f t="array" ref="G70">$N$16*NMultDensity(A70:B70,$L$18:$M$18,$L$16:$M$17)/D70</f>
        <v>0.76339580614605862</v>
      </c>
      <c r="H70" cm="1">
        <f t="array" ref="H70">$N$20*NMultDensity(A70:B70,$L$22:$M$22,$L$20:$M$21)/D70</f>
        <v>3.1161422479850858E-2</v>
      </c>
      <c r="I70">
        <f t="shared" si="7"/>
        <v>0.76339580614605862</v>
      </c>
      <c r="R70">
        <v>6.4</v>
      </c>
      <c r="S70">
        <v>2</v>
      </c>
      <c r="T70">
        <v>2</v>
      </c>
    </row>
    <row r="71" spans="1:20" x14ac:dyDescent="0.3">
      <c r="A71">
        <v>3.9</v>
      </c>
      <c r="B71">
        <v>1.1000000000000001</v>
      </c>
      <c r="C71">
        <f t="shared" si="6"/>
        <v>3</v>
      </c>
      <c r="D71" cm="1">
        <f t="array" ref="D71">$N$12*NMultDensity(A71:B71,$L$14:$M$14,$L$12:$M$13)+$N$16*NMultDensity(A71:B71,$L$18:$M$18,$L$16:$M$17)+$N$20*NMultDensity(A71:B71,$L$22:$M$22,$L$20:$M$21)+$N$8*NMultDensity(A71:B71,$L$10:$M$10,$L$8:$M$9)</f>
        <v>0.44986455059205605</v>
      </c>
      <c r="E71" cm="1">
        <f t="array" ref="E71">$N$8*NMultDensity(A71:B71,$L$10:$M$10,$L$8:$M$9)/D71</f>
        <v>7.2565251506066831E-47</v>
      </c>
      <c r="F71" cm="1">
        <f t="array" ref="F71">$N$12*NMultDensity(A71:B71,$L$14:$M$14,$L$12:$M$13)/D71</f>
        <v>0.18769089284089549</v>
      </c>
      <c r="G71" cm="1">
        <f t="array" ref="G71">$N$16*NMultDensity(A71:B71,$L$18:$M$18,$L$16:$M$17)/D71</f>
        <v>0.81213016647980396</v>
      </c>
      <c r="H71" cm="1">
        <f t="array" ref="H71">$N$20*NMultDensity(A71:B71,$L$22:$M$22,$L$20:$M$21)/D71</f>
        <v>1.789406793005298E-4</v>
      </c>
      <c r="I71">
        <f t="shared" si="7"/>
        <v>0.81213016647980396</v>
      </c>
      <c r="R71">
        <v>5.0999999999999996</v>
      </c>
      <c r="S71">
        <v>1.5</v>
      </c>
      <c r="T71">
        <v>2</v>
      </c>
    </row>
    <row r="72" spans="1:20" x14ac:dyDescent="0.3">
      <c r="A72">
        <v>4.8</v>
      </c>
      <c r="B72">
        <v>1.8</v>
      </c>
      <c r="C72">
        <f t="shared" si="6"/>
        <v>4</v>
      </c>
      <c r="D72" cm="1">
        <f t="array" ref="D72">$N$12*NMultDensity(A72:B72,$L$14:$M$14,$L$12:$M$13)+$N$16*NMultDensity(A72:B72,$L$18:$M$18,$L$16:$M$17)+$N$20*NMultDensity(A72:B72,$L$22:$M$22,$L$20:$M$21)+$N$8*NMultDensity(A72:B72,$L$10:$M$10,$L$8:$M$9)</f>
        <v>0.24331569939436365</v>
      </c>
      <c r="E72" cm="1">
        <f t="array" ref="E72">$N$8*NMultDensity(A72:B72,$L$10:$M$10,$L$8:$M$9)/D72</f>
        <v>3.0867147778587496E-100</v>
      </c>
      <c r="F72" cm="1">
        <f t="array" ref="F72">$N$12*NMultDensity(A72:B72,$L$14:$M$14,$L$12:$M$13)/D72</f>
        <v>6.4931662115389518E-2</v>
      </c>
      <c r="G72" cm="1">
        <f t="array" ref="G72">$N$16*NMultDensity(A72:B72,$L$18:$M$18,$L$16:$M$17)/D72</f>
        <v>0.1380417034958083</v>
      </c>
      <c r="H72" cm="1">
        <f t="array" ref="H72">$N$20*NMultDensity(A72:B72,$L$22:$M$22,$L$20:$M$21)/D72</f>
        <v>0.79702663438880217</v>
      </c>
      <c r="I72">
        <f t="shared" si="7"/>
        <v>0.79702663438880217</v>
      </c>
      <c r="R72">
        <v>5.6</v>
      </c>
      <c r="S72">
        <v>1.4</v>
      </c>
      <c r="T72">
        <v>2</v>
      </c>
    </row>
    <row r="73" spans="1:20" x14ac:dyDescent="0.3">
      <c r="A73">
        <v>4</v>
      </c>
      <c r="B73">
        <v>1.3</v>
      </c>
      <c r="C73">
        <f t="shared" si="6"/>
        <v>3</v>
      </c>
      <c r="D73" cm="1">
        <f t="array" ref="D73">$N$12*NMultDensity(A73:B73,$L$14:$M$14,$L$12:$M$13)+$N$16*NMultDensity(A73:B73,$L$18:$M$18,$L$16:$M$17)+$N$20*NMultDensity(A73:B73,$L$22:$M$22,$L$20:$M$21)+$N$8*NMultDensity(A73:B73,$L$10:$M$10,$L$8:$M$9)</f>
        <v>0.598239619733272</v>
      </c>
      <c r="E73" cm="1">
        <f t="array" ref="E73">$N$8*NMultDensity(A73:B73,$L$10:$M$10,$L$8:$M$9)/D73</f>
        <v>1.560582375487381E-54</v>
      </c>
      <c r="F73" cm="1">
        <f t="array" ref="F73">$N$12*NMultDensity(A73:B73,$L$14:$M$14,$L$12:$M$13)/D73</f>
        <v>0.21095961184845233</v>
      </c>
      <c r="G73" cm="1">
        <f t="array" ref="G73">$N$16*NMultDensity(A73:B73,$L$18:$M$18,$L$16:$M$17)/D73</f>
        <v>0.78747992922423871</v>
      </c>
      <c r="H73" cm="1">
        <f t="array" ref="H73">$N$20*NMultDensity(A73:B73,$L$22:$M$22,$L$20:$M$21)/D73</f>
        <v>1.5604589273090087E-3</v>
      </c>
      <c r="I73">
        <f t="shared" si="7"/>
        <v>0.78747992922423871</v>
      </c>
      <c r="R73">
        <v>5.5</v>
      </c>
      <c r="S73">
        <v>1.8</v>
      </c>
      <c r="T73">
        <v>2</v>
      </c>
    </row>
    <row r="74" spans="1:20" x14ac:dyDescent="0.3">
      <c r="A74">
        <v>4.9000000000000004</v>
      </c>
      <c r="B74">
        <v>1.5</v>
      </c>
      <c r="C74">
        <f t="shared" si="6"/>
        <v>3</v>
      </c>
      <c r="D74" cm="1">
        <f t="array" ref="D74">$N$12*NMultDensity(A74:B74,$L$14:$M$14,$L$12:$M$13)+$N$16*NMultDensity(A74:B74,$L$18:$M$18,$L$16:$M$17)+$N$20*NMultDensity(A74:B74,$L$22:$M$22,$L$20:$M$21)+$N$8*NMultDensity(A74:B74,$L$10:$M$10,$L$8:$M$9)</f>
        <v>0.44858508336238484</v>
      </c>
      <c r="E74" cm="1">
        <f t="array" ref="E74">$N$8*NMultDensity(A74:B74,$L$10:$M$10,$L$8:$M$9)/D74</f>
        <v>1.4388804176872823E-94</v>
      </c>
      <c r="F74" cm="1">
        <f t="array" ref="F74">$N$12*NMultDensity(A74:B74,$L$14:$M$14,$L$12:$M$13)/D74</f>
        <v>0.48173251322091704</v>
      </c>
      <c r="G74" cm="1">
        <f t="array" ref="G74">$N$16*NMultDensity(A74:B74,$L$18:$M$18,$L$16:$M$17)/D74</f>
        <v>0.48775233857749101</v>
      </c>
      <c r="H74" cm="1">
        <f t="array" ref="H74">$N$20*NMultDensity(A74:B74,$L$22:$M$22,$L$20:$M$21)/D74</f>
        <v>3.0515148201591909E-2</v>
      </c>
      <c r="I74">
        <f t="shared" si="7"/>
        <v>0.48775233857749101</v>
      </c>
      <c r="R74">
        <v>4.7</v>
      </c>
      <c r="S74">
        <v>1.4</v>
      </c>
      <c r="T74">
        <v>3</v>
      </c>
    </row>
    <row r="75" spans="1:20" x14ac:dyDescent="0.3">
      <c r="A75">
        <v>4.7</v>
      </c>
      <c r="B75">
        <v>1.2</v>
      </c>
      <c r="C75">
        <f t="shared" si="6"/>
        <v>2</v>
      </c>
      <c r="D75" cm="1">
        <f t="array" ref="D75">$N$12*NMultDensity(A75:B75,$L$14:$M$14,$L$12:$M$13)+$N$16*NMultDensity(A75:B75,$L$18:$M$18,$L$16:$M$17)+$N$20*NMultDensity(A75:B75,$L$22:$M$22,$L$20:$M$21)+$N$8*NMultDensity(A75:B75,$L$10:$M$10,$L$8:$M$9)</f>
        <v>5.6011603663112933E-2</v>
      </c>
      <c r="E75" cm="1">
        <f t="array" ref="E75">$N$8*NMultDensity(A75:B75,$L$10:$M$10,$L$8:$M$9)/D75</f>
        <v>1.9567705243802862E-78</v>
      </c>
      <c r="F75" cm="1">
        <f t="array" ref="F75">$N$12*NMultDensity(A75:B75,$L$14:$M$14,$L$12:$M$13)/D75</f>
        <v>0.57865511517050805</v>
      </c>
      <c r="G75" cm="1">
        <f t="array" ref="G75">$N$16*NMultDensity(A75:B75,$L$18:$M$18,$L$16:$M$17)/D75</f>
        <v>0.41888137810948611</v>
      </c>
      <c r="H75" cm="1">
        <f t="array" ref="H75">$N$20*NMultDensity(A75:B75,$L$22:$M$22,$L$20:$M$21)/D75</f>
        <v>2.4635067200058742E-3</v>
      </c>
      <c r="I75">
        <f t="shared" si="7"/>
        <v>0.57865511517050805</v>
      </c>
      <c r="R75">
        <v>4.5</v>
      </c>
      <c r="S75">
        <v>1.5</v>
      </c>
      <c r="T75">
        <v>3</v>
      </c>
    </row>
    <row r="76" spans="1:20" x14ac:dyDescent="0.3">
      <c r="A76">
        <v>4.3</v>
      </c>
      <c r="B76">
        <v>1.3</v>
      </c>
      <c r="C76">
        <f t="shared" si="6"/>
        <v>3</v>
      </c>
      <c r="D76" cm="1">
        <f t="array" ref="D76">$N$12*NMultDensity(A76:B76,$L$14:$M$14,$L$12:$M$13)+$N$16*NMultDensity(A76:B76,$L$18:$M$18,$L$16:$M$17)+$N$20*NMultDensity(A76:B76,$L$22:$M$22,$L$20:$M$21)+$N$8*NMultDensity(A76:B76,$L$10:$M$10,$L$8:$M$9)</f>
        <v>0.88927168595903672</v>
      </c>
      <c r="E76" cm="1">
        <f t="array" ref="E76">$N$8*NMultDensity(A76:B76,$L$10:$M$10,$L$8:$M$9)/D76</f>
        <v>3.9369528347298972E-65</v>
      </c>
      <c r="F76" cm="1">
        <f t="array" ref="F76">$N$12*NMultDensity(A76:B76,$L$14:$M$14,$L$12:$M$13)/D76</f>
        <v>0.18489345953746456</v>
      </c>
      <c r="G76" cm="1">
        <f t="array" ref="G76">$N$16*NMultDensity(A76:B76,$L$18:$M$18,$L$16:$M$17)/D76</f>
        <v>0.81260866570543588</v>
      </c>
      <c r="H76" cm="1">
        <f t="array" ref="H76">$N$20*NMultDensity(A76:B76,$L$22:$M$22,$L$20:$M$21)/D76</f>
        <v>2.4978747570994584E-3</v>
      </c>
      <c r="I76">
        <f t="shared" si="7"/>
        <v>0.81260866570543588</v>
      </c>
      <c r="R76">
        <v>4.9000000000000004</v>
      </c>
      <c r="S76">
        <v>1.5</v>
      </c>
      <c r="T76">
        <v>3</v>
      </c>
    </row>
    <row r="77" spans="1:20" x14ac:dyDescent="0.3">
      <c r="A77">
        <v>4.4000000000000004</v>
      </c>
      <c r="B77">
        <v>1.4</v>
      </c>
      <c r="C77">
        <f t="shared" si="6"/>
        <v>3</v>
      </c>
      <c r="D77" cm="1">
        <f t="array" ref="D77">$N$12*NMultDensity(A77:B77,$L$14:$M$14,$L$12:$M$13)+$N$16*NMultDensity(A77:B77,$L$18:$M$18,$L$16:$M$17)+$N$20*NMultDensity(A77:B77,$L$22:$M$22,$L$20:$M$21)+$N$8*NMultDensity(A77:B77,$L$10:$M$10,$L$8:$M$9)</f>
        <v>0.91932590576711826</v>
      </c>
      <c r="E77" cm="1">
        <f t="array" ref="E77">$N$8*NMultDensity(A77:B77,$L$10:$M$10,$L$8:$M$9)/D77</f>
        <v>2.174964921807524E-71</v>
      </c>
      <c r="F77" cm="1">
        <f t="array" ref="F77">$N$12*NMultDensity(A77:B77,$L$14:$M$14,$L$12:$M$13)/D77</f>
        <v>0.19351131587434733</v>
      </c>
      <c r="G77" cm="1">
        <f t="array" ref="G77">$N$16*NMultDensity(A77:B77,$L$18:$M$18,$L$16:$M$17)/D77</f>
        <v>0.79816499479602832</v>
      </c>
      <c r="H77" cm="1">
        <f t="array" ref="H77">$N$20*NMultDensity(A77:B77,$L$22:$M$22,$L$20:$M$21)/D77</f>
        <v>8.3236893296243491E-3</v>
      </c>
      <c r="I77">
        <f t="shared" si="7"/>
        <v>0.79816499479602832</v>
      </c>
      <c r="R77">
        <v>4</v>
      </c>
      <c r="S77">
        <v>1.3</v>
      </c>
      <c r="T77">
        <v>3</v>
      </c>
    </row>
    <row r="78" spans="1:20" x14ac:dyDescent="0.3">
      <c r="A78">
        <v>4.8</v>
      </c>
      <c r="B78">
        <v>1.4</v>
      </c>
      <c r="C78">
        <f t="shared" si="6"/>
        <v>3</v>
      </c>
      <c r="D78" cm="1">
        <f t="array" ref="D78">$N$12*NMultDensity(A78:B78,$L$14:$M$14,$L$12:$M$13)+$N$16*NMultDensity(A78:B78,$L$18:$M$18,$L$16:$M$17)+$N$20*NMultDensity(A78:B78,$L$22:$M$22,$L$20:$M$21)+$N$8*NMultDensity(A78:B78,$L$10:$M$10,$L$8:$M$9)</f>
        <v>0.37042048584399084</v>
      </c>
      <c r="E78" cm="1">
        <f t="array" ref="E78">$N$8*NMultDensity(A78:B78,$L$10:$M$10,$L$8:$M$9)/D78</f>
        <v>1.6843349674449561E-87</v>
      </c>
      <c r="F78" cm="1">
        <f t="array" ref="F78">$N$12*NMultDensity(A78:B78,$L$14:$M$14,$L$12:$M$13)/D78</f>
        <v>0.46129030527082315</v>
      </c>
      <c r="G78" cm="1">
        <f t="array" ref="G78">$N$16*NMultDensity(A78:B78,$L$18:$M$18,$L$16:$M$17)/D78</f>
        <v>0.52735996587541778</v>
      </c>
      <c r="H78" cm="1">
        <f t="array" ref="H78">$N$20*NMultDensity(A78:B78,$L$22:$M$22,$L$20:$M$21)/D78</f>
        <v>1.1349728853759121E-2</v>
      </c>
      <c r="I78">
        <f t="shared" si="7"/>
        <v>0.52735996587541778</v>
      </c>
      <c r="R78">
        <v>4.5999999999999996</v>
      </c>
      <c r="S78">
        <v>1.5</v>
      </c>
      <c r="T78">
        <v>3</v>
      </c>
    </row>
    <row r="79" spans="1:20" x14ac:dyDescent="0.3">
      <c r="A79">
        <v>5</v>
      </c>
      <c r="B79">
        <v>1.7</v>
      </c>
      <c r="C79">
        <f t="shared" si="6"/>
        <v>3</v>
      </c>
      <c r="D79" cm="1">
        <f t="array" ref="D79">$N$12*NMultDensity(A79:B79,$L$14:$M$14,$L$12:$M$13)+$N$16*NMultDensity(A79:B79,$L$18:$M$18,$L$16:$M$17)+$N$20*NMultDensity(A79:B79,$L$22:$M$22,$L$20:$M$21)+$N$8*NMultDensity(A79:B79,$L$10:$M$10,$L$8:$M$9)</f>
        <v>0.37424008095808359</v>
      </c>
      <c r="E79" cm="1">
        <f t="array" ref="E79">$N$8*NMultDensity(A79:B79,$L$10:$M$10,$L$8:$M$9)/D79</f>
        <v>3.3639048283729785E-105</v>
      </c>
      <c r="F79" cm="1">
        <f t="array" ref="F79">$N$12*NMultDensity(A79:B79,$L$14:$M$14,$L$12:$M$13)/D79</f>
        <v>0.32481703071043605</v>
      </c>
      <c r="G79" cm="1">
        <f t="array" ref="G79">$N$16*NMultDensity(A79:B79,$L$18:$M$18,$L$16:$M$17)/D79</f>
        <v>0.37342831834135048</v>
      </c>
      <c r="H79" cm="1">
        <f t="array" ref="H79">$N$20*NMultDensity(A79:B79,$L$22:$M$22,$L$20:$M$21)/D79</f>
        <v>0.30175465094821352</v>
      </c>
      <c r="I79">
        <f t="shared" si="7"/>
        <v>0.37342831834135048</v>
      </c>
      <c r="R79">
        <v>4.5</v>
      </c>
      <c r="S79">
        <v>1.3</v>
      </c>
      <c r="T79">
        <v>3</v>
      </c>
    </row>
    <row r="80" spans="1:20" x14ac:dyDescent="0.3">
      <c r="A80">
        <v>4.5</v>
      </c>
      <c r="B80">
        <v>1.5</v>
      </c>
      <c r="C80">
        <f t="shared" si="6"/>
        <v>3</v>
      </c>
      <c r="D80" cm="1">
        <f t="array" ref="D80">$N$12*NMultDensity(A80:B80,$L$14:$M$14,$L$12:$M$13)+$N$16*NMultDensity(A80:B80,$L$18:$M$18,$L$16:$M$17)+$N$20*NMultDensity(A80:B80,$L$22:$M$22,$L$20:$M$21)+$N$8*NMultDensity(A80:B80,$L$10:$M$10,$L$8:$M$9)</f>
        <v>0.71262653398939213</v>
      </c>
      <c r="E80" cm="1">
        <f t="array" ref="E80">$N$8*NMultDensity(A80:B80,$L$10:$M$10,$L$8:$M$9)/D80</f>
        <v>5.74871133159744E-78</v>
      </c>
      <c r="F80" cm="1">
        <f t="array" ref="F80">$N$12*NMultDensity(A80:B80,$L$14:$M$14,$L$12:$M$13)/D80</f>
        <v>0.20544277137409039</v>
      </c>
      <c r="G80" cm="1">
        <f t="array" ref="G80">$N$16*NMultDensity(A80:B80,$L$18:$M$18,$L$16:$M$17)/D80</f>
        <v>0.76339580614605862</v>
      </c>
      <c r="H80" cm="1">
        <f t="array" ref="H80">$N$20*NMultDensity(A80:B80,$L$22:$M$22,$L$20:$M$21)/D80</f>
        <v>3.1161422479850858E-2</v>
      </c>
      <c r="I80">
        <f t="shared" si="7"/>
        <v>0.76339580614605862</v>
      </c>
      <c r="R80">
        <v>4.7</v>
      </c>
      <c r="S80">
        <v>1.6</v>
      </c>
      <c r="T80">
        <v>3</v>
      </c>
    </row>
    <row r="81" spans="1:20" x14ac:dyDescent="0.3">
      <c r="A81">
        <v>3.5</v>
      </c>
      <c r="B81">
        <v>1</v>
      </c>
      <c r="C81">
        <f t="shared" si="6"/>
        <v>3</v>
      </c>
      <c r="D81" cm="1">
        <f t="array" ref="D81">$N$12*NMultDensity(A81:B81,$L$14:$M$14,$L$12:$M$13)+$N$16*NMultDensity(A81:B81,$L$18:$M$18,$L$16:$M$17)+$N$20*NMultDensity(A81:B81,$L$22:$M$22,$L$20:$M$21)+$N$8*NMultDensity(A81:B81,$L$10:$M$10,$L$8:$M$9)</f>
        <v>0.16606005566473026</v>
      </c>
      <c r="E81" cm="1">
        <f t="array" ref="E81">$N$8*NMultDensity(A81:B81,$L$10:$M$10,$L$8:$M$9)/D81</f>
        <v>6.6374366560391864E-33</v>
      </c>
      <c r="F81" cm="1">
        <f t="array" ref="F81">$N$12*NMultDensity(A81:B81,$L$14:$M$14,$L$12:$M$13)/D81</f>
        <v>0.36363811726752421</v>
      </c>
      <c r="G81" cm="1">
        <f t="array" ref="G81">$N$16*NMultDensity(A81:B81,$L$18:$M$18,$L$16:$M$17)/D81</f>
        <v>0.63634011345578223</v>
      </c>
      <c r="H81" cm="1">
        <f t="array" ref="H81">$N$20*NMultDensity(A81:B81,$L$22:$M$22,$L$20:$M$21)/D81</f>
        <v>2.1769276693544983E-5</v>
      </c>
      <c r="I81">
        <f t="shared" si="7"/>
        <v>0.63634011345578223</v>
      </c>
      <c r="R81">
        <v>4.5999999999999996</v>
      </c>
      <c r="S81">
        <v>1.3</v>
      </c>
      <c r="T81">
        <v>3</v>
      </c>
    </row>
    <row r="82" spans="1:20" x14ac:dyDescent="0.3">
      <c r="A82">
        <v>3.8</v>
      </c>
      <c r="B82">
        <v>1.1000000000000001</v>
      </c>
      <c r="C82">
        <f t="shared" si="6"/>
        <v>3</v>
      </c>
      <c r="D82" cm="1">
        <f t="array" ref="D82">$N$12*NMultDensity(A82:B82,$L$14:$M$14,$L$12:$M$13)+$N$16*NMultDensity(A82:B82,$L$18:$M$18,$L$16:$M$17)+$N$20*NMultDensity(A82:B82,$L$22:$M$22,$L$20:$M$21)+$N$8*NMultDensity(A82:B82,$L$10:$M$10,$L$8:$M$9)</f>
        <v>0.42065675779219014</v>
      </c>
      <c r="E82" cm="1">
        <f t="array" ref="E82">$N$8*NMultDensity(A82:B82,$L$10:$M$10,$L$8:$M$9)/D82</f>
        <v>1.1271554396787442E-43</v>
      </c>
      <c r="F82" cm="1">
        <f t="array" ref="F82">$N$12*NMultDensity(A82:B82,$L$14:$M$14,$L$12:$M$13)/D82</f>
        <v>0.21482510945978139</v>
      </c>
      <c r="G82" cm="1">
        <f t="array" ref="G82">$N$16*NMultDensity(A82:B82,$L$18:$M$18,$L$16:$M$17)/D82</f>
        <v>0.7850420413057696</v>
      </c>
      <c r="H82" cm="1">
        <f t="array" ref="H82">$N$20*NMultDensity(A82:B82,$L$22:$M$22,$L$20:$M$21)/D82</f>
        <v>1.3284923444911641E-4</v>
      </c>
      <c r="I82">
        <f t="shared" si="7"/>
        <v>0.7850420413057696</v>
      </c>
      <c r="R82">
        <v>3.9</v>
      </c>
      <c r="S82">
        <v>1.4</v>
      </c>
      <c r="T82">
        <v>3</v>
      </c>
    </row>
    <row r="83" spans="1:20" x14ac:dyDescent="0.3">
      <c r="A83">
        <v>3.7</v>
      </c>
      <c r="B83">
        <v>1</v>
      </c>
      <c r="C83">
        <f t="shared" si="6"/>
        <v>3</v>
      </c>
      <c r="D83" cm="1">
        <f t="array" ref="D83">$N$12*NMultDensity(A83:B83,$L$14:$M$14,$L$12:$M$13)+$N$16*NMultDensity(A83:B83,$L$18:$M$18,$L$16:$M$17)+$N$20*NMultDensity(A83:B83,$L$22:$M$22,$L$20:$M$21)+$N$8*NMultDensity(A83:B83,$L$10:$M$10,$L$8:$M$9)</f>
        <v>0.22323099854115339</v>
      </c>
      <c r="E83" cm="1">
        <f t="array" ref="E83">$N$8*NMultDensity(A83:B83,$L$10:$M$10,$L$8:$M$9)/D83</f>
        <v>1.0285077533794344E-38</v>
      </c>
      <c r="F83" cm="1">
        <f t="array" ref="F83">$N$12*NMultDensity(A83:B83,$L$14:$M$14,$L$12:$M$13)/D83</f>
        <v>0.22722877579886058</v>
      </c>
      <c r="G83" cm="1">
        <f t="array" ref="G83">$N$16*NMultDensity(A83:B83,$L$18:$M$18,$L$16:$M$17)/D83</f>
        <v>0.77272386737051446</v>
      </c>
      <c r="H83" cm="1">
        <f t="array" ref="H83">$N$20*NMultDensity(A83:B83,$L$22:$M$22,$L$20:$M$21)/D83</f>
        <v>4.7356830624994531E-5</v>
      </c>
      <c r="I83">
        <f t="shared" si="7"/>
        <v>0.77272386737051446</v>
      </c>
      <c r="R83">
        <v>3.5</v>
      </c>
      <c r="S83">
        <v>1</v>
      </c>
      <c r="T83">
        <v>3</v>
      </c>
    </row>
    <row r="84" spans="1:20" x14ac:dyDescent="0.3">
      <c r="A84">
        <v>3.9</v>
      </c>
      <c r="B84">
        <v>1.2</v>
      </c>
      <c r="C84">
        <f t="shared" si="6"/>
        <v>3</v>
      </c>
      <c r="D84" cm="1">
        <f t="array" ref="D84">$N$12*NMultDensity(A84:B84,$L$14:$M$14,$L$12:$M$13)+$N$16*NMultDensity(A84:B84,$L$18:$M$18,$L$16:$M$17)+$N$20*NMultDensity(A84:B84,$L$22:$M$22,$L$20:$M$21)+$N$8*NMultDensity(A84:B84,$L$10:$M$10,$L$8:$M$9)</f>
        <v>0.58430092615967055</v>
      </c>
      <c r="E84" cm="1">
        <f t="array" ref="E84">$N$8*NMultDensity(A84:B84,$L$10:$M$10,$L$8:$M$9)/D84</f>
        <v>6.0118532753284272E-49</v>
      </c>
      <c r="F84" cm="1">
        <f t="array" ref="F84">$N$12*NMultDensity(A84:B84,$L$14:$M$14,$L$12:$M$13)/D84</f>
        <v>0.20956973144034288</v>
      </c>
      <c r="G84" cm="1">
        <f t="array" ref="G84">$N$16*NMultDensity(A84:B84,$L$18:$M$18,$L$16:$M$17)/D84</f>
        <v>0.79000436250652695</v>
      </c>
      <c r="H84" cm="1">
        <f t="array" ref="H84">$N$20*NMultDensity(A84:B84,$L$22:$M$22,$L$20:$M$21)/D84</f>
        <v>4.2590605313021728E-4</v>
      </c>
      <c r="I84">
        <f t="shared" si="7"/>
        <v>0.79000436250652695</v>
      </c>
      <c r="R84">
        <v>4.2</v>
      </c>
      <c r="S84">
        <v>1.5</v>
      </c>
      <c r="T84">
        <v>3</v>
      </c>
    </row>
    <row r="85" spans="1:20" x14ac:dyDescent="0.3">
      <c r="A85">
        <v>5.0999999999999996</v>
      </c>
      <c r="B85">
        <v>1.6</v>
      </c>
      <c r="C85">
        <f t="shared" si="6"/>
        <v>2</v>
      </c>
      <c r="D85" cm="1">
        <f t="array" ref="D85">$N$12*NMultDensity(A85:B85,$L$14:$M$14,$L$12:$M$13)+$N$16*NMultDensity(A85:B85,$L$18:$M$18,$L$16:$M$17)+$N$20*NMultDensity(A85:B85,$L$22:$M$22,$L$20:$M$21)+$N$8*NMultDensity(A85:B85,$L$10:$M$10,$L$8:$M$9)</f>
        <v>0.34941443106100939</v>
      </c>
      <c r="E85" cm="1">
        <f t="array" ref="E85">$N$8*NMultDensity(A85:B85,$L$10:$M$10,$L$8:$M$9)/D85</f>
        <v>1.4097086388274787E-106</v>
      </c>
      <c r="F85" cm="1">
        <f t="array" ref="F85">$N$12*NMultDensity(A85:B85,$L$14:$M$14,$L$12:$M$13)/D85</f>
        <v>0.63033730787557918</v>
      </c>
      <c r="G85" cm="1">
        <f t="array" ref="G85">$N$16*NMultDensity(A85:B85,$L$18:$M$18,$L$16:$M$17)/D85</f>
        <v>0.29948988862305509</v>
      </c>
      <c r="H85" cm="1">
        <f t="array" ref="H85">$N$20*NMultDensity(A85:B85,$L$22:$M$22,$L$20:$M$21)/D85</f>
        <v>7.017280350136576E-2</v>
      </c>
      <c r="I85">
        <f t="shared" si="7"/>
        <v>0.63033730787557918</v>
      </c>
      <c r="R85">
        <v>4</v>
      </c>
      <c r="S85">
        <v>1</v>
      </c>
      <c r="T85">
        <v>3</v>
      </c>
    </row>
    <row r="86" spans="1:20" x14ac:dyDescent="0.3">
      <c r="A86">
        <v>4.5</v>
      </c>
      <c r="B86">
        <v>1.5</v>
      </c>
      <c r="C86">
        <f t="shared" si="6"/>
        <v>3</v>
      </c>
      <c r="D86" cm="1">
        <f t="array" ref="D86">$N$12*NMultDensity(A86:B86,$L$14:$M$14,$L$12:$M$13)+$N$16*NMultDensity(A86:B86,$L$18:$M$18,$L$16:$M$17)+$N$20*NMultDensity(A86:B86,$L$22:$M$22,$L$20:$M$21)+$N$8*NMultDensity(A86:B86,$L$10:$M$10,$L$8:$M$9)</f>
        <v>0.71262653398939213</v>
      </c>
      <c r="E86" cm="1">
        <f t="array" ref="E86">$N$8*NMultDensity(A86:B86,$L$10:$M$10,$L$8:$M$9)/D86</f>
        <v>5.74871133159744E-78</v>
      </c>
      <c r="F86" cm="1">
        <f t="array" ref="F86">$N$12*NMultDensity(A86:B86,$L$14:$M$14,$L$12:$M$13)/D86</f>
        <v>0.20544277137409039</v>
      </c>
      <c r="G86" cm="1">
        <f t="array" ref="G86">$N$16*NMultDensity(A86:B86,$L$18:$M$18,$L$16:$M$17)/D86</f>
        <v>0.76339580614605862</v>
      </c>
      <c r="H86" cm="1">
        <f t="array" ref="H86">$N$20*NMultDensity(A86:B86,$L$22:$M$22,$L$20:$M$21)/D86</f>
        <v>3.1161422479850858E-2</v>
      </c>
      <c r="I86">
        <f t="shared" si="7"/>
        <v>0.76339580614605862</v>
      </c>
      <c r="R86">
        <v>4.7</v>
      </c>
      <c r="S86">
        <v>1.4</v>
      </c>
      <c r="T86">
        <v>3</v>
      </c>
    </row>
    <row r="87" spans="1:20" x14ac:dyDescent="0.3">
      <c r="A87">
        <v>4.5</v>
      </c>
      <c r="B87">
        <v>1.6</v>
      </c>
      <c r="C87">
        <f t="shared" si="6"/>
        <v>3</v>
      </c>
      <c r="D87" cm="1">
        <f t="array" ref="D87">$N$12*NMultDensity(A87:B87,$L$14:$M$14,$L$12:$M$13)+$N$16*NMultDensity(A87:B87,$L$18:$M$18,$L$16:$M$17)+$N$20*NMultDensity(A87:B87,$L$22:$M$22,$L$20:$M$21)+$N$8*NMultDensity(A87:B87,$L$10:$M$10,$L$8:$M$9)</f>
        <v>0.32804554511816253</v>
      </c>
      <c r="E87" cm="1">
        <f t="array" ref="E87">$N$8*NMultDensity(A87:B87,$L$10:$M$10,$L$8:$M$9)/D87</f>
        <v>6.6915618176159123E-81</v>
      </c>
      <c r="F87" cm="1">
        <f t="array" ref="F87">$N$12*NMultDensity(A87:B87,$L$14:$M$14,$L$12:$M$13)/D87</f>
        <v>0.19652875211935777</v>
      </c>
      <c r="G87" cm="1">
        <f t="array" ref="G87">$N$16*NMultDensity(A87:B87,$L$18:$M$18,$L$16:$M$17)/D87</f>
        <v>0.6735216140610365</v>
      </c>
      <c r="H87" cm="1">
        <f t="array" ref="H87">$N$20*NMultDensity(A87:B87,$L$22:$M$22,$L$20:$M$21)/D87</f>
        <v>0.1299496338196057</v>
      </c>
      <c r="I87">
        <f t="shared" si="7"/>
        <v>0.6735216140610365</v>
      </c>
      <c r="R87">
        <v>4.4000000000000004</v>
      </c>
      <c r="S87">
        <v>1.4</v>
      </c>
      <c r="T87">
        <v>3</v>
      </c>
    </row>
    <row r="88" spans="1:20" x14ac:dyDescent="0.3">
      <c r="A88">
        <v>4.7</v>
      </c>
      <c r="B88">
        <v>1.5</v>
      </c>
      <c r="C88">
        <f t="shared" si="6"/>
        <v>3</v>
      </c>
      <c r="D88" cm="1">
        <f t="array" ref="D88">$N$12*NMultDensity(A88:B88,$L$14:$M$14,$L$12:$M$13)+$N$16*NMultDensity(A88:B88,$L$18:$M$18,$L$16:$M$17)+$N$20*NMultDensity(A88:B88,$L$22:$M$22,$L$20:$M$21)+$N$8*NMultDensity(A88:B88,$L$10:$M$10,$L$8:$M$9)</f>
        <v>0.70247727184717668</v>
      </c>
      <c r="E88" cm="1">
        <f t="array" ref="E88">$N$8*NMultDensity(A88:B88,$L$10:$M$10,$L$8:$M$9)/D88</f>
        <v>4.9453433789895736E-86</v>
      </c>
      <c r="F88" cm="1">
        <f t="array" ref="F88">$N$12*NMultDensity(A88:B88,$L$14:$M$14,$L$12:$M$13)/D88</f>
        <v>0.28478063498157713</v>
      </c>
      <c r="G88" cm="1">
        <f t="array" ref="G88">$N$16*NMultDensity(A88:B88,$L$18:$M$18,$L$16:$M$17)/D88</f>
        <v>0.68280061862439145</v>
      </c>
      <c r="H88" cm="1">
        <f t="array" ref="H88">$N$20*NMultDensity(A88:B88,$L$22:$M$22,$L$20:$M$21)/D88</f>
        <v>3.241874639403132E-2</v>
      </c>
      <c r="I88">
        <f t="shared" si="7"/>
        <v>0.68280061862439145</v>
      </c>
      <c r="R88">
        <v>4.5</v>
      </c>
      <c r="S88">
        <v>1.5</v>
      </c>
      <c r="T88">
        <v>3</v>
      </c>
    </row>
    <row r="89" spans="1:20" x14ac:dyDescent="0.3">
      <c r="A89">
        <v>4.4000000000000004</v>
      </c>
      <c r="B89">
        <v>1.3</v>
      </c>
      <c r="C89">
        <f t="shared" si="6"/>
        <v>3</v>
      </c>
      <c r="D89" cm="1">
        <f t="array" ref="D89">$N$12*NMultDensity(A89:B89,$L$14:$M$14,$L$12:$M$13)+$N$16*NMultDensity(A89:B89,$L$18:$M$18,$L$16:$M$17)+$N$20*NMultDensity(A89:B89,$L$22:$M$22,$L$20:$M$21)+$N$8*NMultDensity(A89:B89,$L$10:$M$10,$L$8:$M$9)</f>
        <v>0.76138295714535553</v>
      </c>
      <c r="E89" cm="1">
        <f t="array" ref="E89">$N$8*NMultDensity(A89:B89,$L$10:$M$10,$L$8:$M$9)/D89</f>
        <v>7.2042936789977185E-69</v>
      </c>
      <c r="F89" cm="1">
        <f t="array" ref="F89">$N$12*NMultDensity(A89:B89,$L$14:$M$14,$L$12:$M$13)/D89</f>
        <v>0.20970355464531676</v>
      </c>
      <c r="G89" cm="1">
        <f t="array" ref="G89">$N$16*NMultDensity(A89:B89,$L$18:$M$18,$L$16:$M$17)/D89</f>
        <v>0.78731459528987602</v>
      </c>
      <c r="H89" cm="1">
        <f t="array" ref="H89">$N$20*NMultDensity(A89:B89,$L$22:$M$22,$L$20:$M$21)/D89</f>
        <v>2.9818500648072978E-3</v>
      </c>
      <c r="I89">
        <f t="shared" si="7"/>
        <v>0.78731459528987602</v>
      </c>
      <c r="R89">
        <v>4.0999999999999996</v>
      </c>
      <c r="S89">
        <v>1</v>
      </c>
      <c r="T89">
        <v>3</v>
      </c>
    </row>
    <row r="90" spans="1:20" x14ac:dyDescent="0.3">
      <c r="A90">
        <v>4.0999999999999996</v>
      </c>
      <c r="B90">
        <v>1.3</v>
      </c>
      <c r="C90">
        <f t="shared" si="6"/>
        <v>3</v>
      </c>
      <c r="D90" cm="1">
        <f t="array" ref="D90">$N$12*NMultDensity(A90:B90,$L$14:$M$14,$L$12:$M$13)+$N$16*NMultDensity(A90:B90,$L$18:$M$18,$L$16:$M$17)+$N$20*NMultDensity(A90:B90,$L$22:$M$22,$L$20:$M$21)+$N$8*NMultDensity(A90:B90,$L$10:$M$10,$L$8:$M$9)</f>
        <v>0.78822026847825644</v>
      </c>
      <c r="E90" cm="1">
        <f t="array" ref="E90">$N$8*NMultDensity(A90:B90,$L$10:$M$10,$L$8:$M$9)/D90</f>
        <v>5.7946970200861871E-58</v>
      </c>
      <c r="F90" cm="1">
        <f t="array" ref="F90">$N$12*NMultDensity(A90:B90,$L$14:$M$14,$L$12:$M$13)/D90</f>
        <v>0.18545612796688796</v>
      </c>
      <c r="G90" cm="1">
        <f t="array" ref="G90">$N$16*NMultDensity(A90:B90,$L$18:$M$18,$L$16:$M$17)/D90</f>
        <v>0.81273679441918967</v>
      </c>
      <c r="H90" cm="1">
        <f t="array" ref="H90">$N$20*NMultDensity(A90:B90,$L$22:$M$22,$L$20:$M$21)/D90</f>
        <v>1.8070776139223468E-3</v>
      </c>
      <c r="I90">
        <f t="shared" si="7"/>
        <v>0.81273679441918967</v>
      </c>
      <c r="R90">
        <v>4.5</v>
      </c>
      <c r="S90">
        <v>1.5</v>
      </c>
      <c r="T90">
        <v>3</v>
      </c>
    </row>
    <row r="91" spans="1:20" x14ac:dyDescent="0.3">
      <c r="A91">
        <v>4</v>
      </c>
      <c r="B91">
        <v>1.3</v>
      </c>
      <c r="C91">
        <f t="shared" si="6"/>
        <v>3</v>
      </c>
      <c r="D91" cm="1">
        <f t="array" ref="D91">$N$12*NMultDensity(A91:B91,$L$14:$M$14,$L$12:$M$13)+$N$16*NMultDensity(A91:B91,$L$18:$M$18,$L$16:$M$17)+$N$20*NMultDensity(A91:B91,$L$22:$M$22,$L$20:$M$21)+$N$8*NMultDensity(A91:B91,$L$10:$M$10,$L$8:$M$9)</f>
        <v>0.598239619733272</v>
      </c>
      <c r="E91" cm="1">
        <f t="array" ref="E91">$N$8*NMultDensity(A91:B91,$L$10:$M$10,$L$8:$M$9)/D91</f>
        <v>1.560582375487381E-54</v>
      </c>
      <c r="F91" cm="1">
        <f t="array" ref="F91">$N$12*NMultDensity(A91:B91,$L$14:$M$14,$L$12:$M$13)/D91</f>
        <v>0.21095961184845233</v>
      </c>
      <c r="G91" cm="1">
        <f t="array" ref="G91">$N$16*NMultDensity(A91:B91,$L$18:$M$18,$L$16:$M$17)/D91</f>
        <v>0.78747992922423871</v>
      </c>
      <c r="H91" cm="1">
        <f t="array" ref="H91">$N$20*NMultDensity(A91:B91,$L$22:$M$22,$L$20:$M$21)/D91</f>
        <v>1.5604589273090087E-3</v>
      </c>
      <c r="I91">
        <f t="shared" si="7"/>
        <v>0.78747992922423871</v>
      </c>
      <c r="R91">
        <v>3.9</v>
      </c>
      <c r="S91">
        <v>1.1000000000000001</v>
      </c>
      <c r="T91">
        <v>3</v>
      </c>
    </row>
    <row r="92" spans="1:20" x14ac:dyDescent="0.3">
      <c r="A92">
        <v>4.4000000000000004</v>
      </c>
      <c r="B92">
        <v>1.2</v>
      </c>
      <c r="C92">
        <f t="shared" si="6"/>
        <v>3</v>
      </c>
      <c r="D92" cm="1">
        <f t="array" ref="D92">$N$12*NMultDensity(A92:B92,$L$14:$M$14,$L$12:$M$13)+$N$16*NMultDensity(A92:B92,$L$18:$M$18,$L$16:$M$17)+$N$20*NMultDensity(A92:B92,$L$22:$M$22,$L$20:$M$21)+$N$8*NMultDensity(A92:B92,$L$10:$M$10,$L$8:$M$9)</f>
        <v>0.33008970327509457</v>
      </c>
      <c r="E92" cm="1">
        <f t="array" ref="E92">$N$8*NMultDensity(A92:B92,$L$10:$M$10,$L$8:$M$9)/D92</f>
        <v>1.5745719717798083E-66</v>
      </c>
      <c r="F92" cm="1">
        <f t="array" ref="F92">$N$12*NMultDensity(A92:B92,$L$14:$M$14,$L$12:$M$13)/D92</f>
        <v>0.25115653992799458</v>
      </c>
      <c r="G92" cm="1">
        <f t="array" ref="G92">$N$16*NMultDensity(A92:B92,$L$18:$M$18,$L$16:$M$17)/D92</f>
        <v>0.74742349743029901</v>
      </c>
      <c r="H92" cm="1">
        <f t="array" ref="H92">$N$20*NMultDensity(A92:B92,$L$22:$M$22,$L$20:$M$21)/D92</f>
        <v>1.4199626417064782E-3</v>
      </c>
      <c r="I92">
        <f t="shared" si="7"/>
        <v>0.74742349743029901</v>
      </c>
      <c r="R92">
        <v>4</v>
      </c>
      <c r="S92">
        <v>1.3</v>
      </c>
      <c r="T92">
        <v>3</v>
      </c>
    </row>
    <row r="93" spans="1:20" x14ac:dyDescent="0.3">
      <c r="A93">
        <v>4.5999999999999996</v>
      </c>
      <c r="B93">
        <v>1.4</v>
      </c>
      <c r="C93">
        <f t="shared" si="6"/>
        <v>3</v>
      </c>
      <c r="D93" cm="1">
        <f t="array" ref="D93">$N$12*NMultDensity(A93:B93,$L$14:$M$14,$L$12:$M$13)+$N$16*NMultDensity(A93:B93,$L$18:$M$18,$L$16:$M$17)+$N$20*NMultDensity(A93:B93,$L$22:$M$22,$L$20:$M$21)+$N$8*NMultDensity(A93:B93,$L$10:$M$10,$L$8:$M$9)</f>
        <v>0.7298592982842752</v>
      </c>
      <c r="E93" cm="1">
        <f t="array" ref="E93">$N$8*NMultDensity(A93:B93,$L$10:$M$10,$L$8:$M$9)/D93</f>
        <v>3.2693482413245905E-79</v>
      </c>
      <c r="F93" cm="1">
        <f t="array" ref="F93">$N$12*NMultDensity(A93:B93,$L$14:$M$14,$L$12:$M$13)/D93</f>
        <v>0.26867320768171155</v>
      </c>
      <c r="G93" cm="1">
        <f t="array" ref="G93">$N$16*NMultDensity(A93:B93,$L$18:$M$18,$L$16:$M$17)/D93</f>
        <v>0.72117594059627499</v>
      </c>
      <c r="H93" cm="1">
        <f t="array" ref="H93">$N$20*NMultDensity(A93:B93,$L$22:$M$22,$L$20:$M$21)/D93</f>
        <v>1.0150851722013436E-2</v>
      </c>
      <c r="I93">
        <f t="shared" si="7"/>
        <v>0.72117594059627499</v>
      </c>
      <c r="R93">
        <v>4.9000000000000004</v>
      </c>
      <c r="S93">
        <v>1.5</v>
      </c>
      <c r="T93">
        <v>3</v>
      </c>
    </row>
    <row r="94" spans="1:20" x14ac:dyDescent="0.3">
      <c r="A94">
        <v>4</v>
      </c>
      <c r="B94">
        <v>1.2</v>
      </c>
      <c r="C94">
        <f t="shared" si="6"/>
        <v>3</v>
      </c>
      <c r="D94" cm="1">
        <f t="array" ref="D94">$N$12*NMultDensity(A94:B94,$L$14:$M$14,$L$12:$M$13)+$N$16*NMultDensity(A94:B94,$L$18:$M$18,$L$16:$M$17)+$N$20*NMultDensity(A94:B94,$L$22:$M$22,$L$20:$M$21)+$N$8*NMultDensity(A94:B94,$L$10:$M$10,$L$8:$M$9)</f>
        <v>0.69393202755059791</v>
      </c>
      <c r="E94" cm="1">
        <f t="array" ref="E94">$N$8*NMultDensity(A94:B94,$L$10:$M$10,$L$8:$M$9)/D94</f>
        <v>2.9378907636877358E-52</v>
      </c>
      <c r="F94" cm="1">
        <f t="array" ref="F94">$N$12*NMultDensity(A94:B94,$L$14:$M$14,$L$12:$M$13)/D94</f>
        <v>0.18357408741323927</v>
      </c>
      <c r="G94" cm="1">
        <f t="array" ref="G94">$N$16*NMultDensity(A94:B94,$L$18:$M$18,$L$16:$M$17)/D94</f>
        <v>0.81589425273758798</v>
      </c>
      <c r="H94" cm="1">
        <f t="array" ref="H94">$N$20*NMultDensity(A94:B94,$L$22:$M$22,$L$20:$M$21)/D94</f>
        <v>5.3165984917270543E-4</v>
      </c>
      <c r="I94">
        <f t="shared" si="7"/>
        <v>0.81589425273758798</v>
      </c>
      <c r="R94">
        <v>4.3</v>
      </c>
      <c r="S94">
        <v>1.3</v>
      </c>
      <c r="T94">
        <v>3</v>
      </c>
    </row>
    <row r="95" spans="1:20" x14ac:dyDescent="0.3">
      <c r="A95">
        <v>3.3</v>
      </c>
      <c r="B95">
        <v>1</v>
      </c>
      <c r="C95">
        <f t="shared" si="6"/>
        <v>2</v>
      </c>
      <c r="D95" cm="1">
        <f t="array" ref="D95">$N$12*NMultDensity(A95:B95,$L$14:$M$14,$L$12:$M$13)+$N$16*NMultDensity(A95:B95,$L$18:$M$18,$L$16:$M$17)+$N$20*NMultDensity(A95:B95,$L$22:$M$22,$L$20:$M$21)+$N$8*NMultDensity(A95:B95,$L$10:$M$10,$L$8:$M$9)</f>
        <v>9.0321089723562106E-2</v>
      </c>
      <c r="E95" cm="1">
        <f t="array" ref="E95">$N$8*NMultDensity(A95:B95,$L$10:$M$10,$L$8:$M$9)/D95</f>
        <v>1.2835844811482472E-27</v>
      </c>
      <c r="F95" cm="1">
        <f t="array" ref="F95">$N$12*NMultDensity(A95:B95,$L$14:$M$14,$L$12:$M$13)/D95</f>
        <v>0.62918786467255405</v>
      </c>
      <c r="G95" cm="1">
        <f t="array" ref="G95">$N$16*NMultDensity(A95:B95,$L$18:$M$18,$L$16:$M$17)/D95</f>
        <v>0.37080411347548659</v>
      </c>
      <c r="H95" cm="1">
        <f t="array" ref="H95">$N$20*NMultDensity(A95:B95,$L$22:$M$22,$L$20:$M$21)/D95</f>
        <v>8.0218519592867149E-6</v>
      </c>
      <c r="I95">
        <f t="shared" si="7"/>
        <v>0.62918786467255405</v>
      </c>
      <c r="R95">
        <v>4.4000000000000004</v>
      </c>
      <c r="S95">
        <v>1.4</v>
      </c>
      <c r="T95">
        <v>3</v>
      </c>
    </row>
    <row r="96" spans="1:20" x14ac:dyDescent="0.3">
      <c r="A96">
        <v>4.2</v>
      </c>
      <c r="B96">
        <v>1.3</v>
      </c>
      <c r="C96">
        <f t="shared" si="6"/>
        <v>3</v>
      </c>
      <c r="D96" cm="1">
        <f t="array" ref="D96">$N$12*NMultDensity(A96:B96,$L$14:$M$14,$L$12:$M$13)+$N$16*NMultDensity(A96:B96,$L$18:$M$18,$L$16:$M$17)+$N$20*NMultDensity(A96:B96,$L$22:$M$22,$L$20:$M$21)+$N$8*NMultDensity(A96:B96,$L$10:$M$10,$L$8:$M$9)</f>
        <v>0.90036408404454671</v>
      </c>
      <c r="E96" cm="1">
        <f t="array" ref="E96">$N$8*NMultDensity(A96:B96,$L$10:$M$10,$L$8:$M$9)/D96</f>
        <v>1.6980003350679363E-61</v>
      </c>
      <c r="F96" cm="1">
        <f t="array" ref="F96">$N$12*NMultDensity(A96:B96,$L$14:$M$14,$L$12:$M$13)/D96</f>
        <v>0.17732275298478747</v>
      </c>
      <c r="G96" cm="1">
        <f t="array" ref="G96">$N$16*NMultDensity(A96:B96,$L$18:$M$18,$L$16:$M$17)/D96</f>
        <v>0.82056522335882465</v>
      </c>
      <c r="H96" cm="1">
        <f t="array" ref="H96">$N$20*NMultDensity(A96:B96,$L$22:$M$22,$L$20:$M$21)/D96</f>
        <v>2.1120236563878813E-3</v>
      </c>
      <c r="I96">
        <f t="shared" si="7"/>
        <v>0.82056522335882465</v>
      </c>
      <c r="R96">
        <v>4.8</v>
      </c>
      <c r="S96">
        <v>1.4</v>
      </c>
      <c r="T96">
        <v>3</v>
      </c>
    </row>
    <row r="97" spans="1:20" x14ac:dyDescent="0.3">
      <c r="A97">
        <v>4.2</v>
      </c>
      <c r="B97">
        <v>1.2</v>
      </c>
      <c r="C97">
        <f t="shared" si="6"/>
        <v>3</v>
      </c>
      <c r="D97" cm="1">
        <f t="array" ref="D97">$N$12*NMultDensity(A97:B97,$L$14:$M$14,$L$12:$M$13)+$N$16*NMultDensity(A97:B97,$L$18:$M$18,$L$16:$M$17)+$N$20*NMultDensity(A97:B97,$L$22:$M$22,$L$20:$M$21)+$N$8*NMultDensity(A97:B97,$L$10:$M$10,$L$8:$M$9)</f>
        <v>0.63573058295189577</v>
      </c>
      <c r="E97" cm="1">
        <f t="array" ref="E97">$N$8*NMultDensity(A97:B97,$L$10:$M$10,$L$8:$M$9)/D97</f>
        <v>3.459219735166267E-59</v>
      </c>
      <c r="F97" cm="1">
        <f t="array" ref="F97">$N$12*NMultDensity(A97:B97,$L$14:$M$14,$L$12:$M$13)/D97</f>
        <v>0.1818110170099784</v>
      </c>
      <c r="G97" cm="1">
        <f t="array" ref="G97">$N$16*NMultDensity(A97:B97,$L$18:$M$18,$L$16:$M$17)/D97</f>
        <v>0.81733457470973236</v>
      </c>
      <c r="H97" cm="1">
        <f t="array" ref="H97">$N$20*NMultDensity(A97:B97,$L$22:$M$22,$L$20:$M$21)/D97</f>
        <v>8.5440828028911112E-4</v>
      </c>
      <c r="I97">
        <f t="shared" si="7"/>
        <v>0.81733457470973236</v>
      </c>
      <c r="R97">
        <v>5</v>
      </c>
      <c r="S97">
        <v>1.7</v>
      </c>
      <c r="T97">
        <v>3</v>
      </c>
    </row>
    <row r="98" spans="1:20" x14ac:dyDescent="0.3">
      <c r="A98">
        <v>4.2</v>
      </c>
      <c r="B98">
        <v>1.3</v>
      </c>
      <c r="C98">
        <f t="shared" ref="C98:C129" si="8">IF(E98=I98,1,IF(F98=I98,2,IF(G98=I98,3,4)))</f>
        <v>3</v>
      </c>
      <c r="D98" cm="1">
        <f t="array" ref="D98">$N$12*NMultDensity(A98:B98,$L$14:$M$14,$L$12:$M$13)+$N$16*NMultDensity(A98:B98,$L$18:$M$18,$L$16:$M$17)+$N$20*NMultDensity(A98:B98,$L$22:$M$22,$L$20:$M$21)+$N$8*NMultDensity(A98:B98,$L$10:$M$10,$L$8:$M$9)</f>
        <v>0.90036408404454671</v>
      </c>
      <c r="E98" cm="1">
        <f t="array" ref="E98">$N$8*NMultDensity(A98:B98,$L$10:$M$10,$L$8:$M$9)/D98</f>
        <v>1.6980003350679363E-61</v>
      </c>
      <c r="F98" cm="1">
        <f t="array" ref="F98">$N$12*NMultDensity(A98:B98,$L$14:$M$14,$L$12:$M$13)/D98</f>
        <v>0.17732275298478747</v>
      </c>
      <c r="G98" cm="1">
        <f t="array" ref="G98">$N$16*NMultDensity(A98:B98,$L$18:$M$18,$L$16:$M$17)/D98</f>
        <v>0.82056522335882465</v>
      </c>
      <c r="H98" cm="1">
        <f t="array" ref="H98">$N$20*NMultDensity(A98:B98,$L$22:$M$22,$L$20:$M$21)/D98</f>
        <v>2.1120236563878813E-3</v>
      </c>
      <c r="I98">
        <f t="shared" ref="I98:I129" si="9">MAX(E98:H98)</f>
        <v>0.82056522335882465</v>
      </c>
      <c r="R98">
        <v>4.5</v>
      </c>
      <c r="S98">
        <v>1.5</v>
      </c>
      <c r="T98">
        <v>3</v>
      </c>
    </row>
    <row r="99" spans="1:20" x14ac:dyDescent="0.3">
      <c r="A99">
        <v>4.3</v>
      </c>
      <c r="B99">
        <v>1.3</v>
      </c>
      <c r="C99">
        <f t="shared" si="8"/>
        <v>3</v>
      </c>
      <c r="D99" cm="1">
        <f t="array" ref="D99">$N$12*NMultDensity(A99:B99,$L$14:$M$14,$L$12:$M$13)+$N$16*NMultDensity(A99:B99,$L$18:$M$18,$L$16:$M$17)+$N$20*NMultDensity(A99:B99,$L$22:$M$22,$L$20:$M$21)+$N$8*NMultDensity(A99:B99,$L$10:$M$10,$L$8:$M$9)</f>
        <v>0.88927168595903672</v>
      </c>
      <c r="E99" cm="1">
        <f t="array" ref="E99">$N$8*NMultDensity(A99:B99,$L$10:$M$10,$L$8:$M$9)/D99</f>
        <v>3.9369528347298972E-65</v>
      </c>
      <c r="F99" cm="1">
        <f t="array" ref="F99">$N$12*NMultDensity(A99:B99,$L$14:$M$14,$L$12:$M$13)/D99</f>
        <v>0.18489345953746456</v>
      </c>
      <c r="G99" cm="1">
        <f t="array" ref="G99">$N$16*NMultDensity(A99:B99,$L$18:$M$18,$L$16:$M$17)/D99</f>
        <v>0.81260866570543588</v>
      </c>
      <c r="H99" cm="1">
        <f t="array" ref="H99">$N$20*NMultDensity(A99:B99,$L$22:$M$22,$L$20:$M$21)/D99</f>
        <v>2.4978747570994584E-3</v>
      </c>
      <c r="I99">
        <f t="shared" si="9"/>
        <v>0.81260866570543588</v>
      </c>
      <c r="R99">
        <v>3.5</v>
      </c>
      <c r="S99">
        <v>1</v>
      </c>
      <c r="T99">
        <v>3</v>
      </c>
    </row>
    <row r="100" spans="1:20" x14ac:dyDescent="0.3">
      <c r="A100">
        <v>3</v>
      </c>
      <c r="B100">
        <v>1.1000000000000001</v>
      </c>
      <c r="C100">
        <f t="shared" si="8"/>
        <v>2</v>
      </c>
      <c r="D100" cm="1">
        <f t="array" ref="D100">$N$12*NMultDensity(A100:B100,$L$14:$M$14,$L$12:$M$13)+$N$16*NMultDensity(A100:B100,$L$18:$M$18,$L$16:$M$17)+$N$20*NMultDensity(A100:B100,$L$22:$M$22,$L$20:$M$21)+$N$8*NMultDensity(A100:B100,$L$10:$M$10,$L$8:$M$9)</f>
        <v>1.9148548564573202E-2</v>
      </c>
      <c r="E100" cm="1">
        <f t="array" ref="E100">$N$8*NMultDensity(A100:B100,$L$10:$M$10,$L$8:$M$9)/D100</f>
        <v>5.7067192531753419E-23</v>
      </c>
      <c r="F100" cm="1">
        <f t="array" ref="F100">$N$12*NMultDensity(A100:B100,$L$14:$M$14,$L$12:$M$13)/D100</f>
        <v>0.97958960271710538</v>
      </c>
      <c r="G100" cm="1">
        <f t="array" ref="G100">$N$16*NMultDensity(A100:B100,$L$18:$M$18,$L$16:$M$17)/D100</f>
        <v>2.040911210597211E-2</v>
      </c>
      <c r="H100" cm="1">
        <f t="array" ref="H100">$N$20*NMultDensity(A100:B100,$L$22:$M$22,$L$20:$M$21)/D100</f>
        <v>1.2851769224427294E-6</v>
      </c>
      <c r="I100">
        <f t="shared" si="9"/>
        <v>0.97958960271710538</v>
      </c>
      <c r="R100">
        <v>3.8</v>
      </c>
      <c r="S100">
        <v>1.1000000000000001</v>
      </c>
      <c r="T100">
        <v>3</v>
      </c>
    </row>
    <row r="101" spans="1:20" x14ac:dyDescent="0.3">
      <c r="A101">
        <v>4.0999999999999996</v>
      </c>
      <c r="B101">
        <v>1.3</v>
      </c>
      <c r="C101">
        <f t="shared" si="8"/>
        <v>3</v>
      </c>
      <c r="D101" cm="1">
        <f t="array" ref="D101">$N$12*NMultDensity(A101:B101,$L$14:$M$14,$L$12:$M$13)+$N$16*NMultDensity(A101:B101,$L$18:$M$18,$L$16:$M$17)+$N$20*NMultDensity(A101:B101,$L$22:$M$22,$L$20:$M$21)+$N$8*NMultDensity(A101:B101,$L$10:$M$10,$L$8:$M$9)</f>
        <v>0.78822026847825644</v>
      </c>
      <c r="E101" cm="1">
        <f t="array" ref="E101">$N$8*NMultDensity(A101:B101,$L$10:$M$10,$L$8:$M$9)/D101</f>
        <v>5.7946970200861871E-58</v>
      </c>
      <c r="F101" cm="1">
        <f t="array" ref="F101">$N$12*NMultDensity(A101:B101,$L$14:$M$14,$L$12:$M$13)/D101</f>
        <v>0.18545612796688796</v>
      </c>
      <c r="G101" cm="1">
        <f t="array" ref="G101">$N$16*NMultDensity(A101:B101,$L$18:$M$18,$L$16:$M$17)/D101</f>
        <v>0.81273679441918967</v>
      </c>
      <c r="H101" cm="1">
        <f t="array" ref="H101">$N$20*NMultDensity(A101:B101,$L$22:$M$22,$L$20:$M$21)/D101</f>
        <v>1.8070776139223468E-3</v>
      </c>
      <c r="I101">
        <f t="shared" si="9"/>
        <v>0.81273679441918967</v>
      </c>
      <c r="R101">
        <v>3.7</v>
      </c>
      <c r="S101">
        <v>1</v>
      </c>
      <c r="T101">
        <v>3</v>
      </c>
    </row>
    <row r="102" spans="1:20" x14ac:dyDescent="0.3">
      <c r="A102">
        <v>6</v>
      </c>
      <c r="B102">
        <v>2.5</v>
      </c>
      <c r="C102">
        <f t="shared" si="8"/>
        <v>4</v>
      </c>
      <c r="D102" cm="1">
        <f t="array" ref="D102">$N$12*NMultDensity(A102:B102,$L$14:$M$14,$L$12:$M$13)+$N$16*NMultDensity(A102:B102,$L$18:$M$18,$L$16:$M$17)+$N$20*NMultDensity(A102:B102,$L$22:$M$22,$L$20:$M$21)+$N$8*NMultDensity(A102:B102,$L$10:$M$10,$L$8:$M$9)</f>
        <v>0.12411976034171403</v>
      </c>
      <c r="E102" cm="1">
        <f t="array" ref="E102">$N$8*NMultDensity(A102:B102,$L$10:$M$10,$L$8:$M$9)/D102</f>
        <v>1.0518185517641117E-193</v>
      </c>
      <c r="F102" cm="1">
        <f t="array" ref="F102">$N$12*NMultDensity(A102:B102,$L$14:$M$14,$L$12:$M$13)/D102</f>
        <v>1.4765617615800316E-5</v>
      </c>
      <c r="G102" cm="1">
        <f t="array" ref="G102">$N$16*NMultDensity(A102:B102,$L$18:$M$18,$L$16:$M$17)/D102</f>
        <v>2.4889879235569976E-7</v>
      </c>
      <c r="H102" cm="1">
        <f t="array" ref="H102">$N$20*NMultDensity(A102:B102,$L$22:$M$22,$L$20:$M$21)/D102</f>
        <v>0.99998498548359183</v>
      </c>
      <c r="I102">
        <f t="shared" si="9"/>
        <v>0.99998498548359183</v>
      </c>
      <c r="R102">
        <v>3.9</v>
      </c>
      <c r="S102">
        <v>1.2</v>
      </c>
      <c r="T102">
        <v>3</v>
      </c>
    </row>
    <row r="103" spans="1:20" x14ac:dyDescent="0.3">
      <c r="A103">
        <v>5.0999999999999996</v>
      </c>
      <c r="B103">
        <v>1.9</v>
      </c>
      <c r="C103">
        <f t="shared" si="8"/>
        <v>4</v>
      </c>
      <c r="D103" cm="1">
        <f t="array" ref="D103">$N$12*NMultDensity(A103:B103,$L$14:$M$14,$L$12:$M$13)+$N$16*NMultDensity(A103:B103,$L$18:$M$18,$L$16:$M$17)+$N$20*NMultDensity(A103:B103,$L$22:$M$22,$L$20:$M$21)+$N$8*NMultDensity(A103:B103,$L$10:$M$10,$L$8:$M$9)</f>
        <v>0.39414118637449796</v>
      </c>
      <c r="E103" cm="1">
        <f t="array" ref="E103">$N$8*NMultDensity(A103:B103,$L$10:$M$10,$L$8:$M$9)/D103</f>
        <v>1.398064086810256E-117</v>
      </c>
      <c r="F103" cm="1">
        <f t="array" ref="F103">$N$12*NMultDensity(A103:B103,$L$14:$M$14,$L$12:$M$13)/D103</f>
        <v>3.5626995494510053E-2</v>
      </c>
      <c r="G103" cm="1">
        <f t="array" ref="G103">$N$16*NMultDensity(A103:B103,$L$18:$M$18,$L$16:$M$17)/D103</f>
        <v>3.6131901703382339E-2</v>
      </c>
      <c r="H103" cm="1">
        <f t="array" ref="H103">$N$20*NMultDensity(A103:B103,$L$22:$M$22,$L$20:$M$21)/D103</f>
        <v>0.92824110280210759</v>
      </c>
      <c r="I103">
        <f t="shared" si="9"/>
        <v>0.92824110280210759</v>
      </c>
      <c r="R103">
        <v>4.5</v>
      </c>
      <c r="S103">
        <v>1.5</v>
      </c>
      <c r="T103">
        <v>3</v>
      </c>
    </row>
    <row r="104" spans="1:20" x14ac:dyDescent="0.3">
      <c r="A104">
        <v>5.9</v>
      </c>
      <c r="B104">
        <v>2.1</v>
      </c>
      <c r="C104">
        <f t="shared" si="8"/>
        <v>4</v>
      </c>
      <c r="D104" cm="1">
        <f t="array" ref="D104">$N$12*NMultDensity(A104:B104,$L$14:$M$14,$L$12:$M$13)+$N$16*NMultDensity(A104:B104,$L$18:$M$18,$L$16:$M$17)+$N$20*NMultDensity(A104:B104,$L$22:$M$22,$L$20:$M$21)+$N$8*NMultDensity(A104:B104,$L$10:$M$10,$L$8:$M$9)</f>
        <v>8.6199407614246285E-2</v>
      </c>
      <c r="E104" cm="1">
        <f t="array" ref="E104">$N$8*NMultDensity(A104:B104,$L$10:$M$10,$L$8:$M$9)/D104</f>
        <v>2.4701636476713134E-166</v>
      </c>
      <c r="F104" cm="1">
        <f t="array" ref="F104">$N$12*NMultDensity(A104:B104,$L$14:$M$14,$L$12:$M$13)/D104</f>
        <v>0.24873257578054075</v>
      </c>
      <c r="G104" cm="1">
        <f t="array" ref="G104">$N$16*NMultDensity(A104:B104,$L$18:$M$18,$L$16:$M$17)/D104</f>
        <v>2.324145584969124E-3</v>
      </c>
      <c r="H104" cm="1">
        <f t="array" ref="H104">$N$20*NMultDensity(A104:B104,$L$22:$M$22,$L$20:$M$21)/D104</f>
        <v>0.74894327863449017</v>
      </c>
      <c r="I104">
        <f t="shared" si="9"/>
        <v>0.74894327863449017</v>
      </c>
      <c r="R104">
        <v>4.5</v>
      </c>
      <c r="S104">
        <v>1.6</v>
      </c>
      <c r="T104">
        <v>3</v>
      </c>
    </row>
    <row r="105" spans="1:20" x14ac:dyDescent="0.3">
      <c r="A105">
        <v>5.6</v>
      </c>
      <c r="B105">
        <v>1.8</v>
      </c>
      <c r="C105">
        <f t="shared" si="8"/>
        <v>2</v>
      </c>
      <c r="D105" cm="1">
        <f t="array" ref="D105">$N$12*NMultDensity(A105:B105,$L$14:$M$14,$L$12:$M$13)+$N$16*NMultDensity(A105:B105,$L$18:$M$18,$L$16:$M$17)+$N$20*NMultDensity(A105:B105,$L$22:$M$22,$L$20:$M$21)+$N$8*NMultDensity(A105:B105,$L$10:$M$10,$L$8:$M$9)</f>
        <v>0.19903694050584506</v>
      </c>
      <c r="E105" cm="1">
        <f t="array" ref="E105">$N$8*NMultDensity(A105:B105,$L$10:$M$10,$L$8:$M$9)/D105</f>
        <v>3.5776452116081319E-138</v>
      </c>
      <c r="F105" cm="1">
        <f t="array" ref="F105">$N$12*NMultDensity(A105:B105,$L$14:$M$14,$L$12:$M$13)/D105</f>
        <v>0.88958690171016941</v>
      </c>
      <c r="G105" cm="1">
        <f t="array" ref="G105">$N$16*NMultDensity(A105:B105,$L$18:$M$18,$L$16:$M$17)/D105</f>
        <v>2.3253088111349868E-2</v>
      </c>
      <c r="H105" cm="1">
        <f t="array" ref="H105">$N$20*NMultDensity(A105:B105,$L$22:$M$22,$L$20:$M$21)/D105</f>
        <v>8.7160010178480657E-2</v>
      </c>
      <c r="I105">
        <f t="shared" si="9"/>
        <v>0.88958690171016941</v>
      </c>
      <c r="R105">
        <v>4.7</v>
      </c>
      <c r="S105">
        <v>1.5</v>
      </c>
      <c r="T105">
        <v>3</v>
      </c>
    </row>
    <row r="106" spans="1:20" x14ac:dyDescent="0.3">
      <c r="A106">
        <v>5.8</v>
      </c>
      <c r="B106">
        <v>2.2000000000000002</v>
      </c>
      <c r="C106">
        <f t="shared" si="8"/>
        <v>4</v>
      </c>
      <c r="D106" cm="1">
        <f t="array" ref="D106">$N$12*NMultDensity(A106:B106,$L$14:$M$14,$L$12:$M$13)+$N$16*NMultDensity(A106:B106,$L$18:$M$18,$L$16:$M$17)+$N$20*NMultDensity(A106:B106,$L$22:$M$22,$L$20:$M$21)+$N$8*NMultDensity(A106:B106,$L$10:$M$10,$L$8:$M$9)</f>
        <v>0.23190191018021267</v>
      </c>
      <c r="E106" cm="1">
        <f t="array" ref="E106">$N$8*NMultDensity(A106:B106,$L$10:$M$10,$L$8:$M$9)/D106</f>
        <v>4.4950972062057302E-166</v>
      </c>
      <c r="F106" cm="1">
        <f t="array" ref="F106">$N$12*NMultDensity(A106:B106,$L$14:$M$14,$L$12:$M$13)/D106</f>
        <v>8.7128143408352326E-3</v>
      </c>
      <c r="G106" cm="1">
        <f t="array" ref="G106">$N$16*NMultDensity(A106:B106,$L$18:$M$18,$L$16:$M$17)/D106</f>
        <v>3.1248004026980064E-4</v>
      </c>
      <c r="H106" cm="1">
        <f t="array" ref="H106">$N$20*NMultDensity(A106:B106,$L$22:$M$22,$L$20:$M$21)/D106</f>
        <v>0.990974705618895</v>
      </c>
      <c r="I106">
        <f t="shared" si="9"/>
        <v>0.990974705618895</v>
      </c>
      <c r="R106">
        <v>4.4000000000000004</v>
      </c>
      <c r="S106">
        <v>1.3</v>
      </c>
      <c r="T106">
        <v>3</v>
      </c>
    </row>
    <row r="107" spans="1:20" x14ac:dyDescent="0.3">
      <c r="A107">
        <v>6.6</v>
      </c>
      <c r="B107">
        <v>2.1</v>
      </c>
      <c r="C107">
        <f t="shared" si="8"/>
        <v>2</v>
      </c>
      <c r="D107" cm="1">
        <f t="array" ref="D107">$N$12*NMultDensity(A107:B107,$L$14:$M$14,$L$12:$M$13)+$N$16*NMultDensity(A107:B107,$L$18:$M$18,$L$16:$M$17)+$N$20*NMultDensity(A107:B107,$L$22:$M$22,$L$20:$M$21)+$N$8*NMultDensity(A107:B107,$L$10:$M$10,$L$8:$M$9)</f>
        <v>7.7529581932576308E-2</v>
      </c>
      <c r="E107" cm="1">
        <f t="array" ref="E107">$N$8*NMultDensity(A107:B107,$L$10:$M$10,$L$8:$M$9)/D107</f>
        <v>9.0461589375738238E-210</v>
      </c>
      <c r="F107" cm="1">
        <f t="array" ref="F107">$N$12*NMultDensity(A107:B107,$L$14:$M$14,$L$12:$M$13)/D107</f>
        <v>0.99983321368583333</v>
      </c>
      <c r="G107" cm="1">
        <f t="array" ref="G107">$N$16*NMultDensity(A107:B107,$L$18:$M$18,$L$16:$M$17)/D107</f>
        <v>6.9752884161865148E-7</v>
      </c>
      <c r="H107" cm="1">
        <f t="array" ref="H107">$N$20*NMultDensity(A107:B107,$L$22:$M$22,$L$20:$M$21)/D107</f>
        <v>1.6608878532511971E-4</v>
      </c>
      <c r="I107">
        <f t="shared" si="9"/>
        <v>0.99983321368583333</v>
      </c>
      <c r="R107">
        <v>4.0999999999999996</v>
      </c>
      <c r="S107">
        <v>1.3</v>
      </c>
      <c r="T107">
        <v>3</v>
      </c>
    </row>
    <row r="108" spans="1:20" x14ac:dyDescent="0.3">
      <c r="A108">
        <v>4.5</v>
      </c>
      <c r="B108">
        <v>1.7</v>
      </c>
      <c r="C108">
        <f t="shared" si="8"/>
        <v>4</v>
      </c>
      <c r="D108" cm="1">
        <f t="array" ref="D108">$N$12*NMultDensity(A108:B108,$L$14:$M$14,$L$12:$M$13)+$N$16*NMultDensity(A108:B108,$L$18:$M$18,$L$16:$M$17)+$N$20*NMultDensity(A108:B108,$L$22:$M$22,$L$20:$M$21)+$N$8*NMultDensity(A108:B108,$L$10:$M$10,$L$8:$M$9)</f>
        <v>0.11857810130674024</v>
      </c>
      <c r="E108" cm="1">
        <f t="array" ref="E108">$N$8*NMultDensity(A108:B108,$L$10:$M$10,$L$8:$M$9)/D108</f>
        <v>3.4262056362346561E-84</v>
      </c>
      <c r="F108" cm="1">
        <f t="array" ref="F108">$N$12*NMultDensity(A108:B108,$L$14:$M$14,$L$12:$M$13)/D108</f>
        <v>0.13851524742454069</v>
      </c>
      <c r="G108" cm="1">
        <f t="array" ref="G108">$N$16*NMultDensity(A108:B108,$L$18:$M$18,$L$16:$M$17)/D108</f>
        <v>0.38125285506295248</v>
      </c>
      <c r="H108" cm="1">
        <f t="array" ref="H108">$N$20*NMultDensity(A108:B108,$L$22:$M$22,$L$20:$M$21)/D108</f>
        <v>0.48023189751250678</v>
      </c>
      <c r="I108">
        <f t="shared" si="9"/>
        <v>0.48023189751250678</v>
      </c>
      <c r="R108">
        <v>4</v>
      </c>
      <c r="S108">
        <v>1.3</v>
      </c>
      <c r="T108">
        <v>3</v>
      </c>
    </row>
    <row r="109" spans="1:20" x14ac:dyDescent="0.3">
      <c r="A109">
        <v>6.3</v>
      </c>
      <c r="B109">
        <v>1.8</v>
      </c>
      <c r="C109">
        <f t="shared" si="8"/>
        <v>2</v>
      </c>
      <c r="D109" cm="1">
        <f t="array" ref="D109">$N$12*NMultDensity(A109:B109,$L$14:$M$14,$L$12:$M$13)+$N$16*NMultDensity(A109:B109,$L$18:$M$18,$L$16:$M$17)+$N$20*NMultDensity(A109:B109,$L$22:$M$22,$L$20:$M$21)+$N$8*NMultDensity(A109:B109,$L$10:$M$10,$L$8:$M$9)</f>
        <v>6.708413205332632E-2</v>
      </c>
      <c r="E109" cm="1">
        <f t="array" ref="E109">$N$8*NMultDensity(A109:B109,$L$10:$M$10,$L$8:$M$9)/D109</f>
        <v>1.2636514518708111E-179</v>
      </c>
      <c r="F109" cm="1">
        <f t="array" ref="F109">$N$12*NMultDensity(A109:B109,$L$14:$M$14,$L$12:$M$13)/D109</f>
        <v>0.99996967780348667</v>
      </c>
      <c r="G109" cm="1">
        <f t="array" ref="G109">$N$16*NMultDensity(A109:B109,$L$18:$M$18,$L$16:$M$17)/D109</f>
        <v>2.1344999853039971E-6</v>
      </c>
      <c r="H109" cm="1">
        <f t="array" ref="H109">$N$20*NMultDensity(A109:B109,$L$22:$M$22,$L$20:$M$21)/D109</f>
        <v>2.8187696528010731E-5</v>
      </c>
      <c r="I109">
        <f t="shared" si="9"/>
        <v>0.99996967780348667</v>
      </c>
      <c r="R109">
        <v>4.4000000000000004</v>
      </c>
      <c r="S109">
        <v>1.2</v>
      </c>
      <c r="T109">
        <v>3</v>
      </c>
    </row>
    <row r="110" spans="1:20" x14ac:dyDescent="0.3">
      <c r="A110">
        <v>5.8</v>
      </c>
      <c r="B110">
        <v>1.8</v>
      </c>
      <c r="C110">
        <f t="shared" si="8"/>
        <v>2</v>
      </c>
      <c r="D110" cm="1">
        <f t="array" ref="D110">$N$12*NMultDensity(A110:B110,$L$14:$M$14,$L$12:$M$13)+$N$16*NMultDensity(A110:B110,$L$18:$M$18,$L$16:$M$17)+$N$20*NMultDensity(A110:B110,$L$22:$M$22,$L$20:$M$21)+$N$8*NMultDensity(A110:B110,$L$10:$M$10,$L$8:$M$9)</f>
        <v>0.18304595507880828</v>
      </c>
      <c r="E110" cm="1">
        <f t="array" ref="E110">$N$8*NMultDensity(A110:B110,$L$10:$M$10,$L$8:$M$9)/D110</f>
        <v>2.7277106856836962E-149</v>
      </c>
      <c r="F110" cm="1">
        <f t="array" ref="F110">$N$12*NMultDensity(A110:B110,$L$14:$M$14,$L$12:$M$13)/D110</f>
        <v>0.98340231987050986</v>
      </c>
      <c r="G110" cm="1">
        <f t="array" ref="G110">$N$16*NMultDensity(A110:B110,$L$18:$M$18,$L$16:$M$17)/D110</f>
        <v>2.9660031590748571E-3</v>
      </c>
      <c r="H110" cm="1">
        <f t="array" ref="H110">$N$20*NMultDensity(A110:B110,$L$22:$M$22,$L$20:$M$21)/D110</f>
        <v>1.363167697041527E-2</v>
      </c>
      <c r="I110">
        <f t="shared" si="9"/>
        <v>0.98340231987050986</v>
      </c>
      <c r="R110">
        <v>4.5999999999999996</v>
      </c>
      <c r="S110">
        <v>1.4</v>
      </c>
      <c r="T110">
        <v>3</v>
      </c>
    </row>
    <row r="111" spans="1:20" x14ac:dyDescent="0.3">
      <c r="A111">
        <v>6.1</v>
      </c>
      <c r="B111">
        <v>2.5</v>
      </c>
      <c r="C111">
        <f t="shared" si="8"/>
        <v>4</v>
      </c>
      <c r="D111" cm="1">
        <f t="array" ref="D111">$N$12*NMultDensity(A111:B111,$L$14:$M$14,$L$12:$M$13)+$N$16*NMultDensity(A111:B111,$L$18:$M$18,$L$16:$M$17)+$N$20*NMultDensity(A111:B111,$L$22:$M$22,$L$20:$M$21)+$N$8*NMultDensity(A111:B111,$L$10:$M$10,$L$8:$M$9)</f>
        <v>9.1891890080454716E-2</v>
      </c>
      <c r="E111" cm="1">
        <f t="array" ref="E111">$N$8*NMultDensity(A111:B111,$L$10:$M$10,$L$8:$M$9)/D111</f>
        <v>4.29552404963394E-199</v>
      </c>
      <c r="F111" cm="1">
        <f t="array" ref="F111">$N$12*NMultDensity(A111:B111,$L$14:$M$14,$L$12:$M$13)/D111</f>
        <v>5.2393743880260746E-5</v>
      </c>
      <c r="G111" cm="1">
        <f t="array" ref="G111">$N$16*NMultDensity(A111:B111,$L$18:$M$18,$L$16:$M$17)/D111</f>
        <v>4.2194310998285058E-7</v>
      </c>
      <c r="H111" cm="1">
        <f t="array" ref="H111">$N$20*NMultDensity(A111:B111,$L$22:$M$22,$L$20:$M$21)/D111</f>
        <v>0.99994718431300977</v>
      </c>
      <c r="I111">
        <f t="shared" si="9"/>
        <v>0.99994718431300977</v>
      </c>
      <c r="R111">
        <v>4</v>
      </c>
      <c r="S111">
        <v>1.2</v>
      </c>
      <c r="T111">
        <v>3</v>
      </c>
    </row>
    <row r="112" spans="1:20" x14ac:dyDescent="0.3">
      <c r="A112">
        <v>5.0999999999999996</v>
      </c>
      <c r="B112">
        <v>2</v>
      </c>
      <c r="C112">
        <f t="shared" si="8"/>
        <v>4</v>
      </c>
      <c r="D112" cm="1">
        <f t="array" ref="D112">$N$12*NMultDensity(A112:B112,$L$14:$M$14,$L$12:$M$13)+$N$16*NMultDensity(A112:B112,$L$18:$M$18,$L$16:$M$17)+$N$20*NMultDensity(A112:B112,$L$22:$M$22,$L$20:$M$21)+$N$8*NMultDensity(A112:B112,$L$10:$M$10,$L$8:$M$9)</f>
        <v>0.43986382494946202</v>
      </c>
      <c r="E112" cm="1">
        <f t="array" ref="E112">$N$8*NMultDensity(A112:B112,$L$10:$M$10,$L$8:$M$9)/D112</f>
        <v>3.3426005435305754E-122</v>
      </c>
      <c r="F112" cm="1">
        <f t="array" ref="F112">$N$12*NMultDensity(A112:B112,$L$14:$M$14,$L$12:$M$13)/D112</f>
        <v>4.2686189385290809E-3</v>
      </c>
      <c r="G112" cm="1">
        <f t="array" ref="G112">$N$16*NMultDensity(A112:B112,$L$18:$M$18,$L$16:$M$17)/D112</f>
        <v>4.2268184032212101E-3</v>
      </c>
      <c r="H112" cm="1">
        <f t="array" ref="H112">$N$20*NMultDensity(A112:B112,$L$22:$M$22,$L$20:$M$21)/D112</f>
        <v>0.99150456265824971</v>
      </c>
      <c r="I112">
        <f t="shared" si="9"/>
        <v>0.99150456265824971</v>
      </c>
      <c r="R112">
        <v>4.2</v>
      </c>
      <c r="S112">
        <v>1.3</v>
      </c>
      <c r="T112">
        <v>3</v>
      </c>
    </row>
    <row r="113" spans="1:20" x14ac:dyDescent="0.3">
      <c r="A113">
        <v>5.3</v>
      </c>
      <c r="B113">
        <v>1.9</v>
      </c>
      <c r="C113">
        <f t="shared" si="8"/>
        <v>4</v>
      </c>
      <c r="D113" cm="1">
        <f t="array" ref="D113">$N$12*NMultDensity(A113:B113,$L$14:$M$14,$L$12:$M$13)+$N$16*NMultDensity(A113:B113,$L$18:$M$18,$L$16:$M$17)+$N$20*NMultDensity(A113:B113,$L$22:$M$22,$L$20:$M$21)+$N$8*NMultDensity(A113:B113,$L$10:$M$10,$L$8:$M$9)</f>
        <v>0.32748058170637107</v>
      </c>
      <c r="E113" cm="1">
        <f t="array" ref="E113">$N$8*NMultDensity(A113:B113,$L$10:$M$10,$L$8:$M$9)/D113</f>
        <v>7.9708532489419636E-127</v>
      </c>
      <c r="F113" cm="1">
        <f t="array" ref="F113">$N$12*NMultDensity(A113:B113,$L$14:$M$14,$L$12:$M$13)/D113</f>
        <v>0.10938618269073853</v>
      </c>
      <c r="G113" cm="1">
        <f t="array" ref="G113">$N$16*NMultDensity(A113:B113,$L$18:$M$18,$L$16:$M$17)/D113</f>
        <v>4.5275159843632395E-2</v>
      </c>
      <c r="H113" cm="1">
        <f t="array" ref="H113">$N$20*NMultDensity(A113:B113,$L$22:$M$22,$L$20:$M$21)/D113</f>
        <v>0.8453386574656292</v>
      </c>
      <c r="I113">
        <f t="shared" si="9"/>
        <v>0.8453386574656292</v>
      </c>
      <c r="R113">
        <v>4.2</v>
      </c>
      <c r="S113">
        <v>1.2</v>
      </c>
      <c r="T113">
        <v>3</v>
      </c>
    </row>
    <row r="114" spans="1:20" x14ac:dyDescent="0.3">
      <c r="A114">
        <v>5.5</v>
      </c>
      <c r="B114">
        <v>2.1</v>
      </c>
      <c r="C114">
        <f t="shared" si="8"/>
        <v>4</v>
      </c>
      <c r="D114" cm="1">
        <f t="array" ref="D114">$N$12*NMultDensity(A114:B114,$L$14:$M$14,$L$12:$M$13)+$N$16*NMultDensity(A114:B114,$L$18:$M$18,$L$16:$M$17)+$N$20*NMultDensity(A114:B114,$L$22:$M$22,$L$20:$M$21)+$N$8*NMultDensity(A114:B114,$L$10:$M$10,$L$8:$M$9)</f>
        <v>0.44827155738761226</v>
      </c>
      <c r="E114" cm="1">
        <f t="array" ref="E114">$N$8*NMultDensity(A114:B114,$L$10:$M$10,$L$8:$M$9)/D114</f>
        <v>7.8933532423282843E-146</v>
      </c>
      <c r="F114" cm="1">
        <f t="array" ref="F114">$N$12*NMultDensity(A114:B114,$L$14:$M$14,$L$12:$M$13)/D114</f>
        <v>6.2993868907004471E-3</v>
      </c>
      <c r="G114" cm="1">
        <f t="array" ref="G114">$N$16*NMultDensity(A114:B114,$L$18:$M$18,$L$16:$M$17)/D114</f>
        <v>1.3044425991268554E-3</v>
      </c>
      <c r="H114" cm="1">
        <f t="array" ref="H114">$N$20*NMultDensity(A114:B114,$L$22:$M$22,$L$20:$M$21)/D114</f>
        <v>0.9923961705101727</v>
      </c>
      <c r="I114">
        <f t="shared" si="9"/>
        <v>0.9923961705101727</v>
      </c>
      <c r="R114">
        <v>4.2</v>
      </c>
      <c r="S114">
        <v>1.3</v>
      </c>
      <c r="T114">
        <v>3</v>
      </c>
    </row>
    <row r="115" spans="1:20" x14ac:dyDescent="0.3">
      <c r="A115">
        <v>5</v>
      </c>
      <c r="B115">
        <v>2</v>
      </c>
      <c r="C115">
        <f t="shared" si="8"/>
        <v>4</v>
      </c>
      <c r="D115" cm="1">
        <f t="array" ref="D115">$N$12*NMultDensity(A115:B115,$L$14:$M$14,$L$12:$M$13)+$N$16*NMultDensity(A115:B115,$L$18:$M$18,$L$16:$M$17)+$N$20*NMultDensity(A115:B115,$L$22:$M$22,$L$20:$M$21)+$N$8*NMultDensity(A115:B115,$L$10:$M$10,$L$8:$M$9)</f>
        <v>0.35086236199835563</v>
      </c>
      <c r="E115" cm="1">
        <f t="array" ref="E115">$N$8*NMultDensity(A115:B115,$L$10:$M$10,$L$8:$M$9)/D115</f>
        <v>8.8430937020844003E-118</v>
      </c>
      <c r="F115" cm="1">
        <f t="array" ref="F115">$N$12*NMultDensity(A115:B115,$L$14:$M$14,$L$12:$M$13)/D115</f>
        <v>2.5981133381991739E-3</v>
      </c>
      <c r="G115" cm="1">
        <f t="array" ref="G115">$N$16*NMultDensity(A115:B115,$L$18:$M$18,$L$16:$M$17)/D115</f>
        <v>3.102935337754382E-3</v>
      </c>
      <c r="H115" cm="1">
        <f t="array" ref="H115">$N$20*NMultDensity(A115:B115,$L$22:$M$22,$L$20:$M$21)/D115</f>
        <v>0.99429895132404633</v>
      </c>
      <c r="I115">
        <f t="shared" si="9"/>
        <v>0.99429895132404633</v>
      </c>
      <c r="R115">
        <v>4.3</v>
      </c>
      <c r="S115">
        <v>1.3</v>
      </c>
      <c r="T115">
        <v>3</v>
      </c>
    </row>
    <row r="116" spans="1:20" x14ac:dyDescent="0.3">
      <c r="A116">
        <v>5.0999999999999996</v>
      </c>
      <c r="B116">
        <v>2.4</v>
      </c>
      <c r="C116">
        <f t="shared" si="8"/>
        <v>4</v>
      </c>
      <c r="D116" cm="1">
        <f t="array" ref="D116">$N$12*NMultDensity(A116:B116,$L$14:$M$14,$L$12:$M$13)+$N$16*NMultDensity(A116:B116,$L$18:$M$18,$L$16:$M$17)+$N$20*NMultDensity(A116:B116,$L$22:$M$22,$L$20:$M$21)+$N$8*NMultDensity(A116:B116,$L$10:$M$10,$L$8:$M$9)</f>
        <v>2.3441095855278326E-2</v>
      </c>
      <c r="E116" cm="1">
        <f t="array" ref="E116">$N$8*NMultDensity(A116:B116,$L$10:$M$10,$L$8:$M$9)/D116</f>
        <v>7.6840719110108829E-144</v>
      </c>
      <c r="F116" cm="1">
        <f t="array" ref="F116">$N$12*NMultDensity(A116:B116,$L$14:$M$14,$L$12:$M$13)/D116</f>
        <v>1.0756491629620591E-7</v>
      </c>
      <c r="G116" cm="1">
        <f t="array" ref="G116">$N$16*NMultDensity(A116:B116,$L$18:$M$18,$L$16:$M$17)/D116</f>
        <v>2.4271165479093666E-8</v>
      </c>
      <c r="H116" cm="1">
        <f t="array" ref="H116">$N$20*NMultDensity(A116:B116,$L$22:$M$22,$L$20:$M$21)/D116</f>
        <v>0.99999986816391817</v>
      </c>
      <c r="I116">
        <f t="shared" si="9"/>
        <v>0.99999986816391817</v>
      </c>
      <c r="R116">
        <v>4.0999999999999996</v>
      </c>
      <c r="S116">
        <v>1.3</v>
      </c>
      <c r="T116">
        <v>3</v>
      </c>
    </row>
    <row r="117" spans="1:20" x14ac:dyDescent="0.3">
      <c r="A117">
        <v>5.3</v>
      </c>
      <c r="B117">
        <v>2.2999999999999998</v>
      </c>
      <c r="C117">
        <f t="shared" si="8"/>
        <v>4</v>
      </c>
      <c r="D117" cm="1">
        <f t="array" ref="D117">$N$12*NMultDensity(A117:B117,$L$14:$M$14,$L$12:$M$13)+$N$16*NMultDensity(A117:B117,$L$18:$M$18,$L$16:$M$17)+$N$20*NMultDensity(A117:B117,$L$22:$M$22,$L$20:$M$21)+$N$8*NMultDensity(A117:B117,$L$10:$M$10,$L$8:$M$9)</f>
        <v>0.23255549534134962</v>
      </c>
      <c r="E117" cm="1">
        <f t="array" ref="E117">$N$8*NMultDensity(A117:B117,$L$10:$M$10,$L$8:$M$9)/D117</f>
        <v>5.1310162558386711E-147</v>
      </c>
      <c r="F117" cm="1">
        <f t="array" ref="F117">$N$12*NMultDensity(A117:B117,$L$14:$M$14,$L$12:$M$13)/D117</f>
        <v>6.977488689937073E-6</v>
      </c>
      <c r="G117" cm="1">
        <f t="array" ref="G117">$N$16*NMultDensity(A117:B117,$L$18:$M$18,$L$16:$M$17)/D117</f>
        <v>2.5822686195741871E-6</v>
      </c>
      <c r="H117" cm="1">
        <f t="array" ref="H117">$N$20*NMultDensity(A117:B117,$L$22:$M$22,$L$20:$M$21)/D117</f>
        <v>0.99999044024269046</v>
      </c>
      <c r="I117">
        <f t="shared" si="9"/>
        <v>0.99999044024269046</v>
      </c>
      <c r="R117">
        <v>4.8</v>
      </c>
      <c r="S117">
        <v>1.8</v>
      </c>
      <c r="T117">
        <v>4</v>
      </c>
    </row>
    <row r="118" spans="1:20" x14ac:dyDescent="0.3">
      <c r="A118">
        <v>5.5</v>
      </c>
      <c r="B118">
        <v>1.8</v>
      </c>
      <c r="C118">
        <f t="shared" si="8"/>
        <v>2</v>
      </c>
      <c r="D118" cm="1">
        <f t="array" ref="D118">$N$12*NMultDensity(A118:B118,$L$14:$M$14,$L$12:$M$13)+$N$16*NMultDensity(A118:B118,$L$18:$M$18,$L$16:$M$17)+$N$20*NMultDensity(A118:B118,$L$22:$M$22,$L$20:$M$21)+$N$8*NMultDensity(A118:B118,$L$10:$M$10,$L$8:$M$9)</f>
        <v>0.20878173008617112</v>
      </c>
      <c r="E118" cm="1">
        <f t="array" ref="E118">$N$8*NMultDensity(A118:B118,$L$10:$M$10,$L$8:$M$9)/D118</f>
        <v>7.2889745505329105E-133</v>
      </c>
      <c r="F118" cm="1">
        <f t="array" ref="F118">$N$12*NMultDensity(A118:B118,$L$14:$M$14,$L$12:$M$13)/D118</f>
        <v>0.77013035684125397</v>
      </c>
      <c r="G118" cm="1">
        <f t="array" ref="G118">$N$16*NMultDensity(A118:B118,$L$18:$M$18,$L$16:$M$17)/D118</f>
        <v>5.0552130619467735E-2</v>
      </c>
      <c r="H118" cm="1">
        <f t="array" ref="H118">$N$20*NMultDensity(A118:B118,$L$22:$M$22,$L$20:$M$21)/D118</f>
        <v>0.17931751253927838</v>
      </c>
      <c r="I118">
        <f t="shared" si="9"/>
        <v>0.77013035684125397</v>
      </c>
      <c r="R118">
        <v>6</v>
      </c>
      <c r="S118">
        <v>2.5</v>
      </c>
      <c r="T118">
        <v>4</v>
      </c>
    </row>
    <row r="119" spans="1:20" x14ac:dyDescent="0.3">
      <c r="A119">
        <v>6.7</v>
      </c>
      <c r="B119">
        <v>2.2000000000000002</v>
      </c>
      <c r="C119">
        <f t="shared" si="8"/>
        <v>2</v>
      </c>
      <c r="D119" cm="1">
        <f t="array" ref="D119">$N$12*NMultDensity(A119:B119,$L$14:$M$14,$L$12:$M$13)+$N$16*NMultDensity(A119:B119,$L$18:$M$18,$L$16:$M$17)+$N$20*NMultDensity(A119:B119,$L$22:$M$22,$L$20:$M$21)+$N$8*NMultDensity(A119:B119,$L$10:$M$10,$L$8:$M$9)</f>
        <v>4.7075911529043793E-2</v>
      </c>
      <c r="E119" cm="1">
        <f t="array" ref="E119">$N$8*NMultDensity(A119:B119,$L$10:$M$10,$L$8:$M$9)/D119</f>
        <v>1.7999554132579621E-220</v>
      </c>
      <c r="F119" cm="1">
        <f t="array" ref="F119">$N$12*NMultDensity(A119:B119,$L$14:$M$14,$L$12:$M$13)/D119</f>
        <v>0.99963164377229274</v>
      </c>
      <c r="G119" cm="1">
        <f t="array" ref="G119">$N$16*NMultDensity(A119:B119,$L$18:$M$18,$L$16:$M$17)/D119</f>
        <v>4.4266522061601911E-7</v>
      </c>
      <c r="H119" cm="1">
        <f t="array" ref="H119">$N$20*NMultDensity(A119:B119,$L$22:$M$22,$L$20:$M$21)/D119</f>
        <v>3.6791356248669962E-4</v>
      </c>
      <c r="I119">
        <f t="shared" si="9"/>
        <v>0.99963164377229274</v>
      </c>
      <c r="R119">
        <v>5.0999999999999996</v>
      </c>
      <c r="S119">
        <v>1.9</v>
      </c>
      <c r="T119">
        <v>4</v>
      </c>
    </row>
    <row r="120" spans="1:20" x14ac:dyDescent="0.3">
      <c r="A120">
        <v>6.9</v>
      </c>
      <c r="B120">
        <v>2.2999999999999998</v>
      </c>
      <c r="C120">
        <f t="shared" si="8"/>
        <v>2</v>
      </c>
      <c r="D120" cm="1">
        <f t="array" ref="D120">$N$12*NMultDensity(A120:B120,$L$14:$M$14,$L$12:$M$13)+$N$16*NMultDensity(A120:B120,$L$18:$M$18,$L$16:$M$17)+$N$20*NMultDensity(A120:B120,$L$22:$M$22,$L$20:$M$21)+$N$8*NMultDensity(A120:B120,$L$10:$M$10,$L$8:$M$9)</f>
        <v>2.5589283620930506E-2</v>
      </c>
      <c r="E120" cm="1">
        <f t="array" ref="E120">$N$8*NMultDensity(A120:B120,$L$10:$M$10,$L$8:$M$9)/D120</f>
        <v>1.3722086844144573E-238</v>
      </c>
      <c r="F120" cm="1">
        <f t="array" ref="F120">$N$12*NMultDensity(A120:B120,$L$14:$M$14,$L$12:$M$13)/D120</f>
        <v>0.99985898706551735</v>
      </c>
      <c r="G120" cm="1">
        <f t="array" ref="G120">$N$16*NMultDensity(A120:B120,$L$18:$M$18,$L$16:$M$17)/D120</f>
        <v>4.5044726371301779E-8</v>
      </c>
      <c r="H120" cm="1">
        <f t="array" ref="H120">$N$20*NMultDensity(A120:B120,$L$22:$M$22,$L$20:$M$21)/D120</f>
        <v>1.4096788975627824E-4</v>
      </c>
      <c r="I120">
        <f t="shared" si="9"/>
        <v>0.99985898706551735</v>
      </c>
      <c r="R120">
        <v>5.9</v>
      </c>
      <c r="S120">
        <v>2.1</v>
      </c>
      <c r="T120">
        <v>4</v>
      </c>
    </row>
    <row r="121" spans="1:20" x14ac:dyDescent="0.3">
      <c r="A121">
        <v>5</v>
      </c>
      <c r="B121">
        <v>1.5</v>
      </c>
      <c r="C121">
        <f t="shared" si="8"/>
        <v>2</v>
      </c>
      <c r="D121" cm="1">
        <f t="array" ref="D121">$N$12*NMultDensity(A121:B121,$L$14:$M$14,$L$12:$M$13)+$N$16*NMultDensity(A121:B121,$L$18:$M$18,$L$16:$M$17)+$N$20*NMultDensity(A121:B121,$L$22:$M$22,$L$20:$M$21)+$N$8*NMultDensity(A121:B121,$L$10:$M$10,$L$8:$M$9)</f>
        <v>0.32975341890568649</v>
      </c>
      <c r="E121" cm="1">
        <f t="array" ref="E121">$N$8*NMultDensity(A121:B121,$L$10:$M$10,$L$8:$M$9)/D121</f>
        <v>4.7746587092644182E-99</v>
      </c>
      <c r="F121" cm="1">
        <f t="array" ref="F121">$N$12*NMultDensity(A121:B121,$L$14:$M$14,$L$12:$M$13)/D121</f>
        <v>0.62364123669818772</v>
      </c>
      <c r="G121" cm="1">
        <f t="array" ref="G121">$N$16*NMultDensity(A121:B121,$L$18:$M$18,$L$16:$M$17)/D121</f>
        <v>0.35001787706242626</v>
      </c>
      <c r="H121" cm="1">
        <f t="array" ref="H121">$N$20*NMultDensity(A121:B121,$L$22:$M$22,$L$20:$M$21)/D121</f>
        <v>2.6340886239386112E-2</v>
      </c>
      <c r="I121">
        <f t="shared" si="9"/>
        <v>0.62364123669818772</v>
      </c>
      <c r="R121">
        <v>5.8</v>
      </c>
      <c r="S121">
        <v>2.2000000000000002</v>
      </c>
      <c r="T121">
        <v>4</v>
      </c>
    </row>
    <row r="122" spans="1:20" x14ac:dyDescent="0.3">
      <c r="A122">
        <v>5.7</v>
      </c>
      <c r="B122">
        <v>2.2999999999999998</v>
      </c>
      <c r="C122">
        <f t="shared" si="8"/>
        <v>4</v>
      </c>
      <c r="D122" cm="1">
        <f t="array" ref="D122">$N$12*NMultDensity(A122:B122,$L$14:$M$14,$L$12:$M$13)+$N$16*NMultDensity(A122:B122,$L$18:$M$18,$L$16:$M$17)+$N$20*NMultDensity(A122:B122,$L$22:$M$22,$L$20:$M$21)+$N$8*NMultDensity(A122:B122,$L$10:$M$10,$L$8:$M$9)</f>
        <v>0.3600714448469996</v>
      </c>
      <c r="E122" cm="1">
        <f t="array" ref="E122">$N$8*NMultDensity(A122:B122,$L$10:$M$10,$L$8:$M$9)/D122</f>
        <v>2.2062820045457059E-166</v>
      </c>
      <c r="F122" cm="1">
        <f t="array" ref="F122">$N$12*NMultDensity(A122:B122,$L$14:$M$14,$L$12:$M$13)/D122</f>
        <v>2.0690490406244868E-4</v>
      </c>
      <c r="G122" cm="1">
        <f t="array" ref="G122">$N$16*NMultDensity(A122:B122,$L$18:$M$18,$L$16:$M$17)/D122</f>
        <v>1.8201675860141206E-5</v>
      </c>
      <c r="H122" cm="1">
        <f t="array" ref="H122">$N$20*NMultDensity(A122:B122,$L$22:$M$22,$L$20:$M$21)/D122</f>
        <v>0.99977489342007753</v>
      </c>
      <c r="I122">
        <f t="shared" si="9"/>
        <v>0.99977489342007753</v>
      </c>
      <c r="R122">
        <v>4.5</v>
      </c>
      <c r="S122">
        <v>1.7</v>
      </c>
      <c r="T122">
        <v>4</v>
      </c>
    </row>
    <row r="123" spans="1:20" x14ac:dyDescent="0.3">
      <c r="A123">
        <v>4.9000000000000004</v>
      </c>
      <c r="B123">
        <v>2</v>
      </c>
      <c r="C123">
        <f t="shared" si="8"/>
        <v>4</v>
      </c>
      <c r="D123" cm="1">
        <f t="array" ref="D123">$N$12*NMultDensity(A123:B123,$L$14:$M$14,$L$12:$M$13)+$N$16*NMultDensity(A123:B123,$L$18:$M$18,$L$16:$M$17)+$N$20*NMultDensity(A123:B123,$L$22:$M$22,$L$20:$M$21)+$N$8*NMultDensity(A123:B123,$L$10:$M$10,$L$8:$M$9)</f>
        <v>0.24512681569401407</v>
      </c>
      <c r="E123" cm="1">
        <f t="array" ref="E123">$N$8*NMultDensity(A123:B123,$L$10:$M$10,$L$8:$M$9)/D123</f>
        <v>1.8274672804041641E-113</v>
      </c>
      <c r="F123" cm="1">
        <f t="array" ref="F123">$N$12*NMultDensity(A123:B123,$L$14:$M$14,$L$12:$M$13)/D123</f>
        <v>1.7024440107603325E-3</v>
      </c>
      <c r="G123" cm="1">
        <f t="array" ref="G123">$N$16*NMultDensity(A123:B123,$L$18:$M$18,$L$16:$M$17)/D123</f>
        <v>2.205704105769628E-3</v>
      </c>
      <c r="H123" cm="1">
        <f t="array" ref="H123">$N$20*NMultDensity(A123:B123,$L$22:$M$22,$L$20:$M$21)/D123</f>
        <v>0.99609185188347005</v>
      </c>
      <c r="I123">
        <f t="shared" si="9"/>
        <v>0.99609185188347005</v>
      </c>
      <c r="R123">
        <v>6.1</v>
      </c>
      <c r="S123">
        <v>2.5</v>
      </c>
      <c r="T123">
        <v>4</v>
      </c>
    </row>
    <row r="124" spans="1:20" x14ac:dyDescent="0.3">
      <c r="A124">
        <v>6.7</v>
      </c>
      <c r="B124">
        <v>2</v>
      </c>
      <c r="C124">
        <f t="shared" si="8"/>
        <v>2</v>
      </c>
      <c r="D124" cm="1">
        <f t="array" ref="D124">$N$12*NMultDensity(A124:B124,$L$14:$M$14,$L$12:$M$13)+$N$16*NMultDensity(A124:B124,$L$18:$M$18,$L$16:$M$17)+$N$20*NMultDensity(A124:B124,$L$22:$M$22,$L$20:$M$21)+$N$8*NMultDensity(A124:B124,$L$10:$M$10,$L$8:$M$9)</f>
        <v>6.6649534377679204E-2</v>
      </c>
      <c r="E124" cm="1">
        <f t="array" ref="E124">$N$8*NMultDensity(A124:B124,$L$10:$M$10,$L$8:$M$9)/D124</f>
        <v>5.4463825711962069E-213</v>
      </c>
      <c r="F124" cm="1">
        <f t="array" ref="F124">$N$12*NMultDensity(A124:B124,$L$14:$M$14,$L$12:$M$13)/D124</f>
        <v>0.99999696282887796</v>
      </c>
      <c r="G124" cm="1">
        <f t="array" ref="G124">$N$16*NMultDensity(A124:B124,$L$18:$M$18,$L$16:$M$17)/D124</f>
        <v>2.7140240284225552E-8</v>
      </c>
      <c r="H124" cm="1">
        <f t="array" ref="H124">$N$20*NMultDensity(A124:B124,$L$22:$M$22,$L$20:$M$21)/D124</f>
        <v>3.0100308816982551E-6</v>
      </c>
      <c r="I124">
        <f t="shared" si="9"/>
        <v>0.99999696282887796</v>
      </c>
      <c r="R124">
        <v>5.0999999999999996</v>
      </c>
      <c r="S124">
        <v>2</v>
      </c>
      <c r="T124">
        <v>4</v>
      </c>
    </row>
    <row r="125" spans="1:20" x14ac:dyDescent="0.3">
      <c r="A125">
        <v>4.9000000000000004</v>
      </c>
      <c r="B125">
        <v>1.8</v>
      </c>
      <c r="C125">
        <f t="shared" si="8"/>
        <v>4</v>
      </c>
      <c r="D125" cm="1">
        <f t="array" ref="D125">$N$12*NMultDensity(A125:B125,$L$14:$M$14,$L$12:$M$13)+$N$16*NMultDensity(A125:B125,$L$18:$M$18,$L$16:$M$17)+$N$20*NMultDensity(A125:B125,$L$22:$M$22,$L$20:$M$21)+$N$8*NMultDensity(A125:B125,$L$10:$M$10,$L$8:$M$9)</f>
        <v>0.30179771149883838</v>
      </c>
      <c r="E125" cm="1">
        <f t="array" ref="E125">$N$8*NMultDensity(A125:B125,$L$10:$M$10,$L$8:$M$9)/D125</f>
        <v>1.6595668082666496E-104</v>
      </c>
      <c r="F125" cm="1">
        <f t="array" ref="F125">$N$12*NMultDensity(A125:B125,$L$14:$M$14,$L$12:$M$13)/D125</f>
        <v>8.697996549311518E-2</v>
      </c>
      <c r="G125" cm="1">
        <f t="array" ref="G125">$N$16*NMultDensity(A125:B125,$L$18:$M$18,$L$16:$M$17)/D125</f>
        <v>0.1546288771503514</v>
      </c>
      <c r="H125" cm="1">
        <f t="array" ref="H125">$N$20*NMultDensity(A125:B125,$L$22:$M$22,$L$20:$M$21)/D125</f>
        <v>0.7583911573565334</v>
      </c>
      <c r="I125">
        <f t="shared" si="9"/>
        <v>0.7583911573565334</v>
      </c>
      <c r="R125">
        <v>5.3</v>
      </c>
      <c r="S125">
        <v>1.9</v>
      </c>
      <c r="T125">
        <v>4</v>
      </c>
    </row>
    <row r="126" spans="1:20" x14ac:dyDescent="0.3">
      <c r="A126">
        <v>5.7</v>
      </c>
      <c r="B126">
        <v>2.1</v>
      </c>
      <c r="C126">
        <f t="shared" si="8"/>
        <v>4</v>
      </c>
      <c r="D126" cm="1">
        <f t="array" ref="D126">$N$12*NMultDensity(A126:B126,$L$14:$M$14,$L$12:$M$13)+$N$16*NMultDensity(A126:B126,$L$18:$M$18,$L$16:$M$17)+$N$20*NMultDensity(A126:B126,$L$22:$M$22,$L$20:$M$21)+$N$8*NMultDensity(A126:B126,$L$10:$M$10,$L$8:$M$9)</f>
        <v>0.23058691825919589</v>
      </c>
      <c r="E126" cm="1">
        <f t="array" ref="E126">$N$8*NMultDensity(A126:B126,$L$10:$M$10,$L$8:$M$9)/D126</f>
        <v>8.0419139058397467E-156</v>
      </c>
      <c r="F126" cm="1">
        <f t="array" ref="F126">$N$12*NMultDensity(A126:B126,$L$14:$M$14,$L$12:$M$13)/D126</f>
        <v>3.7952855199633144E-2</v>
      </c>
      <c r="G126" cm="1">
        <f t="array" ref="G126">$N$16*NMultDensity(A126:B126,$L$18:$M$18,$L$16:$M$17)/D126</f>
        <v>2.0636233268361177E-3</v>
      </c>
      <c r="H126" cm="1">
        <f t="array" ref="H126">$N$20*NMultDensity(A126:B126,$L$22:$M$22,$L$20:$M$21)/D126</f>
        <v>0.95998352147353072</v>
      </c>
      <c r="I126">
        <f t="shared" si="9"/>
        <v>0.95998352147353072</v>
      </c>
      <c r="R126">
        <v>5.5</v>
      </c>
      <c r="S126">
        <v>2.1</v>
      </c>
      <c r="T126">
        <v>4</v>
      </c>
    </row>
    <row r="127" spans="1:20" x14ac:dyDescent="0.3">
      <c r="A127">
        <v>6</v>
      </c>
      <c r="B127">
        <v>1.8</v>
      </c>
      <c r="C127">
        <f t="shared" si="8"/>
        <v>2</v>
      </c>
      <c r="D127" cm="1">
        <f t="array" ref="D127">$N$12*NMultDensity(A127:B127,$L$14:$M$14,$L$12:$M$13)+$N$16*NMultDensity(A127:B127,$L$18:$M$18,$L$16:$M$17)+$N$20*NMultDensity(A127:B127,$L$22:$M$22,$L$20:$M$21)+$N$8*NMultDensity(A127:B127,$L$10:$M$10,$L$8:$M$9)</f>
        <v>0.14491342314572012</v>
      </c>
      <c r="E127" cm="1">
        <f t="array" ref="E127">$N$8*NMultDensity(A127:B127,$L$10:$M$10,$L$8:$M$9)/D127</f>
        <v>5.2932434755366566E-161</v>
      </c>
      <c r="F127" cm="1">
        <f t="array" ref="F127">$N$12*NMultDensity(A127:B127,$L$14:$M$14,$L$12:$M$13)/D127</f>
        <v>0.99832104131648391</v>
      </c>
      <c r="G127" cm="1">
        <f t="array" ref="G127">$N$16*NMultDensity(A127:B127,$L$18:$M$18,$L$16:$M$17)/D127</f>
        <v>2.2737574304449731E-4</v>
      </c>
      <c r="H127" cm="1">
        <f t="array" ref="H127">$N$20*NMultDensity(A127:B127,$L$22:$M$22,$L$20:$M$21)/D127</f>
        <v>1.4515829404716238E-3</v>
      </c>
      <c r="I127">
        <f t="shared" si="9"/>
        <v>0.99832104131648391</v>
      </c>
      <c r="R127">
        <v>5</v>
      </c>
      <c r="S127">
        <v>2</v>
      </c>
      <c r="T127">
        <v>4</v>
      </c>
    </row>
    <row r="128" spans="1:20" x14ac:dyDescent="0.3">
      <c r="A128">
        <v>4.8</v>
      </c>
      <c r="B128">
        <v>1.8</v>
      </c>
      <c r="C128">
        <f t="shared" si="8"/>
        <v>4</v>
      </c>
      <c r="D128" cm="1">
        <f t="array" ref="D128">$N$12*NMultDensity(A128:B128,$L$14:$M$14,$L$12:$M$13)+$N$16*NMultDensity(A128:B128,$L$18:$M$18,$L$16:$M$17)+$N$20*NMultDensity(A128:B128,$L$22:$M$22,$L$20:$M$21)+$N$8*NMultDensity(A128:B128,$L$10:$M$10,$L$8:$M$9)</f>
        <v>0.24331569939436365</v>
      </c>
      <c r="E128" cm="1">
        <f t="array" ref="E128">$N$8*NMultDensity(A128:B128,$L$10:$M$10,$L$8:$M$9)/D128</f>
        <v>3.0867147778587496E-100</v>
      </c>
      <c r="F128" cm="1">
        <f t="array" ref="F128">$N$12*NMultDensity(A128:B128,$L$14:$M$14,$L$12:$M$13)/D128</f>
        <v>6.4931662115389518E-2</v>
      </c>
      <c r="G128" cm="1">
        <f t="array" ref="G128">$N$16*NMultDensity(A128:B128,$L$18:$M$18,$L$16:$M$17)/D128</f>
        <v>0.1380417034958083</v>
      </c>
      <c r="H128" cm="1">
        <f t="array" ref="H128">$N$20*NMultDensity(A128:B128,$L$22:$M$22,$L$20:$M$21)/D128</f>
        <v>0.79702663438880217</v>
      </c>
      <c r="I128">
        <f t="shared" si="9"/>
        <v>0.79702663438880217</v>
      </c>
      <c r="R128">
        <v>5.0999999999999996</v>
      </c>
      <c r="S128">
        <v>2.4</v>
      </c>
      <c r="T128">
        <v>4</v>
      </c>
    </row>
    <row r="129" spans="1:20" x14ac:dyDescent="0.3">
      <c r="A129">
        <v>4.9000000000000004</v>
      </c>
      <c r="B129">
        <v>1.8</v>
      </c>
      <c r="C129">
        <f t="shared" si="8"/>
        <v>4</v>
      </c>
      <c r="D129" cm="1">
        <f t="array" ref="D129">$N$12*NMultDensity(A129:B129,$L$14:$M$14,$L$12:$M$13)+$N$16*NMultDensity(A129:B129,$L$18:$M$18,$L$16:$M$17)+$N$20*NMultDensity(A129:B129,$L$22:$M$22,$L$20:$M$21)+$N$8*NMultDensity(A129:B129,$L$10:$M$10,$L$8:$M$9)</f>
        <v>0.30179771149883838</v>
      </c>
      <c r="E129" cm="1">
        <f t="array" ref="E129">$N$8*NMultDensity(A129:B129,$L$10:$M$10,$L$8:$M$9)/D129</f>
        <v>1.6595668082666496E-104</v>
      </c>
      <c r="F129" cm="1">
        <f t="array" ref="F129">$N$12*NMultDensity(A129:B129,$L$14:$M$14,$L$12:$M$13)/D129</f>
        <v>8.697996549311518E-2</v>
      </c>
      <c r="G129" cm="1">
        <f t="array" ref="G129">$N$16*NMultDensity(A129:B129,$L$18:$M$18,$L$16:$M$17)/D129</f>
        <v>0.1546288771503514</v>
      </c>
      <c r="H129" cm="1">
        <f t="array" ref="H129">$N$20*NMultDensity(A129:B129,$L$22:$M$22,$L$20:$M$21)/D129</f>
        <v>0.7583911573565334</v>
      </c>
      <c r="I129">
        <f t="shared" si="9"/>
        <v>0.7583911573565334</v>
      </c>
      <c r="R129">
        <v>5.3</v>
      </c>
      <c r="S129">
        <v>2.2999999999999998</v>
      </c>
      <c r="T129">
        <v>4</v>
      </c>
    </row>
    <row r="130" spans="1:20" x14ac:dyDescent="0.3">
      <c r="A130">
        <v>5.6</v>
      </c>
      <c r="B130">
        <v>2.1</v>
      </c>
      <c r="C130">
        <f t="shared" ref="C130:C151" si="10">IF(E130=I130,1,IF(F130=I130,2,IF(G130=I130,3,4)))</f>
        <v>4</v>
      </c>
      <c r="D130" cm="1">
        <f t="array" ref="D130">$N$12*NMultDensity(A130:B130,$L$14:$M$14,$L$12:$M$13)+$N$16*NMultDensity(A130:B130,$L$18:$M$18,$L$16:$M$17)+$N$20*NMultDensity(A130:B130,$L$22:$M$22,$L$20:$M$21)+$N$8*NMultDensity(A130:B130,$L$10:$M$10,$L$8:$M$9)</f>
        <v>0.34117056314675503</v>
      </c>
      <c r="E130" cm="1">
        <f t="array" ref="E130">$N$8*NMultDensity(A130:B130,$L$10:$M$10,$L$8:$M$9)/D130</f>
        <v>9.0770824668769651E-151</v>
      </c>
      <c r="F130" cm="1">
        <f t="array" ref="F130">$N$12*NMultDensity(A130:B130,$L$14:$M$14,$L$12:$M$13)/D130</f>
        <v>1.5005413508483494E-2</v>
      </c>
      <c r="G130" cm="1">
        <f t="array" ref="G130">$N$16*NMultDensity(A130:B130,$L$18:$M$18,$L$16:$M$17)/D130</f>
        <v>1.6788760179294289E-3</v>
      </c>
      <c r="H130" cm="1">
        <f t="array" ref="H130">$N$20*NMultDensity(A130:B130,$L$22:$M$22,$L$20:$M$21)/D130</f>
        <v>0.98331571047358712</v>
      </c>
      <c r="I130">
        <f t="shared" ref="I130:I151" si="11">MAX(E130:H130)</f>
        <v>0.98331571047358712</v>
      </c>
      <c r="R130">
        <v>5.7</v>
      </c>
      <c r="S130">
        <v>2.2999999999999998</v>
      </c>
      <c r="T130">
        <v>4</v>
      </c>
    </row>
    <row r="131" spans="1:20" x14ac:dyDescent="0.3">
      <c r="A131">
        <v>5.8</v>
      </c>
      <c r="B131">
        <v>1.6</v>
      </c>
      <c r="C131">
        <f t="shared" si="10"/>
        <v>2</v>
      </c>
      <c r="D131" cm="1">
        <f t="array" ref="D131">$N$12*NMultDensity(A131:B131,$L$14:$M$14,$L$12:$M$13)+$N$16*NMultDensity(A131:B131,$L$18:$M$18,$L$16:$M$17)+$N$20*NMultDensity(A131:B131,$L$22:$M$22,$L$20:$M$21)+$N$8*NMultDensity(A131:B131,$L$10:$M$10,$L$8:$M$9)</f>
        <v>6.3764509400055902E-2</v>
      </c>
      <c r="E131" cm="1">
        <f t="array" ref="E131">$N$8*NMultDensity(A131:B131,$L$10:$M$10,$L$8:$M$9)/D131</f>
        <v>2.9100450481482224E-143</v>
      </c>
      <c r="F131" cm="1">
        <f t="array" ref="F131">$N$12*NMultDensity(A131:B131,$L$14:$M$14,$L$12:$M$13)/D131</f>
        <v>0.9991560179220319</v>
      </c>
      <c r="G131" cm="1">
        <f t="array" ref="G131">$N$16*NMultDensity(A131:B131,$L$18:$M$18,$L$16:$M$17)/D131</f>
        <v>3.8106866968121839E-4</v>
      </c>
      <c r="H131" cm="1">
        <f t="array" ref="H131">$N$20*NMultDensity(A131:B131,$L$22:$M$22,$L$20:$M$21)/D131</f>
        <v>4.6291340828684332E-4</v>
      </c>
      <c r="I131">
        <f t="shared" si="11"/>
        <v>0.9991560179220319</v>
      </c>
      <c r="R131">
        <v>4.9000000000000004</v>
      </c>
      <c r="S131">
        <v>2</v>
      </c>
      <c r="T131">
        <v>4</v>
      </c>
    </row>
    <row r="132" spans="1:20" x14ac:dyDescent="0.3">
      <c r="A132">
        <v>6.1</v>
      </c>
      <c r="B132">
        <v>1.9</v>
      </c>
      <c r="C132">
        <f t="shared" si="10"/>
        <v>2</v>
      </c>
      <c r="D132" cm="1">
        <f t="array" ref="D132">$N$12*NMultDensity(A132:B132,$L$14:$M$14,$L$12:$M$13)+$N$16*NMultDensity(A132:B132,$L$18:$M$18,$L$16:$M$17)+$N$20*NMultDensity(A132:B132,$L$22:$M$22,$L$20:$M$21)+$N$8*NMultDensity(A132:B132,$L$10:$M$10,$L$8:$M$9)</f>
        <v>0.14506793082863775</v>
      </c>
      <c r="E132" cm="1">
        <f t="array" ref="E132">$N$8*NMultDensity(A132:B132,$L$10:$M$10,$L$8:$M$9)/D132</f>
        <v>2.3099917570013669E-170</v>
      </c>
      <c r="F132" cm="1">
        <f t="array" ref="F132">$N$12*NMultDensity(A132:B132,$L$14:$M$14,$L$12:$M$13)/D132</f>
        <v>0.99684213263318078</v>
      </c>
      <c r="G132" cm="1">
        <f t="array" ref="G132">$N$16*NMultDensity(A132:B132,$L$18:$M$18,$L$16:$M$17)/D132</f>
        <v>1.6501428945687538E-4</v>
      </c>
      <c r="H132" cm="1">
        <f t="array" ref="H132">$N$20*NMultDensity(A132:B132,$L$22:$M$22,$L$20:$M$21)/D132</f>
        <v>2.9928530773624474E-3</v>
      </c>
      <c r="I132">
        <f t="shared" si="11"/>
        <v>0.99684213263318078</v>
      </c>
      <c r="R132">
        <v>4.9000000000000004</v>
      </c>
      <c r="S132">
        <v>1.8</v>
      </c>
      <c r="T132">
        <v>4</v>
      </c>
    </row>
    <row r="133" spans="1:20" x14ac:dyDescent="0.3">
      <c r="A133">
        <v>6.4</v>
      </c>
      <c r="B133">
        <v>2</v>
      </c>
      <c r="C133">
        <f t="shared" si="10"/>
        <v>2</v>
      </c>
      <c r="D133" cm="1">
        <f t="array" ref="D133">$N$12*NMultDensity(A133:B133,$L$14:$M$14,$L$12:$M$13)+$N$16*NMultDensity(A133:B133,$L$18:$M$18,$L$16:$M$17)+$N$20*NMultDensity(A133:B133,$L$22:$M$22,$L$20:$M$21)+$N$8*NMultDensity(A133:B133,$L$10:$M$10,$L$8:$M$9)</f>
        <v>0.10738799729863234</v>
      </c>
      <c r="E133" cm="1">
        <f t="array" ref="E133">$N$8*NMultDensity(A133:B133,$L$10:$M$10,$L$8:$M$9)/D133</f>
        <v>8.3121440240321932E-193</v>
      </c>
      <c r="F133" cm="1">
        <f t="array" ref="F133">$N$12*NMultDensity(A133:B133,$L$14:$M$14,$L$12:$M$13)/D133</f>
        <v>0.99960469063068425</v>
      </c>
      <c r="G133" cm="1">
        <f t="array" ref="G133">$N$16*NMultDensity(A133:B133,$L$18:$M$18,$L$16:$M$17)/D133</f>
        <v>5.6091596914027693E-6</v>
      </c>
      <c r="H133" cm="1">
        <f t="array" ref="H133">$N$20*NMultDensity(A133:B133,$L$22:$M$22,$L$20:$M$21)/D133</f>
        <v>3.8970020962419125E-4</v>
      </c>
      <c r="I133">
        <f t="shared" si="11"/>
        <v>0.99960469063068425</v>
      </c>
      <c r="R133">
        <v>5.7</v>
      </c>
      <c r="S133">
        <v>2.1</v>
      </c>
      <c r="T133">
        <v>4</v>
      </c>
    </row>
    <row r="134" spans="1:20" x14ac:dyDescent="0.3">
      <c r="A134">
        <v>5.6</v>
      </c>
      <c r="B134">
        <v>2.2000000000000002</v>
      </c>
      <c r="C134">
        <f t="shared" si="10"/>
        <v>4</v>
      </c>
      <c r="D134" cm="1">
        <f t="array" ref="D134">$N$12*NMultDensity(A134:B134,$L$14:$M$14,$L$12:$M$13)+$N$16*NMultDensity(A134:B134,$L$18:$M$18,$L$16:$M$17)+$N$20*NMultDensity(A134:B134,$L$22:$M$22,$L$20:$M$21)+$N$8*NMultDensity(A134:B134,$L$10:$M$10,$L$8:$M$9)</f>
        <v>0.43661369409689182</v>
      </c>
      <c r="E134" cm="1">
        <f t="array" ref="E134">$N$8*NMultDensity(A134:B134,$L$10:$M$10,$L$8:$M$9)/D134</f>
        <v>6.4111661530217027E-156</v>
      </c>
      <c r="F134" cm="1">
        <f t="array" ref="F134">$N$12*NMultDensity(A134:B134,$L$14:$M$14,$L$12:$M$13)/D134</f>
        <v>1.204546427653263E-3</v>
      </c>
      <c r="G134" cm="1">
        <f t="array" ref="G134">$N$16*NMultDensity(A134:B134,$L$18:$M$18,$L$16:$M$17)/D134</f>
        <v>1.6593350743706112E-4</v>
      </c>
      <c r="H134" cm="1">
        <f t="array" ref="H134">$N$20*NMultDensity(A134:B134,$L$22:$M$22,$L$20:$M$21)/D134</f>
        <v>0.99862952006490968</v>
      </c>
      <c r="I134">
        <f t="shared" si="11"/>
        <v>0.99862952006490968</v>
      </c>
      <c r="R134">
        <v>4.8</v>
      </c>
      <c r="S134">
        <v>1.8</v>
      </c>
      <c r="T134">
        <v>4</v>
      </c>
    </row>
    <row r="135" spans="1:20" x14ac:dyDescent="0.3">
      <c r="A135">
        <v>5.0999999999999996</v>
      </c>
      <c r="B135">
        <v>1.5</v>
      </c>
      <c r="C135">
        <f t="shared" si="10"/>
        <v>2</v>
      </c>
      <c r="D135" cm="1">
        <f t="array" ref="D135">$N$12*NMultDensity(A135:B135,$L$14:$M$14,$L$12:$M$13)+$N$16*NMultDensity(A135:B135,$L$18:$M$18,$L$16:$M$17)+$N$20*NMultDensity(A135:B135,$L$22:$M$22,$L$20:$M$21)+$N$8*NMultDensity(A135:B135,$L$10:$M$10,$L$8:$M$9)</f>
        <v>0.2409943599231516</v>
      </c>
      <c r="E135" cm="1">
        <f t="array" ref="E135">$N$8*NMultDensity(A135:B135,$L$10:$M$10,$L$8:$M$9)/D135</f>
        <v>1.090305023498725E-103</v>
      </c>
      <c r="F135" cm="1">
        <f t="array" ref="F135">$N$12*NMultDensity(A135:B135,$L$14:$M$14,$L$12:$M$13)/D135</f>
        <v>0.76572026510252322</v>
      </c>
      <c r="G135" cm="1">
        <f t="array" ref="G135">$N$16*NMultDensity(A135:B135,$L$18:$M$18,$L$16:$M$17)/D135</f>
        <v>0.21426877896222382</v>
      </c>
      <c r="H135" cm="1">
        <f t="array" ref="H135">$N$20*NMultDensity(A135:B135,$L$22:$M$22,$L$20:$M$21)/D135</f>
        <v>2.0010955935252886E-2</v>
      </c>
      <c r="I135">
        <f t="shared" si="11"/>
        <v>0.76572026510252322</v>
      </c>
      <c r="R135">
        <v>4.9000000000000004</v>
      </c>
      <c r="S135">
        <v>1.8</v>
      </c>
      <c r="T135">
        <v>4</v>
      </c>
    </row>
    <row r="136" spans="1:20" x14ac:dyDescent="0.3">
      <c r="A136">
        <v>5.6</v>
      </c>
      <c r="B136">
        <v>1.4</v>
      </c>
      <c r="C136">
        <f t="shared" si="10"/>
        <v>2</v>
      </c>
      <c r="D136" cm="1">
        <f t="array" ref="D136">$N$12*NMultDensity(A136:B136,$L$14:$M$14,$L$12:$M$13)+$N$16*NMultDensity(A136:B136,$L$18:$M$18,$L$16:$M$17)+$N$20*NMultDensity(A136:B136,$L$22:$M$22,$L$20:$M$21)+$N$8*NMultDensity(A136:B136,$L$10:$M$10,$L$8:$M$9)</f>
        <v>9.3973680774409353E-3</v>
      </c>
      <c r="E136" cm="1">
        <f t="array" ref="E136">$N$8*NMultDensity(A136:B136,$L$10:$M$10,$L$8:$M$9)/D136</f>
        <v>7.9114369340605711E-127</v>
      </c>
      <c r="F136" cm="1">
        <f t="array" ref="F136">$N$12*NMultDensity(A136:B136,$L$14:$M$14,$L$12:$M$13)/D136</f>
        <v>0.99923615020194012</v>
      </c>
      <c r="G136" cm="1">
        <f t="array" ref="G136">$N$16*NMultDensity(A136:B136,$L$18:$M$18,$L$16:$M$17)/D136</f>
        <v>5.4189960841301472E-4</v>
      </c>
      <c r="H136" cm="1">
        <f t="array" ref="H136">$N$20*NMultDensity(A136:B136,$L$22:$M$22,$L$20:$M$21)/D136</f>
        <v>2.2195018964688432E-4</v>
      </c>
      <c r="I136">
        <f t="shared" si="11"/>
        <v>0.99923615020194012</v>
      </c>
      <c r="R136">
        <v>5.6</v>
      </c>
      <c r="S136">
        <v>2.1</v>
      </c>
      <c r="T136">
        <v>4</v>
      </c>
    </row>
    <row r="137" spans="1:20" x14ac:dyDescent="0.3">
      <c r="A137">
        <v>6.1</v>
      </c>
      <c r="B137">
        <v>2.2999999999999998</v>
      </c>
      <c r="C137">
        <f t="shared" si="10"/>
        <v>4</v>
      </c>
      <c r="D137" cm="1">
        <f t="array" ref="D137">$N$12*NMultDensity(A137:B137,$L$14:$M$14,$L$12:$M$13)+$N$16*NMultDensity(A137:B137,$L$18:$M$18,$L$16:$M$17)+$N$20*NMultDensity(A137:B137,$L$22:$M$22,$L$20:$M$21)+$N$8*NMultDensity(A137:B137,$L$10:$M$10,$L$8:$M$9)</f>
        <v>6.7105224777885511E-2</v>
      </c>
      <c r="E137" cm="1">
        <f t="array" ref="E137">$N$8*NMultDensity(A137:B137,$L$10:$M$10,$L$8:$M$9)/D137</f>
        <v>1.8163156294756075E-187</v>
      </c>
      <c r="F137" cm="1">
        <f t="array" ref="F137">$N$12*NMultDensity(A137:B137,$L$14:$M$14,$L$12:$M$13)/D137</f>
        <v>1.9907171546589872E-2</v>
      </c>
      <c r="G137" cm="1">
        <f t="array" ref="G137">$N$16*NMultDensity(A137:B137,$L$18:$M$18,$L$16:$M$17)/D137</f>
        <v>7.6371281135491004E-5</v>
      </c>
      <c r="H137" cm="1">
        <f t="array" ref="H137">$N$20*NMultDensity(A137:B137,$L$22:$M$22,$L$20:$M$21)/D137</f>
        <v>0.9800164571722747</v>
      </c>
      <c r="I137">
        <f t="shared" si="11"/>
        <v>0.9800164571722747</v>
      </c>
      <c r="R137">
        <v>5.6</v>
      </c>
      <c r="S137">
        <v>2.2000000000000002</v>
      </c>
      <c r="T137">
        <v>4</v>
      </c>
    </row>
    <row r="138" spans="1:20" x14ac:dyDescent="0.3">
      <c r="A138">
        <v>5.6</v>
      </c>
      <c r="B138">
        <v>2.4</v>
      </c>
      <c r="C138">
        <f t="shared" si="10"/>
        <v>4</v>
      </c>
      <c r="D138" cm="1">
        <f t="array" ref="D138">$N$12*NMultDensity(A138:B138,$L$14:$M$14,$L$12:$M$13)+$N$16*NMultDensity(A138:B138,$L$18:$M$18,$L$16:$M$17)+$N$20*NMultDensity(A138:B138,$L$22:$M$22,$L$20:$M$21)+$N$8*NMultDensity(A138:B138,$L$10:$M$10,$L$8:$M$9)</f>
        <v>0.24815748940641022</v>
      </c>
      <c r="E138" cm="1">
        <f t="array" ref="E138">$N$8*NMultDensity(A138:B138,$L$10:$M$10,$L$8:$M$9)/D138</f>
        <v>3.7977073204247216E-167</v>
      </c>
      <c r="F138" cm="1">
        <f t="array" ref="F138">$N$12*NMultDensity(A138:B138,$L$14:$M$14,$L$12:$M$13)/D138</f>
        <v>4.3311138685367104E-6</v>
      </c>
      <c r="G138" cm="1">
        <f t="array" ref="G138">$N$16*NMultDensity(A138:B138,$L$18:$M$18,$L$16:$M$17)/D138</f>
        <v>5.972560699289752E-7</v>
      </c>
      <c r="H138" cm="1">
        <f t="array" ref="H138">$N$20*NMultDensity(A138:B138,$L$22:$M$22,$L$20:$M$21)/D138</f>
        <v>0.99999507163006152</v>
      </c>
      <c r="I138">
        <f t="shared" si="11"/>
        <v>0.99999507163006152</v>
      </c>
      <c r="R138">
        <v>6.1</v>
      </c>
      <c r="S138">
        <v>2.2999999999999998</v>
      </c>
      <c r="T138">
        <v>4</v>
      </c>
    </row>
    <row r="139" spans="1:20" x14ac:dyDescent="0.3">
      <c r="A139">
        <v>5.5</v>
      </c>
      <c r="B139">
        <v>1.8</v>
      </c>
      <c r="C139">
        <f t="shared" si="10"/>
        <v>2</v>
      </c>
      <c r="D139" cm="1">
        <f t="array" ref="D139">$N$12*NMultDensity(A139:B139,$L$14:$M$14,$L$12:$M$13)+$N$16*NMultDensity(A139:B139,$L$18:$M$18,$L$16:$M$17)+$N$20*NMultDensity(A139:B139,$L$22:$M$22,$L$20:$M$21)+$N$8*NMultDensity(A139:B139,$L$10:$M$10,$L$8:$M$9)</f>
        <v>0.20878173008617112</v>
      </c>
      <c r="E139" cm="1">
        <f t="array" ref="E139">$N$8*NMultDensity(A139:B139,$L$10:$M$10,$L$8:$M$9)/D139</f>
        <v>7.2889745505329105E-133</v>
      </c>
      <c r="F139" cm="1">
        <f t="array" ref="F139">$N$12*NMultDensity(A139:B139,$L$14:$M$14,$L$12:$M$13)/D139</f>
        <v>0.77013035684125397</v>
      </c>
      <c r="G139" cm="1">
        <f t="array" ref="G139">$N$16*NMultDensity(A139:B139,$L$18:$M$18,$L$16:$M$17)/D139</f>
        <v>5.0552130619467735E-2</v>
      </c>
      <c r="H139" cm="1">
        <f t="array" ref="H139">$N$20*NMultDensity(A139:B139,$L$22:$M$22,$L$20:$M$21)/D139</f>
        <v>0.17931751253927838</v>
      </c>
      <c r="I139">
        <f t="shared" si="11"/>
        <v>0.77013035684125397</v>
      </c>
      <c r="R139">
        <v>5.6</v>
      </c>
      <c r="S139">
        <v>2.4</v>
      </c>
      <c r="T139">
        <v>4</v>
      </c>
    </row>
    <row r="140" spans="1:20" x14ac:dyDescent="0.3">
      <c r="A140">
        <v>4.8</v>
      </c>
      <c r="B140">
        <v>1.8</v>
      </c>
      <c r="C140">
        <f t="shared" si="10"/>
        <v>4</v>
      </c>
      <c r="D140" cm="1">
        <f t="array" ref="D140">$N$12*NMultDensity(A140:B140,$L$14:$M$14,$L$12:$M$13)+$N$16*NMultDensity(A140:B140,$L$18:$M$18,$L$16:$M$17)+$N$20*NMultDensity(A140:B140,$L$22:$M$22,$L$20:$M$21)+$N$8*NMultDensity(A140:B140,$L$10:$M$10,$L$8:$M$9)</f>
        <v>0.24331569939436365</v>
      </c>
      <c r="E140" cm="1">
        <f t="array" ref="E140">$N$8*NMultDensity(A140:B140,$L$10:$M$10,$L$8:$M$9)/D140</f>
        <v>3.0867147778587496E-100</v>
      </c>
      <c r="F140" cm="1">
        <f t="array" ref="F140">$N$12*NMultDensity(A140:B140,$L$14:$M$14,$L$12:$M$13)/D140</f>
        <v>6.4931662115389518E-2</v>
      </c>
      <c r="G140" cm="1">
        <f t="array" ref="G140">$N$16*NMultDensity(A140:B140,$L$18:$M$18,$L$16:$M$17)/D140</f>
        <v>0.1380417034958083</v>
      </c>
      <c r="H140" cm="1">
        <f t="array" ref="H140">$N$20*NMultDensity(A140:B140,$L$22:$M$22,$L$20:$M$21)/D140</f>
        <v>0.79702663438880217</v>
      </c>
      <c r="I140">
        <f t="shared" si="11"/>
        <v>0.79702663438880217</v>
      </c>
      <c r="R140">
        <v>4.8</v>
      </c>
      <c r="S140">
        <v>1.8</v>
      </c>
      <c r="T140">
        <v>4</v>
      </c>
    </row>
    <row r="141" spans="1:20" x14ac:dyDescent="0.3">
      <c r="A141">
        <v>5.4</v>
      </c>
      <c r="B141">
        <v>2.1</v>
      </c>
      <c r="C141">
        <f t="shared" si="10"/>
        <v>4</v>
      </c>
      <c r="D141" cm="1">
        <f t="array" ref="D141">$N$12*NMultDensity(A141:B141,$L$14:$M$14,$L$12:$M$13)+$N$16*NMultDensity(A141:B141,$L$18:$M$18,$L$16:$M$17)+$N$20*NMultDensity(A141:B141,$L$22:$M$22,$L$20:$M$21)+$N$8*NMultDensity(A141:B141,$L$10:$M$10,$L$8:$M$9)</f>
        <v>0.51813416793475275</v>
      </c>
      <c r="E141" cm="1">
        <f t="array" ref="E141">$N$8*NMultDensity(A141:B141,$L$10:$M$10,$L$8:$M$9)/D141</f>
        <v>5.3383435542086618E-141</v>
      </c>
      <c r="F141" cm="1">
        <f t="array" ref="F141">$N$12*NMultDensity(A141:B141,$L$14:$M$14,$L$12:$M$13)/D141</f>
        <v>2.8346322529120729E-3</v>
      </c>
      <c r="G141" cm="1">
        <f t="array" ref="G141">$N$16*NMultDensity(A141:B141,$L$18:$M$18,$L$16:$M$17)/D141</f>
        <v>9.7712651644326037E-4</v>
      </c>
      <c r="H141" cm="1">
        <f t="array" ref="H141">$N$20*NMultDensity(A141:B141,$L$22:$M$22,$L$20:$M$21)/D141</f>
        <v>0.99618824123064464</v>
      </c>
      <c r="I141">
        <f t="shared" si="11"/>
        <v>0.99618824123064464</v>
      </c>
      <c r="R141">
        <v>5.4</v>
      </c>
      <c r="S141">
        <v>2.1</v>
      </c>
      <c r="T141">
        <v>4</v>
      </c>
    </row>
    <row r="142" spans="1:20" x14ac:dyDescent="0.3">
      <c r="A142">
        <v>5.6</v>
      </c>
      <c r="B142">
        <v>2.4</v>
      </c>
      <c r="C142">
        <f t="shared" si="10"/>
        <v>4</v>
      </c>
      <c r="D142" cm="1">
        <f t="array" ref="D142">$N$12*NMultDensity(A142:B142,$L$14:$M$14,$L$12:$M$13)+$N$16*NMultDensity(A142:B142,$L$18:$M$18,$L$16:$M$17)+$N$20*NMultDensity(A142:B142,$L$22:$M$22,$L$20:$M$21)+$N$8*NMultDensity(A142:B142,$L$10:$M$10,$L$8:$M$9)</f>
        <v>0.24815748940641022</v>
      </c>
      <c r="E142" cm="1">
        <f t="array" ref="E142">$N$8*NMultDensity(A142:B142,$L$10:$M$10,$L$8:$M$9)/D142</f>
        <v>3.7977073204247216E-167</v>
      </c>
      <c r="F142" cm="1">
        <f t="array" ref="F142">$N$12*NMultDensity(A142:B142,$L$14:$M$14,$L$12:$M$13)/D142</f>
        <v>4.3311138685367104E-6</v>
      </c>
      <c r="G142" cm="1">
        <f t="array" ref="G142">$N$16*NMultDensity(A142:B142,$L$18:$M$18,$L$16:$M$17)/D142</f>
        <v>5.972560699289752E-7</v>
      </c>
      <c r="H142" cm="1">
        <f t="array" ref="H142">$N$20*NMultDensity(A142:B142,$L$22:$M$22,$L$20:$M$21)/D142</f>
        <v>0.99999507163006152</v>
      </c>
      <c r="I142">
        <f t="shared" si="11"/>
        <v>0.99999507163006152</v>
      </c>
      <c r="R142">
        <v>5.6</v>
      </c>
      <c r="S142">
        <v>2.4</v>
      </c>
      <c r="T142">
        <v>4</v>
      </c>
    </row>
    <row r="143" spans="1:20" x14ac:dyDescent="0.3">
      <c r="A143">
        <v>5.0999999999999996</v>
      </c>
      <c r="B143">
        <v>2.2999999999999998</v>
      </c>
      <c r="C143">
        <f t="shared" si="10"/>
        <v>4</v>
      </c>
      <c r="D143" cm="1">
        <f t="array" ref="D143">$N$12*NMultDensity(A143:B143,$L$14:$M$14,$L$12:$M$13)+$N$16*NMultDensity(A143:B143,$L$18:$M$18,$L$16:$M$17)+$N$20*NMultDensity(A143:B143,$L$22:$M$22,$L$20:$M$21)+$N$8*NMultDensity(A143:B143,$L$10:$M$10,$L$8:$M$9)</f>
        <v>8.3871291126146288E-2</v>
      </c>
      <c r="E143" cm="1">
        <f t="array" ref="E143">$N$8*NMultDensity(A143:B143,$L$10:$M$10,$L$8:$M$9)/D143</f>
        <v>5.6548834257065625E-138</v>
      </c>
      <c r="F143" cm="1">
        <f t="array" ref="F143">$N$12*NMultDensity(A143:B143,$L$14:$M$14,$L$12:$M$13)/D143</f>
        <v>2.0068865680814496E-6</v>
      </c>
      <c r="G143" cm="1">
        <f t="array" ref="G143">$N$16*NMultDensity(A143:B143,$L$18:$M$18,$L$16:$M$17)/D143</f>
        <v>8.0655511343333607E-7</v>
      </c>
      <c r="H143" cm="1">
        <f t="array" ref="H143">$N$20*NMultDensity(A143:B143,$L$22:$M$22,$L$20:$M$21)/D143</f>
        <v>0.99999718655831848</v>
      </c>
      <c r="I143">
        <f t="shared" si="11"/>
        <v>0.99999718655831848</v>
      </c>
      <c r="R143">
        <v>5.0999999999999996</v>
      </c>
      <c r="S143">
        <v>2.2999999999999998</v>
      </c>
      <c r="T143">
        <v>4</v>
      </c>
    </row>
    <row r="144" spans="1:20" x14ac:dyDescent="0.3">
      <c r="A144">
        <v>5.0999999999999996</v>
      </c>
      <c r="B144">
        <v>1.9</v>
      </c>
      <c r="C144">
        <f t="shared" si="10"/>
        <v>4</v>
      </c>
      <c r="D144" cm="1">
        <f t="array" ref="D144">$N$12*NMultDensity(A144:B144,$L$14:$M$14,$L$12:$M$13)+$N$16*NMultDensity(A144:B144,$L$18:$M$18,$L$16:$M$17)+$N$20*NMultDensity(A144:B144,$L$22:$M$22,$L$20:$M$21)+$N$8*NMultDensity(A144:B144,$L$10:$M$10,$L$8:$M$9)</f>
        <v>0.39414118637449796</v>
      </c>
      <c r="E144" cm="1">
        <f t="array" ref="E144">$N$8*NMultDensity(A144:B144,$L$10:$M$10,$L$8:$M$9)/D144</f>
        <v>1.398064086810256E-117</v>
      </c>
      <c r="F144" cm="1">
        <f t="array" ref="F144">$N$12*NMultDensity(A144:B144,$L$14:$M$14,$L$12:$M$13)/D144</f>
        <v>3.5626995494510053E-2</v>
      </c>
      <c r="G144" cm="1">
        <f t="array" ref="G144">$N$16*NMultDensity(A144:B144,$L$18:$M$18,$L$16:$M$17)/D144</f>
        <v>3.6131901703382339E-2</v>
      </c>
      <c r="H144" cm="1">
        <f t="array" ref="H144">$N$20*NMultDensity(A144:B144,$L$22:$M$22,$L$20:$M$21)/D144</f>
        <v>0.92824110280210759</v>
      </c>
      <c r="I144">
        <f t="shared" si="11"/>
        <v>0.92824110280210759</v>
      </c>
      <c r="R144">
        <v>5.0999999999999996</v>
      </c>
      <c r="S144">
        <v>1.9</v>
      </c>
      <c r="T144">
        <v>4</v>
      </c>
    </row>
    <row r="145" spans="1:20" x14ac:dyDescent="0.3">
      <c r="A145">
        <v>5.9</v>
      </c>
      <c r="B145">
        <v>2.2999999999999998</v>
      </c>
      <c r="C145">
        <f t="shared" si="10"/>
        <v>4</v>
      </c>
      <c r="D145" cm="1">
        <f t="array" ref="D145">$N$12*NMultDensity(A145:B145,$L$14:$M$14,$L$12:$M$13)+$N$16*NMultDensity(A145:B145,$L$18:$M$18,$L$16:$M$17)+$N$20*NMultDensity(A145:B145,$L$22:$M$22,$L$20:$M$21)+$N$8*NMultDensity(A145:B145,$L$10:$M$10,$L$8:$M$9)</f>
        <v>0.20134110180998654</v>
      </c>
      <c r="E145" cm="1">
        <f t="array" ref="E145">$N$8*NMultDensity(A145:B145,$L$10:$M$10,$L$8:$M$9)/D145</f>
        <v>1.0441044779312125E-176</v>
      </c>
      <c r="F145" cm="1">
        <f t="array" ref="F145">$N$12*NMultDensity(A145:B145,$L$14:$M$14,$L$12:$M$13)/D145</f>
        <v>1.762264734346225E-3</v>
      </c>
      <c r="G145" cm="1">
        <f t="array" ref="G145">$N$16*NMultDensity(A145:B145,$L$18:$M$18,$L$16:$M$17)/D145</f>
        <v>4.0018333897180977E-5</v>
      </c>
      <c r="H145" cm="1">
        <f t="array" ref="H145">$N$20*NMultDensity(A145:B145,$L$22:$M$22,$L$20:$M$21)/D145</f>
        <v>0.99819771693175663</v>
      </c>
      <c r="I145">
        <f t="shared" si="11"/>
        <v>0.99819771693175663</v>
      </c>
      <c r="R145">
        <v>5.9</v>
      </c>
      <c r="S145">
        <v>2.2999999999999998</v>
      </c>
      <c r="T145">
        <v>4</v>
      </c>
    </row>
    <row r="146" spans="1:20" x14ac:dyDescent="0.3">
      <c r="A146">
        <v>5.7</v>
      </c>
      <c r="B146">
        <v>2.5</v>
      </c>
      <c r="C146">
        <f t="shared" si="10"/>
        <v>4</v>
      </c>
      <c r="D146" cm="1">
        <f t="array" ref="D146">$N$12*NMultDensity(A146:B146,$L$14:$M$14,$L$12:$M$13)+$N$16*NMultDensity(A146:B146,$L$18:$M$18,$L$16:$M$17)+$N$20*NMultDensity(A146:B146,$L$22:$M$22,$L$20:$M$21)+$N$8*NMultDensity(A146:B146,$L$10:$M$10,$L$8:$M$9)</f>
        <v>0.13726158625362214</v>
      </c>
      <c r="E146" cm="1">
        <f t="array" ref="E146">$N$8*NMultDensity(A146:B146,$L$10:$M$10,$L$8:$M$9)/D146</f>
        <v>3.5291070305170608E-178</v>
      </c>
      <c r="F146" cm="1">
        <f t="array" ref="F146">$N$12*NMultDensity(A146:B146,$L$14:$M$14,$L$12:$M$13)/D146</f>
        <v>5.176409005407713E-7</v>
      </c>
      <c r="G146" cm="1">
        <f t="array" ref="G146">$N$16*NMultDensity(A146:B146,$L$18:$M$18,$L$16:$M$17)/D146</f>
        <v>4.2366050145524389E-8</v>
      </c>
      <c r="H146" cm="1">
        <f t="array" ref="H146">$N$20*NMultDensity(A146:B146,$L$22:$M$22,$L$20:$M$21)/D146</f>
        <v>0.99999943999304941</v>
      </c>
      <c r="I146">
        <f t="shared" si="11"/>
        <v>0.99999943999304941</v>
      </c>
      <c r="R146">
        <v>5.7</v>
      </c>
      <c r="S146">
        <v>2.5</v>
      </c>
      <c r="T146">
        <v>4</v>
      </c>
    </row>
    <row r="147" spans="1:20" x14ac:dyDescent="0.3">
      <c r="A147">
        <v>5.2</v>
      </c>
      <c r="B147">
        <v>2.2999999999999998</v>
      </c>
      <c r="C147">
        <f t="shared" si="10"/>
        <v>4</v>
      </c>
      <c r="D147" cm="1">
        <f t="array" ref="D147">$N$12*NMultDensity(A147:B147,$L$14:$M$14,$L$12:$M$13)+$N$16*NMultDensity(A147:B147,$L$18:$M$18,$L$16:$M$17)+$N$20*NMultDensity(A147:B147,$L$22:$M$22,$L$20:$M$21)+$N$8*NMultDensity(A147:B147,$L$10:$M$10,$L$8:$M$9)</f>
        <v>0.14930407445660682</v>
      </c>
      <c r="E147" cm="1">
        <f t="array" ref="E147">$N$8*NMultDensity(A147:B147,$L$10:$M$10,$L$8:$M$9)/D147</f>
        <v>1.92633254181923E-142</v>
      </c>
      <c r="F147" cm="1">
        <f t="array" ref="F147">$N$12*NMultDensity(A147:B147,$L$14:$M$14,$L$12:$M$13)/D147</f>
        <v>3.6047032612752102E-6</v>
      </c>
      <c r="G147" cm="1">
        <f t="array" ref="G147">$N$16*NMultDensity(A147:B147,$L$18:$M$18,$L$16:$M$17)/D147</f>
        <v>1.4658535855492832E-6</v>
      </c>
      <c r="H147" cm="1">
        <f t="array" ref="H147">$N$20*NMultDensity(A147:B147,$L$22:$M$22,$L$20:$M$21)/D147</f>
        <v>0.99999492944315316</v>
      </c>
      <c r="I147">
        <f t="shared" si="11"/>
        <v>0.99999492944315316</v>
      </c>
      <c r="R147">
        <v>5.2</v>
      </c>
      <c r="S147">
        <v>2.2999999999999998</v>
      </c>
      <c r="T147">
        <v>4</v>
      </c>
    </row>
    <row r="148" spans="1:20" x14ac:dyDescent="0.3">
      <c r="A148">
        <v>5</v>
      </c>
      <c r="B148">
        <v>1.9</v>
      </c>
      <c r="C148">
        <f t="shared" si="10"/>
        <v>4</v>
      </c>
      <c r="D148" cm="1">
        <f t="array" ref="D148">$N$12*NMultDensity(A148:B148,$L$14:$M$14,$L$12:$M$13)+$N$16*NMultDensity(A148:B148,$L$18:$M$18,$L$16:$M$17)+$N$20*NMultDensity(A148:B148,$L$22:$M$22,$L$20:$M$21)+$N$8*NMultDensity(A148:B148,$L$10:$M$10,$L$8:$M$9)</f>
        <v>0.36318534075356207</v>
      </c>
      <c r="E148" cm="1">
        <f t="array" ref="E148">$N$8*NMultDensity(A148:B148,$L$10:$M$10,$L$8:$M$9)/D148</f>
        <v>3.9449051464953151E-113</v>
      </c>
      <c r="F148" cm="1">
        <f t="array" ref="F148">$N$12*NMultDensity(A148:B148,$L$14:$M$14,$L$12:$M$13)/D148</f>
        <v>2.216478502001484E-2</v>
      </c>
      <c r="G148" cm="1">
        <f t="array" ref="G148">$N$16*NMultDensity(A148:B148,$L$18:$M$18,$L$16:$M$17)/D148</f>
        <v>3.0015060176287182E-2</v>
      </c>
      <c r="H148" cm="1">
        <f t="array" ref="H148">$N$20*NMultDensity(A148:B148,$L$22:$M$22,$L$20:$M$21)/D148</f>
        <v>0.94782015480369797</v>
      </c>
      <c r="I148">
        <f t="shared" si="11"/>
        <v>0.94782015480369797</v>
      </c>
      <c r="R148">
        <v>5</v>
      </c>
      <c r="S148">
        <v>1.9</v>
      </c>
      <c r="T148">
        <v>4</v>
      </c>
    </row>
    <row r="149" spans="1:20" x14ac:dyDescent="0.3">
      <c r="A149">
        <v>5.2</v>
      </c>
      <c r="B149">
        <v>2</v>
      </c>
      <c r="C149">
        <f t="shared" si="10"/>
        <v>4</v>
      </c>
      <c r="D149" cm="1">
        <f t="array" ref="D149">$N$12*NMultDensity(A149:B149,$L$14:$M$14,$L$12:$M$13)+$N$16*NMultDensity(A149:B149,$L$18:$M$18,$L$16:$M$17)+$N$20*NMultDensity(A149:B149,$L$22:$M$22,$L$20:$M$21)+$N$8*NMultDensity(A149:B149,$L$10:$M$10,$L$8:$M$9)</f>
        <v>0.48339376554384594</v>
      </c>
      <c r="E149" cm="1">
        <f t="array" ref="E149">$N$8*NMultDensity(A149:B149,$L$10:$M$10,$L$8:$M$9)/D149</f>
        <v>9.8610812593960882E-127</v>
      </c>
      <c r="F149" cm="1">
        <f t="array" ref="F149">$N$12*NMultDensity(A149:B149,$L$14:$M$14,$L$12:$M$13)/D149</f>
        <v>7.5438820741251262E-3</v>
      </c>
      <c r="G149" cm="1">
        <f t="array" ref="G149">$N$16*NMultDensity(A149:B149,$L$18:$M$18,$L$16:$M$17)/D149</f>
        <v>5.570626158181006E-3</v>
      </c>
      <c r="H149" cm="1">
        <f t="array" ref="H149">$N$20*NMultDensity(A149:B149,$L$22:$M$22,$L$20:$M$21)/D149</f>
        <v>0.98688549176769391</v>
      </c>
      <c r="I149">
        <f t="shared" si="11"/>
        <v>0.98688549176769391</v>
      </c>
      <c r="R149">
        <v>5.2</v>
      </c>
      <c r="S149">
        <v>2</v>
      </c>
      <c r="T149">
        <v>4</v>
      </c>
    </row>
    <row r="150" spans="1:20" x14ac:dyDescent="0.3">
      <c r="A150">
        <v>5.4</v>
      </c>
      <c r="B150">
        <v>2.2999999999999998</v>
      </c>
      <c r="C150">
        <f t="shared" si="10"/>
        <v>4</v>
      </c>
      <c r="D150" cm="1">
        <f t="array" ref="D150">$N$12*NMultDensity(A150:B150,$L$14:$M$14,$L$12:$M$13)+$N$16*NMultDensity(A150:B150,$L$18:$M$18,$L$16:$M$17)+$N$20*NMultDensity(A150:B150,$L$22:$M$22,$L$20:$M$21)+$N$8*NMultDensity(A150:B150,$L$10:$M$10,$L$8:$M$9)</f>
        <v>0.31694166451390393</v>
      </c>
      <c r="E150" cm="1">
        <f t="array" ref="E150">$N$8*NMultDensity(A150:B150,$L$10:$M$10,$L$8:$M$9)/D150</f>
        <v>1.0686583388586243E-151</v>
      </c>
      <c r="F150" cm="1">
        <f t="array" ref="F150">$N$12*NMultDensity(A150:B150,$L$14:$M$14,$L$12:$M$13)/D150</f>
        <v>1.4554943575797681E-5</v>
      </c>
      <c r="G150" cm="1">
        <f t="array" ref="G150">$N$16*NMultDensity(A150:B150,$L$18:$M$18,$L$16:$M$17)/D150</f>
        <v>4.409256415048254E-6</v>
      </c>
      <c r="H150" cm="1">
        <f t="array" ref="H150">$N$20*NMultDensity(A150:B150,$L$22:$M$22,$L$20:$M$21)/D150</f>
        <v>0.99998103580000908</v>
      </c>
      <c r="I150">
        <f t="shared" si="11"/>
        <v>0.99998103580000908</v>
      </c>
      <c r="R150">
        <v>5.4</v>
      </c>
      <c r="S150">
        <v>2.2999999999999998</v>
      </c>
      <c r="T150">
        <v>4</v>
      </c>
    </row>
    <row r="151" spans="1:20" x14ac:dyDescent="0.3">
      <c r="A151">
        <v>5.0999999999999996</v>
      </c>
      <c r="B151">
        <v>1.8</v>
      </c>
      <c r="C151">
        <f t="shared" si="10"/>
        <v>4</v>
      </c>
      <c r="D151" cm="1">
        <f t="array" ref="D151">$N$12*NMultDensity(A151:B151,$L$14:$M$14,$L$12:$M$13)+$N$16*NMultDensity(A151:B151,$L$18:$M$18,$L$16:$M$17)+$N$20*NMultDensity(A151:B151,$L$22:$M$22,$L$20:$M$21)+$N$8*NMultDensity(A151:B151,$L$10:$M$10,$L$8:$M$9)</f>
        <v>0.32927604858633019</v>
      </c>
      <c r="E151" cm="1">
        <f t="array" ref="E151">$N$8*NMultDensity(A151:B151,$L$10:$M$10,$L$8:$M$9)/D151</f>
        <v>2.1663172658537632E-113</v>
      </c>
      <c r="F151" cm="1">
        <f t="array" ref="F151">$N$12*NMultDensity(A151:B151,$L$14:$M$14,$L$12:$M$13)/D151</f>
        <v>0.18451458810248023</v>
      </c>
      <c r="G151" cm="1">
        <f t="array" ref="G151">$N$16*NMultDensity(A151:B151,$L$18:$M$18,$L$16:$M$17)/D151</f>
        <v>0.16689806194796736</v>
      </c>
      <c r="H151" cm="1">
        <f t="array" ref="H151">$N$20*NMultDensity(A151:B151,$L$22:$M$22,$L$20:$M$21)/D151</f>
        <v>0.64858734994955236</v>
      </c>
      <c r="I151">
        <f t="shared" si="11"/>
        <v>0.64858734994955236</v>
      </c>
      <c r="R151">
        <v>5.0999999999999996</v>
      </c>
      <c r="S151">
        <v>1.8</v>
      </c>
      <c r="T151">
        <v>4</v>
      </c>
    </row>
  </sheetData>
  <sortState xmlns:xlrd2="http://schemas.microsoft.com/office/spreadsheetml/2017/richdata2" ref="R2:T151">
    <sortCondition ref="T2:T15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MStart">
                <anchor moveWithCells="1" sizeWithCells="1">
                  <from>
                    <xdr:col>15</xdr:col>
                    <xdr:colOff>297180</xdr:colOff>
                    <xdr:row>16</xdr:row>
                    <xdr:rowOff>91440</xdr:rowOff>
                  </from>
                  <to>
                    <xdr:col>16</xdr:col>
                    <xdr:colOff>563880</xdr:colOff>
                    <xdr:row>18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KrokEM">
                <anchor moveWithCells="1" sizeWithCells="1">
                  <from>
                    <xdr:col>15</xdr:col>
                    <xdr:colOff>297180</xdr:colOff>
                    <xdr:row>19</xdr:row>
                    <xdr:rowOff>175260</xdr:rowOff>
                  </from>
                  <to>
                    <xdr:col>16</xdr:col>
                    <xdr:colOff>601980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KrokiEM">
                <anchor moveWithCells="1" sizeWithCells="1">
                  <from>
                    <xdr:col>15</xdr:col>
                    <xdr:colOff>175260</xdr:colOff>
                    <xdr:row>29</xdr:row>
                    <xdr:rowOff>144780</xdr:rowOff>
                  </from>
                  <to>
                    <xdr:col>16</xdr:col>
                    <xdr:colOff>601980</xdr:colOff>
                    <xdr:row>31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9EE7A-3B42-4998-B9DD-B28F7401DEB2}">
  <sheetPr codeName="Arkusz5"/>
  <dimension ref="B2:J3"/>
  <sheetViews>
    <sheetView tabSelected="1" workbookViewId="0">
      <selection activeCell="K12" sqref="K12"/>
    </sheetView>
  </sheetViews>
  <sheetFormatPr defaultRowHeight="14.4" x14ac:dyDescent="0.3"/>
  <sheetData>
    <row r="2" spans="2:10" x14ac:dyDescent="0.3">
      <c r="B2" t="s">
        <v>39</v>
      </c>
      <c r="J2" t="s">
        <v>40</v>
      </c>
    </row>
    <row r="3" spans="2:10" x14ac:dyDescent="0.3">
      <c r="B3" t="str">
        <f ca="1">IF('AnalizaSkupień(k=2)'!N19&lt;'AnalizaSkupień(k=4)'!O17,"W algorytmie k-średnich lepszym podziałem jest podział na 2 grupy niżeli na 4","W algorytmie k-średnich lepszym podziałem jest podział na 4 grupy niżeli na 2")</f>
        <v>W algorytmie k-średnich lepszym podziałem jest podział na 4 grupy niżeli na 2</v>
      </c>
      <c r="J3" t="str">
        <f>IF('EM(k=2)'!O34&lt;'EM(k=4)'!Q34,"W algorytmie EM lepszym podziałem jest podział na 2 grupy niżeli na 4","W algorytmie EM lepszym podziałem jest podział na 4 grupy niżeli na 2")</f>
        <v>W algorytmie EM lepszym podziałem jest podział na 4 grupy niżeli na 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AnalizaSkupień(k=2)</vt:lpstr>
      <vt:lpstr>AnalizaSkupień(k=4)</vt:lpstr>
      <vt:lpstr>EM(k=2)</vt:lpstr>
      <vt:lpstr>EM(k=4)</vt:lpstr>
      <vt:lpstr>Podsumowanie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 FTIMS</dc:creator>
  <cp:lastModifiedBy>User</cp:lastModifiedBy>
  <dcterms:created xsi:type="dcterms:W3CDTF">2022-06-09T09:45:33Z</dcterms:created>
  <dcterms:modified xsi:type="dcterms:W3CDTF">2022-06-23T10:25:52Z</dcterms:modified>
</cp:coreProperties>
</file>